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ml.chartshapes+xml"/>
  <Override PartName="/xl/charts/chart17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dhakar appa\desktop\Report HLP 2020\HLP 2022\2022\"/>
    </mc:Choice>
  </mc:AlternateContent>
  <xr:revisionPtr revIDLastSave="0" documentId="13_ncr:1_{D0544035-A371-4683-9D44-61522C7C4162}" xr6:coauthVersionLast="47" xr6:coauthVersionMax="47" xr10:uidLastSave="{00000000-0000-0000-0000-000000000000}"/>
  <bookViews>
    <workbookView xWindow="-120" yWindow="-120" windowWidth="20730" windowHeight="11160" tabRatio="960" firstSheet="9" activeTab="37" xr2:uid="{00000000-000D-0000-FFFF-FFFF00000000}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Sheet5" sheetId="54" r:id="rId22"/>
    <sheet name="16" sheetId="17" r:id="rId23"/>
    <sheet name="17" sheetId="18" r:id="rId24"/>
    <sheet name="18 " sheetId="19" r:id="rId25"/>
    <sheet name="19" sheetId="20" r:id="rId26"/>
    <sheet name="20" sheetId="21" r:id="rId27"/>
    <sheet name="21" sheetId="22" r:id="rId28"/>
    <sheet name="22" sheetId="23" r:id="rId29"/>
    <sheet name="23" sheetId="24" r:id="rId30"/>
    <sheet name="24" sheetId="25" r:id="rId31"/>
    <sheet name="25" sheetId="40" r:id="rId32"/>
    <sheet name="26" sheetId="27" r:id="rId33"/>
    <sheet name="27" sheetId="28" r:id="rId34"/>
    <sheet name="28" sheetId="29" r:id="rId35"/>
    <sheet name="29" sheetId="30" r:id="rId36"/>
    <sheet name="30" sheetId="43" r:id="rId37"/>
    <sheet name="31" sheetId="31" r:id="rId38"/>
    <sheet name="Daily HLP (2)" sheetId="35" r:id="rId39"/>
    <sheet name="Sheet1" sheetId="50" r:id="rId40"/>
    <sheet name="Sheet2" sheetId="51" r:id="rId41"/>
    <sheet name="Sheet3" sheetId="52" r:id="rId42"/>
    <sheet name="Sheet4" sheetId="53" r:id="rId43"/>
  </sheets>
  <externalReferences>
    <externalReference r:id="rId44"/>
  </externalReferences>
  <definedNames>
    <definedName name="_xlnm.Print_Area" localSheetId="6">'1'!$A$1:$M$190</definedName>
    <definedName name="_xlnm.Print_Area" localSheetId="15">'10'!$A$1:$M$192</definedName>
    <definedName name="_xlnm.Print_Area" localSheetId="18">'13'!$A$1:$M$192</definedName>
    <definedName name="_xlnm.Print_Area" localSheetId="19">'14'!$A$1:$O$190</definedName>
    <definedName name="_xlnm.Print_Area" localSheetId="20">'15'!$A$1:$L$192</definedName>
    <definedName name="_xlnm.Print_Area" localSheetId="22">'16'!$A$1:$J$192</definedName>
    <definedName name="_xlnm.Print_Area" localSheetId="23">'17'!$A$1:$J$191</definedName>
    <definedName name="_xlnm.Print_Area" localSheetId="24">'18 '!$A$1:$J$190</definedName>
    <definedName name="_xlnm.Print_Area" localSheetId="25">'19'!$A$1:$J$190</definedName>
    <definedName name="_xlnm.Print_Area" localSheetId="26">'20'!$A$1:$J$190</definedName>
    <definedName name="_xlnm.Print_Area" localSheetId="27">'21'!$A$1:$J$192</definedName>
    <definedName name="_xlnm.Print_Area" localSheetId="28">'22'!$A$1:$J$192</definedName>
    <definedName name="_xlnm.Print_Area" localSheetId="29">'23'!$A$1:$J$190</definedName>
    <definedName name="_xlnm.Print_Area" localSheetId="30">'24'!$A$1:$J$192</definedName>
    <definedName name="_xlnm.Print_Area" localSheetId="31">'25'!$A$1:$J$192</definedName>
    <definedName name="_xlnm.Print_Area" localSheetId="32">'26'!$A$1:$J$191</definedName>
    <definedName name="_xlnm.Print_Area" localSheetId="33">'27'!$A$1:$J$192</definedName>
    <definedName name="_xlnm.Print_Area" localSheetId="34">'28'!$A$1:$J$190</definedName>
    <definedName name="_xlnm.Print_Area" localSheetId="35">'29'!$A$1:$R$190</definedName>
    <definedName name="_xlnm.Print_Area" localSheetId="8">'3'!$A$1:$M$190</definedName>
    <definedName name="_xlnm.Print_Area" localSheetId="36">'30'!$A$1:$J$189</definedName>
    <definedName name="_xlnm.Print_Area" localSheetId="37">'31'!$A$1:$J$190</definedName>
    <definedName name="_xlnm.Print_Area" localSheetId="9">'4'!$A$1:$J$189</definedName>
    <definedName name="_xlnm.Print_Area" localSheetId="10">'5'!$A$1:$N$196</definedName>
    <definedName name="_xlnm.Print_Area" localSheetId="11">'6'!$A$1:$J$192</definedName>
    <definedName name="_xlnm.Print_Area" localSheetId="12">'7'!$A$1:$J$194</definedName>
    <definedName name="_xlnm.Print_Area" localSheetId="13">'8'!$A$1:$J$190</definedName>
    <definedName name="_xlnm.Print_Area" localSheetId="14">'9'!$A$1:$J$191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7" i="29" l="1"/>
  <c r="E41" i="25" l="1"/>
  <c r="E74" i="25"/>
  <c r="E128" i="24"/>
  <c r="E184" i="24"/>
  <c r="E179" i="24"/>
  <c r="E180" i="24"/>
  <c r="E174" i="24"/>
  <c r="E175" i="24"/>
  <c r="E173" i="24"/>
  <c r="E162" i="24"/>
  <c r="E163" i="24"/>
  <c r="E164" i="24"/>
  <c r="E165" i="24"/>
  <c r="E156" i="24"/>
  <c r="E157" i="24"/>
  <c r="E158" i="24"/>
  <c r="E139" i="24"/>
  <c r="E140" i="24"/>
  <c r="E141" i="24"/>
  <c r="E142" i="24"/>
  <c r="E143" i="24"/>
  <c r="E144" i="24"/>
  <c r="E145" i="24"/>
  <c r="E146" i="24"/>
  <c r="E147" i="24"/>
  <c r="E148" i="24"/>
  <c r="E149" i="24"/>
  <c r="E150" i="24"/>
  <c r="E151" i="24"/>
  <c r="E152" i="24"/>
  <c r="E129" i="24"/>
  <c r="E130" i="24"/>
  <c r="E131" i="24"/>
  <c r="E132" i="24"/>
  <c r="E133" i="24"/>
  <c r="E134" i="24"/>
  <c r="E129" i="23"/>
  <c r="E130" i="23"/>
  <c r="E131" i="23"/>
  <c r="E132" i="23"/>
  <c r="E133" i="23"/>
  <c r="E134" i="23"/>
  <c r="E128" i="23"/>
  <c r="E113" i="24"/>
  <c r="E114" i="24"/>
  <c r="E115" i="24"/>
  <c r="E116" i="24"/>
  <c r="E117" i="24"/>
  <c r="E118" i="24"/>
  <c r="E119" i="24"/>
  <c r="E120" i="24"/>
  <c r="E121" i="24"/>
  <c r="E122" i="24"/>
  <c r="E123" i="24"/>
  <c r="E112" i="24"/>
  <c r="E83" i="24"/>
  <c r="E84" i="24"/>
  <c r="E85" i="24"/>
  <c r="E86" i="24"/>
  <c r="E87" i="24"/>
  <c r="E88" i="24"/>
  <c r="E89" i="24"/>
  <c r="E90" i="24"/>
  <c r="E91" i="24"/>
  <c r="E92" i="24"/>
  <c r="E50" i="24"/>
  <c r="E51" i="24"/>
  <c r="E52" i="24"/>
  <c r="E53" i="24"/>
  <c r="E54" i="24"/>
  <c r="E55" i="24"/>
  <c r="E56" i="24"/>
  <c r="E57" i="24"/>
  <c r="E58" i="24"/>
  <c r="E49" i="24"/>
  <c r="E36" i="24"/>
  <c r="E37" i="24"/>
  <c r="E38" i="24"/>
  <c r="E39" i="24"/>
  <c r="E40" i="24"/>
  <c r="E41" i="24"/>
  <c r="E42" i="24"/>
  <c r="E43" i="24"/>
  <c r="E44" i="24"/>
  <c r="E45" i="24"/>
  <c r="E46" i="24"/>
  <c r="E8" i="24"/>
  <c r="E9" i="24"/>
  <c r="E10" i="24"/>
  <c r="E11" i="24"/>
  <c r="E12" i="24"/>
  <c r="E7" i="24"/>
  <c r="G18" i="7"/>
  <c r="E50" i="23"/>
  <c r="E51" i="23"/>
  <c r="E52" i="23"/>
  <c r="E53" i="23"/>
  <c r="E54" i="23"/>
  <c r="E55" i="23"/>
  <c r="E56" i="23"/>
  <c r="E58" i="23"/>
  <c r="E8" i="23"/>
  <c r="E9" i="23"/>
  <c r="E10" i="23"/>
  <c r="E11" i="23"/>
  <c r="E12" i="23"/>
  <c r="E7" i="23"/>
  <c r="F24" i="22"/>
  <c r="F24" i="23"/>
  <c r="F24" i="21"/>
  <c r="F24" i="20"/>
  <c r="F24" i="19"/>
  <c r="F24" i="18"/>
  <c r="E24" i="18"/>
  <c r="E23" i="16"/>
  <c r="F24" i="15"/>
  <c r="G23" i="15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151" i="22"/>
  <c r="E152" i="22"/>
  <c r="E179" i="21"/>
  <c r="E180" i="21"/>
  <c r="E174" i="21"/>
  <c r="E175" i="21"/>
  <c r="E162" i="21"/>
  <c r="E163" i="21"/>
  <c r="E164" i="21"/>
  <c r="E165" i="21"/>
  <c r="E156" i="21"/>
  <c r="E157" i="21"/>
  <c r="E158" i="21"/>
  <c r="E139" i="21"/>
  <c r="E140" i="21"/>
  <c r="E141" i="21"/>
  <c r="E142" i="21"/>
  <c r="E143" i="21"/>
  <c r="E144" i="21"/>
  <c r="E145" i="21"/>
  <c r="E146" i="21"/>
  <c r="E147" i="21"/>
  <c r="E148" i="21"/>
  <c r="E149" i="21"/>
  <c r="E150" i="21"/>
  <c r="E151" i="21"/>
  <c r="E152" i="21"/>
  <c r="E129" i="21"/>
  <c r="E130" i="21"/>
  <c r="E131" i="21"/>
  <c r="E132" i="21"/>
  <c r="E133" i="21"/>
  <c r="E134" i="21"/>
  <c r="E113" i="21"/>
  <c r="E114" i="21"/>
  <c r="E115" i="21"/>
  <c r="E116" i="21"/>
  <c r="E117" i="21"/>
  <c r="E118" i="21"/>
  <c r="E119" i="21"/>
  <c r="E120" i="21"/>
  <c r="E121" i="21"/>
  <c r="E122" i="21"/>
  <c r="E123" i="21"/>
  <c r="E83" i="21"/>
  <c r="E85" i="21"/>
  <c r="E87" i="21"/>
  <c r="E88" i="21"/>
  <c r="E89" i="21"/>
  <c r="E90" i="21"/>
  <c r="E91" i="21"/>
  <c r="E92" i="21"/>
  <c r="E75" i="21"/>
  <c r="E76" i="21"/>
  <c r="E77" i="21"/>
  <c r="E78" i="21"/>
  <c r="E79" i="21"/>
  <c r="E66" i="21"/>
  <c r="E67" i="21"/>
  <c r="E68" i="21"/>
  <c r="E69" i="21"/>
  <c r="E70" i="21"/>
  <c r="E63" i="21"/>
  <c r="E50" i="21"/>
  <c r="E51" i="21"/>
  <c r="E52" i="21"/>
  <c r="E53" i="21"/>
  <c r="E54" i="21"/>
  <c r="E55" i="21"/>
  <c r="E56" i="21"/>
  <c r="E57" i="21"/>
  <c r="E58" i="21"/>
  <c r="E36" i="21"/>
  <c r="E37" i="21"/>
  <c r="E38" i="21"/>
  <c r="E39" i="21"/>
  <c r="E40" i="21"/>
  <c r="E41" i="21"/>
  <c r="E42" i="21"/>
  <c r="E43" i="21"/>
  <c r="E44" i="21"/>
  <c r="E45" i="21"/>
  <c r="E46" i="21"/>
  <c r="E8" i="21"/>
  <c r="E9" i="21"/>
  <c r="E10" i="21"/>
  <c r="E11" i="21"/>
  <c r="E12" i="21"/>
  <c r="E7" i="21"/>
  <c r="E36" i="19"/>
  <c r="E35" i="19"/>
  <c r="E7" i="19"/>
  <c r="E115" i="17"/>
  <c r="E69" i="17"/>
  <c r="E162" i="12"/>
  <c r="E113" i="12"/>
  <c r="E24" i="12"/>
  <c r="E62" i="10"/>
  <c r="E7" i="9"/>
  <c r="E8" i="5"/>
  <c r="E133" i="4"/>
  <c r="E8" i="4"/>
  <c r="E158" i="3"/>
  <c r="F173" i="2"/>
  <c r="N15" i="31" l="1"/>
  <c r="N8" i="31"/>
  <c r="N7" i="31"/>
  <c r="J16" i="31" l="1"/>
  <c r="E15" i="30"/>
  <c r="E7" i="30"/>
  <c r="G7" i="30" s="1"/>
  <c r="E123" i="29"/>
  <c r="E112" i="29"/>
  <c r="E113" i="29"/>
  <c r="E114" i="29"/>
  <c r="E115" i="29"/>
  <c r="E7" i="29"/>
  <c r="E8" i="29"/>
  <c r="E9" i="29"/>
  <c r="E10" i="29"/>
  <c r="E11" i="29"/>
  <c r="E15" i="29"/>
  <c r="E15" i="28" l="1"/>
  <c r="E15" i="27"/>
  <c r="F191" i="27"/>
  <c r="E68" i="27"/>
  <c r="G68" i="27" s="1"/>
  <c r="E15" i="40"/>
  <c r="E15" i="25"/>
  <c r="E15" i="24"/>
  <c r="E15" i="23"/>
  <c r="E15" i="22"/>
  <c r="E7" i="22"/>
  <c r="E15" i="21"/>
  <c r="E15" i="20"/>
  <c r="G15" i="20" s="1"/>
  <c r="E8" i="20"/>
  <c r="E9" i="20"/>
  <c r="E10" i="20"/>
  <c r="E11" i="20"/>
  <c r="E12" i="20"/>
  <c r="E113" i="19"/>
  <c r="E114" i="19"/>
  <c r="E115" i="19"/>
  <c r="E116" i="19"/>
  <c r="E117" i="19"/>
  <c r="E118" i="19"/>
  <c r="E119" i="19"/>
  <c r="E120" i="19"/>
  <c r="E121" i="19"/>
  <c r="E122" i="19"/>
  <c r="E123" i="19"/>
  <c r="E66" i="19"/>
  <c r="E67" i="19"/>
  <c r="E68" i="19"/>
  <c r="E69" i="19"/>
  <c r="E70" i="19"/>
  <c r="E50" i="19"/>
  <c r="E51" i="19"/>
  <c r="E52" i="19"/>
  <c r="E53" i="19"/>
  <c r="E54" i="19"/>
  <c r="E55" i="19"/>
  <c r="E56" i="19"/>
  <c r="E57" i="19"/>
  <c r="E58" i="19"/>
  <c r="E37" i="19"/>
  <c r="E38" i="19"/>
  <c r="E39" i="19"/>
  <c r="E40" i="19"/>
  <c r="E41" i="19"/>
  <c r="E42" i="19"/>
  <c r="E43" i="19"/>
  <c r="E44" i="19"/>
  <c r="E45" i="19"/>
  <c r="E46" i="19"/>
  <c r="E15" i="19"/>
  <c r="E15" i="18"/>
  <c r="E29" i="18"/>
  <c r="E15" i="17"/>
  <c r="E115" i="16"/>
  <c r="E15" i="16"/>
  <c r="E139" i="14"/>
  <c r="E140" i="14"/>
  <c r="E141" i="14"/>
  <c r="E142" i="14"/>
  <c r="E143" i="14"/>
  <c r="E144" i="14"/>
  <c r="E145" i="14"/>
  <c r="E146" i="14"/>
  <c r="E147" i="14"/>
  <c r="E148" i="14"/>
  <c r="E149" i="14"/>
  <c r="E150" i="14"/>
  <c r="E151" i="14"/>
  <c r="E152" i="14"/>
  <c r="E139" i="15"/>
  <c r="E140" i="15"/>
  <c r="E141" i="15"/>
  <c r="E142" i="15"/>
  <c r="E143" i="15"/>
  <c r="E144" i="15"/>
  <c r="E145" i="15"/>
  <c r="E146" i="15"/>
  <c r="E147" i="15"/>
  <c r="E148" i="15"/>
  <c r="E149" i="15"/>
  <c r="E150" i="15"/>
  <c r="E151" i="15"/>
  <c r="E152" i="15"/>
  <c r="E179" i="15"/>
  <c r="E180" i="15"/>
  <c r="E174" i="15"/>
  <c r="E175" i="15"/>
  <c r="E162" i="15"/>
  <c r="E163" i="15"/>
  <c r="E164" i="15"/>
  <c r="E165" i="15"/>
  <c r="E161" i="15"/>
  <c r="E156" i="15"/>
  <c r="E157" i="15"/>
  <c r="E158" i="15"/>
  <c r="E155" i="15"/>
  <c r="E113" i="15"/>
  <c r="E114" i="15"/>
  <c r="E115" i="15"/>
  <c r="E116" i="15"/>
  <c r="E117" i="15"/>
  <c r="E118" i="15"/>
  <c r="E119" i="15"/>
  <c r="E120" i="15"/>
  <c r="E121" i="15"/>
  <c r="E122" i="15"/>
  <c r="E123" i="15"/>
  <c r="E83" i="15"/>
  <c r="E84" i="15"/>
  <c r="E85" i="15"/>
  <c r="E86" i="15"/>
  <c r="E87" i="15"/>
  <c r="E88" i="15"/>
  <c r="E89" i="15"/>
  <c r="E90" i="15"/>
  <c r="E91" i="15"/>
  <c r="E92" i="15"/>
  <c r="E63" i="15"/>
  <c r="E36" i="15"/>
  <c r="E37" i="15"/>
  <c r="E38" i="15"/>
  <c r="E39" i="15"/>
  <c r="E40" i="15"/>
  <c r="E41" i="15"/>
  <c r="E42" i="15"/>
  <c r="E43" i="15"/>
  <c r="E44" i="15"/>
  <c r="E45" i="15"/>
  <c r="E46" i="15"/>
  <c r="E174" i="13"/>
  <c r="E175" i="13"/>
  <c r="E173" i="13"/>
  <c r="E174" i="14"/>
  <c r="E175" i="14"/>
  <c r="E156" i="14"/>
  <c r="E157" i="14"/>
  <c r="E158" i="14"/>
  <c r="E155" i="14"/>
  <c r="E134" i="14"/>
  <c r="E10" i="14"/>
  <c r="E158" i="13"/>
  <c r="E157" i="13"/>
  <c r="E134" i="13"/>
  <c r="E50" i="13"/>
  <c r="E43" i="13"/>
  <c r="E15" i="15" l="1"/>
  <c r="E118" i="12"/>
  <c r="E54" i="12"/>
  <c r="O8" i="12"/>
  <c r="P8" i="12" s="1"/>
  <c r="H159" i="10"/>
  <c r="J159" i="10" s="1"/>
  <c r="E7" i="8" l="1"/>
  <c r="E8" i="8"/>
  <c r="E7" i="7"/>
  <c r="G7" i="7" s="1"/>
  <c r="E7" i="3" l="1"/>
  <c r="E129" i="30"/>
  <c r="E130" i="30"/>
  <c r="E131" i="30"/>
  <c r="E132" i="30"/>
  <c r="E133" i="30"/>
  <c r="E134" i="30"/>
  <c r="E8" i="30"/>
  <c r="E9" i="30"/>
  <c r="E10" i="30"/>
  <c r="E11" i="30"/>
  <c r="E12" i="30"/>
  <c r="E41" i="27" l="1"/>
  <c r="E151" i="25"/>
  <c r="E112" i="23"/>
  <c r="E113" i="23"/>
  <c r="E114" i="23"/>
  <c r="E115" i="23"/>
  <c r="E123" i="23"/>
  <c r="E36" i="20"/>
  <c r="E37" i="20"/>
  <c r="E38" i="20"/>
  <c r="E39" i="20"/>
  <c r="E40" i="20"/>
  <c r="E41" i="20"/>
  <c r="E42" i="20"/>
  <c r="E43" i="20"/>
  <c r="E44" i="20"/>
  <c r="E45" i="20"/>
  <c r="E46" i="20"/>
  <c r="E118" i="20"/>
  <c r="E113" i="20"/>
  <c r="E114" i="20"/>
  <c r="E115" i="20"/>
  <c r="E116" i="20"/>
  <c r="E117" i="20"/>
  <c r="E119" i="20"/>
  <c r="E120" i="20"/>
  <c r="E121" i="20"/>
  <c r="E122" i="20"/>
  <c r="E123" i="20"/>
  <c r="E168" i="19"/>
  <c r="E167" i="19"/>
  <c r="E166" i="19"/>
  <c r="E165" i="19"/>
  <c r="E164" i="19"/>
  <c r="E163" i="19"/>
  <c r="E162" i="19"/>
  <c r="E83" i="19"/>
  <c r="E84" i="19"/>
  <c r="E85" i="19"/>
  <c r="E86" i="19"/>
  <c r="E87" i="19"/>
  <c r="E88" i="19"/>
  <c r="E89" i="19"/>
  <c r="E90" i="19"/>
  <c r="E91" i="19"/>
  <c r="E92" i="19"/>
  <c r="E83" i="18"/>
  <c r="E84" i="18"/>
  <c r="E85" i="18"/>
  <c r="E86" i="18"/>
  <c r="E87" i="18"/>
  <c r="E88" i="18"/>
  <c r="E89" i="18"/>
  <c r="E90" i="18"/>
  <c r="E91" i="18"/>
  <c r="E92" i="18"/>
  <c r="E50" i="18"/>
  <c r="E51" i="18"/>
  <c r="E52" i="18"/>
  <c r="E53" i="18"/>
  <c r="E54" i="18"/>
  <c r="E55" i="18"/>
  <c r="E56" i="18"/>
  <c r="E57" i="18"/>
  <c r="E58" i="18"/>
  <c r="E36" i="18"/>
  <c r="E37" i="18"/>
  <c r="E38" i="18"/>
  <c r="E39" i="18"/>
  <c r="E40" i="18"/>
  <c r="E41" i="18"/>
  <c r="E42" i="18"/>
  <c r="E43" i="18"/>
  <c r="E44" i="18"/>
  <c r="E45" i="18"/>
  <c r="E46" i="18"/>
  <c r="E11" i="18"/>
  <c r="E12" i="18"/>
  <c r="E50" i="17"/>
  <c r="E51" i="17"/>
  <c r="E52" i="17"/>
  <c r="E53" i="17"/>
  <c r="E54" i="17"/>
  <c r="E55" i="17"/>
  <c r="E56" i="17"/>
  <c r="E57" i="17"/>
  <c r="E58" i="17"/>
  <c r="E36" i="17"/>
  <c r="E37" i="17"/>
  <c r="E38" i="17"/>
  <c r="E39" i="17"/>
  <c r="E40" i="17"/>
  <c r="E41" i="17"/>
  <c r="E42" i="17"/>
  <c r="E43" i="17"/>
  <c r="E44" i="17"/>
  <c r="E45" i="17"/>
  <c r="E46" i="17"/>
  <c r="E113" i="17"/>
  <c r="E114" i="17"/>
  <c r="E116" i="17"/>
  <c r="E117" i="17"/>
  <c r="E118" i="17"/>
  <c r="E119" i="17"/>
  <c r="E120" i="17"/>
  <c r="E121" i="17"/>
  <c r="E122" i="17"/>
  <c r="E123" i="17"/>
  <c r="E178" i="12"/>
  <c r="E158" i="12"/>
  <c r="E157" i="12"/>
  <c r="E158" i="11" l="1"/>
  <c r="G158" i="11" s="1"/>
  <c r="E157" i="11"/>
  <c r="G157" i="11" s="1"/>
  <c r="E158" i="10"/>
  <c r="E157" i="10"/>
  <c r="E118" i="10"/>
  <c r="E50" i="10"/>
  <c r="E51" i="10"/>
  <c r="E52" i="10"/>
  <c r="E53" i="10"/>
  <c r="E54" i="10"/>
  <c r="E55" i="10"/>
  <c r="E56" i="10"/>
  <c r="E57" i="10"/>
  <c r="E58" i="10"/>
  <c r="E49" i="10"/>
  <c r="E36" i="10"/>
  <c r="E37" i="10"/>
  <c r="E38" i="10"/>
  <c r="E39" i="10"/>
  <c r="E40" i="10"/>
  <c r="E41" i="10"/>
  <c r="E42" i="10"/>
  <c r="E43" i="10"/>
  <c r="E44" i="10"/>
  <c r="E45" i="10"/>
  <c r="E46" i="10"/>
  <c r="E35" i="10"/>
  <c r="E8" i="10"/>
  <c r="G8" i="10" s="1"/>
  <c r="N9" i="10" l="1"/>
  <c r="E3" i="48"/>
  <c r="E4" i="48"/>
  <c r="E5" i="48"/>
  <c r="E6" i="48"/>
  <c r="E7" i="48"/>
  <c r="E8" i="48"/>
  <c r="E9" i="48"/>
  <c r="E10" i="48"/>
  <c r="E11" i="48"/>
  <c r="E12" i="48"/>
  <c r="E13" i="48"/>
  <c r="E14" i="48"/>
  <c r="E15" i="48"/>
  <c r="E16" i="48"/>
  <c r="E17" i="48"/>
  <c r="E18" i="48"/>
  <c r="E19" i="48"/>
  <c r="E20" i="48"/>
  <c r="E21" i="48"/>
  <c r="E22" i="48"/>
  <c r="E23" i="48"/>
  <c r="E24" i="48"/>
  <c r="E25" i="48"/>
  <c r="E26" i="48"/>
  <c r="E27" i="48"/>
  <c r="E28" i="48"/>
  <c r="E29" i="48"/>
  <c r="E30" i="48"/>
  <c r="E31" i="48"/>
  <c r="E32" i="48"/>
  <c r="E2" i="48"/>
  <c r="E157" i="8" l="1"/>
  <c r="G157" i="8" s="1"/>
  <c r="E158" i="8"/>
  <c r="G158" i="8" s="1"/>
  <c r="E157" i="9"/>
  <c r="G157" i="9" s="1"/>
  <c r="E158" i="9"/>
  <c r="G158" i="9" s="1"/>
  <c r="G7" i="29" l="1"/>
  <c r="E157" i="7"/>
  <c r="G157" i="7" s="1"/>
  <c r="E158" i="7"/>
  <c r="G158" i="7" s="1"/>
  <c r="E113" i="5"/>
  <c r="E114" i="5"/>
  <c r="E115" i="5"/>
  <c r="E116" i="5"/>
  <c r="E117" i="5"/>
  <c r="E118" i="5"/>
  <c r="E119" i="5"/>
  <c r="E120" i="5"/>
  <c r="E121" i="5"/>
  <c r="E122" i="5"/>
  <c r="E123" i="5"/>
  <c r="E50" i="5"/>
  <c r="E51" i="5"/>
  <c r="E52" i="5"/>
  <c r="E53" i="5"/>
  <c r="E54" i="5"/>
  <c r="E55" i="5"/>
  <c r="E56" i="5"/>
  <c r="E57" i="5"/>
  <c r="E58" i="5"/>
  <c r="E36" i="5"/>
  <c r="E37" i="5"/>
  <c r="E38" i="5"/>
  <c r="E39" i="5"/>
  <c r="E40" i="5"/>
  <c r="E41" i="5"/>
  <c r="E42" i="5"/>
  <c r="E43" i="5"/>
  <c r="E44" i="5"/>
  <c r="E45" i="5"/>
  <c r="E46" i="5"/>
  <c r="E9" i="5"/>
  <c r="E10" i="5"/>
  <c r="E11" i="5"/>
  <c r="E12" i="5"/>
  <c r="E156" i="43"/>
  <c r="E157" i="43"/>
  <c r="E158" i="43"/>
  <c r="E152" i="43"/>
  <c r="E132" i="43"/>
  <c r="E68" i="43"/>
  <c r="E56" i="43"/>
  <c r="E139" i="30"/>
  <c r="E140" i="30"/>
  <c r="E141" i="30"/>
  <c r="E142" i="30"/>
  <c r="E143" i="30"/>
  <c r="E144" i="30"/>
  <c r="E145" i="30"/>
  <c r="E146" i="30"/>
  <c r="E147" i="30"/>
  <c r="E148" i="30"/>
  <c r="E149" i="30"/>
  <c r="E150" i="30"/>
  <c r="E151" i="30"/>
  <c r="E152" i="30"/>
  <c r="E113" i="30"/>
  <c r="E114" i="30"/>
  <c r="E115" i="30"/>
  <c r="E116" i="30"/>
  <c r="E117" i="30"/>
  <c r="E118" i="30"/>
  <c r="E119" i="30"/>
  <c r="E120" i="30"/>
  <c r="E121" i="30"/>
  <c r="E122" i="30"/>
  <c r="E123" i="30"/>
  <c r="E112" i="30"/>
  <c r="E116" i="29"/>
  <c r="E117" i="29"/>
  <c r="E118" i="29"/>
  <c r="E119" i="29"/>
  <c r="E120" i="29"/>
  <c r="E121" i="29"/>
  <c r="E122" i="29"/>
  <c r="E19" i="28"/>
  <c r="E11" i="28"/>
  <c r="E12" i="28"/>
  <c r="E50" i="27"/>
  <c r="E51" i="27"/>
  <c r="E52" i="27"/>
  <c r="E53" i="27"/>
  <c r="E54" i="27"/>
  <c r="E55" i="27"/>
  <c r="E56" i="27"/>
  <c r="E57" i="27"/>
  <c r="E58" i="27"/>
  <c r="E139" i="27"/>
  <c r="E140" i="27"/>
  <c r="E141" i="27"/>
  <c r="E142" i="27"/>
  <c r="E143" i="27"/>
  <c r="E144" i="27"/>
  <c r="E145" i="27"/>
  <c r="E146" i="27"/>
  <c r="E147" i="27"/>
  <c r="E148" i="27"/>
  <c r="E149" i="27"/>
  <c r="E150" i="27"/>
  <c r="E151" i="27"/>
  <c r="E152" i="27"/>
  <c r="E66" i="27"/>
  <c r="E67" i="27"/>
  <c r="E69" i="27"/>
  <c r="E70" i="27"/>
  <c r="G152" i="30" l="1"/>
  <c r="G159" i="12" l="1"/>
  <c r="H159" i="12" s="1"/>
  <c r="J159" i="12" s="1"/>
  <c r="G157" i="12"/>
  <c r="G158" i="12"/>
  <c r="E36" i="11" l="1"/>
  <c r="E37" i="11"/>
  <c r="E38" i="11"/>
  <c r="E39" i="11"/>
  <c r="E40" i="11"/>
  <c r="E41" i="11"/>
  <c r="E42" i="11"/>
  <c r="E43" i="11"/>
  <c r="E44" i="11"/>
  <c r="E45" i="11"/>
  <c r="E46" i="11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13" i="10"/>
  <c r="E114" i="10"/>
  <c r="E115" i="10"/>
  <c r="E116" i="10"/>
  <c r="E117" i="10"/>
  <c r="E119" i="10"/>
  <c r="E120" i="10"/>
  <c r="E121" i="10"/>
  <c r="E122" i="10"/>
  <c r="E123" i="10"/>
  <c r="E75" i="9"/>
  <c r="E76" i="9"/>
  <c r="E77" i="9"/>
  <c r="E78" i="9"/>
  <c r="E85" i="5"/>
  <c r="E85" i="33"/>
  <c r="E90" i="3" l="1"/>
  <c r="E90" i="4"/>
  <c r="E40" i="4"/>
  <c r="G91" i="2"/>
  <c r="E40" i="3"/>
  <c r="E157" i="29" l="1"/>
  <c r="E158" i="29"/>
  <c r="E66" i="40" l="1"/>
  <c r="E67" i="40"/>
  <c r="E68" i="40"/>
  <c r="G68" i="40" s="1"/>
  <c r="E69" i="40"/>
  <c r="E70" i="40"/>
  <c r="E50" i="22"/>
  <c r="E50" i="12"/>
  <c r="E51" i="12"/>
  <c r="E52" i="12"/>
  <c r="E53" i="12"/>
  <c r="E55" i="12"/>
  <c r="E56" i="12"/>
  <c r="E57" i="12"/>
  <c r="E58" i="12"/>
  <c r="E50" i="11" l="1"/>
  <c r="E51" i="11"/>
  <c r="E52" i="11"/>
  <c r="E53" i="11"/>
  <c r="E54" i="11"/>
  <c r="E55" i="11"/>
  <c r="E56" i="11"/>
  <c r="E57" i="11"/>
  <c r="E5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29" i="11"/>
  <c r="E130" i="11"/>
  <c r="E131" i="11"/>
  <c r="E132" i="11"/>
  <c r="E133" i="11"/>
  <c r="E134" i="11"/>
  <c r="E156" i="10"/>
  <c r="G156" i="10" s="1"/>
  <c r="G157" i="10"/>
  <c r="G158" i="10"/>
  <c r="E9" i="10"/>
  <c r="E10" i="10"/>
  <c r="E11" i="10"/>
  <c r="E12" i="10"/>
  <c r="E113" i="9"/>
  <c r="E114" i="9"/>
  <c r="E115" i="9"/>
  <c r="E116" i="9"/>
  <c r="E117" i="9"/>
  <c r="E118" i="9"/>
  <c r="E119" i="9"/>
  <c r="E120" i="9"/>
  <c r="E121" i="9"/>
  <c r="E122" i="9"/>
  <c r="E123" i="9"/>
  <c r="E42" i="4"/>
  <c r="O86" i="3"/>
  <c r="G157" i="43" l="1"/>
  <c r="G158" i="43"/>
  <c r="G112" i="30" l="1"/>
  <c r="E66" i="28" l="1"/>
  <c r="E67" i="28"/>
  <c r="E68" i="28"/>
  <c r="E69" i="28"/>
  <c r="E70" i="28"/>
  <c r="E11" i="27" l="1"/>
  <c r="E12" i="27"/>
  <c r="E156" i="40"/>
  <c r="E157" i="40"/>
  <c r="E158" i="40"/>
  <c r="E129" i="25"/>
  <c r="E130" i="25"/>
  <c r="E131" i="25"/>
  <c r="E132" i="25"/>
  <c r="E133" i="25"/>
  <c r="E134" i="25"/>
  <c r="E36" i="40"/>
  <c r="E37" i="40"/>
  <c r="E38" i="40"/>
  <c r="E39" i="40"/>
  <c r="E40" i="40"/>
  <c r="E41" i="40"/>
  <c r="E42" i="40"/>
  <c r="E43" i="40"/>
  <c r="E44" i="40"/>
  <c r="E45" i="40"/>
  <c r="E46" i="40"/>
  <c r="E11" i="40"/>
  <c r="E12" i="40"/>
  <c r="E156" i="25"/>
  <c r="E157" i="25"/>
  <c r="E158" i="25"/>
  <c r="E157" i="23"/>
  <c r="G157" i="23" s="1"/>
  <c r="E158" i="23"/>
  <c r="G158" i="23" s="1"/>
  <c r="E132" i="22"/>
  <c r="E149" i="20" l="1"/>
  <c r="G9" i="50"/>
  <c r="E12" i="19"/>
  <c r="E11" i="19"/>
  <c r="G11" i="19" l="1"/>
  <c r="E132" i="18"/>
  <c r="E158" i="19"/>
  <c r="G158" i="19" s="1"/>
  <c r="E157" i="16" l="1"/>
  <c r="E158" i="16"/>
  <c r="E150" i="16"/>
  <c r="G157" i="15" l="1"/>
  <c r="G158" i="15"/>
  <c r="G157" i="14" l="1"/>
  <c r="G158" i="14"/>
  <c r="G158" i="13" l="1"/>
  <c r="G157" i="13"/>
  <c r="E36" i="12" l="1"/>
  <c r="E37" i="12"/>
  <c r="E38" i="12"/>
  <c r="E39" i="12"/>
  <c r="E40" i="12"/>
  <c r="E41" i="12"/>
  <c r="E42" i="12"/>
  <c r="E43" i="12"/>
  <c r="E44" i="12"/>
  <c r="E45" i="12"/>
  <c r="E46" i="12"/>
  <c r="J159" i="33"/>
  <c r="E156" i="33"/>
  <c r="E157" i="33"/>
  <c r="G157" i="33" s="1"/>
  <c r="E158" i="33"/>
  <c r="G158" i="33" s="1"/>
  <c r="E157" i="5"/>
  <c r="G157" i="5" s="1"/>
  <c r="E158" i="5"/>
  <c r="G158" i="5" s="1"/>
  <c r="E156" i="4"/>
  <c r="G156" i="4" s="1"/>
  <c r="E157" i="4"/>
  <c r="G157" i="4" s="1"/>
  <c r="E158" i="4"/>
  <c r="G158" i="4" s="1"/>
  <c r="G158" i="3"/>
  <c r="E156" i="3"/>
  <c r="E157" i="3"/>
  <c r="G157" i="3" s="1"/>
  <c r="E161" i="3"/>
  <c r="G164" i="2"/>
  <c r="G158" i="2"/>
  <c r="H158" i="2" s="1"/>
  <c r="G157" i="2"/>
  <c r="H157" i="2" s="1"/>
  <c r="H157" i="3" l="1"/>
  <c r="H157" i="4" s="1"/>
  <c r="H157" i="5" s="1"/>
  <c r="H158" i="3"/>
  <c r="H158" i="4" s="1"/>
  <c r="H158" i="5" s="1"/>
  <c r="J158" i="5" s="1"/>
  <c r="G156" i="31"/>
  <c r="G157" i="31"/>
  <c r="G158" i="31"/>
  <c r="E139" i="43"/>
  <c r="E140" i="43"/>
  <c r="E141" i="43"/>
  <c r="E142" i="43"/>
  <c r="E143" i="43"/>
  <c r="E144" i="43"/>
  <c r="E145" i="43"/>
  <c r="E146" i="43"/>
  <c r="E147" i="43"/>
  <c r="E148" i="43"/>
  <c r="E150" i="43"/>
  <c r="E151" i="43"/>
  <c r="E36" i="43"/>
  <c r="E37" i="43"/>
  <c r="E38" i="43"/>
  <c r="E39" i="43"/>
  <c r="E40" i="43"/>
  <c r="E41" i="43"/>
  <c r="E42" i="43"/>
  <c r="E43" i="43"/>
  <c r="E44" i="43"/>
  <c r="E45" i="43"/>
  <c r="E46" i="43"/>
  <c r="J157" i="5" l="1"/>
  <c r="H157" i="33"/>
  <c r="J157" i="33" s="1"/>
  <c r="H158" i="33"/>
  <c r="J158" i="33" s="1"/>
  <c r="E157" i="30"/>
  <c r="G157" i="30" s="1"/>
  <c r="H157" i="30" s="1"/>
  <c r="E158" i="30"/>
  <c r="G158" i="30" s="1"/>
  <c r="H158" i="30" s="1"/>
  <c r="G157" i="29"/>
  <c r="G158" i="29"/>
  <c r="G157" i="24"/>
  <c r="G158" i="24"/>
  <c r="E156" i="28"/>
  <c r="G156" i="28" s="1"/>
  <c r="E157" i="28"/>
  <c r="G157" i="28" s="1"/>
  <c r="E158" i="28"/>
  <c r="G158" i="28" s="1"/>
  <c r="E36" i="28"/>
  <c r="E37" i="28"/>
  <c r="E38" i="28"/>
  <c r="E39" i="28"/>
  <c r="E40" i="28"/>
  <c r="E41" i="28"/>
  <c r="E42" i="28"/>
  <c r="E43" i="28"/>
  <c r="E44" i="28"/>
  <c r="E45" i="28"/>
  <c r="E46" i="28"/>
  <c r="G157" i="40"/>
  <c r="G158" i="40"/>
  <c r="E156" i="27"/>
  <c r="G156" i="27" s="1"/>
  <c r="E157" i="27"/>
  <c r="G157" i="27" s="1"/>
  <c r="E158" i="27"/>
  <c r="G158" i="27" s="1"/>
  <c r="E139" i="40"/>
  <c r="E140" i="40"/>
  <c r="E141" i="40"/>
  <c r="E142" i="40"/>
  <c r="E143" i="40"/>
  <c r="E144" i="40"/>
  <c r="E145" i="40"/>
  <c r="E146" i="40"/>
  <c r="E147" i="40"/>
  <c r="E148" i="40"/>
  <c r="E149" i="40"/>
  <c r="E150" i="40"/>
  <c r="E151" i="40"/>
  <c r="E152" i="40"/>
  <c r="G158" i="25"/>
  <c r="G157" i="25"/>
  <c r="G156" i="25"/>
  <c r="E75" i="25"/>
  <c r="E76" i="25"/>
  <c r="E77" i="25"/>
  <c r="E78" i="25"/>
  <c r="E134" i="22"/>
  <c r="E157" i="22"/>
  <c r="G157" i="22" s="1"/>
  <c r="E158" i="22"/>
  <c r="G158" i="22" s="1"/>
  <c r="G157" i="21"/>
  <c r="H157" i="21" s="1"/>
  <c r="J157" i="21" s="1"/>
  <c r="G158" i="21"/>
  <c r="H158" i="21" s="1"/>
  <c r="J158" i="21" s="1"/>
  <c r="E156" i="20"/>
  <c r="G156" i="20" s="1"/>
  <c r="E157" i="20"/>
  <c r="G157" i="20" s="1"/>
  <c r="E158" i="20"/>
  <c r="G158" i="20" s="1"/>
  <c r="E156" i="19"/>
  <c r="G156" i="19" s="1"/>
  <c r="E157" i="19"/>
  <c r="G157" i="19" s="1"/>
  <c r="E157" i="18"/>
  <c r="G157" i="18" s="1"/>
  <c r="E158" i="18"/>
  <c r="G158" i="18" s="1"/>
  <c r="E156" i="17"/>
  <c r="E157" i="17"/>
  <c r="G157" i="17" s="1"/>
  <c r="E158" i="17"/>
  <c r="G158" i="17" s="1"/>
  <c r="H157" i="7" l="1"/>
  <c r="H157" i="8" s="1"/>
  <c r="H158" i="7"/>
  <c r="J158" i="7" s="1"/>
  <c r="H158" i="43"/>
  <c r="J158" i="30"/>
  <c r="H157" i="43"/>
  <c r="J157" i="30"/>
  <c r="H158" i="22"/>
  <c r="H157" i="22"/>
  <c r="G158" i="16"/>
  <c r="G157" i="16"/>
  <c r="G15" i="15"/>
  <c r="J157" i="7" l="1"/>
  <c r="H158" i="8"/>
  <c r="J158" i="8" s="1"/>
  <c r="J157" i="8"/>
  <c r="H157" i="9"/>
  <c r="J157" i="43"/>
  <c r="H157" i="31"/>
  <c r="J158" i="43"/>
  <c r="H158" i="31"/>
  <c r="J157" i="22"/>
  <c r="H157" i="23"/>
  <c r="J158" i="22"/>
  <c r="H158" i="2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29" i="13"/>
  <c r="E130" i="13"/>
  <c r="E131" i="13"/>
  <c r="E132" i="13"/>
  <c r="E133" i="13"/>
  <c r="E51" i="13"/>
  <c r="E52" i="13"/>
  <c r="E53" i="13"/>
  <c r="E54" i="13"/>
  <c r="E55" i="13"/>
  <c r="E56" i="13"/>
  <c r="E57" i="13"/>
  <c r="E58" i="13"/>
  <c r="E36" i="13"/>
  <c r="E37" i="13"/>
  <c r="E38" i="13"/>
  <c r="E39" i="13"/>
  <c r="E40" i="13"/>
  <c r="E41" i="13"/>
  <c r="E42" i="13"/>
  <c r="E44" i="13"/>
  <c r="E45" i="13"/>
  <c r="E46" i="13"/>
  <c r="E11" i="13"/>
  <c r="E12" i="13"/>
  <c r="E129" i="12"/>
  <c r="E130" i="12"/>
  <c r="E131" i="12"/>
  <c r="E132" i="12"/>
  <c r="E133" i="12"/>
  <c r="E134" i="12"/>
  <c r="J157" i="9" l="1"/>
  <c r="H157" i="10"/>
  <c r="H158" i="9"/>
  <c r="J158" i="23"/>
  <c r="H158" i="24"/>
  <c r="J157" i="23"/>
  <c r="H157" i="24"/>
  <c r="E121" i="33"/>
  <c r="E49" i="33"/>
  <c r="E134" i="4"/>
  <c r="G190" i="2"/>
  <c r="I7" i="30"/>
  <c r="E35" i="24"/>
  <c r="G130" i="23"/>
  <c r="E120" i="23"/>
  <c r="E63" i="23"/>
  <c r="E49" i="23"/>
  <c r="E178" i="21"/>
  <c r="K191" i="18"/>
  <c r="E145" i="18"/>
  <c r="E146" i="18"/>
  <c r="E114" i="18"/>
  <c r="H191" i="17"/>
  <c r="I191" i="17" s="1"/>
  <c r="K191" i="17" s="1"/>
  <c r="J158" i="9" l="1"/>
  <c r="H158" i="10"/>
  <c r="J157" i="10"/>
  <c r="H157" i="11"/>
  <c r="J157" i="24"/>
  <c r="H157" i="25"/>
  <c r="H157" i="40" s="1"/>
  <c r="H157" i="27" s="1"/>
  <c r="J158" i="24"/>
  <c r="H158" i="25"/>
  <c r="H158" i="40" s="1"/>
  <c r="H158" i="27" s="1"/>
  <c r="K190" i="20"/>
  <c r="K190" i="19"/>
  <c r="J157" i="11" l="1"/>
  <c r="H157" i="12"/>
  <c r="J158" i="10"/>
  <c r="H158" i="11"/>
  <c r="H158" i="28"/>
  <c r="J158" i="28" s="1"/>
  <c r="J158" i="27"/>
  <c r="H157" i="28"/>
  <c r="J157" i="28" s="1"/>
  <c r="J157" i="27"/>
  <c r="E134" i="10"/>
  <c r="J158" i="11" l="1"/>
  <c r="H158" i="12"/>
  <c r="J157" i="12"/>
  <c r="H157" i="13"/>
  <c r="E146" i="33"/>
  <c r="E155" i="5"/>
  <c r="E149" i="4"/>
  <c r="E150" i="4"/>
  <c r="E151" i="4"/>
  <c r="E152" i="4"/>
  <c r="E69" i="3"/>
  <c r="E155" i="3"/>
  <c r="G134" i="2"/>
  <c r="G37" i="2"/>
  <c r="G18" i="2"/>
  <c r="E31" i="2" s="1"/>
  <c r="J157" i="13" l="1"/>
  <c r="H157" i="14"/>
  <c r="J158" i="12"/>
  <c r="H158" i="13"/>
  <c r="G90" i="31"/>
  <c r="I90" i="31" s="1"/>
  <c r="B30" i="48"/>
  <c r="H30" i="48"/>
  <c r="B22" i="48"/>
  <c r="G56" i="23"/>
  <c r="E155" i="23"/>
  <c r="J158" i="13" l="1"/>
  <c r="H158" i="14"/>
  <c r="J157" i="14"/>
  <c r="H157" i="15"/>
  <c r="E39" i="22"/>
  <c r="E113" i="22"/>
  <c r="E114" i="22"/>
  <c r="E115" i="22"/>
  <c r="E116" i="22"/>
  <c r="E117" i="22"/>
  <c r="E118" i="22"/>
  <c r="E119" i="22"/>
  <c r="E120" i="22"/>
  <c r="E121" i="22"/>
  <c r="E122" i="22"/>
  <c r="E123" i="22"/>
  <c r="E184" i="20"/>
  <c r="E185" i="20"/>
  <c r="E183" i="20"/>
  <c r="E179" i="20"/>
  <c r="E180" i="20"/>
  <c r="E178" i="20"/>
  <c r="E174" i="20"/>
  <c r="E175" i="20"/>
  <c r="E173" i="20"/>
  <c r="E162" i="20"/>
  <c r="E163" i="20"/>
  <c r="E164" i="20"/>
  <c r="E165" i="20"/>
  <c r="E161" i="20"/>
  <c r="E155" i="20"/>
  <c r="E152" i="20"/>
  <c r="E139" i="20"/>
  <c r="E140" i="20"/>
  <c r="E141" i="20"/>
  <c r="E142" i="20"/>
  <c r="E143" i="20"/>
  <c r="E144" i="20"/>
  <c r="E145" i="20"/>
  <c r="E146" i="20"/>
  <c r="E147" i="20"/>
  <c r="E148" i="20"/>
  <c r="E150" i="20"/>
  <c r="E151" i="20"/>
  <c r="E138" i="20"/>
  <c r="E134" i="20"/>
  <c r="E129" i="20"/>
  <c r="E130" i="20"/>
  <c r="E131" i="20"/>
  <c r="E132" i="20"/>
  <c r="E133" i="20"/>
  <c r="E128" i="20"/>
  <c r="E124" i="20"/>
  <c r="E112" i="20"/>
  <c r="E83" i="20"/>
  <c r="E84" i="20"/>
  <c r="E85" i="20"/>
  <c r="E86" i="20"/>
  <c r="E87" i="20"/>
  <c r="E88" i="20"/>
  <c r="E89" i="20"/>
  <c r="E90" i="20"/>
  <c r="E91" i="20"/>
  <c r="E92" i="20"/>
  <c r="E82" i="20"/>
  <c r="E75" i="20"/>
  <c r="E76" i="20"/>
  <c r="E77" i="20"/>
  <c r="E78" i="20"/>
  <c r="E79" i="20"/>
  <c r="E74" i="20"/>
  <c r="E63" i="20"/>
  <c r="E64" i="20"/>
  <c r="E65" i="20"/>
  <c r="E66" i="20"/>
  <c r="E67" i="20"/>
  <c r="E68" i="20"/>
  <c r="E69" i="20"/>
  <c r="E70" i="20"/>
  <c r="E71" i="20"/>
  <c r="E62" i="20"/>
  <c r="E50" i="20"/>
  <c r="E51" i="20"/>
  <c r="E52" i="20"/>
  <c r="E53" i="20"/>
  <c r="E54" i="20"/>
  <c r="E55" i="20"/>
  <c r="E56" i="20"/>
  <c r="E58" i="20"/>
  <c r="E49" i="20"/>
  <c r="E35" i="20"/>
  <c r="E23" i="20"/>
  <c r="E24" i="20"/>
  <c r="E22" i="20"/>
  <c r="J158" i="14" l="1"/>
  <c r="H158" i="15"/>
  <c r="J157" i="15"/>
  <c r="H157" i="16"/>
  <c r="E84" i="17"/>
  <c r="E134" i="16"/>
  <c r="J188" i="15"/>
  <c r="AH4" i="45"/>
  <c r="AG4" i="45"/>
  <c r="AF4" i="45"/>
  <c r="AE4" i="45"/>
  <c r="AD4" i="45"/>
  <c r="AC4" i="45"/>
  <c r="AB4" i="45"/>
  <c r="AA4" i="45"/>
  <c r="Z4" i="45"/>
  <c r="Y4" i="45"/>
  <c r="X4" i="45"/>
  <c r="W4" i="45"/>
  <c r="V4" i="45"/>
  <c r="U4" i="45"/>
  <c r="T4" i="45"/>
  <c r="S4" i="45"/>
  <c r="R4" i="45"/>
  <c r="Q4" i="45"/>
  <c r="P4" i="45"/>
  <c r="O4" i="45"/>
  <c r="N4" i="45"/>
  <c r="L4" i="45"/>
  <c r="I4" i="45"/>
  <c r="G4" i="45"/>
  <c r="F4" i="45"/>
  <c r="Q4" i="48"/>
  <c r="J157" i="16" l="1"/>
  <c r="H157" i="17"/>
  <c r="J158" i="15"/>
  <c r="H158" i="16"/>
  <c r="E92" i="9"/>
  <c r="G2" i="48"/>
  <c r="E155" i="4"/>
  <c r="J158" i="16" l="1"/>
  <c r="H158" i="17"/>
  <c r="J157" i="17"/>
  <c r="H157" i="18"/>
  <c r="O11" i="2"/>
  <c r="J157" i="18" l="1"/>
  <c r="H157" i="19"/>
  <c r="J157" i="19" s="1"/>
  <c r="H158" i="18"/>
  <c r="J158" i="17"/>
  <c r="E79" i="25"/>
  <c r="G155" i="31"/>
  <c r="G156" i="43"/>
  <c r="E155" i="43"/>
  <c r="G155" i="43" s="1"/>
  <c r="E156" i="30"/>
  <c r="G156" i="30" s="1"/>
  <c r="E155" i="30"/>
  <c r="G155" i="30" s="1"/>
  <c r="E156" i="29"/>
  <c r="G156" i="29" s="1"/>
  <c r="E155" i="29"/>
  <c r="G155" i="29" s="1"/>
  <c r="E155" i="28"/>
  <c r="G155" i="28" s="1"/>
  <c r="E155" i="27"/>
  <c r="G155" i="27" s="1"/>
  <c r="G156" i="40"/>
  <c r="E155" i="40"/>
  <c r="G155" i="40" s="1"/>
  <c r="E155" i="25"/>
  <c r="G155" i="25" s="1"/>
  <c r="G156" i="24"/>
  <c r="E155" i="24"/>
  <c r="G155" i="24" s="1"/>
  <c r="E156" i="23"/>
  <c r="G156" i="23" s="1"/>
  <c r="G155" i="23"/>
  <c r="E156" i="22"/>
  <c r="G156" i="22" s="1"/>
  <c r="E155" i="22"/>
  <c r="G155" i="22" s="1"/>
  <c r="G156" i="21"/>
  <c r="E155" i="21"/>
  <c r="G155" i="21" s="1"/>
  <c r="E155" i="19"/>
  <c r="G155" i="19" s="1"/>
  <c r="E156" i="18"/>
  <c r="G156" i="18" s="1"/>
  <c r="E155" i="18"/>
  <c r="G155" i="18" s="1"/>
  <c r="G156" i="17"/>
  <c r="E155" i="17"/>
  <c r="G155" i="17" s="1"/>
  <c r="E156" i="16"/>
  <c r="G156" i="16" s="1"/>
  <c r="E155" i="16"/>
  <c r="G155" i="16" s="1"/>
  <c r="G156" i="15"/>
  <c r="G155" i="15"/>
  <c r="G156" i="14"/>
  <c r="G155" i="14"/>
  <c r="E156" i="13"/>
  <c r="G156" i="13" s="1"/>
  <c r="E155" i="13"/>
  <c r="G155" i="13" s="1"/>
  <c r="E156" i="12"/>
  <c r="G156" i="12" s="1"/>
  <c r="E155" i="12"/>
  <c r="G155" i="12" s="1"/>
  <c r="E156" i="11"/>
  <c r="G156" i="11" s="1"/>
  <c r="E155" i="11"/>
  <c r="G155" i="11" s="1"/>
  <c r="E155" i="10"/>
  <c r="G155" i="10" s="1"/>
  <c r="E156" i="9"/>
  <c r="G156" i="9" s="1"/>
  <c r="E155" i="9"/>
  <c r="G155" i="9" s="1"/>
  <c r="E156" i="8"/>
  <c r="G156" i="8" s="1"/>
  <c r="E155" i="8"/>
  <c r="G155" i="8" s="1"/>
  <c r="E156" i="7"/>
  <c r="G156" i="7" s="1"/>
  <c r="E155" i="7"/>
  <c r="G155" i="7" s="1"/>
  <c r="G156" i="33"/>
  <c r="E155" i="33"/>
  <c r="G155" i="33" s="1"/>
  <c r="E156" i="5"/>
  <c r="G156" i="5" s="1"/>
  <c r="G155" i="5"/>
  <c r="G155" i="4"/>
  <c r="G156" i="3"/>
  <c r="G155" i="3"/>
  <c r="G156" i="2"/>
  <c r="H156" i="2" s="1"/>
  <c r="J156" i="2" s="1"/>
  <c r="G155" i="2"/>
  <c r="H155" i="2" s="1"/>
  <c r="J155" i="2" s="1"/>
  <c r="J158" i="18" l="1"/>
  <c r="H158" i="19"/>
  <c r="J158" i="19" s="1"/>
  <c r="H155" i="3"/>
  <c r="J155" i="3" s="1"/>
  <c r="H156" i="3"/>
  <c r="J156" i="3" s="1"/>
  <c r="G159" i="14"/>
  <c r="G159" i="13"/>
  <c r="G159" i="16"/>
  <c r="G159" i="15"/>
  <c r="G159" i="17"/>
  <c r="H159" i="17" s="1"/>
  <c r="J159" i="17" s="1"/>
  <c r="G155" i="20"/>
  <c r="V5" i="1"/>
  <c r="G152" i="31"/>
  <c r="G151" i="31"/>
  <c r="Z35" i="44" s="1"/>
  <c r="G150" i="31"/>
  <c r="G149" i="31"/>
  <c r="G148" i="31"/>
  <c r="W35" i="44" s="1"/>
  <c r="G147" i="31"/>
  <c r="V35" i="44" s="1"/>
  <c r="G146" i="31"/>
  <c r="T35" i="44" s="1"/>
  <c r="G145" i="31"/>
  <c r="S35" i="44" s="1"/>
  <c r="G144" i="31"/>
  <c r="U35" i="44" s="1"/>
  <c r="G143" i="31"/>
  <c r="X35" i="44" s="1"/>
  <c r="E134" i="43"/>
  <c r="G134" i="43" s="1"/>
  <c r="G134" i="31"/>
  <c r="G152" i="43"/>
  <c r="G151" i="43"/>
  <c r="Z34" i="44" s="1"/>
  <c r="G150" i="43"/>
  <c r="G149" i="43"/>
  <c r="G148" i="43"/>
  <c r="W34" i="44" s="1"/>
  <c r="G147" i="43"/>
  <c r="V34" i="44" s="1"/>
  <c r="G146" i="43"/>
  <c r="T34" i="44" s="1"/>
  <c r="G145" i="43"/>
  <c r="S34" i="44" s="1"/>
  <c r="G144" i="43"/>
  <c r="U34" i="44" s="1"/>
  <c r="G143" i="43"/>
  <c r="X34" i="44" s="1"/>
  <c r="G151" i="30"/>
  <c r="Z33" i="44" s="1"/>
  <c r="G150" i="30"/>
  <c r="G149" i="30"/>
  <c r="G148" i="30"/>
  <c r="W33" i="44" s="1"/>
  <c r="G147" i="30"/>
  <c r="V33" i="44" s="1"/>
  <c r="G146" i="30"/>
  <c r="T33" i="44" s="1"/>
  <c r="G145" i="30"/>
  <c r="S33" i="44" s="1"/>
  <c r="G144" i="30"/>
  <c r="U33" i="44" s="1"/>
  <c r="G143" i="30"/>
  <c r="X33" i="44" s="1"/>
  <c r="G134" i="30"/>
  <c r="E152" i="29"/>
  <c r="G152" i="29" s="1"/>
  <c r="E151" i="29"/>
  <c r="G151" i="29" s="1"/>
  <c r="Z32" i="44" s="1"/>
  <c r="E150" i="29"/>
  <c r="G150" i="29" s="1"/>
  <c r="E149" i="29"/>
  <c r="G149" i="29" s="1"/>
  <c r="E148" i="29"/>
  <c r="G148" i="29" s="1"/>
  <c r="W32" i="44" s="1"/>
  <c r="G147" i="29"/>
  <c r="V32" i="44" s="1"/>
  <c r="E146" i="29"/>
  <c r="G146" i="29" s="1"/>
  <c r="T32" i="44" s="1"/>
  <c r="E145" i="29"/>
  <c r="G145" i="29" s="1"/>
  <c r="S32" i="44" s="1"/>
  <c r="E144" i="29"/>
  <c r="G144" i="29" s="1"/>
  <c r="U32" i="44" s="1"/>
  <c r="E143" i="29"/>
  <c r="G143" i="29" s="1"/>
  <c r="X32" i="44" s="1"/>
  <c r="E134" i="29"/>
  <c r="G134" i="29" s="1"/>
  <c r="E152" i="28"/>
  <c r="G152" i="28" s="1"/>
  <c r="E151" i="28"/>
  <c r="G151" i="28" s="1"/>
  <c r="Z31" i="44" s="1"/>
  <c r="E150" i="28"/>
  <c r="G150" i="28" s="1"/>
  <c r="E149" i="28"/>
  <c r="G149" i="28" s="1"/>
  <c r="E148" i="28"/>
  <c r="G148" i="28" s="1"/>
  <c r="W31" i="44" s="1"/>
  <c r="E147" i="28"/>
  <c r="G147" i="28" s="1"/>
  <c r="V31" i="44" s="1"/>
  <c r="E146" i="28"/>
  <c r="G146" i="28" s="1"/>
  <c r="T31" i="44" s="1"/>
  <c r="E145" i="28"/>
  <c r="G145" i="28" s="1"/>
  <c r="S31" i="44" s="1"/>
  <c r="E144" i="28"/>
  <c r="G144" i="28" s="1"/>
  <c r="U31" i="44" s="1"/>
  <c r="E143" i="28"/>
  <c r="G143" i="28" s="1"/>
  <c r="X31" i="44" s="1"/>
  <c r="E134" i="28"/>
  <c r="G134" i="28" s="1"/>
  <c r="G152" i="27"/>
  <c r="G151" i="27"/>
  <c r="Z30" i="44" s="1"/>
  <c r="G150" i="27"/>
  <c r="G149" i="27"/>
  <c r="G148" i="27"/>
  <c r="W30" i="44" s="1"/>
  <c r="G147" i="27"/>
  <c r="V30" i="44" s="1"/>
  <c r="G146" i="27"/>
  <c r="T30" i="44" s="1"/>
  <c r="G145" i="27"/>
  <c r="S30" i="44" s="1"/>
  <c r="G144" i="27"/>
  <c r="U30" i="44" s="1"/>
  <c r="G143" i="27"/>
  <c r="X30" i="44" s="1"/>
  <c r="E134" i="27"/>
  <c r="G134" i="27" s="1"/>
  <c r="G152" i="40"/>
  <c r="G151" i="40"/>
  <c r="Z29" i="44" s="1"/>
  <c r="G150" i="40"/>
  <c r="G149" i="40"/>
  <c r="G148" i="40"/>
  <c r="W29" i="44" s="1"/>
  <c r="G147" i="40"/>
  <c r="V29" i="44" s="1"/>
  <c r="G146" i="40"/>
  <c r="T29" i="44" s="1"/>
  <c r="G145" i="40"/>
  <c r="S29" i="44" s="1"/>
  <c r="G144" i="40"/>
  <c r="U29" i="44" s="1"/>
  <c r="G143" i="40"/>
  <c r="X29" i="44" s="1"/>
  <c r="E134" i="40"/>
  <c r="G134" i="40" s="1"/>
  <c r="E152" i="25"/>
  <c r="G152" i="25" s="1"/>
  <c r="G151" i="25"/>
  <c r="Z28" i="44" s="1"/>
  <c r="E150" i="25"/>
  <c r="G150" i="25" s="1"/>
  <c r="E149" i="25"/>
  <c r="G149" i="25" s="1"/>
  <c r="E148" i="25"/>
  <c r="G148" i="25" s="1"/>
  <c r="W28" i="44" s="1"/>
  <c r="E147" i="25"/>
  <c r="G147" i="25" s="1"/>
  <c r="V28" i="44" s="1"/>
  <c r="E146" i="25"/>
  <c r="G146" i="25" s="1"/>
  <c r="T28" i="44" s="1"/>
  <c r="E145" i="25"/>
  <c r="G145" i="25" s="1"/>
  <c r="S28" i="44" s="1"/>
  <c r="E144" i="25"/>
  <c r="G144" i="25" s="1"/>
  <c r="U28" i="44" s="1"/>
  <c r="E143" i="25"/>
  <c r="G143" i="25" s="1"/>
  <c r="X28" i="44" s="1"/>
  <c r="G134" i="25"/>
  <c r="G152" i="24"/>
  <c r="G151" i="24"/>
  <c r="Z27" i="44" s="1"/>
  <c r="G150" i="24"/>
  <c r="G149" i="24"/>
  <c r="G148" i="24"/>
  <c r="W27" i="44" s="1"/>
  <c r="G147" i="24"/>
  <c r="V27" i="44" s="1"/>
  <c r="G146" i="24"/>
  <c r="T27" i="44" s="1"/>
  <c r="G145" i="24"/>
  <c r="S27" i="44" s="1"/>
  <c r="G144" i="24"/>
  <c r="U27" i="44" s="1"/>
  <c r="G143" i="24"/>
  <c r="X27" i="44" s="1"/>
  <c r="G141" i="24"/>
  <c r="Q27" i="44" s="1"/>
  <c r="G142" i="24"/>
  <c r="R27" i="44" s="1"/>
  <c r="G134" i="24"/>
  <c r="H155" i="4" l="1"/>
  <c r="H155" i="5" s="1"/>
  <c r="H155" i="33" s="1"/>
  <c r="J155" i="33" s="1"/>
  <c r="H156" i="4"/>
  <c r="H156" i="5" s="1"/>
  <c r="H156" i="33" s="1"/>
  <c r="J156" i="33" s="1"/>
  <c r="E152" i="23"/>
  <c r="G152" i="23" s="1"/>
  <c r="E151" i="23"/>
  <c r="G151" i="23" s="1"/>
  <c r="Z26" i="44" s="1"/>
  <c r="E150" i="23"/>
  <c r="G150" i="23" s="1"/>
  <c r="E149" i="23"/>
  <c r="G149" i="23" s="1"/>
  <c r="E148" i="23"/>
  <c r="G148" i="23" s="1"/>
  <c r="W26" i="44" s="1"/>
  <c r="E147" i="23"/>
  <c r="G147" i="23" s="1"/>
  <c r="V26" i="44" s="1"/>
  <c r="E146" i="23"/>
  <c r="G146" i="23" s="1"/>
  <c r="T26" i="44" s="1"/>
  <c r="E145" i="23"/>
  <c r="G145" i="23" s="1"/>
  <c r="S26" i="44" s="1"/>
  <c r="E144" i="23"/>
  <c r="G144" i="23" s="1"/>
  <c r="U26" i="44" s="1"/>
  <c r="E143" i="23"/>
  <c r="G143" i="23" s="1"/>
  <c r="X26" i="44" s="1"/>
  <c r="G134" i="22"/>
  <c r="G134" i="23"/>
  <c r="G152" i="22"/>
  <c r="G151" i="22"/>
  <c r="Z25" i="44" s="1"/>
  <c r="G149" i="22"/>
  <c r="G148" i="22"/>
  <c r="W25" i="44" s="1"/>
  <c r="G147" i="22"/>
  <c r="V25" i="44" s="1"/>
  <c r="G146" i="22"/>
  <c r="T25" i="44" s="1"/>
  <c r="G145" i="22"/>
  <c r="S25" i="44" s="1"/>
  <c r="G144" i="22"/>
  <c r="U25" i="44" s="1"/>
  <c r="G143" i="22"/>
  <c r="X25" i="44" s="1"/>
  <c r="G150" i="22"/>
  <c r="G152" i="21"/>
  <c r="G151" i="21"/>
  <c r="Z24" i="44" s="1"/>
  <c r="G150" i="21"/>
  <c r="G149" i="21"/>
  <c r="G148" i="21"/>
  <c r="W24" i="44" s="1"/>
  <c r="G147" i="21"/>
  <c r="V24" i="44" s="1"/>
  <c r="G146" i="21"/>
  <c r="T24" i="44" s="1"/>
  <c r="G145" i="21"/>
  <c r="S24" i="44" s="1"/>
  <c r="G144" i="21"/>
  <c r="U24" i="44" s="1"/>
  <c r="G143" i="21"/>
  <c r="X24" i="44" s="1"/>
  <c r="G134" i="21"/>
  <c r="E152" i="19"/>
  <c r="G152" i="20" s="1"/>
  <c r="E151" i="19"/>
  <c r="G151" i="20" s="1"/>
  <c r="Z23" i="44" s="1"/>
  <c r="E150" i="19"/>
  <c r="G150" i="20" s="1"/>
  <c r="E149" i="19"/>
  <c r="G149" i="20" s="1"/>
  <c r="E148" i="19"/>
  <c r="G148" i="20" s="1"/>
  <c r="W23" i="44" s="1"/>
  <c r="E147" i="19"/>
  <c r="G147" i="20" s="1"/>
  <c r="V23" i="44" s="1"/>
  <c r="E146" i="19"/>
  <c r="G146" i="20" s="1"/>
  <c r="T23" i="44" s="1"/>
  <c r="E145" i="19"/>
  <c r="G145" i="20" s="1"/>
  <c r="S23" i="44" s="1"/>
  <c r="E144" i="19"/>
  <c r="G144" i="20" s="1"/>
  <c r="U23" i="44" s="1"/>
  <c r="E143" i="19"/>
  <c r="G143" i="20" s="1"/>
  <c r="X23" i="44" s="1"/>
  <c r="E134" i="19"/>
  <c r="G134" i="19" s="1"/>
  <c r="E152" i="18"/>
  <c r="G152" i="18" s="1"/>
  <c r="E151" i="18"/>
  <c r="G151" i="18" s="1"/>
  <c r="Z21" i="44" s="1"/>
  <c r="E150" i="18"/>
  <c r="G150" i="18" s="1"/>
  <c r="E149" i="18"/>
  <c r="G149" i="18" s="1"/>
  <c r="E148" i="18"/>
  <c r="G148" i="18" s="1"/>
  <c r="W21" i="44" s="1"/>
  <c r="E147" i="18"/>
  <c r="G147" i="18" s="1"/>
  <c r="V21" i="44" s="1"/>
  <c r="G146" i="18"/>
  <c r="T21" i="44" s="1"/>
  <c r="G145" i="18"/>
  <c r="S21" i="44" s="1"/>
  <c r="E144" i="18"/>
  <c r="G144" i="18" s="1"/>
  <c r="U21" i="44" s="1"/>
  <c r="E143" i="18"/>
  <c r="G143" i="18" s="1"/>
  <c r="X21" i="44" s="1"/>
  <c r="E134" i="18"/>
  <c r="G134" i="18" s="1"/>
  <c r="E152" i="17"/>
  <c r="G152" i="17" s="1"/>
  <c r="E151" i="17"/>
  <c r="G151" i="17" s="1"/>
  <c r="Z20" i="44" s="1"/>
  <c r="E150" i="17"/>
  <c r="E149" i="17"/>
  <c r="G149" i="17" s="1"/>
  <c r="E148" i="17"/>
  <c r="G148" i="17" s="1"/>
  <c r="W20" i="44" s="1"/>
  <c r="E147" i="17"/>
  <c r="G147" i="17" s="1"/>
  <c r="V20" i="44" s="1"/>
  <c r="E146" i="17"/>
  <c r="G146" i="17" s="1"/>
  <c r="T20" i="44" s="1"/>
  <c r="E145" i="17"/>
  <c r="G145" i="17" s="1"/>
  <c r="S20" i="44" s="1"/>
  <c r="E144" i="17"/>
  <c r="G144" i="17" s="1"/>
  <c r="U20" i="44" s="1"/>
  <c r="E143" i="17"/>
  <c r="G143" i="17" s="1"/>
  <c r="X20" i="44" s="1"/>
  <c r="E134" i="17"/>
  <c r="G134" i="17" s="1"/>
  <c r="E152" i="16"/>
  <c r="G152" i="16" s="1"/>
  <c r="E151" i="16"/>
  <c r="G151" i="16" s="1"/>
  <c r="Z19" i="44" s="1"/>
  <c r="G150" i="16"/>
  <c r="E149" i="16"/>
  <c r="G149" i="16" s="1"/>
  <c r="E148" i="16"/>
  <c r="G148" i="16" s="1"/>
  <c r="W19" i="44" s="1"/>
  <c r="E147" i="16"/>
  <c r="G147" i="16" s="1"/>
  <c r="V19" i="44" s="1"/>
  <c r="E146" i="16"/>
  <c r="G146" i="16" s="1"/>
  <c r="T19" i="44" s="1"/>
  <c r="E145" i="16"/>
  <c r="G145" i="16" s="1"/>
  <c r="S19" i="44" s="1"/>
  <c r="E144" i="16"/>
  <c r="G144" i="16" s="1"/>
  <c r="U19" i="44" s="1"/>
  <c r="E143" i="16"/>
  <c r="G143" i="16" s="1"/>
  <c r="X19" i="44" s="1"/>
  <c r="G134" i="16"/>
  <c r="G152" i="15"/>
  <c r="G151" i="15"/>
  <c r="Z18" i="44" s="1"/>
  <c r="G150" i="15"/>
  <c r="G149" i="15"/>
  <c r="G148" i="15"/>
  <c r="W18" i="44" s="1"/>
  <c r="G147" i="15"/>
  <c r="V18" i="44" s="1"/>
  <c r="G146" i="15"/>
  <c r="T18" i="44" s="1"/>
  <c r="G145" i="15"/>
  <c r="S18" i="44" s="1"/>
  <c r="G144" i="15"/>
  <c r="U18" i="44" s="1"/>
  <c r="G143" i="15"/>
  <c r="X18" i="44" s="1"/>
  <c r="E134" i="15"/>
  <c r="G134" i="15" s="1"/>
  <c r="G152" i="14"/>
  <c r="G151" i="14"/>
  <c r="Z17" i="44" s="1"/>
  <c r="G150" i="14"/>
  <c r="G149" i="14"/>
  <c r="G148" i="14"/>
  <c r="W17" i="44" s="1"/>
  <c r="G147" i="14"/>
  <c r="V17" i="44" s="1"/>
  <c r="G146" i="14"/>
  <c r="T17" i="44" s="1"/>
  <c r="G145" i="14"/>
  <c r="S17" i="44" s="1"/>
  <c r="G144" i="14"/>
  <c r="U17" i="44" s="1"/>
  <c r="G143" i="14"/>
  <c r="X17" i="44" s="1"/>
  <c r="G134" i="14"/>
  <c r="G152" i="13"/>
  <c r="G151" i="13"/>
  <c r="Z16" i="44" s="1"/>
  <c r="G150" i="13"/>
  <c r="G149" i="13"/>
  <c r="G148" i="13"/>
  <c r="W16" i="44" s="1"/>
  <c r="G147" i="13"/>
  <c r="V16" i="44" s="1"/>
  <c r="G146" i="13"/>
  <c r="T16" i="44" s="1"/>
  <c r="G145" i="13"/>
  <c r="S16" i="44" s="1"/>
  <c r="G144" i="13"/>
  <c r="U16" i="44" s="1"/>
  <c r="G143" i="13"/>
  <c r="X16" i="44" s="1"/>
  <c r="G134" i="13"/>
  <c r="E152" i="12"/>
  <c r="G152" i="12" s="1"/>
  <c r="E151" i="12"/>
  <c r="G151" i="12" s="1"/>
  <c r="Z15" i="44" s="1"/>
  <c r="E150" i="12"/>
  <c r="G150" i="12" s="1"/>
  <c r="E149" i="12"/>
  <c r="G149" i="12" s="1"/>
  <c r="E148" i="12"/>
  <c r="G148" i="12" s="1"/>
  <c r="W15" i="44" s="1"/>
  <c r="E147" i="12"/>
  <c r="G147" i="12" s="1"/>
  <c r="V15" i="44" s="1"/>
  <c r="E146" i="12"/>
  <c r="G146" i="12" s="1"/>
  <c r="T15" i="44" s="1"/>
  <c r="E145" i="12"/>
  <c r="G145" i="12" s="1"/>
  <c r="S15" i="44" s="1"/>
  <c r="E144" i="12"/>
  <c r="G144" i="12" s="1"/>
  <c r="U15" i="44" s="1"/>
  <c r="E143" i="12"/>
  <c r="G143" i="12" s="1"/>
  <c r="X15" i="44" s="1"/>
  <c r="G134" i="12"/>
  <c r="G152" i="11"/>
  <c r="G151" i="11"/>
  <c r="Z14" i="44" s="1"/>
  <c r="G150" i="11"/>
  <c r="G149" i="11"/>
  <c r="G148" i="11"/>
  <c r="W14" i="44" s="1"/>
  <c r="G147" i="11"/>
  <c r="V14" i="44" s="1"/>
  <c r="G146" i="11"/>
  <c r="T14" i="44" s="1"/>
  <c r="G145" i="11"/>
  <c r="S14" i="44" s="1"/>
  <c r="G144" i="11"/>
  <c r="U14" i="44" s="1"/>
  <c r="G143" i="11"/>
  <c r="X14" i="44" s="1"/>
  <c r="G134" i="11"/>
  <c r="G152" i="10"/>
  <c r="G151" i="10"/>
  <c r="Z13" i="44" s="1"/>
  <c r="G150" i="10"/>
  <c r="G149" i="10"/>
  <c r="G148" i="10"/>
  <c r="W13" i="44" s="1"/>
  <c r="G147" i="10"/>
  <c r="V13" i="44" s="1"/>
  <c r="G146" i="10"/>
  <c r="T13" i="44" s="1"/>
  <c r="G145" i="10"/>
  <c r="S13" i="44" s="1"/>
  <c r="G144" i="10"/>
  <c r="U13" i="44" s="1"/>
  <c r="G143" i="10"/>
  <c r="X13" i="44" s="1"/>
  <c r="G134" i="10"/>
  <c r="E152" i="9"/>
  <c r="G152" i="9" s="1"/>
  <c r="E151" i="9"/>
  <c r="G151" i="9" s="1"/>
  <c r="Z12" i="44" s="1"/>
  <c r="E150" i="9"/>
  <c r="G150" i="9" s="1"/>
  <c r="E149" i="9"/>
  <c r="G149" i="9" s="1"/>
  <c r="E148" i="9"/>
  <c r="G148" i="9" s="1"/>
  <c r="W12" i="44" s="1"/>
  <c r="E147" i="9"/>
  <c r="G147" i="9" s="1"/>
  <c r="V12" i="44" s="1"/>
  <c r="E146" i="9"/>
  <c r="G146" i="9" s="1"/>
  <c r="T12" i="44" s="1"/>
  <c r="E145" i="9"/>
  <c r="G145" i="9" s="1"/>
  <c r="S12" i="44" s="1"/>
  <c r="E144" i="9"/>
  <c r="G144" i="9" s="1"/>
  <c r="U12" i="44" s="1"/>
  <c r="E143" i="9"/>
  <c r="G143" i="9" s="1"/>
  <c r="X12" i="44" s="1"/>
  <c r="E134" i="9"/>
  <c r="G134" i="9" s="1"/>
  <c r="E152" i="8"/>
  <c r="G152" i="8" s="1"/>
  <c r="E151" i="8"/>
  <c r="G151" i="8" s="1"/>
  <c r="Z11" i="44" s="1"/>
  <c r="E150" i="8"/>
  <c r="G150" i="8" s="1"/>
  <c r="E149" i="8"/>
  <c r="G149" i="8" s="1"/>
  <c r="E148" i="8"/>
  <c r="G148" i="8" s="1"/>
  <c r="W11" i="44" s="1"/>
  <c r="E147" i="8"/>
  <c r="G147" i="8" s="1"/>
  <c r="V11" i="44" s="1"/>
  <c r="E146" i="8"/>
  <c r="G146" i="8" s="1"/>
  <c r="T11" i="44" s="1"/>
  <c r="E145" i="8"/>
  <c r="G145" i="8" s="1"/>
  <c r="S11" i="44" s="1"/>
  <c r="E144" i="8"/>
  <c r="G144" i="8" s="1"/>
  <c r="U11" i="44" s="1"/>
  <c r="E143" i="8"/>
  <c r="G143" i="8" s="1"/>
  <c r="X11" i="44" s="1"/>
  <c r="E152" i="7"/>
  <c r="G152" i="7" s="1"/>
  <c r="E151" i="7"/>
  <c r="G151" i="7" s="1"/>
  <c r="Z10" i="44" s="1"/>
  <c r="E150" i="7"/>
  <c r="G150" i="7" s="1"/>
  <c r="E149" i="7"/>
  <c r="G149" i="7" s="1"/>
  <c r="E148" i="7"/>
  <c r="G148" i="7" s="1"/>
  <c r="W10" i="44" s="1"/>
  <c r="E147" i="7"/>
  <c r="G147" i="7" s="1"/>
  <c r="V10" i="44" s="1"/>
  <c r="E146" i="7"/>
  <c r="G146" i="7" s="1"/>
  <c r="T10" i="44" s="1"/>
  <c r="E145" i="7"/>
  <c r="G145" i="7" s="1"/>
  <c r="S10" i="44" s="1"/>
  <c r="E144" i="7"/>
  <c r="G144" i="7" s="1"/>
  <c r="U10" i="44" s="1"/>
  <c r="E143" i="7"/>
  <c r="G143" i="7" s="1"/>
  <c r="X10" i="44" s="1"/>
  <c r="E134" i="8"/>
  <c r="G134" i="8" s="1"/>
  <c r="E134" i="7"/>
  <c r="G134" i="7" s="1"/>
  <c r="E152" i="33"/>
  <c r="G152" i="33" s="1"/>
  <c r="E151" i="33"/>
  <c r="G151" i="33" s="1"/>
  <c r="Z9" i="44" s="1"/>
  <c r="E150" i="33"/>
  <c r="G150" i="33" s="1"/>
  <c r="E149" i="33"/>
  <c r="G149" i="33" s="1"/>
  <c r="E148" i="33"/>
  <c r="G148" i="33" s="1"/>
  <c r="W9" i="44" s="1"/>
  <c r="E147" i="33"/>
  <c r="G147" i="33" s="1"/>
  <c r="V9" i="44" s="1"/>
  <c r="G146" i="33"/>
  <c r="T9" i="44" s="1"/>
  <c r="E145" i="33"/>
  <c r="G145" i="33" s="1"/>
  <c r="S9" i="44" s="1"/>
  <c r="E144" i="33"/>
  <c r="G144" i="33" s="1"/>
  <c r="U9" i="44" s="1"/>
  <c r="E143" i="33"/>
  <c r="G143" i="33" s="1"/>
  <c r="X9" i="44" s="1"/>
  <c r="E134" i="33"/>
  <c r="G134" i="33" s="1"/>
  <c r="G168" i="2"/>
  <c r="H168" i="2" s="1"/>
  <c r="H168" i="3" s="1"/>
  <c r="H168" i="4" s="1"/>
  <c r="G167" i="2"/>
  <c r="H167" i="2" s="1"/>
  <c r="H167" i="3" s="1"/>
  <c r="H167" i="4" s="1"/>
  <c r="G166" i="2"/>
  <c r="H166" i="2" s="1"/>
  <c r="H166" i="3" s="1"/>
  <c r="H166" i="4" s="1"/>
  <c r="E152" i="5"/>
  <c r="G152" i="5" s="1"/>
  <c r="E151" i="5"/>
  <c r="G151" i="5" s="1"/>
  <c r="Z8" i="44" s="1"/>
  <c r="E150" i="5"/>
  <c r="G150" i="5" s="1"/>
  <c r="E149" i="5"/>
  <c r="G149" i="5" s="1"/>
  <c r="E148" i="5"/>
  <c r="G148" i="5" s="1"/>
  <c r="W8" i="44" s="1"/>
  <c r="E147" i="5"/>
  <c r="G147" i="5" s="1"/>
  <c r="V8" i="44" s="1"/>
  <c r="E146" i="5"/>
  <c r="G146" i="5" s="1"/>
  <c r="T8" i="44" s="1"/>
  <c r="E145" i="5"/>
  <c r="G145" i="5" s="1"/>
  <c r="S8" i="44" s="1"/>
  <c r="E144" i="5"/>
  <c r="G144" i="5" s="1"/>
  <c r="U8" i="44" s="1"/>
  <c r="E143" i="5"/>
  <c r="G143" i="5" s="1"/>
  <c r="X8" i="44" s="1"/>
  <c r="E134" i="5"/>
  <c r="G134" i="5" s="1"/>
  <c r="G134" i="4"/>
  <c r="G152" i="4"/>
  <c r="G151" i="4"/>
  <c r="Z7" i="44" s="1"/>
  <c r="E148" i="4"/>
  <c r="G148" i="4" s="1"/>
  <c r="W7" i="44" s="1"/>
  <c r="E147" i="4"/>
  <c r="G147" i="4" s="1"/>
  <c r="V7" i="44" s="1"/>
  <c r="E146" i="4"/>
  <c r="G146" i="4" s="1"/>
  <c r="T7" i="44" s="1"/>
  <c r="E145" i="4"/>
  <c r="G145" i="4" s="1"/>
  <c r="S7" i="44" s="1"/>
  <c r="E144" i="4"/>
  <c r="G144" i="4" s="1"/>
  <c r="U7" i="44" s="1"/>
  <c r="E143" i="4"/>
  <c r="G143" i="4" s="1"/>
  <c r="X7" i="44" s="1"/>
  <c r="G150" i="4"/>
  <c r="G149" i="4"/>
  <c r="E139" i="3"/>
  <c r="E152" i="3"/>
  <c r="G152" i="3" s="1"/>
  <c r="E151" i="3"/>
  <c r="G151" i="3" s="1"/>
  <c r="Z6" i="44" s="1"/>
  <c r="E150" i="3"/>
  <c r="G150" i="3" s="1"/>
  <c r="E149" i="3"/>
  <c r="G149" i="3" s="1"/>
  <c r="E148" i="3"/>
  <c r="G148" i="3" s="1"/>
  <c r="W6" i="44" s="1"/>
  <c r="E147" i="3"/>
  <c r="G147" i="3" s="1"/>
  <c r="V6" i="44" s="1"/>
  <c r="E146" i="3"/>
  <c r="G146" i="3" s="1"/>
  <c r="T6" i="44" s="1"/>
  <c r="E145" i="3"/>
  <c r="G145" i="3" s="1"/>
  <c r="S6" i="44" s="1"/>
  <c r="E144" i="3"/>
  <c r="G144" i="3" s="1"/>
  <c r="U6" i="44" s="1"/>
  <c r="E143" i="3"/>
  <c r="G143" i="3" s="1"/>
  <c r="X6" i="44" s="1"/>
  <c r="E142" i="3"/>
  <c r="E141" i="3"/>
  <c r="E134" i="3"/>
  <c r="G134" i="3" s="1"/>
  <c r="J172" i="2"/>
  <c r="G152" i="2"/>
  <c r="H152" i="2" s="1"/>
  <c r="J152" i="2" s="1"/>
  <c r="G151" i="2"/>
  <c r="H134" i="2"/>
  <c r="J134" i="2" s="1"/>
  <c r="E185" i="43"/>
  <c r="E184" i="43"/>
  <c r="E183" i="43"/>
  <c r="E180" i="43"/>
  <c r="E179" i="43"/>
  <c r="E178" i="43"/>
  <c r="E175" i="43"/>
  <c r="E174" i="43"/>
  <c r="E173" i="43"/>
  <c r="E168" i="43"/>
  <c r="E167" i="43"/>
  <c r="E166" i="43"/>
  <c r="E165" i="43"/>
  <c r="E164" i="43"/>
  <c r="E163" i="43"/>
  <c r="E162" i="43"/>
  <c r="E161" i="43"/>
  <c r="E138" i="43"/>
  <c r="E133" i="43"/>
  <c r="E131" i="43"/>
  <c r="E130" i="43"/>
  <c r="E129" i="43"/>
  <c r="E128" i="43"/>
  <c r="E124" i="43"/>
  <c r="E123" i="43"/>
  <c r="E122" i="43"/>
  <c r="E121" i="43"/>
  <c r="E120" i="43"/>
  <c r="E119" i="43"/>
  <c r="E118" i="43"/>
  <c r="E117" i="43"/>
  <c r="E116" i="43"/>
  <c r="E115" i="43"/>
  <c r="E114" i="43"/>
  <c r="E113" i="43"/>
  <c r="E112" i="43"/>
  <c r="E92" i="43"/>
  <c r="E91" i="43"/>
  <c r="E90" i="43"/>
  <c r="E89" i="43"/>
  <c r="E88" i="43"/>
  <c r="E87" i="43"/>
  <c r="E86" i="43"/>
  <c r="E85" i="43"/>
  <c r="E84" i="43"/>
  <c r="E83" i="43"/>
  <c r="E82" i="43"/>
  <c r="E79" i="43"/>
  <c r="E78" i="43"/>
  <c r="E77" i="43"/>
  <c r="E76" i="43"/>
  <c r="E75" i="43"/>
  <c r="E74" i="43"/>
  <c r="E70" i="43"/>
  <c r="E69" i="43"/>
  <c r="E67" i="43"/>
  <c r="E66" i="43"/>
  <c r="E65" i="43"/>
  <c r="E64" i="43"/>
  <c r="E63" i="43"/>
  <c r="E62" i="43"/>
  <c r="E58" i="43"/>
  <c r="E57" i="43"/>
  <c r="E55" i="43"/>
  <c r="E54" i="43"/>
  <c r="E53" i="43"/>
  <c r="E52" i="43"/>
  <c r="E51" i="43"/>
  <c r="E50" i="43"/>
  <c r="E49" i="43"/>
  <c r="E35" i="43"/>
  <c r="E24" i="43"/>
  <c r="E23" i="43"/>
  <c r="E22" i="43"/>
  <c r="E12" i="43"/>
  <c r="E11" i="43"/>
  <c r="E189" i="30"/>
  <c r="E188" i="30"/>
  <c r="E187" i="30"/>
  <c r="E185" i="30"/>
  <c r="E184" i="30"/>
  <c r="E183" i="30"/>
  <c r="E180" i="30"/>
  <c r="E179" i="30"/>
  <c r="E178" i="30"/>
  <c r="E175" i="30"/>
  <c r="E174" i="30"/>
  <c r="E173" i="30"/>
  <c r="E168" i="30"/>
  <c r="E167" i="30"/>
  <c r="E166" i="30"/>
  <c r="E165" i="30"/>
  <c r="E164" i="30"/>
  <c r="E163" i="30"/>
  <c r="E162" i="30"/>
  <c r="E161" i="30"/>
  <c r="E138" i="30"/>
  <c r="E128" i="30"/>
  <c r="E124" i="30"/>
  <c r="G113" i="30"/>
  <c r="E92" i="30"/>
  <c r="E91" i="30"/>
  <c r="E90" i="30"/>
  <c r="E89" i="30"/>
  <c r="E88" i="30"/>
  <c r="E87" i="30"/>
  <c r="E86" i="30"/>
  <c r="E85" i="30"/>
  <c r="E84" i="30"/>
  <c r="E83" i="30"/>
  <c r="E82" i="30"/>
  <c r="E79" i="30"/>
  <c r="E78" i="30"/>
  <c r="E77" i="30"/>
  <c r="E76" i="30"/>
  <c r="E75" i="30"/>
  <c r="E74" i="30"/>
  <c r="E71" i="30"/>
  <c r="E70" i="30"/>
  <c r="E69" i="30"/>
  <c r="E68" i="30"/>
  <c r="E67" i="30"/>
  <c r="E66" i="30"/>
  <c r="E65" i="30"/>
  <c r="E64" i="30"/>
  <c r="E63" i="30"/>
  <c r="E62" i="30"/>
  <c r="E58" i="30"/>
  <c r="E57" i="30"/>
  <c r="E56" i="30"/>
  <c r="E55" i="30"/>
  <c r="E54" i="30"/>
  <c r="E53" i="30"/>
  <c r="E52" i="30"/>
  <c r="E51" i="30"/>
  <c r="E50" i="30"/>
  <c r="E49" i="30"/>
  <c r="E46" i="30"/>
  <c r="E45" i="30"/>
  <c r="E44" i="30"/>
  <c r="E43" i="30"/>
  <c r="E42" i="30"/>
  <c r="E41" i="30"/>
  <c r="E40" i="30"/>
  <c r="E39" i="30"/>
  <c r="E38" i="30"/>
  <c r="E37" i="30"/>
  <c r="E36" i="30"/>
  <c r="E35" i="30"/>
  <c r="E24" i="30"/>
  <c r="E23" i="30"/>
  <c r="E22" i="30"/>
  <c r="H26" i="29"/>
  <c r="E189" i="29"/>
  <c r="E188" i="29"/>
  <c r="E187" i="29"/>
  <c r="E185" i="29"/>
  <c r="E184" i="29"/>
  <c r="E183" i="29"/>
  <c r="E180" i="29"/>
  <c r="E179" i="29"/>
  <c r="E178" i="29"/>
  <c r="E175" i="29"/>
  <c r="E174" i="29"/>
  <c r="E173" i="29"/>
  <c r="E168" i="29"/>
  <c r="E167" i="29"/>
  <c r="E166" i="29"/>
  <c r="E165" i="29"/>
  <c r="E164" i="29"/>
  <c r="E163" i="29"/>
  <c r="E162" i="29"/>
  <c r="E161" i="29"/>
  <c r="E142" i="29"/>
  <c r="E141" i="29"/>
  <c r="E139" i="29"/>
  <c r="E138" i="29"/>
  <c r="E133" i="29"/>
  <c r="E132" i="29"/>
  <c r="E131" i="29"/>
  <c r="E130" i="29"/>
  <c r="E129" i="29"/>
  <c r="E128" i="29"/>
  <c r="E124" i="29"/>
  <c r="E92" i="29"/>
  <c r="E91" i="29"/>
  <c r="G91" i="29" s="1"/>
  <c r="E90" i="29"/>
  <c r="E89" i="29"/>
  <c r="E88" i="29"/>
  <c r="E87" i="29"/>
  <c r="E86" i="29"/>
  <c r="E85" i="29"/>
  <c r="E84" i="29"/>
  <c r="E83" i="29"/>
  <c r="E82" i="29"/>
  <c r="E79" i="29"/>
  <c r="E78" i="29"/>
  <c r="E77" i="29"/>
  <c r="E76" i="29"/>
  <c r="E75" i="29"/>
  <c r="E74" i="29"/>
  <c r="E70" i="29"/>
  <c r="E69" i="29"/>
  <c r="E68" i="29"/>
  <c r="E67" i="29"/>
  <c r="E66" i="29"/>
  <c r="E65" i="29"/>
  <c r="E64" i="29"/>
  <c r="E63" i="29"/>
  <c r="E62" i="29"/>
  <c r="E58" i="29"/>
  <c r="E57" i="29"/>
  <c r="E56" i="29"/>
  <c r="E55" i="29"/>
  <c r="E54" i="29"/>
  <c r="E53" i="29"/>
  <c r="E52" i="29"/>
  <c r="E51" i="29"/>
  <c r="E50" i="29"/>
  <c r="E49" i="29"/>
  <c r="E46" i="29"/>
  <c r="E45" i="29"/>
  <c r="E44" i="29"/>
  <c r="E43" i="29"/>
  <c r="E42" i="29"/>
  <c r="E41" i="29"/>
  <c r="E40" i="29"/>
  <c r="E39" i="29"/>
  <c r="E38" i="29"/>
  <c r="E37" i="29"/>
  <c r="E36" i="29"/>
  <c r="E35" i="29"/>
  <c r="E22" i="29"/>
  <c r="E12" i="29"/>
  <c r="H124" i="28"/>
  <c r="H124" i="29" s="1"/>
  <c r="H124" i="30" s="1"/>
  <c r="H124" i="43" s="1"/>
  <c r="H124" i="31" s="1"/>
  <c r="E189" i="28"/>
  <c r="E188" i="28"/>
  <c r="E187" i="28"/>
  <c r="E185" i="28"/>
  <c r="E184" i="28"/>
  <c r="E183" i="28"/>
  <c r="E180" i="28"/>
  <c r="E179" i="28"/>
  <c r="E178" i="28"/>
  <c r="E175" i="28"/>
  <c r="E174" i="28"/>
  <c r="E173" i="28"/>
  <c r="E168" i="28"/>
  <c r="E167" i="28"/>
  <c r="E166" i="28"/>
  <c r="E165" i="28"/>
  <c r="E164" i="28"/>
  <c r="E163" i="28"/>
  <c r="E162" i="28"/>
  <c r="E161" i="28"/>
  <c r="E142" i="28"/>
  <c r="E141" i="28"/>
  <c r="E140" i="28"/>
  <c r="E139" i="28"/>
  <c r="E138" i="28"/>
  <c r="E133" i="28"/>
  <c r="E132" i="28"/>
  <c r="E131" i="28"/>
  <c r="E130" i="28"/>
  <c r="E129" i="28"/>
  <c r="E128" i="28"/>
  <c r="E124" i="28"/>
  <c r="E123" i="28"/>
  <c r="E122" i="28"/>
  <c r="E121" i="28"/>
  <c r="E120" i="28"/>
  <c r="E119" i="28"/>
  <c r="E118" i="28"/>
  <c r="E117" i="28"/>
  <c r="E116" i="28"/>
  <c r="E115" i="28"/>
  <c r="E114" i="28"/>
  <c r="E113" i="28"/>
  <c r="E112" i="28"/>
  <c r="E92" i="28"/>
  <c r="E91" i="28"/>
  <c r="E90" i="28"/>
  <c r="E89" i="28"/>
  <c r="E88" i="28"/>
  <c r="E87" i="28"/>
  <c r="E86" i="28"/>
  <c r="E85" i="28"/>
  <c r="E84" i="28"/>
  <c r="G84" i="28" s="1"/>
  <c r="E83" i="28"/>
  <c r="E82" i="28"/>
  <c r="E79" i="28"/>
  <c r="E78" i="28"/>
  <c r="E77" i="28"/>
  <c r="E76" i="28"/>
  <c r="E75" i="28"/>
  <c r="E74" i="28"/>
  <c r="E65" i="28"/>
  <c r="E64" i="28"/>
  <c r="E63" i="28"/>
  <c r="E62" i="28"/>
  <c r="E58" i="28"/>
  <c r="E57" i="28"/>
  <c r="E56" i="28"/>
  <c r="E55" i="28"/>
  <c r="E54" i="28"/>
  <c r="E53" i="28"/>
  <c r="E52" i="28"/>
  <c r="E51" i="28"/>
  <c r="E50" i="28"/>
  <c r="E49" i="28"/>
  <c r="E35" i="28"/>
  <c r="E24" i="28"/>
  <c r="G24" i="28" s="1"/>
  <c r="E23" i="28"/>
  <c r="G23" i="28" s="1"/>
  <c r="E22" i="28"/>
  <c r="G22" i="28" s="1"/>
  <c r="E189" i="27"/>
  <c r="E188" i="27"/>
  <c r="E187" i="27"/>
  <c r="E185" i="27"/>
  <c r="E184" i="27"/>
  <c r="E183" i="27"/>
  <c r="E180" i="27"/>
  <c r="G180" i="27" s="1"/>
  <c r="E179" i="27"/>
  <c r="G179" i="27" s="1"/>
  <c r="E178" i="27"/>
  <c r="E175" i="27"/>
  <c r="E174" i="27"/>
  <c r="E173" i="27"/>
  <c r="E168" i="27"/>
  <c r="E167" i="27"/>
  <c r="E166" i="27"/>
  <c r="E165" i="27"/>
  <c r="E164" i="27"/>
  <c r="E163" i="27"/>
  <c r="E162" i="27"/>
  <c r="E161" i="27"/>
  <c r="E138" i="27"/>
  <c r="E133" i="27"/>
  <c r="E132" i="27"/>
  <c r="E131" i="27"/>
  <c r="E130" i="27"/>
  <c r="E129" i="27"/>
  <c r="E128" i="27"/>
  <c r="E124" i="27"/>
  <c r="E123" i="27"/>
  <c r="E122" i="27"/>
  <c r="E121" i="27"/>
  <c r="E120" i="27"/>
  <c r="E119" i="27"/>
  <c r="E118" i="27"/>
  <c r="E117" i="27"/>
  <c r="E116" i="27"/>
  <c r="E115" i="27"/>
  <c r="E114" i="27"/>
  <c r="E113" i="27"/>
  <c r="E112" i="27"/>
  <c r="E92" i="27"/>
  <c r="E91" i="27"/>
  <c r="E90" i="27"/>
  <c r="E89" i="27"/>
  <c r="E88" i="27"/>
  <c r="E87" i="27"/>
  <c r="E86" i="27"/>
  <c r="E85" i="27"/>
  <c r="E84" i="27"/>
  <c r="E83" i="27"/>
  <c r="E82" i="27"/>
  <c r="E79" i="27"/>
  <c r="E78" i="27"/>
  <c r="E77" i="27"/>
  <c r="E76" i="27"/>
  <c r="E75" i="27"/>
  <c r="E74" i="27"/>
  <c r="E65" i="27"/>
  <c r="E64" i="27"/>
  <c r="E63" i="27"/>
  <c r="E62" i="27"/>
  <c r="E49" i="27"/>
  <c r="E46" i="27"/>
  <c r="E45" i="27"/>
  <c r="E44" i="27"/>
  <c r="E43" i="27"/>
  <c r="E42" i="27"/>
  <c r="E40" i="27"/>
  <c r="E39" i="27"/>
  <c r="E38" i="27"/>
  <c r="E37" i="27"/>
  <c r="E36" i="27"/>
  <c r="E35" i="27"/>
  <c r="E24" i="27"/>
  <c r="E23" i="27"/>
  <c r="E22" i="27"/>
  <c r="E189" i="40"/>
  <c r="E188" i="40"/>
  <c r="E187" i="40"/>
  <c r="E185" i="40"/>
  <c r="E184" i="40"/>
  <c r="E183" i="40"/>
  <c r="E180" i="40"/>
  <c r="E179" i="40"/>
  <c r="E178" i="40"/>
  <c r="E175" i="40"/>
  <c r="E174" i="40"/>
  <c r="E173" i="40"/>
  <c r="E168" i="40"/>
  <c r="E167" i="40"/>
  <c r="E166" i="40"/>
  <c r="E165" i="40"/>
  <c r="E164" i="40"/>
  <c r="E163" i="40"/>
  <c r="E162" i="40"/>
  <c r="E161" i="40"/>
  <c r="E138" i="40"/>
  <c r="E133" i="40"/>
  <c r="E132" i="40"/>
  <c r="E131" i="40"/>
  <c r="E130" i="40"/>
  <c r="E129" i="40"/>
  <c r="E128" i="40"/>
  <c r="E123" i="40"/>
  <c r="E122" i="40"/>
  <c r="E121" i="40"/>
  <c r="E120" i="40"/>
  <c r="E119" i="40"/>
  <c r="E118" i="40"/>
  <c r="E117" i="40"/>
  <c r="E116" i="40"/>
  <c r="E115" i="40"/>
  <c r="E114" i="40"/>
  <c r="E113" i="40"/>
  <c r="E112" i="40"/>
  <c r="E92" i="40"/>
  <c r="E91" i="40"/>
  <c r="E90" i="40"/>
  <c r="E89" i="40"/>
  <c r="E88" i="40"/>
  <c r="E87" i="40"/>
  <c r="E86" i="40"/>
  <c r="E85" i="40"/>
  <c r="E84" i="40"/>
  <c r="G84" i="40" s="1"/>
  <c r="E83" i="40"/>
  <c r="E82" i="40"/>
  <c r="E79" i="40"/>
  <c r="E78" i="40"/>
  <c r="E77" i="40"/>
  <c r="E76" i="40"/>
  <c r="E75" i="40"/>
  <c r="E65" i="40"/>
  <c r="E64" i="40"/>
  <c r="E63" i="40"/>
  <c r="E62" i="40"/>
  <c r="E58" i="40"/>
  <c r="E57" i="40"/>
  <c r="E56" i="40"/>
  <c r="E55" i="40"/>
  <c r="E54" i="40"/>
  <c r="E53" i="40"/>
  <c r="E52" i="40"/>
  <c r="E51" i="40"/>
  <c r="E50" i="40"/>
  <c r="E49" i="40"/>
  <c r="E35" i="40"/>
  <c r="E24" i="40"/>
  <c r="E23" i="40"/>
  <c r="E22" i="40"/>
  <c r="E189" i="25"/>
  <c r="E188" i="25"/>
  <c r="E187" i="25"/>
  <c r="E185" i="25"/>
  <c r="E184" i="25"/>
  <c r="E183" i="25"/>
  <c r="E180" i="25"/>
  <c r="E179" i="25"/>
  <c r="E178" i="25"/>
  <c r="E175" i="25"/>
  <c r="E174" i="25"/>
  <c r="E173" i="25"/>
  <c r="E168" i="25"/>
  <c r="E167" i="25"/>
  <c r="E166" i="25"/>
  <c r="E165" i="25"/>
  <c r="E164" i="25"/>
  <c r="E163" i="25"/>
  <c r="E162" i="25"/>
  <c r="E161" i="25"/>
  <c r="E142" i="25"/>
  <c r="E141" i="25"/>
  <c r="E140" i="25"/>
  <c r="E139" i="25"/>
  <c r="E138" i="25"/>
  <c r="E128" i="25"/>
  <c r="E124" i="25"/>
  <c r="E123" i="25"/>
  <c r="E122" i="25"/>
  <c r="E121" i="25"/>
  <c r="E120" i="25"/>
  <c r="E119" i="25"/>
  <c r="E118" i="25"/>
  <c r="E117" i="25"/>
  <c r="E116" i="25"/>
  <c r="E115" i="25"/>
  <c r="E114" i="25"/>
  <c r="E113" i="25"/>
  <c r="E112" i="25"/>
  <c r="E92" i="25"/>
  <c r="E91" i="25"/>
  <c r="E90" i="25"/>
  <c r="E89" i="25"/>
  <c r="E88" i="25"/>
  <c r="E87" i="25"/>
  <c r="E86" i="25"/>
  <c r="E85" i="25"/>
  <c r="E84" i="25"/>
  <c r="E83" i="25"/>
  <c r="E82" i="25"/>
  <c r="E70" i="25"/>
  <c r="E69" i="25"/>
  <c r="E68" i="25"/>
  <c r="E67" i="25"/>
  <c r="E66" i="25"/>
  <c r="E65" i="25"/>
  <c r="E64" i="25"/>
  <c r="E63" i="25"/>
  <c r="E62" i="25"/>
  <c r="E58" i="25"/>
  <c r="E57" i="25"/>
  <c r="E56" i="25"/>
  <c r="E55" i="25"/>
  <c r="E54" i="25"/>
  <c r="E53" i="25"/>
  <c r="E52" i="25"/>
  <c r="E51" i="25"/>
  <c r="E50" i="25"/>
  <c r="E49" i="25"/>
  <c r="E46" i="25"/>
  <c r="E45" i="25"/>
  <c r="E44" i="25"/>
  <c r="E43" i="25"/>
  <c r="E42" i="25"/>
  <c r="E40" i="25"/>
  <c r="E39" i="25"/>
  <c r="E38" i="25"/>
  <c r="E37" i="25"/>
  <c r="E36" i="25"/>
  <c r="E35" i="25"/>
  <c r="E24" i="25"/>
  <c r="E23" i="25"/>
  <c r="E22" i="25"/>
  <c r="E12" i="25"/>
  <c r="E11" i="25"/>
  <c r="E185" i="24"/>
  <c r="E183" i="24"/>
  <c r="E178" i="24"/>
  <c r="E168" i="24"/>
  <c r="E167" i="24"/>
  <c r="E166" i="24"/>
  <c r="E161" i="24"/>
  <c r="E138" i="24"/>
  <c r="E124" i="24"/>
  <c r="E82" i="24"/>
  <c r="E79" i="24"/>
  <c r="E78" i="24"/>
  <c r="E77" i="24"/>
  <c r="E76" i="24"/>
  <c r="E75" i="24"/>
  <c r="E74" i="24"/>
  <c r="E70" i="24"/>
  <c r="E69" i="24"/>
  <c r="E68" i="24"/>
  <c r="E67" i="24"/>
  <c r="E66" i="24"/>
  <c r="E65" i="24"/>
  <c r="E64" i="24"/>
  <c r="E63" i="24"/>
  <c r="E62" i="24"/>
  <c r="E24" i="24"/>
  <c r="E23" i="24"/>
  <c r="E22" i="24"/>
  <c r="E185" i="23"/>
  <c r="E184" i="23"/>
  <c r="E183" i="23"/>
  <c r="E180" i="23"/>
  <c r="E179" i="23"/>
  <c r="E178" i="23"/>
  <c r="E175" i="23"/>
  <c r="E174" i="23"/>
  <c r="E173" i="23"/>
  <c r="E168" i="23"/>
  <c r="E167" i="23"/>
  <c r="E166" i="23"/>
  <c r="E165" i="23"/>
  <c r="E164" i="23"/>
  <c r="E163" i="23"/>
  <c r="E162" i="23"/>
  <c r="E161" i="23"/>
  <c r="E142" i="23"/>
  <c r="E141" i="23"/>
  <c r="E140" i="23"/>
  <c r="E139" i="23"/>
  <c r="E138" i="23"/>
  <c r="E124" i="23"/>
  <c r="E122" i="23"/>
  <c r="E121" i="23"/>
  <c r="E119" i="23"/>
  <c r="E118" i="23"/>
  <c r="E117" i="23"/>
  <c r="E116" i="23"/>
  <c r="E92" i="23"/>
  <c r="E91" i="23"/>
  <c r="E90" i="23"/>
  <c r="E89" i="23"/>
  <c r="E88" i="23"/>
  <c r="E87" i="23"/>
  <c r="E86" i="23"/>
  <c r="E85" i="23"/>
  <c r="E84" i="23"/>
  <c r="E83" i="23"/>
  <c r="E82" i="23"/>
  <c r="E79" i="23"/>
  <c r="E78" i="23"/>
  <c r="E77" i="23"/>
  <c r="E76" i="23"/>
  <c r="E75" i="23"/>
  <c r="E74" i="23"/>
  <c r="E70" i="23"/>
  <c r="E69" i="23"/>
  <c r="E68" i="23"/>
  <c r="E67" i="23"/>
  <c r="E66" i="23"/>
  <c r="E65" i="23"/>
  <c r="E64" i="23"/>
  <c r="E62" i="23"/>
  <c r="E46" i="23"/>
  <c r="E45" i="23"/>
  <c r="E44" i="23"/>
  <c r="E43" i="23"/>
  <c r="E41" i="23"/>
  <c r="E40" i="23"/>
  <c r="E39" i="23"/>
  <c r="E38" i="23"/>
  <c r="E37" i="23"/>
  <c r="E36" i="23"/>
  <c r="E35" i="23"/>
  <c r="E23" i="23"/>
  <c r="E22" i="23"/>
  <c r="E185" i="22"/>
  <c r="E184" i="22"/>
  <c r="E183" i="22"/>
  <c r="E180" i="22"/>
  <c r="E179" i="22"/>
  <c r="E178" i="22"/>
  <c r="E175" i="22"/>
  <c r="E174" i="22"/>
  <c r="E173" i="22"/>
  <c r="E168" i="22"/>
  <c r="E167" i="22"/>
  <c r="E166" i="22"/>
  <c r="E165" i="22"/>
  <c r="E164" i="22"/>
  <c r="E163" i="22"/>
  <c r="E162" i="22"/>
  <c r="E161" i="22"/>
  <c r="E138" i="22"/>
  <c r="E133" i="22"/>
  <c r="E131" i="22"/>
  <c r="E130" i="22"/>
  <c r="E129" i="22"/>
  <c r="E128" i="22"/>
  <c r="E112" i="22"/>
  <c r="E92" i="22"/>
  <c r="E91" i="22"/>
  <c r="E90" i="22"/>
  <c r="E89" i="22"/>
  <c r="E88" i="22"/>
  <c r="E87" i="22"/>
  <c r="E86" i="22"/>
  <c r="E85" i="22"/>
  <c r="E84" i="22"/>
  <c r="E83" i="22"/>
  <c r="E82" i="22"/>
  <c r="E79" i="22"/>
  <c r="E78" i="22"/>
  <c r="E77" i="22"/>
  <c r="E76" i="22"/>
  <c r="E75" i="22"/>
  <c r="E74" i="22"/>
  <c r="E70" i="22"/>
  <c r="E69" i="22"/>
  <c r="E68" i="22"/>
  <c r="E67" i="22"/>
  <c r="E66" i="22"/>
  <c r="E65" i="22"/>
  <c r="E64" i="22"/>
  <c r="E63" i="22"/>
  <c r="E62" i="22"/>
  <c r="E58" i="22"/>
  <c r="E57" i="22"/>
  <c r="E56" i="22"/>
  <c r="E55" i="22"/>
  <c r="E54" i="22"/>
  <c r="E53" i="22"/>
  <c r="E52" i="22"/>
  <c r="E51" i="22"/>
  <c r="E49" i="22"/>
  <c r="E46" i="22"/>
  <c r="E45" i="22"/>
  <c r="E44" i="22"/>
  <c r="E43" i="22"/>
  <c r="E42" i="22"/>
  <c r="E41" i="22"/>
  <c r="E40" i="22"/>
  <c r="E38" i="22"/>
  <c r="E37" i="22"/>
  <c r="E36" i="22"/>
  <c r="E35" i="22"/>
  <c r="E24" i="22"/>
  <c r="E23" i="22"/>
  <c r="G23" i="22" s="1"/>
  <c r="G24" i="22" s="1"/>
  <c r="E22" i="22"/>
  <c r="G22" i="22" s="1"/>
  <c r="E12" i="22"/>
  <c r="E11" i="22"/>
  <c r="H124" i="21"/>
  <c r="H124" i="22" s="1"/>
  <c r="H124" i="23" s="1"/>
  <c r="H124" i="24" s="1"/>
  <c r="E185" i="21"/>
  <c r="E184" i="21"/>
  <c r="E183" i="21"/>
  <c r="E173" i="21"/>
  <c r="E168" i="21"/>
  <c r="E167" i="21"/>
  <c r="E166" i="21"/>
  <c r="G166" i="21" s="1"/>
  <c r="E161" i="21"/>
  <c r="E138" i="21"/>
  <c r="E128" i="21"/>
  <c r="E124" i="21"/>
  <c r="E112" i="21"/>
  <c r="E82" i="21"/>
  <c r="E74" i="21"/>
  <c r="E65" i="21"/>
  <c r="E64" i="21"/>
  <c r="E62" i="21"/>
  <c r="G55" i="21"/>
  <c r="E49" i="21"/>
  <c r="E35" i="21"/>
  <c r="E24" i="21"/>
  <c r="E23" i="21"/>
  <c r="E22" i="21"/>
  <c r="E185" i="19"/>
  <c r="E183" i="19"/>
  <c r="E180" i="19"/>
  <c r="E179" i="19"/>
  <c r="E178" i="19"/>
  <c r="E175" i="19"/>
  <c r="E174" i="19"/>
  <c r="E173" i="19"/>
  <c r="E161" i="19"/>
  <c r="E142" i="19"/>
  <c r="E141" i="19"/>
  <c r="E140" i="19"/>
  <c r="E139" i="19"/>
  <c r="E138" i="19"/>
  <c r="E133" i="19"/>
  <c r="E132" i="19"/>
  <c r="E131" i="19"/>
  <c r="E130" i="19"/>
  <c r="E129" i="19"/>
  <c r="E128" i="19"/>
  <c r="E124" i="19"/>
  <c r="E112" i="19"/>
  <c r="G88" i="19"/>
  <c r="G84" i="19"/>
  <c r="E82" i="19"/>
  <c r="E79" i="19"/>
  <c r="E78" i="19"/>
  <c r="E77" i="19"/>
  <c r="E76" i="19"/>
  <c r="G76" i="19" s="1"/>
  <c r="E75" i="19"/>
  <c r="E74" i="19"/>
  <c r="G74" i="19" s="1"/>
  <c r="G67" i="19"/>
  <c r="E65" i="19"/>
  <c r="E64" i="19"/>
  <c r="E63" i="19"/>
  <c r="E62" i="19"/>
  <c r="E49" i="19"/>
  <c r="E23" i="19"/>
  <c r="G23" i="19" s="1"/>
  <c r="E22" i="19"/>
  <c r="H124" i="18"/>
  <c r="H124" i="19" s="1"/>
  <c r="E174" i="18"/>
  <c r="E185" i="18"/>
  <c r="E184" i="18"/>
  <c r="E183" i="18"/>
  <c r="E180" i="18"/>
  <c r="E179" i="18"/>
  <c r="E178" i="18"/>
  <c r="E175" i="18"/>
  <c r="E173" i="18"/>
  <c r="E165" i="18"/>
  <c r="E164" i="18"/>
  <c r="E163" i="18"/>
  <c r="E162" i="18"/>
  <c r="E161" i="18"/>
  <c r="E142" i="18"/>
  <c r="E141" i="18"/>
  <c r="E140" i="18"/>
  <c r="E139" i="18"/>
  <c r="E133" i="18"/>
  <c r="E131" i="18"/>
  <c r="E130" i="18"/>
  <c r="E129" i="18"/>
  <c r="E128" i="18"/>
  <c r="E124" i="18"/>
  <c r="E123" i="18"/>
  <c r="E122" i="18"/>
  <c r="E121" i="18"/>
  <c r="E120" i="18"/>
  <c r="E119" i="18"/>
  <c r="E118" i="18"/>
  <c r="E117" i="18"/>
  <c r="E116" i="18"/>
  <c r="E115" i="18"/>
  <c r="E113" i="18"/>
  <c r="E112" i="18"/>
  <c r="E82" i="18"/>
  <c r="E79" i="18"/>
  <c r="E78" i="18"/>
  <c r="E77" i="18"/>
  <c r="E76" i="18"/>
  <c r="E75" i="18"/>
  <c r="E74" i="18"/>
  <c r="E70" i="18"/>
  <c r="E69" i="18"/>
  <c r="E68" i="18"/>
  <c r="E67" i="18"/>
  <c r="E66" i="18"/>
  <c r="E65" i="18"/>
  <c r="E64" i="18"/>
  <c r="E63" i="18"/>
  <c r="E62" i="18"/>
  <c r="E49" i="18"/>
  <c r="E35" i="18"/>
  <c r="E23" i="18"/>
  <c r="E22" i="18"/>
  <c r="E189" i="17"/>
  <c r="E188" i="17"/>
  <c r="E187" i="17"/>
  <c r="E186" i="17"/>
  <c r="E185" i="17"/>
  <c r="E184" i="17"/>
  <c r="E183" i="17"/>
  <c r="E182" i="17"/>
  <c r="E181" i="17"/>
  <c r="E180" i="17"/>
  <c r="E179" i="17"/>
  <c r="E178" i="17"/>
  <c r="E177" i="17"/>
  <c r="E176" i="17"/>
  <c r="E175" i="17"/>
  <c r="E174" i="17"/>
  <c r="E173" i="17"/>
  <c r="E168" i="17"/>
  <c r="E167" i="17"/>
  <c r="E166" i="17"/>
  <c r="E165" i="17"/>
  <c r="E164" i="17"/>
  <c r="E163" i="17"/>
  <c r="E162" i="17"/>
  <c r="E161" i="17"/>
  <c r="E142" i="17"/>
  <c r="E141" i="17"/>
  <c r="E140" i="17"/>
  <c r="E139" i="17"/>
  <c r="E138" i="17"/>
  <c r="E133" i="17"/>
  <c r="E132" i="17"/>
  <c r="E131" i="17"/>
  <c r="E130" i="17"/>
  <c r="E129" i="17"/>
  <c r="E128" i="17"/>
  <c r="G114" i="17"/>
  <c r="E112" i="17"/>
  <c r="E92" i="17"/>
  <c r="G92" i="17" s="1"/>
  <c r="E91" i="17"/>
  <c r="G91" i="17" s="1"/>
  <c r="E90" i="17"/>
  <c r="E89" i="17"/>
  <c r="E88" i="17"/>
  <c r="E87" i="17"/>
  <c r="E86" i="17"/>
  <c r="E85" i="17"/>
  <c r="E83" i="17"/>
  <c r="E82" i="17"/>
  <c r="E79" i="17"/>
  <c r="E78" i="17"/>
  <c r="E77" i="17"/>
  <c r="E76" i="17"/>
  <c r="E75" i="17"/>
  <c r="E74" i="17"/>
  <c r="E70" i="17"/>
  <c r="E68" i="17"/>
  <c r="E67" i="17"/>
  <c r="E66" i="17"/>
  <c r="E65" i="17"/>
  <c r="E63" i="17"/>
  <c r="E62" i="17"/>
  <c r="E49" i="17"/>
  <c r="E35" i="17"/>
  <c r="E24" i="17"/>
  <c r="E23" i="17"/>
  <c r="E22" i="17"/>
  <c r="E12" i="17"/>
  <c r="E11" i="17"/>
  <c r="E185" i="16"/>
  <c r="E184" i="16"/>
  <c r="E183" i="16"/>
  <c r="E180" i="16"/>
  <c r="E179" i="16"/>
  <c r="E178" i="16"/>
  <c r="E175" i="16"/>
  <c r="E174" i="16"/>
  <c r="E173" i="16"/>
  <c r="E168" i="16"/>
  <c r="E167" i="16"/>
  <c r="E166" i="16"/>
  <c r="E165" i="16"/>
  <c r="E164" i="16"/>
  <c r="E163" i="16"/>
  <c r="E162" i="16"/>
  <c r="E161" i="16"/>
  <c r="E142" i="16"/>
  <c r="E141" i="16"/>
  <c r="E140" i="16"/>
  <c r="E139" i="16"/>
  <c r="E133" i="16"/>
  <c r="E132" i="16"/>
  <c r="E131" i="16"/>
  <c r="E130" i="16"/>
  <c r="E129" i="16"/>
  <c r="E128" i="16"/>
  <c r="E123" i="16"/>
  <c r="E122" i="16"/>
  <c r="E121" i="16"/>
  <c r="E120" i="16"/>
  <c r="E119" i="16"/>
  <c r="E118" i="16"/>
  <c r="E117" i="16"/>
  <c r="E116" i="16"/>
  <c r="E114" i="16"/>
  <c r="E113" i="16"/>
  <c r="E112" i="16"/>
  <c r="E92" i="16"/>
  <c r="E91" i="16"/>
  <c r="E90" i="16"/>
  <c r="E89" i="16"/>
  <c r="E88" i="16"/>
  <c r="E87" i="16"/>
  <c r="E86" i="16"/>
  <c r="E85" i="16"/>
  <c r="E84" i="16"/>
  <c r="E83" i="16"/>
  <c r="E82" i="16"/>
  <c r="E79" i="16"/>
  <c r="E78" i="16"/>
  <c r="E77" i="16"/>
  <c r="E76" i="16"/>
  <c r="G76" i="16" s="1"/>
  <c r="E75" i="16"/>
  <c r="E74" i="16"/>
  <c r="E70" i="16"/>
  <c r="E69" i="16"/>
  <c r="E68" i="16"/>
  <c r="E67" i="16"/>
  <c r="E66" i="16"/>
  <c r="E65" i="16"/>
  <c r="E63" i="16"/>
  <c r="E62" i="16"/>
  <c r="E58" i="16"/>
  <c r="E57" i="16"/>
  <c r="E56" i="16"/>
  <c r="E55" i="16"/>
  <c r="E54" i="16"/>
  <c r="E53" i="16"/>
  <c r="E52" i="16"/>
  <c r="E51" i="16"/>
  <c r="E50" i="16"/>
  <c r="E49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24" i="16"/>
  <c r="E22" i="16"/>
  <c r="E12" i="16"/>
  <c r="E11" i="16"/>
  <c r="E185" i="15"/>
  <c r="E184" i="15"/>
  <c r="E183" i="15"/>
  <c r="E178" i="15"/>
  <c r="E173" i="15"/>
  <c r="E168" i="15"/>
  <c r="E167" i="15"/>
  <c r="E166" i="15"/>
  <c r="E138" i="15"/>
  <c r="E133" i="15"/>
  <c r="E132" i="15"/>
  <c r="E131" i="15"/>
  <c r="E130" i="15"/>
  <c r="E129" i="15"/>
  <c r="E128" i="15"/>
  <c r="E112" i="15"/>
  <c r="E82" i="15"/>
  <c r="E79" i="15"/>
  <c r="E77" i="15"/>
  <c r="E76" i="15"/>
  <c r="E75" i="15"/>
  <c r="E74" i="15"/>
  <c r="E70" i="15"/>
  <c r="E69" i="15"/>
  <c r="E68" i="15"/>
  <c r="E67" i="15"/>
  <c r="E66" i="15"/>
  <c r="E65" i="15"/>
  <c r="E64" i="15"/>
  <c r="E62" i="15"/>
  <c r="E58" i="15"/>
  <c r="E57" i="15"/>
  <c r="E56" i="15"/>
  <c r="E55" i="15"/>
  <c r="E54" i="15"/>
  <c r="E53" i="15"/>
  <c r="E52" i="15"/>
  <c r="E51" i="15"/>
  <c r="E50" i="15"/>
  <c r="E49" i="15"/>
  <c r="E35" i="15"/>
  <c r="E22" i="15"/>
  <c r="E12" i="15"/>
  <c r="E11" i="15"/>
  <c r="E10" i="15"/>
  <c r="E185" i="14"/>
  <c r="E184" i="14"/>
  <c r="E183" i="14"/>
  <c r="E180" i="14"/>
  <c r="E179" i="14"/>
  <c r="E178" i="14"/>
  <c r="E173" i="14"/>
  <c r="E168" i="14"/>
  <c r="E167" i="14"/>
  <c r="E166" i="14"/>
  <c r="E165" i="14"/>
  <c r="E164" i="14"/>
  <c r="E163" i="14"/>
  <c r="E162" i="14"/>
  <c r="E161" i="14"/>
  <c r="E138" i="14"/>
  <c r="E133" i="14"/>
  <c r="E132" i="14"/>
  <c r="E131" i="14"/>
  <c r="E130" i="14"/>
  <c r="E129" i="14"/>
  <c r="E128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92" i="14"/>
  <c r="E91" i="14"/>
  <c r="E90" i="14"/>
  <c r="E89" i="14"/>
  <c r="E88" i="14"/>
  <c r="E87" i="14"/>
  <c r="E86" i="14"/>
  <c r="E85" i="14"/>
  <c r="E84" i="14"/>
  <c r="E83" i="14"/>
  <c r="E82" i="14"/>
  <c r="E79" i="14"/>
  <c r="E78" i="14"/>
  <c r="E77" i="14"/>
  <c r="E76" i="14"/>
  <c r="E75" i="14"/>
  <c r="E74" i="14"/>
  <c r="E70" i="14"/>
  <c r="E69" i="14"/>
  <c r="E68" i="14"/>
  <c r="E67" i="14"/>
  <c r="E66" i="14"/>
  <c r="E65" i="14"/>
  <c r="E64" i="14"/>
  <c r="E63" i="14"/>
  <c r="E62" i="14"/>
  <c r="E58" i="14"/>
  <c r="E57" i="14"/>
  <c r="E56" i="14"/>
  <c r="E55" i="14"/>
  <c r="E54" i="14"/>
  <c r="E53" i="14"/>
  <c r="E52" i="14"/>
  <c r="E51" i="14"/>
  <c r="E50" i="14"/>
  <c r="E49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24" i="14"/>
  <c r="E23" i="14"/>
  <c r="E22" i="14"/>
  <c r="E12" i="14"/>
  <c r="E11" i="14"/>
  <c r="E185" i="13"/>
  <c r="E184" i="13"/>
  <c r="E183" i="13"/>
  <c r="E180" i="13"/>
  <c r="E179" i="13"/>
  <c r="E178" i="13"/>
  <c r="E168" i="13"/>
  <c r="E167" i="13"/>
  <c r="E166" i="13"/>
  <c r="E165" i="13"/>
  <c r="E164" i="13"/>
  <c r="E163" i="13"/>
  <c r="E162" i="13"/>
  <c r="E161" i="13"/>
  <c r="E138" i="13"/>
  <c r="E128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92" i="13"/>
  <c r="E91" i="13"/>
  <c r="E90" i="13"/>
  <c r="E89" i="13"/>
  <c r="E88" i="13"/>
  <c r="E87" i="13"/>
  <c r="E86" i="13"/>
  <c r="E85" i="13"/>
  <c r="E84" i="13"/>
  <c r="E83" i="13"/>
  <c r="E82" i="13"/>
  <c r="E79" i="13"/>
  <c r="E78" i="13"/>
  <c r="E77" i="13"/>
  <c r="E76" i="13"/>
  <c r="E75" i="13"/>
  <c r="E74" i="13"/>
  <c r="E70" i="13"/>
  <c r="E69" i="13"/>
  <c r="E68" i="13"/>
  <c r="E67" i="13"/>
  <c r="E66" i="13"/>
  <c r="E65" i="13"/>
  <c r="E64" i="13"/>
  <c r="E63" i="13"/>
  <c r="E62" i="13"/>
  <c r="E49" i="13"/>
  <c r="E35" i="13"/>
  <c r="E24" i="13"/>
  <c r="E23" i="13"/>
  <c r="E22" i="13"/>
  <c r="E185" i="12"/>
  <c r="E184" i="12"/>
  <c r="E183" i="12"/>
  <c r="E180" i="12"/>
  <c r="E179" i="12"/>
  <c r="E175" i="12"/>
  <c r="E174" i="12"/>
  <c r="E173" i="12"/>
  <c r="E168" i="12"/>
  <c r="E167" i="12"/>
  <c r="E166" i="12"/>
  <c r="E165" i="12"/>
  <c r="E164" i="12"/>
  <c r="E163" i="12"/>
  <c r="E161" i="12"/>
  <c r="G161" i="12" s="1"/>
  <c r="E142" i="12"/>
  <c r="E141" i="12"/>
  <c r="E140" i="12"/>
  <c r="E139" i="12"/>
  <c r="E138" i="12"/>
  <c r="E128" i="12"/>
  <c r="E123" i="12"/>
  <c r="E122" i="12"/>
  <c r="E121" i="12"/>
  <c r="E120" i="12"/>
  <c r="E119" i="12"/>
  <c r="E117" i="12"/>
  <c r="E116" i="12"/>
  <c r="E115" i="12"/>
  <c r="E114" i="12"/>
  <c r="E112" i="12"/>
  <c r="E92" i="12"/>
  <c r="E91" i="12"/>
  <c r="E90" i="12"/>
  <c r="E89" i="12"/>
  <c r="E88" i="12"/>
  <c r="E87" i="12"/>
  <c r="E86" i="12"/>
  <c r="E85" i="12"/>
  <c r="E84" i="12"/>
  <c r="E83" i="12"/>
  <c r="E82" i="12"/>
  <c r="E79" i="12"/>
  <c r="E78" i="12"/>
  <c r="E77" i="12"/>
  <c r="E76" i="12"/>
  <c r="E75" i="12"/>
  <c r="E74" i="12"/>
  <c r="G74" i="12" s="1"/>
  <c r="E70" i="12"/>
  <c r="E69" i="12"/>
  <c r="E68" i="12"/>
  <c r="E67" i="12"/>
  <c r="E66" i="12"/>
  <c r="E65" i="12"/>
  <c r="E64" i="12"/>
  <c r="E63" i="12"/>
  <c r="E62" i="12"/>
  <c r="E49" i="12"/>
  <c r="E35" i="12"/>
  <c r="G35" i="12" s="1"/>
  <c r="E23" i="12"/>
  <c r="E22" i="12"/>
  <c r="E12" i="12"/>
  <c r="E11" i="12"/>
  <c r="H124" i="11"/>
  <c r="H26" i="11"/>
  <c r="E185" i="11"/>
  <c r="E184" i="11"/>
  <c r="E183" i="11"/>
  <c r="E180" i="11"/>
  <c r="E179" i="11"/>
  <c r="E178" i="11"/>
  <c r="E175" i="11"/>
  <c r="E174" i="11"/>
  <c r="E173" i="11"/>
  <c r="E168" i="11"/>
  <c r="E167" i="11"/>
  <c r="E166" i="11"/>
  <c r="E165" i="11"/>
  <c r="E164" i="11"/>
  <c r="E163" i="11"/>
  <c r="E162" i="11"/>
  <c r="E161" i="11"/>
  <c r="E138" i="11"/>
  <c r="E128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92" i="11"/>
  <c r="E91" i="11"/>
  <c r="E90" i="11"/>
  <c r="E89" i="11"/>
  <c r="E88" i="11"/>
  <c r="E87" i="11"/>
  <c r="E86" i="11"/>
  <c r="E85" i="11"/>
  <c r="E84" i="11"/>
  <c r="E83" i="11"/>
  <c r="E82" i="11"/>
  <c r="E79" i="11"/>
  <c r="E78" i="11"/>
  <c r="E77" i="11"/>
  <c r="E76" i="11"/>
  <c r="E75" i="11"/>
  <c r="E74" i="11"/>
  <c r="E70" i="11"/>
  <c r="E69" i="11"/>
  <c r="E68" i="11"/>
  <c r="E67" i="11"/>
  <c r="E66" i="11"/>
  <c r="E65" i="11"/>
  <c r="E64" i="11"/>
  <c r="E63" i="11"/>
  <c r="E62" i="11"/>
  <c r="E49" i="11"/>
  <c r="E35" i="11"/>
  <c r="E24" i="11"/>
  <c r="E23" i="11"/>
  <c r="E22" i="11"/>
  <c r="E12" i="11"/>
  <c r="E11" i="11"/>
  <c r="E185" i="10"/>
  <c r="E184" i="10"/>
  <c r="E183" i="10"/>
  <c r="E180" i="10"/>
  <c r="E179" i="10"/>
  <c r="E178" i="10"/>
  <c r="E175" i="10"/>
  <c r="E174" i="10"/>
  <c r="E173" i="10"/>
  <c r="E168" i="10"/>
  <c r="E167" i="10"/>
  <c r="E166" i="10"/>
  <c r="G166" i="10" s="1"/>
  <c r="E165" i="10"/>
  <c r="E164" i="10"/>
  <c r="E163" i="10"/>
  <c r="E162" i="10"/>
  <c r="E161" i="10"/>
  <c r="E138" i="10"/>
  <c r="E133" i="10"/>
  <c r="E132" i="10"/>
  <c r="E131" i="10"/>
  <c r="E130" i="10"/>
  <c r="E129" i="10"/>
  <c r="E128" i="10"/>
  <c r="E112" i="10"/>
  <c r="E92" i="10"/>
  <c r="E91" i="10"/>
  <c r="E90" i="10"/>
  <c r="E89" i="10"/>
  <c r="E88" i="10"/>
  <c r="E87" i="10"/>
  <c r="E86" i="10"/>
  <c r="E85" i="10"/>
  <c r="E84" i="10"/>
  <c r="E83" i="10"/>
  <c r="E82" i="10"/>
  <c r="E79" i="10"/>
  <c r="E78" i="10"/>
  <c r="E77" i="10"/>
  <c r="E76" i="10"/>
  <c r="E75" i="10"/>
  <c r="E74" i="10"/>
  <c r="E70" i="10"/>
  <c r="E69" i="10"/>
  <c r="E68" i="10"/>
  <c r="E67" i="10"/>
  <c r="E65" i="10"/>
  <c r="E64" i="10"/>
  <c r="E63" i="10"/>
  <c r="E24" i="10"/>
  <c r="E23" i="10"/>
  <c r="E22" i="10"/>
  <c r="E185" i="9"/>
  <c r="E184" i="9"/>
  <c r="E183" i="9"/>
  <c r="E180" i="9"/>
  <c r="E179" i="9"/>
  <c r="E178" i="9"/>
  <c r="E175" i="9"/>
  <c r="E174" i="9"/>
  <c r="E173" i="9"/>
  <c r="E168" i="9"/>
  <c r="E167" i="9"/>
  <c r="E166" i="9"/>
  <c r="E165" i="9"/>
  <c r="E164" i="9"/>
  <c r="E163" i="9"/>
  <c r="E162" i="9"/>
  <c r="E161" i="9"/>
  <c r="E142" i="9"/>
  <c r="E141" i="9"/>
  <c r="E140" i="9"/>
  <c r="E139" i="9"/>
  <c r="E138" i="9"/>
  <c r="E133" i="9"/>
  <c r="E132" i="9"/>
  <c r="E131" i="9"/>
  <c r="E130" i="9"/>
  <c r="E129" i="9"/>
  <c r="E128" i="9"/>
  <c r="E112" i="9"/>
  <c r="E91" i="9"/>
  <c r="E90" i="9"/>
  <c r="E89" i="9"/>
  <c r="E88" i="9"/>
  <c r="E87" i="9"/>
  <c r="E86" i="9"/>
  <c r="E85" i="9"/>
  <c r="E84" i="9"/>
  <c r="E83" i="9"/>
  <c r="E82" i="9"/>
  <c r="E79" i="9"/>
  <c r="E74" i="9"/>
  <c r="E70" i="9"/>
  <c r="E69" i="9"/>
  <c r="E68" i="9"/>
  <c r="E67" i="9"/>
  <c r="E65" i="9"/>
  <c r="E64" i="9"/>
  <c r="E63" i="9"/>
  <c r="E62" i="9"/>
  <c r="E58" i="9"/>
  <c r="E57" i="9"/>
  <c r="E56" i="9"/>
  <c r="E55" i="9"/>
  <c r="E54" i="9"/>
  <c r="E53" i="9"/>
  <c r="E52" i="9"/>
  <c r="E51" i="9"/>
  <c r="E50" i="9"/>
  <c r="E49" i="9"/>
  <c r="E46" i="9"/>
  <c r="E45" i="9"/>
  <c r="E44" i="9"/>
  <c r="E43" i="9"/>
  <c r="E42" i="9"/>
  <c r="E41" i="9"/>
  <c r="E40" i="9"/>
  <c r="E39" i="9"/>
  <c r="E38" i="9"/>
  <c r="E37" i="9"/>
  <c r="E36" i="9"/>
  <c r="E35" i="9"/>
  <c r="E22" i="9"/>
  <c r="E12" i="9"/>
  <c r="E11" i="9"/>
  <c r="E185" i="8"/>
  <c r="E184" i="8"/>
  <c r="E183" i="8"/>
  <c r="E180" i="8"/>
  <c r="E179" i="8"/>
  <c r="E178" i="8"/>
  <c r="E175" i="8"/>
  <c r="E174" i="8"/>
  <c r="E173" i="8"/>
  <c r="E168" i="8"/>
  <c r="E167" i="8"/>
  <c r="E166" i="8"/>
  <c r="E165" i="8"/>
  <c r="E164" i="8"/>
  <c r="E163" i="8"/>
  <c r="E162" i="8"/>
  <c r="E161" i="8"/>
  <c r="E142" i="8"/>
  <c r="E141" i="8"/>
  <c r="E140" i="8"/>
  <c r="E139" i="8"/>
  <c r="E138" i="8"/>
  <c r="E133" i="8"/>
  <c r="E132" i="8"/>
  <c r="E131" i="8"/>
  <c r="E130" i="8"/>
  <c r="E129" i="8"/>
  <c r="E128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92" i="8"/>
  <c r="E91" i="8"/>
  <c r="E90" i="8"/>
  <c r="E89" i="8"/>
  <c r="E88" i="8"/>
  <c r="E87" i="8"/>
  <c r="E86" i="8"/>
  <c r="E85" i="8"/>
  <c r="E84" i="8"/>
  <c r="E83" i="8"/>
  <c r="E82" i="8"/>
  <c r="E79" i="8"/>
  <c r="E78" i="8"/>
  <c r="E77" i="8"/>
  <c r="E76" i="8"/>
  <c r="E75" i="8"/>
  <c r="E74" i="8"/>
  <c r="E70" i="8"/>
  <c r="E69" i="8"/>
  <c r="E68" i="8"/>
  <c r="E67" i="8"/>
  <c r="E66" i="8"/>
  <c r="E65" i="8"/>
  <c r="E64" i="8"/>
  <c r="E63" i="8"/>
  <c r="E62" i="8"/>
  <c r="E58" i="8"/>
  <c r="E57" i="8"/>
  <c r="E56" i="8"/>
  <c r="E55" i="8"/>
  <c r="E54" i="8"/>
  <c r="E53" i="8"/>
  <c r="E52" i="8"/>
  <c r="E51" i="8"/>
  <c r="E50" i="8"/>
  <c r="E49" i="8"/>
  <c r="E46" i="8"/>
  <c r="E45" i="8"/>
  <c r="E44" i="8"/>
  <c r="E43" i="8"/>
  <c r="E42" i="8"/>
  <c r="E41" i="8"/>
  <c r="E40" i="8"/>
  <c r="E39" i="8"/>
  <c r="E38" i="8"/>
  <c r="E37" i="8"/>
  <c r="E36" i="8"/>
  <c r="E35" i="8"/>
  <c r="E24" i="8"/>
  <c r="E23" i="8"/>
  <c r="E22" i="8"/>
  <c r="E12" i="8"/>
  <c r="E11" i="8"/>
  <c r="E4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68" i="7"/>
  <c r="E167" i="7"/>
  <c r="E166" i="7"/>
  <c r="E165" i="7"/>
  <c r="E164" i="7"/>
  <c r="E163" i="7"/>
  <c r="E162" i="7"/>
  <c r="E161" i="7"/>
  <c r="E142" i="7"/>
  <c r="E141" i="7"/>
  <c r="E140" i="7"/>
  <c r="E139" i="7"/>
  <c r="E138" i="7"/>
  <c r="E133" i="7"/>
  <c r="E132" i="7"/>
  <c r="E131" i="7"/>
  <c r="E130" i="7"/>
  <c r="E129" i="7"/>
  <c r="E128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92" i="7"/>
  <c r="E91" i="7"/>
  <c r="E90" i="7"/>
  <c r="E89" i="7"/>
  <c r="E88" i="7"/>
  <c r="E87" i="7"/>
  <c r="E86" i="7"/>
  <c r="E85" i="7"/>
  <c r="E84" i="7"/>
  <c r="E83" i="7"/>
  <c r="E82" i="7"/>
  <c r="E78" i="7"/>
  <c r="E77" i="7"/>
  <c r="E76" i="7"/>
  <c r="E75" i="7"/>
  <c r="E74" i="7"/>
  <c r="E70" i="7"/>
  <c r="E69" i="7"/>
  <c r="E68" i="7"/>
  <c r="E67" i="7"/>
  <c r="E66" i="7"/>
  <c r="E65" i="7"/>
  <c r="E64" i="7"/>
  <c r="E63" i="7"/>
  <c r="E62" i="7"/>
  <c r="E58" i="7"/>
  <c r="E57" i="7"/>
  <c r="E56" i="7"/>
  <c r="E55" i="7"/>
  <c r="E54" i="7"/>
  <c r="E53" i="7"/>
  <c r="E52" i="7"/>
  <c r="E51" i="7"/>
  <c r="E50" i="7"/>
  <c r="E49" i="7"/>
  <c r="E45" i="7"/>
  <c r="E44" i="7"/>
  <c r="E43" i="7"/>
  <c r="E42" i="7"/>
  <c r="E41" i="7"/>
  <c r="E40" i="7"/>
  <c r="E39" i="7"/>
  <c r="E38" i="7"/>
  <c r="E37" i="7"/>
  <c r="E36" i="7"/>
  <c r="E35" i="7"/>
  <c r="E24" i="7"/>
  <c r="E22" i="7"/>
  <c r="E12" i="7"/>
  <c r="E11" i="7"/>
  <c r="E185" i="33"/>
  <c r="E184" i="33"/>
  <c r="E183" i="33"/>
  <c r="E182" i="33"/>
  <c r="E181" i="33"/>
  <c r="E180" i="33"/>
  <c r="E179" i="33"/>
  <c r="E178" i="33"/>
  <c r="E177" i="33"/>
  <c r="E176" i="33"/>
  <c r="E175" i="33"/>
  <c r="E174" i="33"/>
  <c r="E173" i="33"/>
  <c r="E168" i="33"/>
  <c r="E167" i="33"/>
  <c r="E166" i="33"/>
  <c r="E165" i="33"/>
  <c r="E164" i="33"/>
  <c r="E163" i="33"/>
  <c r="E162" i="33"/>
  <c r="E161" i="33"/>
  <c r="E142" i="33"/>
  <c r="E141" i="33"/>
  <c r="E140" i="33"/>
  <c r="E139" i="33"/>
  <c r="E138" i="33"/>
  <c r="E133" i="33"/>
  <c r="E132" i="33"/>
  <c r="E131" i="33"/>
  <c r="E130" i="33"/>
  <c r="E129" i="33"/>
  <c r="E128" i="33"/>
  <c r="E123" i="33"/>
  <c r="E122" i="33"/>
  <c r="E120" i="33"/>
  <c r="E119" i="33"/>
  <c r="E118" i="33"/>
  <c r="E117" i="33"/>
  <c r="E116" i="33"/>
  <c r="E115" i="33"/>
  <c r="E114" i="33"/>
  <c r="E113" i="33"/>
  <c r="E112" i="33"/>
  <c r="G112" i="33" s="1"/>
  <c r="E92" i="33"/>
  <c r="E91" i="33"/>
  <c r="E90" i="33"/>
  <c r="E89" i="33"/>
  <c r="E88" i="33"/>
  <c r="E87" i="33"/>
  <c r="E86" i="33"/>
  <c r="E84" i="33"/>
  <c r="E83" i="33"/>
  <c r="E82" i="33"/>
  <c r="E78" i="33"/>
  <c r="E77" i="33"/>
  <c r="E76" i="33"/>
  <c r="E75" i="33"/>
  <c r="E74" i="33"/>
  <c r="E70" i="33"/>
  <c r="E69" i="33"/>
  <c r="E68" i="33"/>
  <c r="E67" i="33"/>
  <c r="E66" i="33"/>
  <c r="E65" i="33"/>
  <c r="E64" i="33"/>
  <c r="E63" i="33"/>
  <c r="E62" i="33"/>
  <c r="G62" i="33" s="1"/>
  <c r="E58" i="33"/>
  <c r="E57" i="33"/>
  <c r="E56" i="33"/>
  <c r="E55" i="33"/>
  <c r="E54" i="33"/>
  <c r="E53" i="33"/>
  <c r="E52" i="33"/>
  <c r="E51" i="33"/>
  <c r="E50" i="33"/>
  <c r="E46" i="33"/>
  <c r="E45" i="33"/>
  <c r="E44" i="33"/>
  <c r="E43" i="33"/>
  <c r="E42" i="33"/>
  <c r="E41" i="33"/>
  <c r="E40" i="33"/>
  <c r="E39" i="33"/>
  <c r="E38" i="33"/>
  <c r="E37" i="33"/>
  <c r="E36" i="33"/>
  <c r="E35" i="33"/>
  <c r="E24" i="33"/>
  <c r="E23" i="33"/>
  <c r="E22" i="33"/>
  <c r="E12" i="33"/>
  <c r="E11" i="33"/>
  <c r="H124" i="5"/>
  <c r="E185" i="5"/>
  <c r="E184" i="5"/>
  <c r="E183" i="5"/>
  <c r="E180" i="5"/>
  <c r="E179" i="5"/>
  <c r="E178" i="5"/>
  <c r="E175" i="5"/>
  <c r="E174" i="5"/>
  <c r="E173" i="5"/>
  <c r="E168" i="5"/>
  <c r="G168" i="5" s="1"/>
  <c r="E167" i="5"/>
  <c r="G167" i="5" s="1"/>
  <c r="E166" i="5"/>
  <c r="G166" i="5" s="1"/>
  <c r="E165" i="5"/>
  <c r="E164" i="5"/>
  <c r="E163" i="5"/>
  <c r="E162" i="5"/>
  <c r="E161" i="5"/>
  <c r="E142" i="5"/>
  <c r="E141" i="5"/>
  <c r="E140" i="5"/>
  <c r="E139" i="5"/>
  <c r="E138" i="5"/>
  <c r="E133" i="5"/>
  <c r="E132" i="5"/>
  <c r="E131" i="5"/>
  <c r="E130" i="5"/>
  <c r="E129" i="5"/>
  <c r="E128" i="5"/>
  <c r="E112" i="5"/>
  <c r="E92" i="5"/>
  <c r="E91" i="5"/>
  <c r="E90" i="5"/>
  <c r="E89" i="5"/>
  <c r="E88" i="5"/>
  <c r="E87" i="5"/>
  <c r="E86" i="5"/>
  <c r="E84" i="5"/>
  <c r="E83" i="5"/>
  <c r="E82" i="5"/>
  <c r="E79" i="5"/>
  <c r="E78" i="5"/>
  <c r="E77" i="5"/>
  <c r="E76" i="5"/>
  <c r="E75" i="5"/>
  <c r="E74" i="5"/>
  <c r="E70" i="5"/>
  <c r="E69" i="5"/>
  <c r="E68" i="5"/>
  <c r="E67" i="5"/>
  <c r="E66" i="5"/>
  <c r="E65" i="5"/>
  <c r="E63" i="5"/>
  <c r="E62" i="5"/>
  <c r="E49" i="5"/>
  <c r="E35" i="5"/>
  <c r="E24" i="5"/>
  <c r="E23" i="5"/>
  <c r="E22" i="5"/>
  <c r="E185" i="4"/>
  <c r="E184" i="4"/>
  <c r="E183" i="4"/>
  <c r="E180" i="4"/>
  <c r="E179" i="4"/>
  <c r="E178" i="4"/>
  <c r="E175" i="4"/>
  <c r="E174" i="4"/>
  <c r="E173" i="4"/>
  <c r="E168" i="4"/>
  <c r="E167" i="4"/>
  <c r="E166" i="4"/>
  <c r="E165" i="4"/>
  <c r="E164" i="4"/>
  <c r="E163" i="4"/>
  <c r="E162" i="4"/>
  <c r="E161" i="4"/>
  <c r="E142" i="4"/>
  <c r="E141" i="4"/>
  <c r="E140" i="4"/>
  <c r="E139" i="4"/>
  <c r="E138" i="4"/>
  <c r="E132" i="4"/>
  <c r="E131" i="4"/>
  <c r="E130" i="4"/>
  <c r="E129" i="4"/>
  <c r="E128" i="4"/>
  <c r="G128" i="4" s="1"/>
  <c r="E123" i="4"/>
  <c r="E122" i="4"/>
  <c r="E121" i="4"/>
  <c r="E120" i="4"/>
  <c r="E119" i="4"/>
  <c r="E118" i="4"/>
  <c r="E117" i="4"/>
  <c r="E116" i="4"/>
  <c r="E115" i="4"/>
  <c r="E114" i="4"/>
  <c r="E113" i="4"/>
  <c r="E112" i="4"/>
  <c r="E92" i="4"/>
  <c r="E91" i="4"/>
  <c r="E89" i="4"/>
  <c r="E88" i="4"/>
  <c r="E87" i="4"/>
  <c r="E86" i="4"/>
  <c r="E85" i="4"/>
  <c r="E84" i="4"/>
  <c r="E83" i="4"/>
  <c r="E82" i="4"/>
  <c r="E79" i="4"/>
  <c r="E78" i="4"/>
  <c r="E77" i="4"/>
  <c r="E76" i="4"/>
  <c r="E75" i="4"/>
  <c r="E74" i="4"/>
  <c r="E70" i="4"/>
  <c r="E69" i="4"/>
  <c r="E68" i="4"/>
  <c r="E67" i="4"/>
  <c r="E66" i="4"/>
  <c r="E65" i="4"/>
  <c r="E64" i="4"/>
  <c r="E63" i="4"/>
  <c r="G63" i="4" s="1"/>
  <c r="E62" i="4"/>
  <c r="E58" i="4"/>
  <c r="E57" i="4"/>
  <c r="E56" i="4"/>
  <c r="E55" i="4"/>
  <c r="E54" i="4"/>
  <c r="E53" i="4"/>
  <c r="E52" i="4"/>
  <c r="E51" i="4"/>
  <c r="E50" i="4"/>
  <c r="E49" i="4"/>
  <c r="E46" i="4"/>
  <c r="E45" i="4"/>
  <c r="E44" i="4"/>
  <c r="E43" i="4"/>
  <c r="E41" i="4"/>
  <c r="E39" i="4"/>
  <c r="E38" i="4"/>
  <c r="E37" i="4"/>
  <c r="E36" i="4"/>
  <c r="E35" i="4"/>
  <c r="E24" i="4"/>
  <c r="E23" i="4"/>
  <c r="E22" i="4"/>
  <c r="E12" i="4"/>
  <c r="E11" i="4"/>
  <c r="E133" i="3"/>
  <c r="E132" i="3"/>
  <c r="E131" i="3"/>
  <c r="E130" i="3"/>
  <c r="E129" i="3"/>
  <c r="E128" i="3"/>
  <c r="E74" i="3"/>
  <c r="E79" i="3"/>
  <c r="E78" i="3"/>
  <c r="E77" i="3"/>
  <c r="E76" i="3"/>
  <c r="E75" i="3"/>
  <c r="E24" i="3"/>
  <c r="E19" i="3"/>
  <c r="E18" i="3"/>
  <c r="E18" i="4" s="1"/>
  <c r="E18" i="5" s="1"/>
  <c r="E18" i="33" s="1"/>
  <c r="E18" i="7" s="1"/>
  <c r="E18" i="8" s="1"/>
  <c r="E18" i="9" s="1"/>
  <c r="E18" i="10" s="1"/>
  <c r="E18" i="11" s="1"/>
  <c r="E18" i="12" s="1"/>
  <c r="E18" i="13" s="1"/>
  <c r="E18" i="14" s="1"/>
  <c r="E18" i="15" s="1"/>
  <c r="E18" i="16" s="1"/>
  <c r="E18" i="17" s="1"/>
  <c r="E18" i="18" s="1"/>
  <c r="E18" i="19" s="1"/>
  <c r="E18" i="20" s="1"/>
  <c r="E18" i="21" s="1"/>
  <c r="E18" i="22" s="1"/>
  <c r="E18" i="23" s="1"/>
  <c r="E18" i="24" s="1"/>
  <c r="E18" i="25" s="1"/>
  <c r="E18" i="40" s="1"/>
  <c r="E18" i="27" s="1"/>
  <c r="E18" i="28" s="1"/>
  <c r="E18" i="29" s="1"/>
  <c r="E18" i="30" s="1"/>
  <c r="E18" i="43" s="1"/>
  <c r="E185" i="3"/>
  <c r="E184" i="3"/>
  <c r="E183" i="3"/>
  <c r="E180" i="3"/>
  <c r="E179" i="3"/>
  <c r="E178" i="3"/>
  <c r="E175" i="3"/>
  <c r="E174" i="3"/>
  <c r="E173" i="3"/>
  <c r="E168" i="3"/>
  <c r="E167" i="3"/>
  <c r="E166" i="3"/>
  <c r="E165" i="3"/>
  <c r="E164" i="3"/>
  <c r="E163" i="3"/>
  <c r="E162" i="3"/>
  <c r="E140" i="3"/>
  <c r="E138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92" i="3"/>
  <c r="E91" i="3"/>
  <c r="E89" i="3"/>
  <c r="E88" i="3"/>
  <c r="E87" i="3"/>
  <c r="E86" i="3"/>
  <c r="E85" i="3"/>
  <c r="E84" i="3"/>
  <c r="E83" i="3"/>
  <c r="E82" i="3"/>
  <c r="E70" i="3"/>
  <c r="E68" i="3"/>
  <c r="E67" i="3"/>
  <c r="E66" i="3"/>
  <c r="E65" i="3"/>
  <c r="E64" i="3"/>
  <c r="E63" i="3"/>
  <c r="E62" i="3"/>
  <c r="E58" i="3"/>
  <c r="E57" i="3"/>
  <c r="E56" i="3"/>
  <c r="E55" i="3"/>
  <c r="E54" i="3"/>
  <c r="E53" i="3"/>
  <c r="E52" i="3"/>
  <c r="E51" i="3"/>
  <c r="E50" i="3"/>
  <c r="E49" i="3"/>
  <c r="E46" i="3"/>
  <c r="E45" i="3"/>
  <c r="E44" i="3"/>
  <c r="E43" i="3"/>
  <c r="E42" i="3"/>
  <c r="E41" i="3"/>
  <c r="E39" i="3"/>
  <c r="E38" i="3"/>
  <c r="E37" i="3"/>
  <c r="E36" i="3"/>
  <c r="E35" i="3"/>
  <c r="E23" i="3"/>
  <c r="E22" i="3"/>
  <c r="G22" i="3" s="1"/>
  <c r="E15" i="3"/>
  <c r="E12" i="3"/>
  <c r="E11" i="3"/>
  <c r="G11" i="3" s="1"/>
  <c r="E10" i="3"/>
  <c r="E8" i="3"/>
  <c r="E9" i="3"/>
  <c r="H182" i="2"/>
  <c r="J182" i="2" s="1"/>
  <c r="H177" i="2"/>
  <c r="J177" i="2" s="1"/>
  <c r="H127" i="2"/>
  <c r="J127" i="2" s="1"/>
  <c r="G23" i="2"/>
  <c r="H23" i="2" s="1"/>
  <c r="J23" i="2" s="1"/>
  <c r="G22" i="2"/>
  <c r="G19" i="2"/>
  <c r="E30" i="2" s="1"/>
  <c r="G15" i="2"/>
  <c r="E28" i="2" s="1"/>
  <c r="H13" i="2"/>
  <c r="J13" i="2" s="1"/>
  <c r="G12" i="2"/>
  <c r="H12" i="2" s="1"/>
  <c r="J12" i="2" s="1"/>
  <c r="G11" i="2"/>
  <c r="H11" i="2" s="1"/>
  <c r="J11" i="2" s="1"/>
  <c r="G10" i="2"/>
  <c r="H10" i="2" s="1"/>
  <c r="J10" i="2" s="1"/>
  <c r="G9" i="2"/>
  <c r="H9" i="2" s="1"/>
  <c r="J9" i="2" s="1"/>
  <c r="G8" i="2"/>
  <c r="E27" i="2" s="1"/>
  <c r="G7" i="2"/>
  <c r="I18" i="3"/>
  <c r="I7" i="3"/>
  <c r="G22" i="15" l="1"/>
  <c r="E24" i="15"/>
  <c r="J155" i="5"/>
  <c r="J155" i="4"/>
  <c r="H155" i="7"/>
  <c r="H155" i="8" s="1"/>
  <c r="J156" i="5"/>
  <c r="J156" i="4"/>
  <c r="I92" i="17"/>
  <c r="G27" i="2"/>
  <c r="G22" i="19"/>
  <c r="G24" i="19" s="1"/>
  <c r="E29" i="19" s="1"/>
  <c r="E24" i="19"/>
  <c r="G8" i="3"/>
  <c r="E27" i="3" s="1"/>
  <c r="G27" i="3" s="1"/>
  <c r="E8" i="33"/>
  <c r="E15" i="4"/>
  <c r="E15" i="5" s="1"/>
  <c r="E15" i="33" s="1"/>
  <c r="E7" i="4"/>
  <c r="E7" i="5" s="1"/>
  <c r="E7" i="33" s="1"/>
  <c r="E10" i="4"/>
  <c r="E10" i="33" s="1"/>
  <c r="E10" i="7" s="1"/>
  <c r="E10" i="8" s="1"/>
  <c r="E10" i="9" s="1"/>
  <c r="E10" i="11" s="1"/>
  <c r="E10" i="12" s="1"/>
  <c r="E10" i="13" s="1"/>
  <c r="G9" i="3"/>
  <c r="E9" i="4"/>
  <c r="E9" i="33" s="1"/>
  <c r="G19" i="3"/>
  <c r="E19" i="4"/>
  <c r="E19" i="5" s="1"/>
  <c r="G18" i="3"/>
  <c r="E10" i="16"/>
  <c r="G149" i="19"/>
  <c r="G151" i="19"/>
  <c r="Z22" i="44" s="1"/>
  <c r="G146" i="19"/>
  <c r="T22" i="44" s="1"/>
  <c r="G147" i="19"/>
  <c r="V22" i="44" s="1"/>
  <c r="H156" i="7"/>
  <c r="J156" i="7" s="1"/>
  <c r="G145" i="19"/>
  <c r="S22" i="44" s="1"/>
  <c r="G150" i="19"/>
  <c r="G143" i="19"/>
  <c r="X22" i="44" s="1"/>
  <c r="H18" i="2"/>
  <c r="J18" i="2" s="1"/>
  <c r="H19" i="2"/>
  <c r="J19" i="2" s="1"/>
  <c r="H8" i="2"/>
  <c r="J8" i="2" s="1"/>
  <c r="I9" i="2" s="1"/>
  <c r="H15" i="2"/>
  <c r="J15" i="2" s="1"/>
  <c r="I16" i="2" s="1"/>
  <c r="I16" i="31" s="1"/>
  <c r="G24" i="2"/>
  <c r="E29" i="2" s="1"/>
  <c r="I13" i="2"/>
  <c r="G144" i="19"/>
  <c r="U22" i="44" s="1"/>
  <c r="G148" i="19"/>
  <c r="W22" i="44" s="1"/>
  <c r="G152" i="19"/>
  <c r="H168" i="5"/>
  <c r="H168" i="33" s="1"/>
  <c r="H168" i="7" s="1"/>
  <c r="H168" i="8" s="1"/>
  <c r="H167" i="5"/>
  <c r="H167" i="33" s="1"/>
  <c r="H167" i="7" s="1"/>
  <c r="H167" i="8" s="1"/>
  <c r="H166" i="5"/>
  <c r="H166" i="33" s="1"/>
  <c r="H166" i="7" s="1"/>
  <c r="J166" i="7" s="1"/>
  <c r="H182" i="3"/>
  <c r="H182" i="4" s="1"/>
  <c r="J182" i="4" s="1"/>
  <c r="H152" i="3"/>
  <c r="H152" i="4" s="1"/>
  <c r="H127" i="3"/>
  <c r="H127" i="4" s="1"/>
  <c r="J127" i="4" s="1"/>
  <c r="H177" i="3"/>
  <c r="H177" i="4" s="1"/>
  <c r="H177" i="5" s="1"/>
  <c r="H151" i="2"/>
  <c r="J151" i="2" s="1"/>
  <c r="Z5" i="44"/>
  <c r="H134" i="3"/>
  <c r="H134" i="4" s="1"/>
  <c r="G134" i="20"/>
  <c r="H22" i="2"/>
  <c r="J22" i="2" s="1"/>
  <c r="H23" i="3"/>
  <c r="H11" i="3"/>
  <c r="J11" i="3" s="1"/>
  <c r="H12" i="3"/>
  <c r="H7" i="2"/>
  <c r="J7" i="2" s="1"/>
  <c r="G20" i="2"/>
  <c r="G10" i="16" l="1"/>
  <c r="J155" i="7"/>
  <c r="H20" i="2"/>
  <c r="J20" i="2" s="1"/>
  <c r="I20" i="2" s="1"/>
  <c r="G15" i="17"/>
  <c r="G20" i="3"/>
  <c r="H9" i="3"/>
  <c r="J9" i="3" s="1"/>
  <c r="G7" i="3"/>
  <c r="H7" i="3" s="1"/>
  <c r="J7" i="3" s="1"/>
  <c r="G10" i="3"/>
  <c r="H10" i="3" s="1"/>
  <c r="J10" i="3" s="1"/>
  <c r="G15" i="3"/>
  <c r="H15" i="3" s="1"/>
  <c r="J15" i="3" s="1"/>
  <c r="I16" i="3" s="1"/>
  <c r="E19" i="33"/>
  <c r="E15" i="7"/>
  <c r="E9" i="7"/>
  <c r="E8" i="7"/>
  <c r="Z37" i="44"/>
  <c r="Z36" i="44"/>
  <c r="H19" i="3"/>
  <c r="J19" i="3" s="1"/>
  <c r="H18" i="3"/>
  <c r="J18" i="3" s="1"/>
  <c r="H156" i="8"/>
  <c r="J156" i="8" s="1"/>
  <c r="H155" i="9"/>
  <c r="J155" i="8"/>
  <c r="H8" i="3"/>
  <c r="J8" i="3" s="1"/>
  <c r="I9" i="3" s="1"/>
  <c r="H24" i="2"/>
  <c r="H166" i="8"/>
  <c r="J166" i="8" s="1"/>
  <c r="J168" i="7"/>
  <c r="J167" i="7"/>
  <c r="J177" i="4"/>
  <c r="J134" i="3"/>
  <c r="H182" i="5"/>
  <c r="H182" i="33" s="1"/>
  <c r="J127" i="3"/>
  <c r="J182" i="3"/>
  <c r="H127" i="5"/>
  <c r="J127" i="5" s="1"/>
  <c r="J152" i="3"/>
  <c r="J152" i="4"/>
  <c r="H152" i="5"/>
  <c r="J134" i="4"/>
  <c r="H134" i="5"/>
  <c r="H151" i="3"/>
  <c r="H22" i="3"/>
  <c r="J22" i="3" s="1"/>
  <c r="H177" i="33"/>
  <c r="J177" i="5"/>
  <c r="J168" i="8"/>
  <c r="H168" i="9"/>
  <c r="H167" i="9"/>
  <c r="J167" i="8"/>
  <c r="H23" i="4"/>
  <c r="H23" i="5" s="1"/>
  <c r="H23" i="33" s="1"/>
  <c r="H23" i="7" s="1"/>
  <c r="H23" i="8" s="1"/>
  <c r="H23" i="9" s="1"/>
  <c r="H23" i="10" s="1"/>
  <c r="H23" i="11" s="1"/>
  <c r="H23" i="12" s="1"/>
  <c r="H23" i="13" s="1"/>
  <c r="H23" i="14" s="1"/>
  <c r="H23" i="15" s="1"/>
  <c r="H23" i="16" s="1"/>
  <c r="H23" i="17" s="1"/>
  <c r="H23" i="18" s="1"/>
  <c r="H23" i="19" s="1"/>
  <c r="H23" i="20" s="1"/>
  <c r="H23" i="21" s="1"/>
  <c r="H23" i="22" s="1"/>
  <c r="H23" i="23" s="1"/>
  <c r="H23" i="24" s="1"/>
  <c r="H23" i="25" s="1"/>
  <c r="H23" i="40" s="1"/>
  <c r="H23" i="27" s="1"/>
  <c r="H23" i="28" s="1"/>
  <c r="H23" i="29" s="1"/>
  <c r="H23" i="30" s="1"/>
  <c r="H23" i="43" s="1"/>
  <c r="H23" i="31" s="1"/>
  <c r="J23" i="3"/>
  <c r="J12" i="3"/>
  <c r="G185" i="31"/>
  <c r="G184" i="31"/>
  <c r="G183" i="31"/>
  <c r="G180" i="31"/>
  <c r="AH23" i="45" s="1"/>
  <c r="G179" i="31"/>
  <c r="AH22" i="45" s="1"/>
  <c r="G178" i="31"/>
  <c r="AH21" i="45" s="1"/>
  <c r="G175" i="31"/>
  <c r="AH19" i="45" s="1"/>
  <c r="G174" i="31"/>
  <c r="AH18" i="45" s="1"/>
  <c r="G173" i="31"/>
  <c r="AH17" i="45" s="1"/>
  <c r="G165" i="31"/>
  <c r="G164" i="31"/>
  <c r="G163" i="31"/>
  <c r="G162" i="31"/>
  <c r="AB35" i="44" s="1"/>
  <c r="G161" i="31"/>
  <c r="AA35" i="44" s="1"/>
  <c r="G142" i="31"/>
  <c r="R35" i="44" s="1"/>
  <c r="G141" i="31"/>
  <c r="Q35" i="44" s="1"/>
  <c r="G140" i="31"/>
  <c r="P35" i="44" s="1"/>
  <c r="G139" i="31"/>
  <c r="O35" i="44" s="1"/>
  <c r="G138" i="31"/>
  <c r="G133" i="31"/>
  <c r="G132" i="31"/>
  <c r="G131" i="31"/>
  <c r="G130" i="31"/>
  <c r="G129" i="31"/>
  <c r="G128" i="31"/>
  <c r="G123" i="31"/>
  <c r="AL35" i="44" s="1"/>
  <c r="G122" i="31"/>
  <c r="AK35" i="44" s="1"/>
  <c r="G121" i="31"/>
  <c r="AJ35" i="44" s="1"/>
  <c r="G120" i="31"/>
  <c r="AI35" i="44" s="1"/>
  <c r="G119" i="31"/>
  <c r="AH35" i="44" s="1"/>
  <c r="G118" i="31"/>
  <c r="AG35" i="44" s="1"/>
  <c r="G117" i="31"/>
  <c r="AF35" i="44" s="1"/>
  <c r="G116" i="31"/>
  <c r="AE35" i="44" s="1"/>
  <c r="G115" i="31"/>
  <c r="G114" i="31"/>
  <c r="G113" i="31"/>
  <c r="G112" i="31"/>
  <c r="G92" i="31"/>
  <c r="G91" i="31"/>
  <c r="AI34" i="1"/>
  <c r="G89" i="31"/>
  <c r="G88" i="31"/>
  <c r="G87" i="31"/>
  <c r="AC34" i="1" s="1"/>
  <c r="G86" i="31"/>
  <c r="AB34" i="1" s="1"/>
  <c r="G85" i="31"/>
  <c r="AA34" i="1" s="1"/>
  <c r="G84" i="31"/>
  <c r="G83" i="31"/>
  <c r="G82" i="31"/>
  <c r="G78" i="31"/>
  <c r="AS35" i="44" s="1"/>
  <c r="G77" i="31"/>
  <c r="AR35" i="44" s="1"/>
  <c r="G76" i="31"/>
  <c r="AQ35" i="44" s="1"/>
  <c r="G75" i="31"/>
  <c r="AP35" i="44" s="1"/>
  <c r="G74" i="31"/>
  <c r="G70" i="31"/>
  <c r="AH15" i="45" s="1"/>
  <c r="G69" i="31"/>
  <c r="AH14" i="45" s="1"/>
  <c r="G68" i="31"/>
  <c r="AH13" i="45" s="1"/>
  <c r="G67" i="31"/>
  <c r="G66" i="31"/>
  <c r="G65" i="31"/>
  <c r="G63" i="31"/>
  <c r="AH8" i="45" s="1"/>
  <c r="G62" i="31"/>
  <c r="AH7" i="45" s="1"/>
  <c r="G58" i="31"/>
  <c r="G57" i="31"/>
  <c r="G56" i="31"/>
  <c r="G55" i="31"/>
  <c r="G54" i="31"/>
  <c r="G53" i="31"/>
  <c r="G52" i="31"/>
  <c r="G51" i="31"/>
  <c r="G50" i="31"/>
  <c r="G49" i="31"/>
  <c r="G46" i="31"/>
  <c r="G45" i="31"/>
  <c r="G44" i="31"/>
  <c r="G43" i="31"/>
  <c r="G42" i="31"/>
  <c r="G41" i="31"/>
  <c r="G40" i="31"/>
  <c r="G39" i="31"/>
  <c r="G38" i="31"/>
  <c r="G37" i="31"/>
  <c r="G36" i="31"/>
  <c r="G35" i="31"/>
  <c r="G29" i="31"/>
  <c r="G22" i="31"/>
  <c r="G18" i="31"/>
  <c r="K9" i="31"/>
  <c r="M8" i="31"/>
  <c r="G185" i="43"/>
  <c r="G184" i="43"/>
  <c r="G183" i="43"/>
  <c r="G180" i="43"/>
  <c r="AG23" i="45" s="1"/>
  <c r="G179" i="43"/>
  <c r="AG22" i="45" s="1"/>
  <c r="G178" i="43"/>
  <c r="AG21" i="45" s="1"/>
  <c r="G175" i="43"/>
  <c r="AG19" i="45" s="1"/>
  <c r="G174" i="43"/>
  <c r="AG18" i="45" s="1"/>
  <c r="G173" i="43"/>
  <c r="AG17" i="45" s="1"/>
  <c r="G165" i="43"/>
  <c r="G164" i="43"/>
  <c r="G163" i="43"/>
  <c r="G162" i="43"/>
  <c r="AB34" i="44" s="1"/>
  <c r="G161" i="43"/>
  <c r="AA34" i="44" s="1"/>
  <c r="G142" i="43"/>
  <c r="R34" i="44" s="1"/>
  <c r="G141" i="43"/>
  <c r="Q34" i="44" s="1"/>
  <c r="G140" i="43"/>
  <c r="P34" i="44" s="1"/>
  <c r="G139" i="43"/>
  <c r="O34" i="44" s="1"/>
  <c r="G138" i="43"/>
  <c r="G133" i="43"/>
  <c r="G132" i="43"/>
  <c r="G131" i="43"/>
  <c r="G130" i="43"/>
  <c r="G129" i="43"/>
  <c r="G128" i="43"/>
  <c r="G123" i="43"/>
  <c r="AL34" i="44" s="1"/>
  <c r="G122" i="43"/>
  <c r="AK34" i="44" s="1"/>
  <c r="G121" i="43"/>
  <c r="AJ34" i="44" s="1"/>
  <c r="G120" i="43"/>
  <c r="AI34" i="44" s="1"/>
  <c r="G119" i="43"/>
  <c r="AH34" i="44" s="1"/>
  <c r="G118" i="43"/>
  <c r="AG34" i="44" s="1"/>
  <c r="G117" i="43"/>
  <c r="AF34" i="44" s="1"/>
  <c r="G116" i="43"/>
  <c r="AE34" i="44" s="1"/>
  <c r="G115" i="43"/>
  <c r="G114" i="43"/>
  <c r="G113" i="43"/>
  <c r="G112" i="43"/>
  <c r="G92" i="43"/>
  <c r="AL33" i="1" s="1"/>
  <c r="G91" i="43"/>
  <c r="G90" i="43"/>
  <c r="I90" i="43" s="1"/>
  <c r="G89" i="43"/>
  <c r="G88" i="43"/>
  <c r="G87" i="43"/>
  <c r="AC33" i="1" s="1"/>
  <c r="G86" i="43"/>
  <c r="AB33" i="1" s="1"/>
  <c r="G85" i="43"/>
  <c r="AA33" i="1" s="1"/>
  <c r="G84" i="43"/>
  <c r="G83" i="43"/>
  <c r="G82" i="43"/>
  <c r="G78" i="43"/>
  <c r="AS34" i="44" s="1"/>
  <c r="G77" i="43"/>
  <c r="AR34" i="44" s="1"/>
  <c r="G76" i="43"/>
  <c r="AQ34" i="44" s="1"/>
  <c r="G75" i="43"/>
  <c r="AP34" i="44" s="1"/>
  <c r="G74" i="43"/>
  <c r="G70" i="43"/>
  <c r="AG15" i="45" s="1"/>
  <c r="G69" i="43"/>
  <c r="AG14" i="45" s="1"/>
  <c r="G68" i="43"/>
  <c r="AG13" i="45" s="1"/>
  <c r="G67" i="43"/>
  <c r="G66" i="43"/>
  <c r="G65" i="43"/>
  <c r="G63" i="43"/>
  <c r="AG8" i="45" s="1"/>
  <c r="G62" i="43"/>
  <c r="AG7" i="45" s="1"/>
  <c r="G58" i="43"/>
  <c r="G57" i="43"/>
  <c r="G56" i="43"/>
  <c r="G55" i="43"/>
  <c r="G54" i="43"/>
  <c r="G53" i="43"/>
  <c r="G52" i="43"/>
  <c r="G51" i="43"/>
  <c r="G50" i="43"/>
  <c r="G49" i="43"/>
  <c r="G46" i="43"/>
  <c r="G45" i="43"/>
  <c r="G44" i="43"/>
  <c r="G43" i="43"/>
  <c r="G42" i="43"/>
  <c r="G41" i="43"/>
  <c r="G40" i="43"/>
  <c r="G39" i="43"/>
  <c r="G38" i="43"/>
  <c r="G37" i="43"/>
  <c r="G36" i="43"/>
  <c r="G35" i="43"/>
  <c r="E29" i="43"/>
  <c r="G29" i="43" s="1"/>
  <c r="G22" i="43"/>
  <c r="G18" i="43"/>
  <c r="E31" i="43" s="1"/>
  <c r="G31" i="43" s="1"/>
  <c r="K9" i="43"/>
  <c r="M8" i="43"/>
  <c r="G185" i="30"/>
  <c r="G184" i="30"/>
  <c r="G183" i="30"/>
  <c r="G180" i="30"/>
  <c r="AF23" i="45" s="1"/>
  <c r="G179" i="30"/>
  <c r="AF22" i="45" s="1"/>
  <c r="G178" i="30"/>
  <c r="G175" i="30"/>
  <c r="AF19" i="45" s="1"/>
  <c r="G174" i="30"/>
  <c r="AF18" i="45" s="1"/>
  <c r="G173" i="30"/>
  <c r="AF17" i="45" s="1"/>
  <c r="G165" i="30"/>
  <c r="G164" i="30"/>
  <c r="G163" i="30"/>
  <c r="G162" i="30"/>
  <c r="AB33" i="44" s="1"/>
  <c r="G161" i="30"/>
  <c r="AA33" i="44" s="1"/>
  <c r="G142" i="30"/>
  <c r="R33" i="44" s="1"/>
  <c r="G141" i="30"/>
  <c r="Q33" i="44" s="1"/>
  <c r="G140" i="30"/>
  <c r="P33" i="44" s="1"/>
  <c r="G139" i="30"/>
  <c r="O33" i="44" s="1"/>
  <c r="G138" i="30"/>
  <c r="G133" i="30"/>
  <c r="G132" i="30"/>
  <c r="G131" i="30"/>
  <c r="G130" i="30"/>
  <c r="G129" i="30"/>
  <c r="G128" i="30"/>
  <c r="G123" i="30"/>
  <c r="AL33" i="44" s="1"/>
  <c r="G122" i="30"/>
  <c r="AK33" i="44" s="1"/>
  <c r="G121" i="30"/>
  <c r="AJ33" i="44" s="1"/>
  <c r="G120" i="30"/>
  <c r="AI33" i="44" s="1"/>
  <c r="G119" i="30"/>
  <c r="AH33" i="44" s="1"/>
  <c r="G118" i="30"/>
  <c r="AG33" i="44" s="1"/>
  <c r="G117" i="30"/>
  <c r="AF33" i="44" s="1"/>
  <c r="G116" i="30"/>
  <c r="AE33" i="44" s="1"/>
  <c r="G115" i="30"/>
  <c r="G114" i="30"/>
  <c r="G92" i="30"/>
  <c r="AL32" i="1" s="1"/>
  <c r="G91" i="30"/>
  <c r="G90" i="30"/>
  <c r="I90" i="30" s="1"/>
  <c r="G89" i="30"/>
  <c r="G88" i="30"/>
  <c r="G87" i="30"/>
  <c r="AC32" i="1" s="1"/>
  <c r="G86" i="30"/>
  <c r="AB32" i="1" s="1"/>
  <c r="G85" i="30"/>
  <c r="AA32" i="1" s="1"/>
  <c r="G84" i="30"/>
  <c r="G83" i="30"/>
  <c r="G82" i="30"/>
  <c r="G78" i="30"/>
  <c r="AS33" i="44" s="1"/>
  <c r="G77" i="30"/>
  <c r="AR33" i="44" s="1"/>
  <c r="G76" i="30"/>
  <c r="AQ33" i="44" s="1"/>
  <c r="G75" i="30"/>
  <c r="AP33" i="44" s="1"/>
  <c r="G74" i="30"/>
  <c r="G70" i="30"/>
  <c r="AF15" i="45" s="1"/>
  <c r="G69" i="30"/>
  <c r="AF14" i="45" s="1"/>
  <c r="G68" i="30"/>
  <c r="AF13" i="45" s="1"/>
  <c r="G67" i="30"/>
  <c r="G66" i="30"/>
  <c r="G65" i="30"/>
  <c r="G63" i="30"/>
  <c r="AF8" i="45" s="1"/>
  <c r="G62" i="30"/>
  <c r="AF7" i="45" s="1"/>
  <c r="G58" i="30"/>
  <c r="G57" i="30"/>
  <c r="G56" i="30"/>
  <c r="G55" i="30"/>
  <c r="G54" i="30"/>
  <c r="G53" i="30"/>
  <c r="G52" i="30"/>
  <c r="G51" i="30"/>
  <c r="G50" i="30"/>
  <c r="G49" i="30"/>
  <c r="G46" i="30"/>
  <c r="G45" i="30"/>
  <c r="G44" i="30"/>
  <c r="G43" i="30"/>
  <c r="G42" i="30"/>
  <c r="G41" i="30"/>
  <c r="G40" i="30"/>
  <c r="G39" i="30"/>
  <c r="G38" i="30"/>
  <c r="G37" i="30"/>
  <c r="G36" i="30"/>
  <c r="G35" i="30"/>
  <c r="E29" i="30"/>
  <c r="G29" i="30" s="1"/>
  <c r="G22" i="30"/>
  <c r="G18" i="30"/>
  <c r="E31" i="30" s="1"/>
  <c r="G31" i="30" s="1"/>
  <c r="K9" i="30"/>
  <c r="M8" i="30"/>
  <c r="G185" i="29"/>
  <c r="G184" i="29"/>
  <c r="G183" i="29"/>
  <c r="G180" i="29"/>
  <c r="AE23" i="45" s="1"/>
  <c r="G179" i="29"/>
  <c r="AE22" i="45" s="1"/>
  <c r="G178" i="29"/>
  <c r="AE21" i="45" s="1"/>
  <c r="G175" i="29"/>
  <c r="AE19" i="45" s="1"/>
  <c r="G174" i="29"/>
  <c r="AE18" i="45" s="1"/>
  <c r="G173" i="29"/>
  <c r="AE17" i="45" s="1"/>
  <c r="G165" i="29"/>
  <c r="G164" i="29"/>
  <c r="G163" i="29"/>
  <c r="G162" i="29"/>
  <c r="AB32" i="44" s="1"/>
  <c r="G161" i="29"/>
  <c r="AA32" i="44" s="1"/>
  <c r="G142" i="29"/>
  <c r="R32" i="44" s="1"/>
  <c r="G141" i="29"/>
  <c r="Q32" i="44" s="1"/>
  <c r="G140" i="29"/>
  <c r="P32" i="44" s="1"/>
  <c r="G139" i="29"/>
  <c r="O32" i="44" s="1"/>
  <c r="G138" i="29"/>
  <c r="G133" i="29"/>
  <c r="G132" i="29"/>
  <c r="G131" i="29"/>
  <c r="G130" i="29"/>
  <c r="G129" i="29"/>
  <c r="G128" i="29"/>
  <c r="G123" i="29"/>
  <c r="AL32" i="44" s="1"/>
  <c r="G122" i="29"/>
  <c r="AK32" i="44" s="1"/>
  <c r="G121" i="29"/>
  <c r="AJ32" i="44" s="1"/>
  <c r="G120" i="29"/>
  <c r="AI32" i="44" s="1"/>
  <c r="G119" i="29"/>
  <c r="AH32" i="44" s="1"/>
  <c r="G118" i="29"/>
  <c r="AG32" i="44" s="1"/>
  <c r="G117" i="29"/>
  <c r="AF32" i="44" s="1"/>
  <c r="G116" i="29"/>
  <c r="AE32" i="44" s="1"/>
  <c r="G115" i="29"/>
  <c r="G114" i="29"/>
  <c r="G113" i="29"/>
  <c r="G112" i="29"/>
  <c r="G92" i="29"/>
  <c r="G90" i="29"/>
  <c r="I90" i="29" s="1"/>
  <c r="G89" i="29"/>
  <c r="G88" i="29"/>
  <c r="G87" i="29"/>
  <c r="AC31" i="1" s="1"/>
  <c r="G86" i="29"/>
  <c r="AB31" i="1" s="1"/>
  <c r="G85" i="29"/>
  <c r="AA31" i="1" s="1"/>
  <c r="G84" i="29"/>
  <c r="G83" i="29"/>
  <c r="G82" i="29"/>
  <c r="G78" i="29"/>
  <c r="AS32" i="44" s="1"/>
  <c r="G77" i="29"/>
  <c r="AR32" i="44" s="1"/>
  <c r="G76" i="29"/>
  <c r="AQ32" i="44" s="1"/>
  <c r="G75" i="29"/>
  <c r="AP32" i="44" s="1"/>
  <c r="G74" i="29"/>
  <c r="G70" i="29"/>
  <c r="AE15" i="45" s="1"/>
  <c r="G69" i="29"/>
  <c r="AE14" i="45" s="1"/>
  <c r="G68" i="29"/>
  <c r="AE13" i="45" s="1"/>
  <c r="G67" i="29"/>
  <c r="G66" i="29"/>
  <c r="G65" i="29"/>
  <c r="G63" i="29"/>
  <c r="AE8" i="45" s="1"/>
  <c r="G62" i="29"/>
  <c r="AE7" i="45" s="1"/>
  <c r="G58" i="29"/>
  <c r="G57" i="29"/>
  <c r="G56" i="29"/>
  <c r="G55" i="29"/>
  <c r="G54" i="29"/>
  <c r="G53" i="29"/>
  <c r="G52" i="29"/>
  <c r="G51" i="29"/>
  <c r="G50" i="29"/>
  <c r="G49" i="29"/>
  <c r="G46" i="29"/>
  <c r="G45" i="29"/>
  <c r="G44" i="29"/>
  <c r="G43" i="29"/>
  <c r="G42" i="29"/>
  <c r="G41" i="29"/>
  <c r="G40" i="29"/>
  <c r="G39" i="29"/>
  <c r="G38" i="29"/>
  <c r="G37" i="29"/>
  <c r="G36" i="29"/>
  <c r="G35" i="29"/>
  <c r="E29" i="29"/>
  <c r="G29" i="29" s="1"/>
  <c r="G22" i="29"/>
  <c r="G18" i="29"/>
  <c r="E31" i="29" s="1"/>
  <c r="G31" i="29" s="1"/>
  <c r="K9" i="29"/>
  <c r="M8" i="29"/>
  <c r="G185" i="28"/>
  <c r="G184" i="28"/>
  <c r="G183" i="28"/>
  <c r="G180" i="28"/>
  <c r="AD23" i="45" s="1"/>
  <c r="G179" i="28"/>
  <c r="AD22" i="45" s="1"/>
  <c r="G178" i="28"/>
  <c r="AD21" i="45" s="1"/>
  <c r="G175" i="28"/>
  <c r="AD19" i="45" s="1"/>
  <c r="G174" i="28"/>
  <c r="AD18" i="45" s="1"/>
  <c r="G173" i="28"/>
  <c r="AD17" i="45" s="1"/>
  <c r="G165" i="28"/>
  <c r="G164" i="28"/>
  <c r="G163" i="28"/>
  <c r="G162" i="28"/>
  <c r="AB31" i="44" s="1"/>
  <c r="G161" i="28"/>
  <c r="AA31" i="44" s="1"/>
  <c r="G142" i="28"/>
  <c r="R31" i="44" s="1"/>
  <c r="G141" i="28"/>
  <c r="Q31" i="44" s="1"/>
  <c r="G140" i="28"/>
  <c r="P31" i="44" s="1"/>
  <c r="G139" i="28"/>
  <c r="O31" i="44" s="1"/>
  <c r="G138" i="28"/>
  <c r="G133" i="28"/>
  <c r="G132" i="28"/>
  <c r="G131" i="28"/>
  <c r="G130" i="28"/>
  <c r="G129" i="28"/>
  <c r="G128" i="28"/>
  <c r="G123" i="28"/>
  <c r="AL31" i="44" s="1"/>
  <c r="G122" i="28"/>
  <c r="AK31" i="44" s="1"/>
  <c r="G121" i="28"/>
  <c r="AJ31" i="44" s="1"/>
  <c r="G120" i="28"/>
  <c r="AI31" i="44" s="1"/>
  <c r="G119" i="28"/>
  <c r="AH31" i="44" s="1"/>
  <c r="G118" i="28"/>
  <c r="AG31" i="44" s="1"/>
  <c r="G117" i="28"/>
  <c r="AF31" i="44" s="1"/>
  <c r="G116" i="28"/>
  <c r="AE31" i="44" s="1"/>
  <c r="G115" i="28"/>
  <c r="G114" i="28"/>
  <c r="G113" i="28"/>
  <c r="G112" i="28"/>
  <c r="G92" i="28"/>
  <c r="AL30" i="1" s="1"/>
  <c r="G91" i="28"/>
  <c r="G90" i="28"/>
  <c r="I90" i="28" s="1"/>
  <c r="G89" i="28"/>
  <c r="G88" i="28"/>
  <c r="G87" i="28"/>
  <c r="AC30" i="1" s="1"/>
  <c r="G86" i="28"/>
  <c r="AB30" i="1" s="1"/>
  <c r="G85" i="28"/>
  <c r="Z30" i="1"/>
  <c r="G83" i="28"/>
  <c r="G82" i="28"/>
  <c r="G78" i="28"/>
  <c r="AS31" i="44" s="1"/>
  <c r="G77" i="28"/>
  <c r="AR31" i="44" s="1"/>
  <c r="G76" i="28"/>
  <c r="AQ31" i="44" s="1"/>
  <c r="G75" i="28"/>
  <c r="AP31" i="44" s="1"/>
  <c r="G74" i="28"/>
  <c r="G70" i="28"/>
  <c r="G69" i="28"/>
  <c r="G68" i="28"/>
  <c r="G67" i="28"/>
  <c r="G66" i="28"/>
  <c r="G65" i="28"/>
  <c r="G63" i="28"/>
  <c r="G62" i="28"/>
  <c r="AD7" i="45" s="1"/>
  <c r="G58" i="28"/>
  <c r="G57" i="28"/>
  <c r="G56" i="28"/>
  <c r="G55" i="28"/>
  <c r="G54" i="28"/>
  <c r="G53" i="28"/>
  <c r="G52" i="28"/>
  <c r="G51" i="28"/>
  <c r="G50" i="28"/>
  <c r="G49" i="28"/>
  <c r="G46" i="28"/>
  <c r="G45" i="28"/>
  <c r="G44" i="28"/>
  <c r="G43" i="28"/>
  <c r="G42" i="28"/>
  <c r="G41" i="28"/>
  <c r="G40" i="28"/>
  <c r="G39" i="28"/>
  <c r="G38" i="28"/>
  <c r="G37" i="28"/>
  <c r="G36" i="28"/>
  <c r="G35" i="28"/>
  <c r="E29" i="28"/>
  <c r="G29" i="28" s="1"/>
  <c r="G18" i="28"/>
  <c r="E31" i="28" s="1"/>
  <c r="G31" i="28" s="1"/>
  <c r="K9" i="28"/>
  <c r="M8" i="28"/>
  <c r="G185" i="27"/>
  <c r="G184" i="27"/>
  <c r="G183" i="27"/>
  <c r="AC23" i="45"/>
  <c r="AC22" i="45"/>
  <c r="G178" i="27"/>
  <c r="AC21" i="45" s="1"/>
  <c r="G175" i="27"/>
  <c r="AC19" i="45" s="1"/>
  <c r="G174" i="27"/>
  <c r="AC18" i="45" s="1"/>
  <c r="G173" i="27"/>
  <c r="AC17" i="45" s="1"/>
  <c r="G165" i="27"/>
  <c r="G164" i="27"/>
  <c r="G163" i="27"/>
  <c r="G162" i="27"/>
  <c r="AB30" i="44" s="1"/>
  <c r="G161" i="27"/>
  <c r="AA30" i="44" s="1"/>
  <c r="G142" i="27"/>
  <c r="R30" i="44" s="1"/>
  <c r="G141" i="27"/>
  <c r="Q30" i="44" s="1"/>
  <c r="G140" i="27"/>
  <c r="P30" i="44" s="1"/>
  <c r="G139" i="27"/>
  <c r="O30" i="44" s="1"/>
  <c r="G138" i="27"/>
  <c r="G133" i="27"/>
  <c r="G132" i="27"/>
  <c r="G131" i="27"/>
  <c r="G130" i="27"/>
  <c r="G129" i="27"/>
  <c r="G128" i="27"/>
  <c r="G123" i="27"/>
  <c r="AL30" i="44" s="1"/>
  <c r="G122" i="27"/>
  <c r="AK30" i="44" s="1"/>
  <c r="G121" i="27"/>
  <c r="AJ30" i="44" s="1"/>
  <c r="G120" i="27"/>
  <c r="AI30" i="44" s="1"/>
  <c r="G119" i="27"/>
  <c r="AH30" i="44" s="1"/>
  <c r="G118" i="27"/>
  <c r="AG30" i="44" s="1"/>
  <c r="G117" i="27"/>
  <c r="AF30" i="44" s="1"/>
  <c r="G116" i="27"/>
  <c r="AE30" i="44" s="1"/>
  <c r="G115" i="27"/>
  <c r="G114" i="27"/>
  <c r="G113" i="27"/>
  <c r="G112" i="27"/>
  <c r="G92" i="27"/>
  <c r="AL29" i="1" s="1"/>
  <c r="G91" i="27"/>
  <c r="G90" i="27"/>
  <c r="I90" i="27" s="1"/>
  <c r="G89" i="27"/>
  <c r="G88" i="27"/>
  <c r="G87" i="27"/>
  <c r="AC29" i="1" s="1"/>
  <c r="G86" i="27"/>
  <c r="AB29" i="1" s="1"/>
  <c r="G85" i="27"/>
  <c r="AA29" i="1" s="1"/>
  <c r="G84" i="27"/>
  <c r="G83" i="27"/>
  <c r="G82" i="27"/>
  <c r="G78" i="27"/>
  <c r="AS30" i="44" s="1"/>
  <c r="G77" i="27"/>
  <c r="AR30" i="44" s="1"/>
  <c r="G76" i="27"/>
  <c r="AQ30" i="44" s="1"/>
  <c r="G75" i="27"/>
  <c r="AP30" i="44" s="1"/>
  <c r="G74" i="27"/>
  <c r="G70" i="27"/>
  <c r="AC15" i="45" s="1"/>
  <c r="G69" i="27"/>
  <c r="AC14" i="45" s="1"/>
  <c r="AC13" i="45"/>
  <c r="G67" i="27"/>
  <c r="G66" i="27"/>
  <c r="G65" i="27"/>
  <c r="G63" i="27"/>
  <c r="AC8" i="45" s="1"/>
  <c r="G62" i="27"/>
  <c r="AC7" i="45" s="1"/>
  <c r="G58" i="27"/>
  <c r="G57" i="27"/>
  <c r="G56" i="27"/>
  <c r="G55" i="27"/>
  <c r="G54" i="27"/>
  <c r="G53" i="27"/>
  <c r="G52" i="27"/>
  <c r="G51" i="27"/>
  <c r="G50" i="27"/>
  <c r="G49" i="27"/>
  <c r="G46" i="27"/>
  <c r="G45" i="27"/>
  <c r="G44" i="27"/>
  <c r="G43" i="27"/>
  <c r="G42" i="27"/>
  <c r="G41" i="27"/>
  <c r="G40" i="27"/>
  <c r="G39" i="27"/>
  <c r="G38" i="27"/>
  <c r="G37" i="27"/>
  <c r="G36" i="27"/>
  <c r="G35" i="27"/>
  <c r="E29" i="27"/>
  <c r="G29" i="27" s="1"/>
  <c r="G22" i="27"/>
  <c r="G18" i="27"/>
  <c r="E31" i="27" s="1"/>
  <c r="G31" i="27" s="1"/>
  <c r="K9" i="27"/>
  <c r="M8" i="27"/>
  <c r="G185" i="40"/>
  <c r="G184" i="40"/>
  <c r="G183" i="40"/>
  <c r="G180" i="40"/>
  <c r="G179" i="40"/>
  <c r="AB22" i="45" s="1"/>
  <c r="G178" i="40"/>
  <c r="AB21" i="45" s="1"/>
  <c r="G175" i="40"/>
  <c r="AB19" i="45" s="1"/>
  <c r="G174" i="40"/>
  <c r="AB18" i="45" s="1"/>
  <c r="G173" i="40"/>
  <c r="AB17" i="45" s="1"/>
  <c r="G165" i="40"/>
  <c r="G164" i="40"/>
  <c r="G163" i="40"/>
  <c r="G162" i="40"/>
  <c r="AB29" i="44" s="1"/>
  <c r="G161" i="40"/>
  <c r="AA29" i="44" s="1"/>
  <c r="G142" i="40"/>
  <c r="R29" i="44" s="1"/>
  <c r="G141" i="40"/>
  <c r="Q29" i="44" s="1"/>
  <c r="G140" i="40"/>
  <c r="P29" i="44" s="1"/>
  <c r="G139" i="40"/>
  <c r="O29" i="44" s="1"/>
  <c r="G138" i="40"/>
  <c r="G133" i="40"/>
  <c r="G132" i="40"/>
  <c r="G131" i="40"/>
  <c r="G130" i="40"/>
  <c r="G129" i="40"/>
  <c r="G128" i="40"/>
  <c r="G123" i="40"/>
  <c r="AL29" i="44" s="1"/>
  <c r="G122" i="40"/>
  <c r="AK29" i="44" s="1"/>
  <c r="G121" i="40"/>
  <c r="AJ29" i="44" s="1"/>
  <c r="G120" i="40"/>
  <c r="AI29" i="44" s="1"/>
  <c r="G119" i="40"/>
  <c r="AH29" i="44" s="1"/>
  <c r="G118" i="40"/>
  <c r="AG29" i="44" s="1"/>
  <c r="G117" i="40"/>
  <c r="AF29" i="44" s="1"/>
  <c r="G116" i="40"/>
  <c r="AE29" i="44" s="1"/>
  <c r="G115" i="40"/>
  <c r="G114" i="40"/>
  <c r="G113" i="40"/>
  <c r="G112" i="40"/>
  <c r="G92" i="40"/>
  <c r="AL28" i="1" s="1"/>
  <c r="G91" i="40"/>
  <c r="G90" i="40"/>
  <c r="I90" i="40" s="1"/>
  <c r="G89" i="40"/>
  <c r="G88" i="40"/>
  <c r="G87" i="40"/>
  <c r="AC28" i="1" s="1"/>
  <c r="G86" i="40"/>
  <c r="AB28" i="1" s="1"/>
  <c r="G85" i="40"/>
  <c r="Z28" i="1"/>
  <c r="G83" i="40"/>
  <c r="G82" i="40"/>
  <c r="G78" i="40"/>
  <c r="AS29" i="44" s="1"/>
  <c r="G77" i="40"/>
  <c r="AR29" i="44" s="1"/>
  <c r="G76" i="40"/>
  <c r="AQ29" i="44" s="1"/>
  <c r="G75" i="40"/>
  <c r="AP29" i="44" s="1"/>
  <c r="G74" i="40"/>
  <c r="G70" i="40"/>
  <c r="AB15" i="45" s="1"/>
  <c r="G69" i="40"/>
  <c r="AB14" i="45" s="1"/>
  <c r="AB13" i="45"/>
  <c r="G67" i="40"/>
  <c r="G66" i="40"/>
  <c r="G65" i="40"/>
  <c r="G63" i="40"/>
  <c r="AB8" i="45" s="1"/>
  <c r="G62" i="40"/>
  <c r="AB7" i="45" s="1"/>
  <c r="G58" i="40"/>
  <c r="G57" i="40"/>
  <c r="G56" i="40"/>
  <c r="G55" i="40"/>
  <c r="G54" i="40"/>
  <c r="G53" i="40"/>
  <c r="G52" i="40"/>
  <c r="G51" i="40"/>
  <c r="G50" i="40"/>
  <c r="G49" i="40"/>
  <c r="G46" i="40"/>
  <c r="G45" i="40"/>
  <c r="G44" i="40"/>
  <c r="G43" i="40"/>
  <c r="G42" i="40"/>
  <c r="G41" i="40"/>
  <c r="G40" i="40"/>
  <c r="G39" i="40"/>
  <c r="G38" i="40"/>
  <c r="G37" i="40"/>
  <c r="G36" i="40"/>
  <c r="G35" i="40"/>
  <c r="E29" i="40"/>
  <c r="G29" i="40" s="1"/>
  <c r="G22" i="40"/>
  <c r="G18" i="40"/>
  <c r="K9" i="40"/>
  <c r="M8" i="40"/>
  <c r="G185" i="25"/>
  <c r="G184" i="25"/>
  <c r="G183" i="25"/>
  <c r="G180" i="25"/>
  <c r="AA23" i="45" s="1"/>
  <c r="G179" i="25"/>
  <c r="AA22" i="45" s="1"/>
  <c r="G178" i="25"/>
  <c r="AA21" i="45" s="1"/>
  <c r="G175" i="25"/>
  <c r="AA19" i="45" s="1"/>
  <c r="G174" i="25"/>
  <c r="AA18" i="45" s="1"/>
  <c r="G173" i="25"/>
  <c r="AA17" i="45" s="1"/>
  <c r="G165" i="25"/>
  <c r="G164" i="25"/>
  <c r="G163" i="25"/>
  <c r="G162" i="25"/>
  <c r="AB28" i="44" s="1"/>
  <c r="G161" i="25"/>
  <c r="AA28" i="44" s="1"/>
  <c r="G142" i="25"/>
  <c r="R28" i="44" s="1"/>
  <c r="G141" i="25"/>
  <c r="Q28" i="44" s="1"/>
  <c r="G140" i="25"/>
  <c r="P28" i="44" s="1"/>
  <c r="G139" i="25"/>
  <c r="O28" i="44" s="1"/>
  <c r="G138" i="25"/>
  <c r="G133" i="25"/>
  <c r="G132" i="25"/>
  <c r="G131" i="25"/>
  <c r="G130" i="25"/>
  <c r="G129" i="25"/>
  <c r="G128" i="25"/>
  <c r="G123" i="25"/>
  <c r="AL28" i="44" s="1"/>
  <c r="G122" i="25"/>
  <c r="AK28" i="44" s="1"/>
  <c r="G121" i="25"/>
  <c r="AJ28" i="44" s="1"/>
  <c r="G120" i="25"/>
  <c r="AI28" i="44" s="1"/>
  <c r="G119" i="25"/>
  <c r="AH28" i="44" s="1"/>
  <c r="G118" i="25"/>
  <c r="AG28" i="44" s="1"/>
  <c r="G117" i="25"/>
  <c r="AF28" i="44" s="1"/>
  <c r="G116" i="25"/>
  <c r="AE28" i="44" s="1"/>
  <c r="G115" i="25"/>
  <c r="G114" i="25"/>
  <c r="G113" i="25"/>
  <c r="G112" i="25"/>
  <c r="G92" i="25"/>
  <c r="AL27" i="1" s="1"/>
  <c r="G91" i="25"/>
  <c r="G90" i="25"/>
  <c r="I90" i="25" s="1"/>
  <c r="G89" i="25"/>
  <c r="G88" i="25"/>
  <c r="G87" i="25"/>
  <c r="AC27" i="1" s="1"/>
  <c r="G86" i="25"/>
  <c r="AB27" i="1" s="1"/>
  <c r="G85" i="25"/>
  <c r="AA27" i="1" s="1"/>
  <c r="G84" i="25"/>
  <c r="G83" i="25"/>
  <c r="G82" i="25"/>
  <c r="G78" i="25"/>
  <c r="AS28" i="44" s="1"/>
  <c r="G77" i="25"/>
  <c r="AR28" i="44" s="1"/>
  <c r="G76" i="25"/>
  <c r="AQ28" i="44" s="1"/>
  <c r="G75" i="25"/>
  <c r="AP28" i="44" s="1"/>
  <c r="G74" i="25"/>
  <c r="G70" i="25"/>
  <c r="AA15" i="45" s="1"/>
  <c r="G69" i="25"/>
  <c r="AA14" i="45" s="1"/>
  <c r="G68" i="25"/>
  <c r="AA13" i="45" s="1"/>
  <c r="G67" i="25"/>
  <c r="G66" i="25"/>
  <c r="G65" i="25"/>
  <c r="G63" i="25"/>
  <c r="AA8" i="45" s="1"/>
  <c r="G62" i="25"/>
  <c r="AA7" i="45" s="1"/>
  <c r="G58" i="25"/>
  <c r="G57" i="25"/>
  <c r="G56" i="25"/>
  <c r="G55" i="25"/>
  <c r="G54" i="25"/>
  <c r="G53" i="25"/>
  <c r="G52" i="25"/>
  <c r="G51" i="25"/>
  <c r="G50" i="25"/>
  <c r="G49" i="25"/>
  <c r="G46" i="25"/>
  <c r="G45" i="25"/>
  <c r="G44" i="25"/>
  <c r="G43" i="25"/>
  <c r="G42" i="25"/>
  <c r="G41" i="25"/>
  <c r="G40" i="25"/>
  <c r="G39" i="25"/>
  <c r="G38" i="25"/>
  <c r="G37" i="25"/>
  <c r="G36" i="25"/>
  <c r="G35" i="25"/>
  <c r="E29" i="25"/>
  <c r="G29" i="25" s="1"/>
  <c r="G22" i="25"/>
  <c r="G18" i="25"/>
  <c r="E31" i="25" s="1"/>
  <c r="G31" i="25" s="1"/>
  <c r="K9" i="25"/>
  <c r="M8" i="25"/>
  <c r="G185" i="24"/>
  <c r="G184" i="24"/>
  <c r="G183" i="24"/>
  <c r="G180" i="24"/>
  <c r="Z23" i="45" s="1"/>
  <c r="G179" i="24"/>
  <c r="Z22" i="45" s="1"/>
  <c r="G178" i="24"/>
  <c r="Z21" i="45" s="1"/>
  <c r="G175" i="24"/>
  <c r="Z19" i="45" s="1"/>
  <c r="G174" i="24"/>
  <c r="Z18" i="45" s="1"/>
  <c r="G173" i="24"/>
  <c r="Z17" i="45" s="1"/>
  <c r="G165" i="24"/>
  <c r="G164" i="24"/>
  <c r="G163" i="24"/>
  <c r="G162" i="24"/>
  <c r="AB27" i="44" s="1"/>
  <c r="G161" i="24"/>
  <c r="AA27" i="44" s="1"/>
  <c r="G140" i="24"/>
  <c r="P27" i="44" s="1"/>
  <c r="G139" i="24"/>
  <c r="O27" i="44" s="1"/>
  <c r="G138" i="24"/>
  <c r="G133" i="24"/>
  <c r="G132" i="24"/>
  <c r="G131" i="24"/>
  <c r="G130" i="24"/>
  <c r="G129" i="24"/>
  <c r="G128" i="24"/>
  <c r="G123" i="24"/>
  <c r="AL27" i="44" s="1"/>
  <c r="G122" i="24"/>
  <c r="AK27" i="44" s="1"/>
  <c r="G121" i="24"/>
  <c r="AJ27" i="44" s="1"/>
  <c r="G120" i="24"/>
  <c r="AI27" i="44" s="1"/>
  <c r="G119" i="24"/>
  <c r="AH27" i="44" s="1"/>
  <c r="G118" i="24"/>
  <c r="AG27" i="44" s="1"/>
  <c r="G117" i="24"/>
  <c r="AF27" i="44" s="1"/>
  <c r="G116" i="24"/>
  <c r="AE27" i="44" s="1"/>
  <c r="G115" i="24"/>
  <c r="G114" i="24"/>
  <c r="G113" i="24"/>
  <c r="G112" i="24"/>
  <c r="G92" i="24"/>
  <c r="AL26" i="1" s="1"/>
  <c r="G91" i="24"/>
  <c r="G90" i="24"/>
  <c r="I90" i="24" s="1"/>
  <c r="G89" i="24"/>
  <c r="G88" i="24"/>
  <c r="G87" i="24"/>
  <c r="AC26" i="1" s="1"/>
  <c r="G86" i="24"/>
  <c r="AB26" i="1" s="1"/>
  <c r="G85" i="24"/>
  <c r="AA26" i="1" s="1"/>
  <c r="G84" i="24"/>
  <c r="G83" i="24"/>
  <c r="G82" i="24"/>
  <c r="G78" i="24"/>
  <c r="AS27" i="44" s="1"/>
  <c r="G77" i="24"/>
  <c r="AR27" i="44" s="1"/>
  <c r="G76" i="24"/>
  <c r="AQ27" i="44" s="1"/>
  <c r="G75" i="24"/>
  <c r="AP27" i="44" s="1"/>
  <c r="G74" i="24"/>
  <c r="G70" i="24"/>
  <c r="Z15" i="45" s="1"/>
  <c r="G69" i="24"/>
  <c r="Z14" i="45" s="1"/>
  <c r="G68" i="24"/>
  <c r="Z13" i="45" s="1"/>
  <c r="G67" i="24"/>
  <c r="G66" i="24"/>
  <c r="G65" i="24"/>
  <c r="G63" i="24"/>
  <c r="Z8" i="45" s="1"/>
  <c r="G62" i="24"/>
  <c r="Z7" i="45" s="1"/>
  <c r="G58" i="24"/>
  <c r="G57" i="24"/>
  <c r="G56" i="24"/>
  <c r="G55" i="24"/>
  <c r="G54" i="24"/>
  <c r="G53" i="24"/>
  <c r="G52" i="24"/>
  <c r="G51" i="24"/>
  <c r="G50" i="24"/>
  <c r="G49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E29" i="24"/>
  <c r="G29" i="24" s="1"/>
  <c r="G22" i="24"/>
  <c r="G18" i="24"/>
  <c r="E31" i="24" s="1"/>
  <c r="G31" i="24" s="1"/>
  <c r="K9" i="24"/>
  <c r="M8" i="24"/>
  <c r="G185" i="23"/>
  <c r="G184" i="23"/>
  <c r="G183" i="23"/>
  <c r="G180" i="23"/>
  <c r="Y23" i="45" s="1"/>
  <c r="G179" i="23"/>
  <c r="Y22" i="45" s="1"/>
  <c r="G178" i="23"/>
  <c r="Y21" i="45" s="1"/>
  <c r="G175" i="23"/>
  <c r="Y19" i="45" s="1"/>
  <c r="G174" i="23"/>
  <c r="Y18" i="45" s="1"/>
  <c r="G173" i="23"/>
  <c r="Y17" i="45" s="1"/>
  <c r="G165" i="23"/>
  <c r="G164" i="23"/>
  <c r="G163" i="23"/>
  <c r="G162" i="23"/>
  <c r="AB26" i="44" s="1"/>
  <c r="G161" i="23"/>
  <c r="AA26" i="44" s="1"/>
  <c r="G142" i="23"/>
  <c r="R26" i="44" s="1"/>
  <c r="G141" i="23"/>
  <c r="Q26" i="44" s="1"/>
  <c r="G140" i="23"/>
  <c r="P26" i="44" s="1"/>
  <c r="G139" i="23"/>
  <c r="O26" i="44" s="1"/>
  <c r="G138" i="23"/>
  <c r="G133" i="23"/>
  <c r="G132" i="23"/>
  <c r="G131" i="23"/>
  <c r="G129" i="23"/>
  <c r="G128" i="23"/>
  <c r="G123" i="23"/>
  <c r="AL26" i="44" s="1"/>
  <c r="G122" i="23"/>
  <c r="AK26" i="44" s="1"/>
  <c r="G121" i="23"/>
  <c r="AJ26" i="44" s="1"/>
  <c r="G120" i="23"/>
  <c r="AI26" i="44" s="1"/>
  <c r="G119" i="23"/>
  <c r="AH26" i="44" s="1"/>
  <c r="G118" i="23"/>
  <c r="AG26" i="44" s="1"/>
  <c r="G117" i="23"/>
  <c r="AF26" i="44" s="1"/>
  <c r="G116" i="23"/>
  <c r="AE26" i="44" s="1"/>
  <c r="G115" i="23"/>
  <c r="G114" i="23"/>
  <c r="G113" i="23"/>
  <c r="G112" i="23"/>
  <c r="G92" i="23"/>
  <c r="AL25" i="1" s="1"/>
  <c r="G91" i="23"/>
  <c r="G90" i="23"/>
  <c r="I90" i="23" s="1"/>
  <c r="G89" i="23"/>
  <c r="G88" i="23"/>
  <c r="G87" i="23"/>
  <c r="AC25" i="1" s="1"/>
  <c r="G86" i="23"/>
  <c r="AB25" i="1" s="1"/>
  <c r="G85" i="23"/>
  <c r="AA25" i="1" s="1"/>
  <c r="G84" i="23"/>
  <c r="G83" i="23"/>
  <c r="G82" i="23"/>
  <c r="G78" i="23"/>
  <c r="AS26" i="44" s="1"/>
  <c r="G77" i="23"/>
  <c r="AR26" i="44" s="1"/>
  <c r="G76" i="23"/>
  <c r="AQ26" i="44" s="1"/>
  <c r="G75" i="23"/>
  <c r="AP26" i="44" s="1"/>
  <c r="G74" i="23"/>
  <c r="G70" i="23"/>
  <c r="Y15" i="45" s="1"/>
  <c r="G69" i="23"/>
  <c r="Y14" i="45" s="1"/>
  <c r="G68" i="23"/>
  <c r="Y13" i="45" s="1"/>
  <c r="G67" i="23"/>
  <c r="G66" i="23"/>
  <c r="G65" i="23"/>
  <c r="G63" i="23"/>
  <c r="Y8" i="45" s="1"/>
  <c r="G62" i="23"/>
  <c r="Y7" i="45" s="1"/>
  <c r="G58" i="23"/>
  <c r="G57" i="23"/>
  <c r="G55" i="23"/>
  <c r="G54" i="23"/>
  <c r="G53" i="23"/>
  <c r="G52" i="23"/>
  <c r="G51" i="23"/>
  <c r="G50" i="23"/>
  <c r="G49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E29" i="23"/>
  <c r="G29" i="23" s="1"/>
  <c r="G22" i="23"/>
  <c r="G18" i="23"/>
  <c r="E31" i="23" s="1"/>
  <c r="G31" i="23" s="1"/>
  <c r="K9" i="23"/>
  <c r="M8" i="23"/>
  <c r="G185" i="22"/>
  <c r="G184" i="22"/>
  <c r="G183" i="22"/>
  <c r="G180" i="22"/>
  <c r="X23" i="45" s="1"/>
  <c r="G179" i="22"/>
  <c r="X22" i="45" s="1"/>
  <c r="G178" i="22"/>
  <c r="X21" i="45" s="1"/>
  <c r="G175" i="22"/>
  <c r="X19" i="45" s="1"/>
  <c r="G174" i="22"/>
  <c r="X18" i="45" s="1"/>
  <c r="G173" i="22"/>
  <c r="X17" i="45" s="1"/>
  <c r="G165" i="22"/>
  <c r="G164" i="22"/>
  <c r="G163" i="22"/>
  <c r="G162" i="22"/>
  <c r="AB25" i="44" s="1"/>
  <c r="G161" i="22"/>
  <c r="AA25" i="44" s="1"/>
  <c r="G142" i="22"/>
  <c r="R25" i="44" s="1"/>
  <c r="G141" i="22"/>
  <c r="Q25" i="44" s="1"/>
  <c r="G140" i="22"/>
  <c r="P25" i="44" s="1"/>
  <c r="G139" i="22"/>
  <c r="O25" i="44" s="1"/>
  <c r="G138" i="22"/>
  <c r="G133" i="22"/>
  <c r="G132" i="22"/>
  <c r="G131" i="22"/>
  <c r="G130" i="22"/>
  <c r="G129" i="22"/>
  <c r="G128" i="22"/>
  <c r="G123" i="22"/>
  <c r="AL25" i="44" s="1"/>
  <c r="G122" i="22"/>
  <c r="AK25" i="44" s="1"/>
  <c r="G121" i="22"/>
  <c r="AJ25" i="44" s="1"/>
  <c r="G120" i="22"/>
  <c r="AI25" i="44" s="1"/>
  <c r="G119" i="22"/>
  <c r="AH25" i="44" s="1"/>
  <c r="G118" i="22"/>
  <c r="AG25" i="44" s="1"/>
  <c r="G117" i="22"/>
  <c r="AF25" i="44" s="1"/>
  <c r="G116" i="22"/>
  <c r="AE25" i="44" s="1"/>
  <c r="G115" i="22"/>
  <c r="G114" i="22"/>
  <c r="G113" i="22"/>
  <c r="G112" i="22"/>
  <c r="G92" i="22"/>
  <c r="AL24" i="1" s="1"/>
  <c r="G91" i="22"/>
  <c r="G90" i="22"/>
  <c r="I90" i="22" s="1"/>
  <c r="G89" i="22"/>
  <c r="G88" i="22"/>
  <c r="G87" i="22"/>
  <c r="AC24" i="1" s="1"/>
  <c r="G86" i="22"/>
  <c r="AB24" i="1" s="1"/>
  <c r="G85" i="22"/>
  <c r="AA24" i="1" s="1"/>
  <c r="G84" i="22"/>
  <c r="G83" i="22"/>
  <c r="G82" i="22"/>
  <c r="G78" i="22"/>
  <c r="AS25" i="44" s="1"/>
  <c r="G77" i="22"/>
  <c r="AR25" i="44" s="1"/>
  <c r="G76" i="22"/>
  <c r="AQ25" i="44" s="1"/>
  <c r="G75" i="22"/>
  <c r="AP25" i="44" s="1"/>
  <c r="G74" i="22"/>
  <c r="G70" i="22"/>
  <c r="X15" i="45" s="1"/>
  <c r="G69" i="22"/>
  <c r="X14" i="45" s="1"/>
  <c r="G68" i="22"/>
  <c r="X13" i="45" s="1"/>
  <c r="G67" i="22"/>
  <c r="G66" i="22"/>
  <c r="G65" i="22"/>
  <c r="G63" i="22"/>
  <c r="X8" i="45" s="1"/>
  <c r="G62" i="22"/>
  <c r="X7" i="45" s="1"/>
  <c r="G58" i="22"/>
  <c r="G57" i="22"/>
  <c r="G56" i="22"/>
  <c r="G55" i="22"/>
  <c r="G54" i="22"/>
  <c r="G53" i="22"/>
  <c r="G52" i="22"/>
  <c r="G51" i="22"/>
  <c r="G50" i="22"/>
  <c r="G49" i="22"/>
  <c r="G46" i="22"/>
  <c r="G45" i="22"/>
  <c r="G44" i="22"/>
  <c r="G43" i="22"/>
  <c r="G42" i="22"/>
  <c r="G41" i="22"/>
  <c r="G40" i="22"/>
  <c r="G39" i="22"/>
  <c r="G38" i="22"/>
  <c r="G37" i="22"/>
  <c r="G36" i="22"/>
  <c r="G35" i="22"/>
  <c r="G29" i="22"/>
  <c r="G18" i="22"/>
  <c r="E31" i="22" s="1"/>
  <c r="G31" i="22" s="1"/>
  <c r="K9" i="22"/>
  <c r="M8" i="22"/>
  <c r="G185" i="21"/>
  <c r="G184" i="21"/>
  <c r="G183" i="21"/>
  <c r="G180" i="21"/>
  <c r="W23" i="45" s="1"/>
  <c r="G179" i="21"/>
  <c r="W22" i="45" s="1"/>
  <c r="G178" i="21"/>
  <c r="W21" i="45" s="1"/>
  <c r="G175" i="21"/>
  <c r="W19" i="45" s="1"/>
  <c r="G174" i="21"/>
  <c r="W18" i="45" s="1"/>
  <c r="G173" i="21"/>
  <c r="W17" i="45" s="1"/>
  <c r="G165" i="21"/>
  <c r="G164" i="21"/>
  <c r="G163" i="21"/>
  <c r="G162" i="21"/>
  <c r="AB24" i="44" s="1"/>
  <c r="G161" i="21"/>
  <c r="AA24" i="44" s="1"/>
  <c r="G142" i="21"/>
  <c r="R24" i="44" s="1"/>
  <c r="G141" i="21"/>
  <c r="Q24" i="44" s="1"/>
  <c r="G140" i="21"/>
  <c r="P24" i="44" s="1"/>
  <c r="G139" i="21"/>
  <c r="O24" i="44" s="1"/>
  <c r="G138" i="21"/>
  <c r="G133" i="21"/>
  <c r="G132" i="21"/>
  <c r="G131" i="21"/>
  <c r="G130" i="21"/>
  <c r="G129" i="21"/>
  <c r="G128" i="21"/>
  <c r="G123" i="21"/>
  <c r="AL24" i="44" s="1"/>
  <c r="G122" i="21"/>
  <c r="AK24" i="44" s="1"/>
  <c r="G121" i="21"/>
  <c r="AJ24" i="44" s="1"/>
  <c r="G120" i="21"/>
  <c r="AI24" i="44" s="1"/>
  <c r="G119" i="21"/>
  <c r="AH24" i="44" s="1"/>
  <c r="G118" i="21"/>
  <c r="AG24" i="44" s="1"/>
  <c r="G117" i="21"/>
  <c r="AF24" i="44" s="1"/>
  <c r="G116" i="21"/>
  <c r="AE24" i="44" s="1"/>
  <c r="G115" i="21"/>
  <c r="G114" i="21"/>
  <c r="G113" i="21"/>
  <c r="G112" i="21"/>
  <c r="G92" i="21"/>
  <c r="AL23" i="1" s="1"/>
  <c r="G91" i="21"/>
  <c r="G90" i="21"/>
  <c r="I90" i="21" s="1"/>
  <c r="G89" i="21"/>
  <c r="G88" i="21"/>
  <c r="G87" i="21"/>
  <c r="AC23" i="1" s="1"/>
  <c r="G86" i="21"/>
  <c r="AB23" i="1" s="1"/>
  <c r="G85" i="21"/>
  <c r="AA23" i="1" s="1"/>
  <c r="G84" i="21"/>
  <c r="G83" i="21"/>
  <c r="G82" i="21"/>
  <c r="G78" i="21"/>
  <c r="AS24" i="44" s="1"/>
  <c r="G77" i="21"/>
  <c r="AR24" i="44" s="1"/>
  <c r="G76" i="21"/>
  <c r="AQ24" i="44" s="1"/>
  <c r="G75" i="21"/>
  <c r="AP24" i="44" s="1"/>
  <c r="G74" i="21"/>
  <c r="G70" i="21"/>
  <c r="W15" i="45" s="1"/>
  <c r="G69" i="21"/>
  <c r="W14" i="45" s="1"/>
  <c r="G68" i="21"/>
  <c r="W13" i="45" s="1"/>
  <c r="G67" i="21"/>
  <c r="G66" i="21"/>
  <c r="G65" i="21"/>
  <c r="G63" i="21"/>
  <c r="W8" i="45" s="1"/>
  <c r="G62" i="21"/>
  <c r="G58" i="21"/>
  <c r="G57" i="21"/>
  <c r="G56" i="21"/>
  <c r="G54" i="21"/>
  <c r="G53" i="21"/>
  <c r="G52" i="21"/>
  <c r="G51" i="21"/>
  <c r="G50" i="21"/>
  <c r="G49" i="21"/>
  <c r="G46" i="21"/>
  <c r="G45" i="21"/>
  <c r="G44" i="21"/>
  <c r="G43" i="21"/>
  <c r="G42" i="21"/>
  <c r="G41" i="21"/>
  <c r="G40" i="21"/>
  <c r="G39" i="21"/>
  <c r="G38" i="21"/>
  <c r="G37" i="21"/>
  <c r="G36" i="21"/>
  <c r="G35" i="21"/>
  <c r="E29" i="21"/>
  <c r="G29" i="21" s="1"/>
  <c r="G22" i="21"/>
  <c r="G18" i="21"/>
  <c r="E31" i="21" s="1"/>
  <c r="G31" i="21" s="1"/>
  <c r="K9" i="21"/>
  <c r="M8" i="21"/>
  <c r="G185" i="20"/>
  <c r="G184" i="20"/>
  <c r="G183" i="20"/>
  <c r="G180" i="20"/>
  <c r="V23" i="45" s="1"/>
  <c r="G179" i="20"/>
  <c r="V22" i="45" s="1"/>
  <c r="G178" i="20"/>
  <c r="V21" i="45" s="1"/>
  <c r="G175" i="20"/>
  <c r="V19" i="45" s="1"/>
  <c r="G174" i="20"/>
  <c r="V18" i="45" s="1"/>
  <c r="G173" i="20"/>
  <c r="V17" i="45" s="1"/>
  <c r="G165" i="20"/>
  <c r="G164" i="20"/>
  <c r="G163" i="20"/>
  <c r="G162" i="20"/>
  <c r="AB23" i="44" s="1"/>
  <c r="G161" i="20"/>
  <c r="AA23" i="44" s="1"/>
  <c r="G142" i="20"/>
  <c r="R23" i="44" s="1"/>
  <c r="G141" i="20"/>
  <c r="Q23" i="44" s="1"/>
  <c r="G140" i="20"/>
  <c r="P23" i="44" s="1"/>
  <c r="G139" i="20"/>
  <c r="O23" i="44" s="1"/>
  <c r="G138" i="20"/>
  <c r="G133" i="20"/>
  <c r="G132" i="20"/>
  <c r="G131" i="20"/>
  <c r="G130" i="20"/>
  <c r="G129" i="20"/>
  <c r="G128" i="20"/>
  <c r="G123" i="20"/>
  <c r="AL23" i="44" s="1"/>
  <c r="G122" i="20"/>
  <c r="AK23" i="44" s="1"/>
  <c r="G121" i="20"/>
  <c r="AJ23" i="44" s="1"/>
  <c r="G120" i="20"/>
  <c r="AI23" i="44" s="1"/>
  <c r="G119" i="20"/>
  <c r="AH23" i="44" s="1"/>
  <c r="G118" i="20"/>
  <c r="AG23" i="44" s="1"/>
  <c r="G117" i="20"/>
  <c r="AF23" i="44" s="1"/>
  <c r="G116" i="20"/>
  <c r="AE23" i="44" s="1"/>
  <c r="G115" i="20"/>
  <c r="G114" i="20"/>
  <c r="G113" i="20"/>
  <c r="G112" i="20"/>
  <c r="G92" i="20"/>
  <c r="AL22" i="1" s="1"/>
  <c r="G91" i="20"/>
  <c r="G90" i="20"/>
  <c r="I90" i="20" s="1"/>
  <c r="G89" i="20"/>
  <c r="G88" i="20"/>
  <c r="G87" i="20"/>
  <c r="AC22" i="1" s="1"/>
  <c r="G86" i="20"/>
  <c r="AB22" i="1" s="1"/>
  <c r="G85" i="20"/>
  <c r="AA22" i="1" s="1"/>
  <c r="G84" i="20"/>
  <c r="G83" i="20"/>
  <c r="G82" i="20"/>
  <c r="G78" i="20"/>
  <c r="AS23" i="44" s="1"/>
  <c r="G77" i="20"/>
  <c r="AR23" i="44" s="1"/>
  <c r="G76" i="20"/>
  <c r="AQ23" i="44" s="1"/>
  <c r="G75" i="20"/>
  <c r="AP23" i="44" s="1"/>
  <c r="G74" i="20"/>
  <c r="G70" i="20"/>
  <c r="V15" i="45" s="1"/>
  <c r="G69" i="20"/>
  <c r="V14" i="45" s="1"/>
  <c r="G68" i="20"/>
  <c r="V13" i="45" s="1"/>
  <c r="G67" i="20"/>
  <c r="G66" i="20"/>
  <c r="G65" i="20"/>
  <c r="G63" i="20"/>
  <c r="V8" i="45" s="1"/>
  <c r="G62" i="20"/>
  <c r="V7" i="45" s="1"/>
  <c r="G58" i="20"/>
  <c r="G57" i="20"/>
  <c r="G56" i="20"/>
  <c r="G55" i="20"/>
  <c r="G54" i="20"/>
  <c r="G53" i="20"/>
  <c r="G52" i="20"/>
  <c r="G51" i="20"/>
  <c r="G50" i="20"/>
  <c r="G49" i="20"/>
  <c r="G46" i="20"/>
  <c r="G45" i="20"/>
  <c r="G44" i="20"/>
  <c r="G43" i="20"/>
  <c r="G42" i="20"/>
  <c r="G41" i="20"/>
  <c r="G40" i="20"/>
  <c r="G39" i="20"/>
  <c r="G38" i="20"/>
  <c r="G37" i="20"/>
  <c r="G36" i="20"/>
  <c r="G35" i="20"/>
  <c r="E29" i="20"/>
  <c r="G29" i="20" s="1"/>
  <c r="G22" i="20"/>
  <c r="G18" i="20"/>
  <c r="E31" i="20" s="1"/>
  <c r="G31" i="20" s="1"/>
  <c r="K9" i="20"/>
  <c r="M8" i="20"/>
  <c r="G185" i="19"/>
  <c r="G184" i="19"/>
  <c r="G183" i="19"/>
  <c r="G180" i="19"/>
  <c r="U23" i="45" s="1"/>
  <c r="G179" i="19"/>
  <c r="U22" i="45" s="1"/>
  <c r="G178" i="19"/>
  <c r="U21" i="45" s="1"/>
  <c r="G175" i="19"/>
  <c r="U19" i="45" s="1"/>
  <c r="G174" i="19"/>
  <c r="U18" i="45" s="1"/>
  <c r="G173" i="19"/>
  <c r="U17" i="45" s="1"/>
  <c r="G165" i="19"/>
  <c r="G164" i="19"/>
  <c r="G163" i="19"/>
  <c r="G162" i="19"/>
  <c r="AB22" i="44" s="1"/>
  <c r="G161" i="19"/>
  <c r="G142" i="19"/>
  <c r="R22" i="44" s="1"/>
  <c r="G141" i="19"/>
  <c r="Q22" i="44" s="1"/>
  <c r="G140" i="19"/>
  <c r="P22" i="44" s="1"/>
  <c r="G139" i="19"/>
  <c r="O22" i="44" s="1"/>
  <c r="G138" i="19"/>
  <c r="G133" i="19"/>
  <c r="G132" i="19"/>
  <c r="G131" i="19"/>
  <c r="G130" i="19"/>
  <c r="G129" i="19"/>
  <c r="G128" i="19"/>
  <c r="G123" i="19"/>
  <c r="AL22" i="44" s="1"/>
  <c r="G122" i="19"/>
  <c r="AK22" i="44" s="1"/>
  <c r="G121" i="19"/>
  <c r="AJ22" i="44" s="1"/>
  <c r="G120" i="19"/>
  <c r="AI22" i="44" s="1"/>
  <c r="G119" i="19"/>
  <c r="AH22" i="44" s="1"/>
  <c r="G118" i="19"/>
  <c r="AG22" i="44" s="1"/>
  <c r="G117" i="19"/>
  <c r="AF22" i="44" s="1"/>
  <c r="G116" i="19"/>
  <c r="AE22" i="44" s="1"/>
  <c r="G115" i="19"/>
  <c r="G114" i="19"/>
  <c r="G113" i="19"/>
  <c r="G112" i="19"/>
  <c r="G92" i="19"/>
  <c r="AL21" i="1" s="1"/>
  <c r="G91" i="19"/>
  <c r="G90" i="19"/>
  <c r="I90" i="19" s="1"/>
  <c r="G89" i="19"/>
  <c r="I89" i="19" s="1"/>
  <c r="G87" i="19"/>
  <c r="AC21" i="1" s="1"/>
  <c r="G86" i="19"/>
  <c r="AB21" i="1" s="1"/>
  <c r="G85" i="19"/>
  <c r="Z21" i="1"/>
  <c r="G83" i="19"/>
  <c r="G82" i="19"/>
  <c r="G78" i="19"/>
  <c r="AS22" i="44" s="1"/>
  <c r="G77" i="19"/>
  <c r="AR22" i="44" s="1"/>
  <c r="AQ22" i="44"/>
  <c r="G75" i="19"/>
  <c r="AP22" i="44" s="1"/>
  <c r="G70" i="19"/>
  <c r="U15" i="45" s="1"/>
  <c r="G69" i="19"/>
  <c r="U14" i="45" s="1"/>
  <c r="G68" i="19"/>
  <c r="U13" i="45" s="1"/>
  <c r="G66" i="19"/>
  <c r="G65" i="19"/>
  <c r="G63" i="19"/>
  <c r="U8" i="45" s="1"/>
  <c r="G62" i="19"/>
  <c r="U7" i="45" s="1"/>
  <c r="G58" i="19"/>
  <c r="G57" i="19"/>
  <c r="G56" i="19"/>
  <c r="G55" i="19"/>
  <c r="G54" i="19"/>
  <c r="G53" i="19"/>
  <c r="G52" i="19"/>
  <c r="G51" i="19"/>
  <c r="G50" i="19"/>
  <c r="G49" i="19"/>
  <c r="G46" i="19"/>
  <c r="G45" i="19"/>
  <c r="G44" i="19"/>
  <c r="G43" i="19"/>
  <c r="G42" i="19"/>
  <c r="G41" i="19"/>
  <c r="G40" i="19"/>
  <c r="G39" i="19"/>
  <c r="G38" i="19"/>
  <c r="G37" i="19"/>
  <c r="G36" i="19"/>
  <c r="G35" i="19"/>
  <c r="G29" i="19"/>
  <c r="G18" i="19"/>
  <c r="E31" i="19" s="1"/>
  <c r="G31" i="19" s="1"/>
  <c r="K9" i="19"/>
  <c r="M8" i="19"/>
  <c r="G185" i="18"/>
  <c r="G184" i="18"/>
  <c r="G183" i="18"/>
  <c r="G180" i="18"/>
  <c r="T23" i="45" s="1"/>
  <c r="G179" i="18"/>
  <c r="T22" i="45" s="1"/>
  <c r="G178" i="18"/>
  <c r="T21" i="45" s="1"/>
  <c r="G175" i="18"/>
  <c r="T19" i="45" s="1"/>
  <c r="G174" i="18"/>
  <c r="T18" i="45" s="1"/>
  <c r="G173" i="18"/>
  <c r="T17" i="45" s="1"/>
  <c r="G165" i="18"/>
  <c r="G164" i="18"/>
  <c r="G163" i="18"/>
  <c r="G162" i="18"/>
  <c r="AB21" i="44" s="1"/>
  <c r="G161" i="18"/>
  <c r="G142" i="18"/>
  <c r="R21" i="44" s="1"/>
  <c r="G141" i="18"/>
  <c r="Q21" i="44" s="1"/>
  <c r="G140" i="18"/>
  <c r="P21" i="44" s="1"/>
  <c r="G139" i="18"/>
  <c r="O21" i="44" s="1"/>
  <c r="G138" i="18"/>
  <c r="G133" i="18"/>
  <c r="G132" i="18"/>
  <c r="G131" i="18"/>
  <c r="G130" i="18"/>
  <c r="G129" i="18"/>
  <c r="G128" i="18"/>
  <c r="G123" i="18"/>
  <c r="AL21" i="44" s="1"/>
  <c r="G122" i="18"/>
  <c r="AK21" i="44" s="1"/>
  <c r="G121" i="18"/>
  <c r="AJ21" i="44" s="1"/>
  <c r="G120" i="18"/>
  <c r="AI21" i="44" s="1"/>
  <c r="G119" i="18"/>
  <c r="AH21" i="44" s="1"/>
  <c r="G118" i="18"/>
  <c r="AG21" i="44" s="1"/>
  <c r="G117" i="18"/>
  <c r="AF21" i="44" s="1"/>
  <c r="G116" i="18"/>
  <c r="AE21" i="44" s="1"/>
  <c r="G115" i="18"/>
  <c r="G114" i="18"/>
  <c r="G113" i="18"/>
  <c r="G112" i="18"/>
  <c r="G92" i="18"/>
  <c r="AL20" i="1" s="1"/>
  <c r="G91" i="18"/>
  <c r="G90" i="18"/>
  <c r="I90" i="18" s="1"/>
  <c r="G89" i="18"/>
  <c r="G88" i="18"/>
  <c r="G87" i="18"/>
  <c r="AC20" i="1" s="1"/>
  <c r="G86" i="18"/>
  <c r="AB20" i="1" s="1"/>
  <c r="G85" i="18"/>
  <c r="AA20" i="1" s="1"/>
  <c r="G84" i="18"/>
  <c r="G83" i="18"/>
  <c r="G82" i="18"/>
  <c r="G78" i="18"/>
  <c r="AS21" i="44" s="1"/>
  <c r="G77" i="18"/>
  <c r="AR21" i="44" s="1"/>
  <c r="G76" i="18"/>
  <c r="AQ21" i="44" s="1"/>
  <c r="G75" i="18"/>
  <c r="AP21" i="44" s="1"/>
  <c r="G74" i="18"/>
  <c r="G70" i="18"/>
  <c r="T15" i="45" s="1"/>
  <c r="G69" i="18"/>
  <c r="T14" i="45" s="1"/>
  <c r="G68" i="18"/>
  <c r="T13" i="45" s="1"/>
  <c r="G67" i="18"/>
  <c r="G66" i="18"/>
  <c r="G65" i="18"/>
  <c r="G63" i="18"/>
  <c r="T8" i="45" s="1"/>
  <c r="G62" i="18"/>
  <c r="T7" i="45" s="1"/>
  <c r="G58" i="18"/>
  <c r="G57" i="18"/>
  <c r="G56" i="18"/>
  <c r="G55" i="18"/>
  <c r="G54" i="18"/>
  <c r="G53" i="18"/>
  <c r="G52" i="18"/>
  <c r="G51" i="18"/>
  <c r="G50" i="18"/>
  <c r="G49" i="18"/>
  <c r="G46" i="18"/>
  <c r="G45" i="18"/>
  <c r="G44" i="18"/>
  <c r="G43" i="18"/>
  <c r="G42" i="18"/>
  <c r="G41" i="18"/>
  <c r="G40" i="18"/>
  <c r="G39" i="18"/>
  <c r="G38" i="18"/>
  <c r="G37" i="18"/>
  <c r="G36" i="18"/>
  <c r="G35" i="18"/>
  <c r="G29" i="18"/>
  <c r="G22" i="18"/>
  <c r="G18" i="18"/>
  <c r="K9" i="18"/>
  <c r="M8" i="18"/>
  <c r="G185" i="17"/>
  <c r="G184" i="17"/>
  <c r="G183" i="17"/>
  <c r="G180" i="17"/>
  <c r="S23" i="45" s="1"/>
  <c r="G179" i="17"/>
  <c r="S22" i="45" s="1"/>
  <c r="G178" i="17"/>
  <c r="S21" i="45" s="1"/>
  <c r="G175" i="17"/>
  <c r="S19" i="45" s="1"/>
  <c r="G174" i="17"/>
  <c r="S18" i="45" s="1"/>
  <c r="G173" i="17"/>
  <c r="S17" i="45" s="1"/>
  <c r="G165" i="17"/>
  <c r="G164" i="17"/>
  <c r="G163" i="17"/>
  <c r="AB20" i="44"/>
  <c r="G161" i="17"/>
  <c r="AA20" i="44" s="1"/>
  <c r="G142" i="17"/>
  <c r="R20" i="44" s="1"/>
  <c r="G141" i="17"/>
  <c r="Q20" i="44" s="1"/>
  <c r="G140" i="17"/>
  <c r="P20" i="44" s="1"/>
  <c r="G139" i="17"/>
  <c r="O20" i="44" s="1"/>
  <c r="G138" i="17"/>
  <c r="G133" i="17"/>
  <c r="G132" i="17"/>
  <c r="G131" i="17"/>
  <c r="G130" i="17"/>
  <c r="G129" i="17"/>
  <c r="G128" i="17"/>
  <c r="G123" i="17"/>
  <c r="AL20" i="44" s="1"/>
  <c r="G122" i="17"/>
  <c r="AK20" i="44" s="1"/>
  <c r="G121" i="17"/>
  <c r="AJ20" i="44" s="1"/>
  <c r="G120" i="17"/>
  <c r="AI20" i="44" s="1"/>
  <c r="G119" i="17"/>
  <c r="AH20" i="44" s="1"/>
  <c r="G118" i="17"/>
  <c r="AG20" i="44" s="1"/>
  <c r="G117" i="17"/>
  <c r="AF20" i="44" s="1"/>
  <c r="G116" i="17"/>
  <c r="AE20" i="44" s="1"/>
  <c r="G115" i="17"/>
  <c r="G113" i="17"/>
  <c r="G112" i="17"/>
  <c r="AL19" i="1"/>
  <c r="G90" i="17"/>
  <c r="I90" i="17" s="1"/>
  <c r="G89" i="17"/>
  <c r="G88" i="17"/>
  <c r="G87" i="17"/>
  <c r="AC19" i="1" s="1"/>
  <c r="G86" i="17"/>
  <c r="AB19" i="1" s="1"/>
  <c r="G85" i="17"/>
  <c r="AA19" i="1" s="1"/>
  <c r="G84" i="17"/>
  <c r="G83" i="17"/>
  <c r="G82" i="17"/>
  <c r="G78" i="17"/>
  <c r="AS20" i="44" s="1"/>
  <c r="G77" i="17"/>
  <c r="AR20" i="44" s="1"/>
  <c r="G76" i="17"/>
  <c r="AQ20" i="44" s="1"/>
  <c r="G75" i="17"/>
  <c r="AP20" i="44" s="1"/>
  <c r="G74" i="17"/>
  <c r="G70" i="17"/>
  <c r="S15" i="45" s="1"/>
  <c r="G69" i="17"/>
  <c r="S14" i="45" s="1"/>
  <c r="G68" i="17"/>
  <c r="S13" i="45" s="1"/>
  <c r="G67" i="17"/>
  <c r="G66" i="17"/>
  <c r="G65" i="17"/>
  <c r="G63" i="17"/>
  <c r="S8" i="45" s="1"/>
  <c r="G62" i="17"/>
  <c r="S7" i="45" s="1"/>
  <c r="G58" i="17"/>
  <c r="G57" i="17"/>
  <c r="G56" i="17"/>
  <c r="G55" i="17"/>
  <c r="G54" i="17"/>
  <c r="G53" i="17"/>
  <c r="G52" i="17"/>
  <c r="G51" i="17"/>
  <c r="G50" i="17"/>
  <c r="G49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E29" i="17"/>
  <c r="G29" i="17" s="1"/>
  <c r="G22" i="17"/>
  <c r="G18" i="17"/>
  <c r="E31" i="17" s="1"/>
  <c r="G31" i="17" s="1"/>
  <c r="K9" i="17"/>
  <c r="M8" i="17"/>
  <c r="G185" i="16"/>
  <c r="G184" i="16"/>
  <c r="G183" i="16"/>
  <c r="G180" i="16"/>
  <c r="R23" i="45" s="1"/>
  <c r="G179" i="16"/>
  <c r="R22" i="45" s="1"/>
  <c r="G178" i="16"/>
  <c r="R21" i="45" s="1"/>
  <c r="G175" i="16"/>
  <c r="R19" i="45" s="1"/>
  <c r="G174" i="16"/>
  <c r="R18" i="45" s="1"/>
  <c r="G173" i="16"/>
  <c r="R17" i="45" s="1"/>
  <c r="G165" i="16"/>
  <c r="G164" i="16"/>
  <c r="G163" i="16"/>
  <c r="G162" i="16"/>
  <c r="AB19" i="44" s="1"/>
  <c r="G161" i="16"/>
  <c r="AA19" i="44" s="1"/>
  <c r="G142" i="16"/>
  <c r="R19" i="44" s="1"/>
  <c r="G141" i="16"/>
  <c r="Q19" i="44" s="1"/>
  <c r="G140" i="16"/>
  <c r="P19" i="44" s="1"/>
  <c r="G139" i="16"/>
  <c r="O19" i="44" s="1"/>
  <c r="G138" i="16"/>
  <c r="G133" i="16"/>
  <c r="G132" i="16"/>
  <c r="G131" i="16"/>
  <c r="G130" i="16"/>
  <c r="G129" i="16"/>
  <c r="G128" i="16"/>
  <c r="G123" i="16"/>
  <c r="AL19" i="44" s="1"/>
  <c r="G122" i="16"/>
  <c r="AK19" i="44" s="1"/>
  <c r="G121" i="16"/>
  <c r="AJ19" i="44" s="1"/>
  <c r="G120" i="16"/>
  <c r="AI19" i="44" s="1"/>
  <c r="G119" i="16"/>
  <c r="AH19" i="44" s="1"/>
  <c r="G118" i="16"/>
  <c r="AG19" i="44" s="1"/>
  <c r="G117" i="16"/>
  <c r="AF19" i="44" s="1"/>
  <c r="G116" i="16"/>
  <c r="AE19" i="44" s="1"/>
  <c r="G115" i="16"/>
  <c r="G114" i="16"/>
  <c r="G113" i="16"/>
  <c r="G112" i="16"/>
  <c r="G92" i="16"/>
  <c r="AL18" i="1" s="1"/>
  <c r="G91" i="16"/>
  <c r="G90" i="16"/>
  <c r="I90" i="16" s="1"/>
  <c r="G89" i="16"/>
  <c r="G88" i="16"/>
  <c r="G87" i="16"/>
  <c r="AC18" i="1" s="1"/>
  <c r="G86" i="16"/>
  <c r="AB18" i="1" s="1"/>
  <c r="G85" i="16"/>
  <c r="AA18" i="1" s="1"/>
  <c r="G84" i="16"/>
  <c r="G83" i="16"/>
  <c r="G82" i="16"/>
  <c r="G78" i="16"/>
  <c r="AS19" i="44" s="1"/>
  <c r="G77" i="16"/>
  <c r="AR19" i="44" s="1"/>
  <c r="AQ19" i="44"/>
  <c r="G75" i="16"/>
  <c r="AP19" i="44" s="1"/>
  <c r="G74" i="16"/>
  <c r="G70" i="16"/>
  <c r="R15" i="45" s="1"/>
  <c r="G69" i="16"/>
  <c r="R14" i="45" s="1"/>
  <c r="G68" i="16"/>
  <c r="R13" i="45" s="1"/>
  <c r="G67" i="16"/>
  <c r="G66" i="16"/>
  <c r="G65" i="16"/>
  <c r="G63" i="16"/>
  <c r="R8" i="45" s="1"/>
  <c r="G62" i="16"/>
  <c r="R7" i="45" s="1"/>
  <c r="G58" i="16"/>
  <c r="G57" i="16"/>
  <c r="G56" i="16"/>
  <c r="G55" i="16"/>
  <c r="G54" i="16"/>
  <c r="G53" i="16"/>
  <c r="G52" i="16"/>
  <c r="G51" i="16"/>
  <c r="G50" i="16"/>
  <c r="G49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E29" i="16"/>
  <c r="G29" i="16" s="1"/>
  <c r="G22" i="16"/>
  <c r="G18" i="16"/>
  <c r="E31" i="16" s="1"/>
  <c r="G31" i="16" s="1"/>
  <c r="K9" i="16"/>
  <c r="M8" i="16"/>
  <c r="G185" i="15"/>
  <c r="G184" i="15"/>
  <c r="G183" i="15"/>
  <c r="G180" i="15"/>
  <c r="Q23" i="45" s="1"/>
  <c r="G179" i="15"/>
  <c r="Q22" i="45" s="1"/>
  <c r="G178" i="15"/>
  <c r="Q21" i="45" s="1"/>
  <c r="G175" i="15"/>
  <c r="Q19" i="45" s="1"/>
  <c r="G174" i="15"/>
  <c r="Q18" i="45" s="1"/>
  <c r="Q17" i="45"/>
  <c r="G165" i="15"/>
  <c r="G164" i="15"/>
  <c r="G163" i="15"/>
  <c r="G162" i="15"/>
  <c r="AB18" i="44" s="1"/>
  <c r="G161" i="15"/>
  <c r="G142" i="15"/>
  <c r="R18" i="44" s="1"/>
  <c r="G141" i="15"/>
  <c r="Q18" i="44" s="1"/>
  <c r="G140" i="15"/>
  <c r="P18" i="44" s="1"/>
  <c r="G139" i="15"/>
  <c r="O18" i="44" s="1"/>
  <c r="G138" i="15"/>
  <c r="G133" i="15"/>
  <c r="G132" i="15"/>
  <c r="G131" i="15"/>
  <c r="G130" i="15"/>
  <c r="G129" i="15"/>
  <c r="G128" i="15"/>
  <c r="G123" i="15"/>
  <c r="AL18" i="44" s="1"/>
  <c r="G122" i="15"/>
  <c r="AK18" i="44" s="1"/>
  <c r="G121" i="15"/>
  <c r="AJ18" i="44" s="1"/>
  <c r="G120" i="15"/>
  <c r="AI18" i="44" s="1"/>
  <c r="G119" i="15"/>
  <c r="AH18" i="44" s="1"/>
  <c r="G118" i="15"/>
  <c r="AG18" i="44" s="1"/>
  <c r="G117" i="15"/>
  <c r="AF18" i="44" s="1"/>
  <c r="G116" i="15"/>
  <c r="AE18" i="44" s="1"/>
  <c r="G115" i="15"/>
  <c r="G114" i="15"/>
  <c r="G113" i="15"/>
  <c r="G112" i="15"/>
  <c r="G92" i="15"/>
  <c r="AL17" i="1" s="1"/>
  <c r="G91" i="15"/>
  <c r="G90" i="15"/>
  <c r="I90" i="15" s="1"/>
  <c r="G89" i="15"/>
  <c r="G88" i="15"/>
  <c r="G87" i="15"/>
  <c r="AC17" i="1" s="1"/>
  <c r="G86" i="15"/>
  <c r="AB17" i="1" s="1"/>
  <c r="G85" i="15"/>
  <c r="AA17" i="1" s="1"/>
  <c r="G84" i="15"/>
  <c r="G83" i="15"/>
  <c r="G82" i="15"/>
  <c r="G78" i="15"/>
  <c r="AS18" i="44" s="1"/>
  <c r="G77" i="15"/>
  <c r="AR18" i="44" s="1"/>
  <c r="G76" i="15"/>
  <c r="AQ18" i="44" s="1"/>
  <c r="G75" i="15"/>
  <c r="AP18" i="44" s="1"/>
  <c r="G74" i="15"/>
  <c r="G70" i="15"/>
  <c r="Q15" i="45" s="1"/>
  <c r="G69" i="15"/>
  <c r="Q14" i="45" s="1"/>
  <c r="G68" i="15"/>
  <c r="Q13" i="45" s="1"/>
  <c r="G67" i="15"/>
  <c r="G66" i="15"/>
  <c r="G65" i="15"/>
  <c r="G63" i="15"/>
  <c r="Q8" i="45" s="1"/>
  <c r="G62" i="15"/>
  <c r="Q7" i="45" s="1"/>
  <c r="G58" i="15"/>
  <c r="G57" i="15"/>
  <c r="G56" i="15"/>
  <c r="G55" i="15"/>
  <c r="G54" i="15"/>
  <c r="G53" i="15"/>
  <c r="G52" i="15"/>
  <c r="G51" i="15"/>
  <c r="G50" i="15"/>
  <c r="G49" i="15"/>
  <c r="G46" i="15"/>
  <c r="G45" i="15"/>
  <c r="G44" i="15"/>
  <c r="AO17" i="1" s="1"/>
  <c r="G43" i="15"/>
  <c r="G42" i="15"/>
  <c r="G41" i="15"/>
  <c r="G40" i="15"/>
  <c r="G39" i="15"/>
  <c r="G38" i="15"/>
  <c r="G37" i="15"/>
  <c r="G36" i="15"/>
  <c r="G35" i="15"/>
  <c r="G29" i="15"/>
  <c r="G18" i="15"/>
  <c r="E31" i="15" s="1"/>
  <c r="G31" i="15" s="1"/>
  <c r="G10" i="15"/>
  <c r="K9" i="15"/>
  <c r="M8" i="15"/>
  <c r="G185" i="14"/>
  <c r="G184" i="14"/>
  <c r="G183" i="14"/>
  <c r="G180" i="14"/>
  <c r="P23" i="45" s="1"/>
  <c r="G179" i="14"/>
  <c r="P22" i="45" s="1"/>
  <c r="G178" i="14"/>
  <c r="P21" i="45" s="1"/>
  <c r="G175" i="14"/>
  <c r="P19" i="45" s="1"/>
  <c r="G174" i="14"/>
  <c r="P18" i="45" s="1"/>
  <c r="G173" i="14"/>
  <c r="P17" i="45" s="1"/>
  <c r="G165" i="14"/>
  <c r="G164" i="14"/>
  <c r="G163" i="14"/>
  <c r="G162" i="14"/>
  <c r="AB17" i="44" s="1"/>
  <c r="G161" i="14"/>
  <c r="AA17" i="44" s="1"/>
  <c r="G142" i="14"/>
  <c r="R17" i="44" s="1"/>
  <c r="G141" i="14"/>
  <c r="Q17" i="44" s="1"/>
  <c r="G140" i="14"/>
  <c r="P17" i="44" s="1"/>
  <c r="G139" i="14"/>
  <c r="O17" i="44" s="1"/>
  <c r="G138" i="14"/>
  <c r="G133" i="14"/>
  <c r="G132" i="14"/>
  <c r="G131" i="14"/>
  <c r="G130" i="14"/>
  <c r="G129" i="14"/>
  <c r="G128" i="14"/>
  <c r="G123" i="14"/>
  <c r="AL17" i="44" s="1"/>
  <c r="G122" i="14"/>
  <c r="AK17" i="44" s="1"/>
  <c r="G121" i="14"/>
  <c r="AJ17" i="44" s="1"/>
  <c r="G120" i="14"/>
  <c r="AI17" i="44" s="1"/>
  <c r="G119" i="14"/>
  <c r="AH17" i="44" s="1"/>
  <c r="G118" i="14"/>
  <c r="AG17" i="44" s="1"/>
  <c r="G117" i="14"/>
  <c r="AF17" i="44" s="1"/>
  <c r="G116" i="14"/>
  <c r="AE17" i="44" s="1"/>
  <c r="G115" i="14"/>
  <c r="G114" i="14"/>
  <c r="G113" i="14"/>
  <c r="G112" i="14"/>
  <c r="G92" i="14"/>
  <c r="AL16" i="1" s="1"/>
  <c r="G91" i="14"/>
  <c r="G90" i="14"/>
  <c r="I90" i="14" s="1"/>
  <c r="G89" i="14"/>
  <c r="G88" i="14"/>
  <c r="G87" i="14"/>
  <c r="AC16" i="1" s="1"/>
  <c r="G86" i="14"/>
  <c r="AB16" i="1" s="1"/>
  <c r="G85" i="14"/>
  <c r="AA16" i="1" s="1"/>
  <c r="G84" i="14"/>
  <c r="G83" i="14"/>
  <c r="G82" i="14"/>
  <c r="G78" i="14"/>
  <c r="AS17" i="44" s="1"/>
  <c r="G77" i="14"/>
  <c r="AR17" i="44" s="1"/>
  <c r="G76" i="14"/>
  <c r="AQ17" i="44" s="1"/>
  <c r="G75" i="14"/>
  <c r="AP17" i="44" s="1"/>
  <c r="G74" i="14"/>
  <c r="G70" i="14"/>
  <c r="P15" i="45" s="1"/>
  <c r="G69" i="14"/>
  <c r="P14" i="45" s="1"/>
  <c r="G68" i="14"/>
  <c r="P13" i="45" s="1"/>
  <c r="G67" i="14"/>
  <c r="G66" i="14"/>
  <c r="G65" i="14"/>
  <c r="G63" i="14"/>
  <c r="P8" i="45" s="1"/>
  <c r="G62" i="14"/>
  <c r="P7" i="45" s="1"/>
  <c r="G58" i="14"/>
  <c r="G57" i="14"/>
  <c r="G56" i="14"/>
  <c r="G55" i="14"/>
  <c r="G54" i="14"/>
  <c r="G53" i="14"/>
  <c r="G52" i="14"/>
  <c r="G51" i="14"/>
  <c r="G50" i="14"/>
  <c r="G49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E29" i="14"/>
  <c r="G29" i="14" s="1"/>
  <c r="G22" i="14"/>
  <c r="G18" i="14"/>
  <c r="E31" i="14" s="1"/>
  <c r="G31" i="14" s="1"/>
  <c r="G10" i="14"/>
  <c r="K9" i="14"/>
  <c r="M8" i="14"/>
  <c r="G185" i="13"/>
  <c r="G184" i="13"/>
  <c r="G183" i="13"/>
  <c r="G180" i="13"/>
  <c r="O23" i="45" s="1"/>
  <c r="G179" i="13"/>
  <c r="O22" i="45" s="1"/>
  <c r="G178" i="13"/>
  <c r="O21" i="45" s="1"/>
  <c r="G175" i="13"/>
  <c r="O19" i="45" s="1"/>
  <c r="G174" i="13"/>
  <c r="O18" i="45" s="1"/>
  <c r="G173" i="13"/>
  <c r="O17" i="45" s="1"/>
  <c r="G165" i="13"/>
  <c r="G164" i="13"/>
  <c r="G163" i="13"/>
  <c r="G162" i="13"/>
  <c r="AB16" i="44" s="1"/>
  <c r="G161" i="13"/>
  <c r="AA16" i="44" s="1"/>
  <c r="G142" i="13"/>
  <c r="R16" i="44" s="1"/>
  <c r="G141" i="13"/>
  <c r="Q16" i="44" s="1"/>
  <c r="G140" i="13"/>
  <c r="P16" i="44" s="1"/>
  <c r="G139" i="13"/>
  <c r="O16" i="44" s="1"/>
  <c r="G138" i="13"/>
  <c r="G133" i="13"/>
  <c r="G132" i="13"/>
  <c r="G131" i="13"/>
  <c r="G130" i="13"/>
  <c r="G129" i="13"/>
  <c r="G128" i="13"/>
  <c r="G123" i="13"/>
  <c r="AL16" i="44" s="1"/>
  <c r="G122" i="13"/>
  <c r="AK16" i="44" s="1"/>
  <c r="G121" i="13"/>
  <c r="AJ16" i="44" s="1"/>
  <c r="G120" i="13"/>
  <c r="AI16" i="44" s="1"/>
  <c r="G119" i="13"/>
  <c r="AH16" i="44" s="1"/>
  <c r="G118" i="13"/>
  <c r="AG16" i="44" s="1"/>
  <c r="G117" i="13"/>
  <c r="AF16" i="44" s="1"/>
  <c r="G116" i="13"/>
  <c r="AE16" i="44" s="1"/>
  <c r="G115" i="13"/>
  <c r="G114" i="13"/>
  <c r="G113" i="13"/>
  <c r="G112" i="13"/>
  <c r="G92" i="13"/>
  <c r="AL15" i="1" s="1"/>
  <c r="G91" i="13"/>
  <c r="G90" i="13"/>
  <c r="I90" i="13" s="1"/>
  <c r="G89" i="13"/>
  <c r="G88" i="13"/>
  <c r="G87" i="13"/>
  <c r="AC15" i="1" s="1"/>
  <c r="G86" i="13"/>
  <c r="AB15" i="1" s="1"/>
  <c r="G85" i="13"/>
  <c r="AA15" i="1" s="1"/>
  <c r="G84" i="13"/>
  <c r="G83" i="13"/>
  <c r="G82" i="13"/>
  <c r="G78" i="13"/>
  <c r="AS16" i="44" s="1"/>
  <c r="G77" i="13"/>
  <c r="AR16" i="44" s="1"/>
  <c r="G76" i="13"/>
  <c r="AQ16" i="44" s="1"/>
  <c r="G75" i="13"/>
  <c r="AP16" i="44" s="1"/>
  <c r="G74" i="13"/>
  <c r="G70" i="13"/>
  <c r="G69" i="13"/>
  <c r="O14" i="45" s="1"/>
  <c r="G68" i="13"/>
  <c r="O13" i="45" s="1"/>
  <c r="G67" i="13"/>
  <c r="G66" i="13"/>
  <c r="G65" i="13"/>
  <c r="G63" i="13"/>
  <c r="O8" i="45" s="1"/>
  <c r="G62" i="13"/>
  <c r="G58" i="13"/>
  <c r="G57" i="13"/>
  <c r="G56" i="13"/>
  <c r="G55" i="13"/>
  <c r="G54" i="13"/>
  <c r="G53" i="13"/>
  <c r="G52" i="13"/>
  <c r="G51" i="13"/>
  <c r="G50" i="13"/>
  <c r="G49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E29" i="13"/>
  <c r="G29" i="13" s="1"/>
  <c r="G22" i="13"/>
  <c r="G18" i="13"/>
  <c r="E31" i="13" s="1"/>
  <c r="G31" i="13" s="1"/>
  <c r="G10" i="13"/>
  <c r="K9" i="13"/>
  <c r="M8" i="13"/>
  <c r="G185" i="12"/>
  <c r="G184" i="12"/>
  <c r="G183" i="12"/>
  <c r="G180" i="12"/>
  <c r="N23" i="45" s="1"/>
  <c r="G179" i="12"/>
  <c r="N22" i="45" s="1"/>
  <c r="G178" i="12"/>
  <c r="N21" i="45" s="1"/>
  <c r="G175" i="12"/>
  <c r="N19" i="45" s="1"/>
  <c r="G174" i="12"/>
  <c r="N18" i="45" s="1"/>
  <c r="G173" i="12"/>
  <c r="N17" i="45" s="1"/>
  <c r="G165" i="12"/>
  <c r="G164" i="12"/>
  <c r="G163" i="12"/>
  <c r="G162" i="12"/>
  <c r="AB15" i="44" s="1"/>
  <c r="AA15" i="44"/>
  <c r="G142" i="12"/>
  <c r="R15" i="44" s="1"/>
  <c r="G141" i="12"/>
  <c r="Q15" i="44" s="1"/>
  <c r="G140" i="12"/>
  <c r="P15" i="44" s="1"/>
  <c r="G139" i="12"/>
  <c r="O15" i="44" s="1"/>
  <c r="G138" i="12"/>
  <c r="G133" i="12"/>
  <c r="G132" i="12"/>
  <c r="G131" i="12"/>
  <c r="G130" i="12"/>
  <c r="G129" i="12"/>
  <c r="G128" i="12"/>
  <c r="G123" i="12"/>
  <c r="AL15" i="44" s="1"/>
  <c r="G122" i="12"/>
  <c r="AK15" i="44" s="1"/>
  <c r="G121" i="12"/>
  <c r="AJ15" i="44" s="1"/>
  <c r="G120" i="12"/>
  <c r="AI15" i="44" s="1"/>
  <c r="G119" i="12"/>
  <c r="AH15" i="44" s="1"/>
  <c r="G118" i="12"/>
  <c r="AG15" i="44" s="1"/>
  <c r="G117" i="12"/>
  <c r="AF15" i="44" s="1"/>
  <c r="G116" i="12"/>
  <c r="AE15" i="44" s="1"/>
  <c r="G115" i="12"/>
  <c r="G114" i="12"/>
  <c r="G113" i="12"/>
  <c r="G112" i="12"/>
  <c r="G92" i="12"/>
  <c r="AL14" i="1" s="1"/>
  <c r="G91" i="12"/>
  <c r="G90" i="12"/>
  <c r="I90" i="12" s="1"/>
  <c r="G89" i="12"/>
  <c r="G88" i="12"/>
  <c r="G87" i="12"/>
  <c r="AC14" i="1" s="1"/>
  <c r="G86" i="12"/>
  <c r="AB14" i="1" s="1"/>
  <c r="G85" i="12"/>
  <c r="AA14" i="1" s="1"/>
  <c r="G84" i="12"/>
  <c r="G83" i="12"/>
  <c r="G82" i="12"/>
  <c r="G78" i="12"/>
  <c r="AS15" i="44" s="1"/>
  <c r="G77" i="12"/>
  <c r="AR15" i="44" s="1"/>
  <c r="G76" i="12"/>
  <c r="AQ15" i="44" s="1"/>
  <c r="G75" i="12"/>
  <c r="AP15" i="44" s="1"/>
  <c r="G70" i="12"/>
  <c r="N15" i="45" s="1"/>
  <c r="G69" i="12"/>
  <c r="N14" i="45" s="1"/>
  <c r="G68" i="12"/>
  <c r="N13" i="45" s="1"/>
  <c r="G67" i="12"/>
  <c r="G66" i="12"/>
  <c r="G65" i="12"/>
  <c r="G63" i="12"/>
  <c r="N8" i="45" s="1"/>
  <c r="G62" i="12"/>
  <c r="G58" i="12"/>
  <c r="G57" i="12"/>
  <c r="G56" i="12"/>
  <c r="G55" i="12"/>
  <c r="G54" i="12"/>
  <c r="G53" i="12"/>
  <c r="G52" i="12"/>
  <c r="G51" i="12"/>
  <c r="G50" i="12"/>
  <c r="G49" i="12"/>
  <c r="G46" i="12"/>
  <c r="G45" i="12"/>
  <c r="G44" i="12"/>
  <c r="G43" i="12"/>
  <c r="G42" i="12"/>
  <c r="G41" i="12"/>
  <c r="G40" i="12"/>
  <c r="G39" i="12"/>
  <c r="G38" i="12"/>
  <c r="G37" i="12"/>
  <c r="G36" i="12"/>
  <c r="E29" i="12"/>
  <c r="G29" i="12" s="1"/>
  <c r="G22" i="12"/>
  <c r="G18" i="12"/>
  <c r="E31" i="12" s="1"/>
  <c r="G31" i="12" s="1"/>
  <c r="G10" i="12"/>
  <c r="K9" i="12"/>
  <c r="M8" i="12"/>
  <c r="G185" i="11"/>
  <c r="G184" i="11"/>
  <c r="G183" i="11"/>
  <c r="G180" i="11"/>
  <c r="M23" i="45" s="1"/>
  <c r="G179" i="11"/>
  <c r="M22" i="45" s="1"/>
  <c r="G178" i="11"/>
  <c r="M21" i="45" s="1"/>
  <c r="G175" i="11"/>
  <c r="M19" i="45" s="1"/>
  <c r="G174" i="11"/>
  <c r="M18" i="45" s="1"/>
  <c r="G173" i="11"/>
  <c r="M17" i="45" s="1"/>
  <c r="G165" i="11"/>
  <c r="G164" i="11"/>
  <c r="G163" i="11"/>
  <c r="G162" i="11"/>
  <c r="AB14" i="44" s="1"/>
  <c r="G161" i="11"/>
  <c r="AA14" i="44" s="1"/>
  <c r="G142" i="11"/>
  <c r="R14" i="44" s="1"/>
  <c r="G141" i="11"/>
  <c r="Q14" i="44" s="1"/>
  <c r="G140" i="11"/>
  <c r="P14" i="44" s="1"/>
  <c r="G139" i="11"/>
  <c r="O14" i="44" s="1"/>
  <c r="G138" i="11"/>
  <c r="G133" i="11"/>
  <c r="AM14" i="44" s="1"/>
  <c r="G132" i="11"/>
  <c r="G131" i="11"/>
  <c r="G130" i="11"/>
  <c r="G129" i="11"/>
  <c r="G128" i="11"/>
  <c r="G123" i="11"/>
  <c r="AL14" i="44" s="1"/>
  <c r="G122" i="11"/>
  <c r="AK14" i="44" s="1"/>
  <c r="G121" i="11"/>
  <c r="AJ14" i="44" s="1"/>
  <c r="G120" i="11"/>
  <c r="AI14" i="44" s="1"/>
  <c r="G119" i="11"/>
  <c r="AH14" i="44" s="1"/>
  <c r="G118" i="11"/>
  <c r="AG14" i="44" s="1"/>
  <c r="G117" i="11"/>
  <c r="AF14" i="44" s="1"/>
  <c r="G116" i="11"/>
  <c r="AE14" i="44" s="1"/>
  <c r="G115" i="11"/>
  <c r="G114" i="11"/>
  <c r="G113" i="11"/>
  <c r="G112" i="11"/>
  <c r="G92" i="11"/>
  <c r="AL13" i="1" s="1"/>
  <c r="G91" i="11"/>
  <c r="G90" i="11"/>
  <c r="I90" i="11" s="1"/>
  <c r="G89" i="11"/>
  <c r="G88" i="11"/>
  <c r="G87" i="11"/>
  <c r="AC13" i="1" s="1"/>
  <c r="G86" i="11"/>
  <c r="AB13" i="1" s="1"/>
  <c r="G85" i="11"/>
  <c r="AA13" i="1" s="1"/>
  <c r="G84" i="11"/>
  <c r="G83" i="11"/>
  <c r="G82" i="11"/>
  <c r="G78" i="11"/>
  <c r="AS14" i="44" s="1"/>
  <c r="G77" i="11"/>
  <c r="AR14" i="44" s="1"/>
  <c r="G76" i="11"/>
  <c r="AQ14" i="44" s="1"/>
  <c r="G75" i="11"/>
  <c r="AP14" i="44" s="1"/>
  <c r="G74" i="11"/>
  <c r="G70" i="11"/>
  <c r="M15" i="45" s="1"/>
  <c r="G69" i="11"/>
  <c r="M14" i="45" s="1"/>
  <c r="G68" i="11"/>
  <c r="M13" i="45" s="1"/>
  <c r="G67" i="11"/>
  <c r="G66" i="11"/>
  <c r="G65" i="11"/>
  <c r="G63" i="11"/>
  <c r="M8" i="45" s="1"/>
  <c r="G62" i="11"/>
  <c r="M7" i="45" s="1"/>
  <c r="G58" i="11"/>
  <c r="G57" i="11"/>
  <c r="G56" i="11"/>
  <c r="G55" i="11"/>
  <c r="G54" i="11"/>
  <c r="G53" i="11"/>
  <c r="G52" i="11"/>
  <c r="G51" i="11"/>
  <c r="G50" i="11"/>
  <c r="G49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E29" i="11"/>
  <c r="G29" i="11" s="1"/>
  <c r="G22" i="11"/>
  <c r="G18" i="11"/>
  <c r="E31" i="11" s="1"/>
  <c r="G31" i="11" s="1"/>
  <c r="G10" i="11"/>
  <c r="K9" i="11"/>
  <c r="M8" i="11"/>
  <c r="G185" i="10"/>
  <c r="G184" i="10"/>
  <c r="G183" i="10"/>
  <c r="G180" i="10"/>
  <c r="L23" i="45" s="1"/>
  <c r="G179" i="10"/>
  <c r="L22" i="45" s="1"/>
  <c r="G178" i="10"/>
  <c r="L21" i="45" s="1"/>
  <c r="G175" i="10"/>
  <c r="L19" i="45" s="1"/>
  <c r="G174" i="10"/>
  <c r="L18" i="45" s="1"/>
  <c r="G173" i="10"/>
  <c r="L17" i="45" s="1"/>
  <c r="G165" i="10"/>
  <c r="G164" i="10"/>
  <c r="G163" i="10"/>
  <c r="G162" i="10"/>
  <c r="AB13" i="44" s="1"/>
  <c r="G161" i="10"/>
  <c r="AA13" i="44" s="1"/>
  <c r="G142" i="10"/>
  <c r="R13" i="44" s="1"/>
  <c r="G141" i="10"/>
  <c r="Q13" i="44" s="1"/>
  <c r="G140" i="10"/>
  <c r="P13" i="44" s="1"/>
  <c r="G139" i="10"/>
  <c r="O13" i="44" s="1"/>
  <c r="G138" i="10"/>
  <c r="G133" i="10"/>
  <c r="AM13" i="44" s="1"/>
  <c r="G132" i="10"/>
  <c r="G131" i="10"/>
  <c r="G130" i="10"/>
  <c r="G129" i="10"/>
  <c r="G128" i="10"/>
  <c r="G123" i="10"/>
  <c r="AL13" i="44" s="1"/>
  <c r="G122" i="10"/>
  <c r="AK13" i="44" s="1"/>
  <c r="G121" i="10"/>
  <c r="AJ13" i="44" s="1"/>
  <c r="G120" i="10"/>
  <c r="AI13" i="44" s="1"/>
  <c r="G119" i="10"/>
  <c r="AH13" i="44" s="1"/>
  <c r="G118" i="10"/>
  <c r="AG13" i="44" s="1"/>
  <c r="G117" i="10"/>
  <c r="AF13" i="44" s="1"/>
  <c r="G116" i="10"/>
  <c r="AE13" i="44" s="1"/>
  <c r="G115" i="10"/>
  <c r="G114" i="10"/>
  <c r="G113" i="10"/>
  <c r="G112" i="10"/>
  <c r="G92" i="10"/>
  <c r="AL12" i="1" s="1"/>
  <c r="G91" i="10"/>
  <c r="G90" i="10"/>
  <c r="I90" i="10" s="1"/>
  <c r="G89" i="10"/>
  <c r="G88" i="10"/>
  <c r="G87" i="10"/>
  <c r="AC12" i="1" s="1"/>
  <c r="G86" i="10"/>
  <c r="AB12" i="1" s="1"/>
  <c r="G85" i="10"/>
  <c r="G84" i="10"/>
  <c r="Z12" i="1" s="1"/>
  <c r="G83" i="10"/>
  <c r="G82" i="10"/>
  <c r="G78" i="10"/>
  <c r="AS13" i="44" s="1"/>
  <c r="G77" i="10"/>
  <c r="AR13" i="44" s="1"/>
  <c r="G76" i="10"/>
  <c r="AQ13" i="44" s="1"/>
  <c r="G75" i="10"/>
  <c r="AP13" i="44" s="1"/>
  <c r="G74" i="10"/>
  <c r="G70" i="10"/>
  <c r="L15" i="45" s="1"/>
  <c r="G69" i="10"/>
  <c r="L14" i="45" s="1"/>
  <c r="G68" i="10"/>
  <c r="L13" i="45" s="1"/>
  <c r="G67" i="10"/>
  <c r="G66" i="10"/>
  <c r="G65" i="10"/>
  <c r="G63" i="10"/>
  <c r="L8" i="45" s="1"/>
  <c r="G62" i="10"/>
  <c r="G58" i="10"/>
  <c r="G57" i="10"/>
  <c r="G56" i="10"/>
  <c r="G55" i="10"/>
  <c r="G54" i="10"/>
  <c r="G53" i="10"/>
  <c r="G52" i="10"/>
  <c r="G51" i="10"/>
  <c r="G50" i="10"/>
  <c r="G49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E29" i="10"/>
  <c r="G29" i="10" s="1"/>
  <c r="G22" i="10"/>
  <c r="G18" i="10"/>
  <c r="E31" i="10" s="1"/>
  <c r="G31" i="10" s="1"/>
  <c r="G10" i="10"/>
  <c r="K9" i="10"/>
  <c r="M8" i="10"/>
  <c r="G185" i="9"/>
  <c r="G184" i="9"/>
  <c r="G183" i="9"/>
  <c r="G180" i="9"/>
  <c r="K23" i="45" s="1"/>
  <c r="G179" i="9"/>
  <c r="K22" i="45" s="1"/>
  <c r="G178" i="9"/>
  <c r="K21" i="45" s="1"/>
  <c r="G175" i="9"/>
  <c r="K19" i="45" s="1"/>
  <c r="G174" i="9"/>
  <c r="K18" i="45" s="1"/>
  <c r="G173" i="9"/>
  <c r="K17" i="45" s="1"/>
  <c r="G165" i="9"/>
  <c r="G164" i="9"/>
  <c r="G163" i="9"/>
  <c r="G162" i="9"/>
  <c r="AB12" i="44" s="1"/>
  <c r="G161" i="9"/>
  <c r="AA12" i="44" s="1"/>
  <c r="G142" i="9"/>
  <c r="R12" i="44" s="1"/>
  <c r="G141" i="9"/>
  <c r="Q12" i="44" s="1"/>
  <c r="G140" i="9"/>
  <c r="P12" i="44" s="1"/>
  <c r="G139" i="9"/>
  <c r="O12" i="44" s="1"/>
  <c r="G138" i="9"/>
  <c r="G133" i="9"/>
  <c r="AM12" i="44" s="1"/>
  <c r="G132" i="9"/>
  <c r="G131" i="9"/>
  <c r="G130" i="9"/>
  <c r="G129" i="9"/>
  <c r="G128" i="9"/>
  <c r="G123" i="9"/>
  <c r="AL12" i="44" s="1"/>
  <c r="G122" i="9"/>
  <c r="AK12" i="44" s="1"/>
  <c r="G121" i="9"/>
  <c r="AJ12" i="44" s="1"/>
  <c r="G120" i="9"/>
  <c r="AI12" i="44" s="1"/>
  <c r="G119" i="9"/>
  <c r="AH12" i="44" s="1"/>
  <c r="G118" i="9"/>
  <c r="AG12" i="44" s="1"/>
  <c r="G117" i="9"/>
  <c r="AF12" i="44" s="1"/>
  <c r="G116" i="9"/>
  <c r="AE12" i="44" s="1"/>
  <c r="G115" i="9"/>
  <c r="G114" i="9"/>
  <c r="G113" i="9"/>
  <c r="G112" i="9"/>
  <c r="G92" i="9"/>
  <c r="AL11" i="1" s="1"/>
  <c r="G91" i="9"/>
  <c r="G90" i="9"/>
  <c r="I90" i="9" s="1"/>
  <c r="G89" i="9"/>
  <c r="G88" i="9"/>
  <c r="G87" i="9"/>
  <c r="AC11" i="1" s="1"/>
  <c r="G86" i="9"/>
  <c r="AB11" i="1" s="1"/>
  <c r="G85" i="9"/>
  <c r="G84" i="9"/>
  <c r="Z11" i="1" s="1"/>
  <c r="G83" i="9"/>
  <c r="G82" i="9"/>
  <c r="G78" i="9"/>
  <c r="AS12" i="44" s="1"/>
  <c r="G77" i="9"/>
  <c r="AR12" i="44" s="1"/>
  <c r="G76" i="9"/>
  <c r="AQ12" i="44" s="1"/>
  <c r="G75" i="9"/>
  <c r="AP12" i="44" s="1"/>
  <c r="G74" i="9"/>
  <c r="G70" i="9"/>
  <c r="K15" i="45" s="1"/>
  <c r="G69" i="9"/>
  <c r="K14" i="45" s="1"/>
  <c r="G68" i="9"/>
  <c r="K13" i="45" s="1"/>
  <c r="G67" i="9"/>
  <c r="G66" i="9"/>
  <c r="G65" i="9"/>
  <c r="G63" i="9"/>
  <c r="K8" i="45" s="1"/>
  <c r="G62" i="9"/>
  <c r="G58" i="9"/>
  <c r="G57" i="9"/>
  <c r="G56" i="9"/>
  <c r="G55" i="9"/>
  <c r="G54" i="9"/>
  <c r="G53" i="9"/>
  <c r="G52" i="9"/>
  <c r="G51" i="9"/>
  <c r="G50" i="9"/>
  <c r="G49" i="9"/>
  <c r="G46" i="9"/>
  <c r="G45" i="9"/>
  <c r="G44" i="9"/>
  <c r="G43" i="9"/>
  <c r="G42" i="9"/>
  <c r="G41" i="9"/>
  <c r="G40" i="9"/>
  <c r="G39" i="9"/>
  <c r="G38" i="9"/>
  <c r="G37" i="9"/>
  <c r="G36" i="9"/>
  <c r="G35" i="9"/>
  <c r="E29" i="9"/>
  <c r="G29" i="9" s="1"/>
  <c r="G22" i="9"/>
  <c r="G18" i="9"/>
  <c r="G10" i="9"/>
  <c r="K9" i="9"/>
  <c r="M8" i="9"/>
  <c r="AB23" i="45" l="1"/>
  <c r="G181" i="40"/>
  <c r="E31" i="18"/>
  <c r="G31" i="18" s="1"/>
  <c r="E10" i="17"/>
  <c r="E10" i="18" s="1"/>
  <c r="I92" i="10"/>
  <c r="E31" i="40"/>
  <c r="G31" i="40" s="1"/>
  <c r="I89" i="27"/>
  <c r="G188" i="25"/>
  <c r="I89" i="40"/>
  <c r="I89" i="24"/>
  <c r="I89" i="20"/>
  <c r="I92" i="24"/>
  <c r="I89" i="18"/>
  <c r="I92" i="28"/>
  <c r="I89" i="14"/>
  <c r="I92" i="14"/>
  <c r="I89" i="13"/>
  <c r="I92" i="15"/>
  <c r="I92" i="16"/>
  <c r="I92" i="23"/>
  <c r="I89" i="30"/>
  <c r="I92" i="9"/>
  <c r="I89" i="12"/>
  <c r="I92" i="19"/>
  <c r="I92" i="20"/>
  <c r="I89" i="25"/>
  <c r="I92" i="11"/>
  <c r="I89" i="10"/>
  <c r="Z20" i="1"/>
  <c r="I87" i="18"/>
  <c r="Z16" i="1"/>
  <c r="I87" i="14"/>
  <c r="I89" i="11"/>
  <c r="Z17" i="1"/>
  <c r="I87" i="15"/>
  <c r="Z18" i="1"/>
  <c r="I87" i="16"/>
  <c r="Z19" i="1"/>
  <c r="I87" i="17"/>
  <c r="I92" i="21"/>
  <c r="I92" i="22"/>
  <c r="Z25" i="1"/>
  <c r="I87" i="23"/>
  <c r="I89" i="28"/>
  <c r="I89" i="29"/>
  <c r="I92" i="43"/>
  <c r="AK34" i="1"/>
  <c r="I92" i="31"/>
  <c r="Z26" i="1"/>
  <c r="I87" i="24"/>
  <c r="Z23" i="1"/>
  <c r="I87" i="21"/>
  <c r="Z24" i="1"/>
  <c r="I87" i="22"/>
  <c r="Z33" i="1"/>
  <c r="I87" i="43"/>
  <c r="Z34" i="1"/>
  <c r="I87" i="31"/>
  <c r="AA28" i="1"/>
  <c r="I87" i="40"/>
  <c r="Z22" i="1"/>
  <c r="I87" i="20"/>
  <c r="I92" i="30"/>
  <c r="AL31" i="1"/>
  <c r="I92" i="29"/>
  <c r="Z32" i="1"/>
  <c r="I87" i="30"/>
  <c r="Z15" i="1"/>
  <c r="I87" i="13"/>
  <c r="Z13" i="1"/>
  <c r="I87" i="11"/>
  <c r="I92" i="12"/>
  <c r="I89" i="15"/>
  <c r="I89" i="16"/>
  <c r="I89" i="17"/>
  <c r="AA21" i="1"/>
  <c r="I87" i="19"/>
  <c r="I89" i="23"/>
  <c r="I92" i="25"/>
  <c r="I92" i="40"/>
  <c r="I92" i="27"/>
  <c r="Z31" i="1"/>
  <c r="I87" i="29"/>
  <c r="Z14" i="1"/>
  <c r="I87" i="12"/>
  <c r="I92" i="13"/>
  <c r="I92" i="18"/>
  <c r="I89" i="21"/>
  <c r="I89" i="22"/>
  <c r="Z27" i="1"/>
  <c r="I87" i="25"/>
  <c r="Z29" i="1"/>
  <c r="I87" i="27"/>
  <c r="AA30" i="1"/>
  <c r="I87" i="28"/>
  <c r="I89" i="43"/>
  <c r="I89" i="31"/>
  <c r="I89" i="9"/>
  <c r="AA12" i="1"/>
  <c r="I87" i="10"/>
  <c r="AA11" i="1"/>
  <c r="I87" i="9"/>
  <c r="G59" i="43"/>
  <c r="H20" i="3"/>
  <c r="J20" i="3" s="1"/>
  <c r="I20" i="3" s="1"/>
  <c r="G15" i="16"/>
  <c r="G79" i="16" s="1"/>
  <c r="G15" i="18"/>
  <c r="AO18" i="44"/>
  <c r="G125" i="17"/>
  <c r="I125" i="17" s="1"/>
  <c r="G47" i="17"/>
  <c r="G135" i="17"/>
  <c r="I135" i="17" s="1"/>
  <c r="G188" i="17"/>
  <c r="G188" i="29"/>
  <c r="AD8" i="45"/>
  <c r="AD13" i="45"/>
  <c r="AD15" i="45"/>
  <c r="AD14" i="45"/>
  <c r="N7" i="45"/>
  <c r="O15" i="45"/>
  <c r="G188" i="13"/>
  <c r="G13" i="3"/>
  <c r="H13" i="3" s="1"/>
  <c r="J13" i="3" s="1"/>
  <c r="E19" i="7"/>
  <c r="E15" i="8"/>
  <c r="E9" i="8"/>
  <c r="AD13" i="44"/>
  <c r="G47" i="29"/>
  <c r="AD29" i="44"/>
  <c r="G153" i="19"/>
  <c r="I153" i="19" s="1"/>
  <c r="G47" i="19"/>
  <c r="AD24" i="44"/>
  <c r="AD22" i="44"/>
  <c r="AD21" i="44"/>
  <c r="AD32" i="44"/>
  <c r="AD26" i="44"/>
  <c r="AD27" i="44"/>
  <c r="AD31" i="44"/>
  <c r="AD35" i="44"/>
  <c r="AD33" i="44"/>
  <c r="AD34" i="44"/>
  <c r="G153" i="29"/>
  <c r="I153" i="29" s="1"/>
  <c r="AD30" i="44"/>
  <c r="AD28" i="44"/>
  <c r="AD25" i="44"/>
  <c r="AD23" i="44"/>
  <c r="AD20" i="44"/>
  <c r="AD19" i="44"/>
  <c r="AD18" i="44"/>
  <c r="AD17" i="44"/>
  <c r="AD16" i="44"/>
  <c r="AD15" i="44"/>
  <c r="AD14" i="44"/>
  <c r="AD12" i="44"/>
  <c r="AF21" i="45"/>
  <c r="G181" i="30"/>
  <c r="G189" i="30" s="1"/>
  <c r="G135" i="12"/>
  <c r="I135" i="12" s="1"/>
  <c r="G135" i="19"/>
  <c r="I135" i="19" s="1"/>
  <c r="G135" i="9"/>
  <c r="I135" i="9" s="1"/>
  <c r="G125" i="23"/>
  <c r="I125" i="23" s="1"/>
  <c r="G135" i="22"/>
  <c r="I135" i="22" s="1"/>
  <c r="G125" i="11"/>
  <c r="I125" i="11" s="1"/>
  <c r="G135" i="13"/>
  <c r="I135" i="13" s="1"/>
  <c r="G135" i="28"/>
  <c r="I135" i="28" s="1"/>
  <c r="G125" i="31"/>
  <c r="I125" i="31" s="1"/>
  <c r="G135" i="40"/>
  <c r="I135" i="40" s="1"/>
  <c r="N25" i="44"/>
  <c r="G153" i="22"/>
  <c r="I153" i="22" s="1"/>
  <c r="N18" i="44"/>
  <c r="G153" i="15"/>
  <c r="I153" i="15" s="1"/>
  <c r="G135" i="18"/>
  <c r="I135" i="18" s="1"/>
  <c r="G125" i="20"/>
  <c r="I125" i="20" s="1"/>
  <c r="N26" i="44"/>
  <c r="G153" i="23"/>
  <c r="I153" i="23" s="1"/>
  <c r="G125" i="27"/>
  <c r="I125" i="27" s="1"/>
  <c r="N32" i="44"/>
  <c r="G135" i="43"/>
  <c r="I135" i="43" s="1"/>
  <c r="N29" i="44"/>
  <c r="G153" i="40"/>
  <c r="I153" i="40" s="1"/>
  <c r="G125" i="10"/>
  <c r="I125" i="10" s="1"/>
  <c r="N14" i="44"/>
  <c r="G153" i="11"/>
  <c r="I153" i="11" s="1"/>
  <c r="G125" i="14"/>
  <c r="I125" i="14" s="1"/>
  <c r="G125" i="16"/>
  <c r="I125" i="16" s="1"/>
  <c r="G125" i="30"/>
  <c r="I125" i="30" s="1"/>
  <c r="N35" i="44"/>
  <c r="G153" i="31"/>
  <c r="I153" i="31" s="1"/>
  <c r="G135" i="15"/>
  <c r="I135" i="15" s="1"/>
  <c r="N23" i="44"/>
  <c r="G153" i="20"/>
  <c r="I153" i="20" s="1"/>
  <c r="G125" i="21"/>
  <c r="I125" i="21" s="1"/>
  <c r="G125" i="25"/>
  <c r="I125" i="25" s="1"/>
  <c r="N30" i="44"/>
  <c r="G153" i="27"/>
  <c r="I153" i="27" s="1"/>
  <c r="G135" i="29"/>
  <c r="N15" i="44"/>
  <c r="G153" i="12"/>
  <c r="I153" i="12" s="1"/>
  <c r="G125" i="9"/>
  <c r="I125" i="9" s="1"/>
  <c r="N13" i="44"/>
  <c r="G153" i="10"/>
  <c r="I153" i="10" s="1"/>
  <c r="G135" i="11"/>
  <c r="I135" i="11" s="1"/>
  <c r="G125" i="13"/>
  <c r="N17" i="44"/>
  <c r="G153" i="14"/>
  <c r="I153" i="14" s="1"/>
  <c r="N19" i="44"/>
  <c r="G153" i="16"/>
  <c r="I153" i="16" s="1"/>
  <c r="N20" i="44"/>
  <c r="G153" i="17"/>
  <c r="I153" i="17" s="1"/>
  <c r="G135" i="23"/>
  <c r="I135" i="23" s="1"/>
  <c r="G125" i="28"/>
  <c r="I125" i="28" s="1"/>
  <c r="N33" i="44"/>
  <c r="G153" i="30"/>
  <c r="I153" i="30" s="1"/>
  <c r="G135" i="31"/>
  <c r="I135" i="31" s="1"/>
  <c r="G125" i="18"/>
  <c r="I125" i="18" s="1"/>
  <c r="G135" i="20"/>
  <c r="I135" i="20" s="1"/>
  <c r="N24" i="44"/>
  <c r="G153" i="21"/>
  <c r="I153" i="21" s="1"/>
  <c r="G135" i="27"/>
  <c r="I135" i="27" s="1"/>
  <c r="G125" i="43"/>
  <c r="I125" i="43" s="1"/>
  <c r="N12" i="44"/>
  <c r="G153" i="9"/>
  <c r="I153" i="9" s="1"/>
  <c r="G135" i="10"/>
  <c r="I135" i="10" s="1"/>
  <c r="G125" i="12"/>
  <c r="I125" i="12" s="1"/>
  <c r="N16" i="44"/>
  <c r="G153" i="13"/>
  <c r="I153" i="13" s="1"/>
  <c r="G135" i="14"/>
  <c r="I135" i="14" s="1"/>
  <c r="G135" i="16"/>
  <c r="I135" i="16" s="1"/>
  <c r="G125" i="19"/>
  <c r="I125" i="19" s="1"/>
  <c r="G125" i="22"/>
  <c r="I125" i="22" s="1"/>
  <c r="G125" i="40"/>
  <c r="I125" i="40" s="1"/>
  <c r="N31" i="44"/>
  <c r="G153" i="28"/>
  <c r="I153" i="28" s="1"/>
  <c r="G135" i="30"/>
  <c r="I135" i="30" s="1"/>
  <c r="G125" i="15"/>
  <c r="I125" i="15" s="1"/>
  <c r="G153" i="18"/>
  <c r="I153" i="18" s="1"/>
  <c r="G135" i="21"/>
  <c r="I135" i="21" s="1"/>
  <c r="G135" i="25"/>
  <c r="I135" i="25" s="1"/>
  <c r="G125" i="29"/>
  <c r="I125" i="29" s="1"/>
  <c r="N34" i="44"/>
  <c r="G153" i="43"/>
  <c r="I153" i="43" s="1"/>
  <c r="N28" i="44"/>
  <c r="G153" i="25"/>
  <c r="I153" i="25" s="1"/>
  <c r="N27" i="44"/>
  <c r="G153" i="24"/>
  <c r="I153" i="24" s="1"/>
  <c r="G135" i="24"/>
  <c r="I135" i="24" s="1"/>
  <c r="G125" i="24"/>
  <c r="I125" i="24" s="1"/>
  <c r="G94" i="29"/>
  <c r="G188" i="40"/>
  <c r="G188" i="30"/>
  <c r="G188" i="23"/>
  <c r="G98" i="20"/>
  <c r="G188" i="22"/>
  <c r="O7" i="45"/>
  <c r="G188" i="10"/>
  <c r="G188" i="19"/>
  <c r="G188" i="18"/>
  <c r="G188" i="15"/>
  <c r="G188" i="14"/>
  <c r="G102" i="11"/>
  <c r="G100" i="12"/>
  <c r="G100" i="20"/>
  <c r="G100" i="27"/>
  <c r="L7" i="45"/>
  <c r="G188" i="9"/>
  <c r="G188" i="28"/>
  <c r="G188" i="31"/>
  <c r="G188" i="16"/>
  <c r="G188" i="20"/>
  <c r="G188" i="24"/>
  <c r="G188" i="27"/>
  <c r="G188" i="43"/>
  <c r="K7" i="45"/>
  <c r="G188" i="12"/>
  <c r="G188" i="11"/>
  <c r="W7" i="45"/>
  <c r="G188" i="21"/>
  <c r="H156" i="9"/>
  <c r="H156" i="10" s="1"/>
  <c r="G102" i="30"/>
  <c r="G100" i="43"/>
  <c r="G94" i="13"/>
  <c r="G104" i="25"/>
  <c r="G102" i="9"/>
  <c r="G100" i="18"/>
  <c r="G102" i="21"/>
  <c r="G100" i="22"/>
  <c r="G104" i="13"/>
  <c r="G98" i="25"/>
  <c r="G98" i="29"/>
  <c r="G102" i="20"/>
  <c r="G100" i="21"/>
  <c r="W13" i="1"/>
  <c r="M10" i="45"/>
  <c r="G102" i="15"/>
  <c r="W17" i="1"/>
  <c r="Q10" i="45"/>
  <c r="G100" i="16"/>
  <c r="W21" i="1"/>
  <c r="U10" i="45"/>
  <c r="G102" i="23"/>
  <c r="W25" i="1"/>
  <c r="Y10" i="45"/>
  <c r="G102" i="40"/>
  <c r="W28" i="1"/>
  <c r="AB10" i="45"/>
  <c r="W32" i="1"/>
  <c r="AF10" i="45"/>
  <c r="V12" i="1"/>
  <c r="L9" i="45"/>
  <c r="X13" i="1"/>
  <c r="M11" i="45"/>
  <c r="V16" i="1"/>
  <c r="P9" i="45"/>
  <c r="X17" i="1"/>
  <c r="Q11" i="45"/>
  <c r="V20" i="1"/>
  <c r="T9" i="45"/>
  <c r="X21" i="1"/>
  <c r="U11" i="45"/>
  <c r="V24" i="1"/>
  <c r="X9" i="45"/>
  <c r="X25" i="1"/>
  <c r="Y11" i="45"/>
  <c r="V27" i="1"/>
  <c r="AA9" i="45"/>
  <c r="X28" i="1"/>
  <c r="AB11" i="45"/>
  <c r="V31" i="1"/>
  <c r="AE9" i="45"/>
  <c r="X32" i="1"/>
  <c r="AF11" i="45"/>
  <c r="W12" i="1"/>
  <c r="L10" i="45"/>
  <c r="G100" i="11"/>
  <c r="W16" i="1"/>
  <c r="P10" i="45"/>
  <c r="W20" i="1"/>
  <c r="T10" i="45"/>
  <c r="W24" i="1"/>
  <c r="X10" i="45"/>
  <c r="G102" i="25"/>
  <c r="W27" i="1"/>
  <c r="AA10" i="45"/>
  <c r="G100" i="40"/>
  <c r="G102" i="29"/>
  <c r="W31" i="1"/>
  <c r="AE10" i="45"/>
  <c r="V11" i="1"/>
  <c r="K9" i="45"/>
  <c r="X12" i="1"/>
  <c r="L11" i="45"/>
  <c r="V15" i="1"/>
  <c r="O9" i="45"/>
  <c r="X16" i="1"/>
  <c r="P11" i="45"/>
  <c r="V19" i="1"/>
  <c r="S9" i="45"/>
  <c r="X20" i="1"/>
  <c r="T11" i="45"/>
  <c r="V23" i="1"/>
  <c r="W9" i="45"/>
  <c r="X24" i="1"/>
  <c r="X11" i="45"/>
  <c r="X27" i="1"/>
  <c r="AA11" i="45"/>
  <c r="V30" i="1"/>
  <c r="AD9" i="45"/>
  <c r="X31" i="1"/>
  <c r="AE11" i="45"/>
  <c r="V34" i="1"/>
  <c r="AH9" i="45"/>
  <c r="W11" i="1"/>
  <c r="K10" i="45"/>
  <c r="W15" i="1"/>
  <c r="O10" i="45"/>
  <c r="W19" i="1"/>
  <c r="S10" i="45"/>
  <c r="W23" i="1"/>
  <c r="W10" i="45"/>
  <c r="W30" i="1"/>
  <c r="AD10" i="45"/>
  <c r="W34" i="1"/>
  <c r="AH10" i="45"/>
  <c r="X11" i="1"/>
  <c r="K11" i="45"/>
  <c r="V14" i="1"/>
  <c r="N9" i="45"/>
  <c r="X15" i="1"/>
  <c r="O11" i="45"/>
  <c r="V18" i="1"/>
  <c r="R9" i="45"/>
  <c r="X19" i="1"/>
  <c r="S11" i="45"/>
  <c r="V22" i="1"/>
  <c r="V9" i="45"/>
  <c r="X23" i="1"/>
  <c r="W11" i="45"/>
  <c r="V26" i="1"/>
  <c r="Z9" i="45"/>
  <c r="V29" i="1"/>
  <c r="AC9" i="45"/>
  <c r="X30" i="1"/>
  <c r="AD11" i="45"/>
  <c r="V33" i="1"/>
  <c r="AG9" i="45"/>
  <c r="X34" i="1"/>
  <c r="AH11" i="45"/>
  <c r="W14" i="1"/>
  <c r="N10" i="45"/>
  <c r="W18" i="1"/>
  <c r="R10" i="45"/>
  <c r="W22" i="1"/>
  <c r="V10" i="45"/>
  <c r="W26" i="1"/>
  <c r="Z10" i="45"/>
  <c r="W29" i="1"/>
  <c r="AC10" i="45"/>
  <c r="W33" i="1"/>
  <c r="AG10" i="45"/>
  <c r="V13" i="1"/>
  <c r="M9" i="45"/>
  <c r="X14" i="1"/>
  <c r="N11" i="45"/>
  <c r="V17" i="1"/>
  <c r="Q9" i="45"/>
  <c r="X18" i="1"/>
  <c r="R11" i="45"/>
  <c r="V21" i="1"/>
  <c r="U9" i="45"/>
  <c r="G104" i="20"/>
  <c r="X22" i="1"/>
  <c r="V11" i="45"/>
  <c r="V25" i="1"/>
  <c r="Y9" i="45"/>
  <c r="G104" i="24"/>
  <c r="X26" i="1"/>
  <c r="Z11" i="45"/>
  <c r="V28" i="1"/>
  <c r="AB9" i="45"/>
  <c r="X29" i="1"/>
  <c r="AC11" i="45"/>
  <c r="V32" i="1"/>
  <c r="AF9" i="45"/>
  <c r="X33" i="1"/>
  <c r="AG11" i="45"/>
  <c r="H155" i="10"/>
  <c r="J155" i="9"/>
  <c r="J24" i="2"/>
  <c r="H24" i="3"/>
  <c r="BJ34" i="1"/>
  <c r="AM35" i="44"/>
  <c r="AO34" i="1"/>
  <c r="AO35" i="44"/>
  <c r="AH34" i="1"/>
  <c r="AW35" i="44"/>
  <c r="AG34" i="1"/>
  <c r="AV35" i="44"/>
  <c r="AL34" i="1"/>
  <c r="AH33" i="1"/>
  <c r="AW34" i="44"/>
  <c r="AK33" i="1"/>
  <c r="AU34" i="44"/>
  <c r="AO33" i="1"/>
  <c r="AO34" i="44"/>
  <c r="AG33" i="1"/>
  <c r="AV34" i="44"/>
  <c r="AI33" i="1"/>
  <c r="AX34" i="44"/>
  <c r="AX35" i="44"/>
  <c r="BJ33" i="1"/>
  <c r="AM34" i="44"/>
  <c r="AK32" i="1"/>
  <c r="AU33" i="44"/>
  <c r="AI32" i="1"/>
  <c r="AX33" i="44"/>
  <c r="BJ32" i="1"/>
  <c r="AM33" i="44"/>
  <c r="AO32" i="1"/>
  <c r="AO33" i="44"/>
  <c r="AH32" i="1"/>
  <c r="AW33" i="44"/>
  <c r="AG32" i="1"/>
  <c r="AV33" i="44"/>
  <c r="AO31" i="1"/>
  <c r="AO32" i="44"/>
  <c r="AH31" i="1"/>
  <c r="AW32" i="44"/>
  <c r="AG31" i="1"/>
  <c r="AV32" i="44"/>
  <c r="AK31" i="1"/>
  <c r="AU32" i="44"/>
  <c r="AI31" i="1"/>
  <c r="AX32" i="44"/>
  <c r="BJ31" i="1"/>
  <c r="AM32" i="44"/>
  <c r="AK30" i="1"/>
  <c r="AU31" i="44"/>
  <c r="AI30" i="1"/>
  <c r="AX31" i="44"/>
  <c r="BJ30" i="1"/>
  <c r="AM31" i="44"/>
  <c r="AO30" i="1"/>
  <c r="AO31" i="44"/>
  <c r="AH30" i="1"/>
  <c r="AW31" i="44"/>
  <c r="AG30" i="1"/>
  <c r="AV31" i="44"/>
  <c r="AO29" i="1"/>
  <c r="AO30" i="44"/>
  <c r="AH29" i="1"/>
  <c r="AW30" i="44"/>
  <c r="AG29" i="1"/>
  <c r="AV30" i="44"/>
  <c r="AK29" i="1"/>
  <c r="AU30" i="44"/>
  <c r="AI29" i="1"/>
  <c r="AX30" i="44"/>
  <c r="BJ29" i="1"/>
  <c r="AM30" i="44"/>
  <c r="AK28" i="1"/>
  <c r="AU29" i="44"/>
  <c r="AI28" i="1"/>
  <c r="AX29" i="44"/>
  <c r="BJ28" i="1"/>
  <c r="AM29" i="44"/>
  <c r="AO28" i="1"/>
  <c r="AO29" i="44"/>
  <c r="AH28" i="1"/>
  <c r="AW29" i="44"/>
  <c r="AG28" i="1"/>
  <c r="AV29" i="44"/>
  <c r="AO27" i="1"/>
  <c r="AO28" i="44"/>
  <c r="AH27" i="1"/>
  <c r="AW28" i="44"/>
  <c r="AG27" i="1"/>
  <c r="AV28" i="44"/>
  <c r="AK27" i="1"/>
  <c r="AU28" i="44"/>
  <c r="AI27" i="1"/>
  <c r="AX28" i="44"/>
  <c r="BJ27" i="1"/>
  <c r="AM28" i="44"/>
  <c r="AG26" i="1"/>
  <c r="AV27" i="44"/>
  <c r="AO26" i="1"/>
  <c r="AO27" i="44"/>
  <c r="AH26" i="1"/>
  <c r="AW27" i="44"/>
  <c r="AK26" i="1"/>
  <c r="AU27" i="44"/>
  <c r="AI26" i="1"/>
  <c r="AX27" i="44"/>
  <c r="BJ26" i="1"/>
  <c r="AM27" i="44"/>
  <c r="AK25" i="1"/>
  <c r="AU26" i="44"/>
  <c r="AI25" i="1"/>
  <c r="AX26" i="44"/>
  <c r="BJ25" i="1"/>
  <c r="AM26" i="44"/>
  <c r="AO25" i="1"/>
  <c r="AO26" i="44"/>
  <c r="AH25" i="1"/>
  <c r="AW26" i="44"/>
  <c r="AG25" i="1"/>
  <c r="AV26" i="44"/>
  <c r="AO24" i="1"/>
  <c r="AO25" i="44"/>
  <c r="AH24" i="1"/>
  <c r="AW25" i="44"/>
  <c r="AG24" i="1"/>
  <c r="AV25" i="44"/>
  <c r="AK24" i="1"/>
  <c r="AU25" i="44"/>
  <c r="AI24" i="1"/>
  <c r="AX25" i="44"/>
  <c r="BJ24" i="1"/>
  <c r="AM25" i="44"/>
  <c r="BJ23" i="1"/>
  <c r="AM24" i="44"/>
  <c r="AO23" i="1"/>
  <c r="AO24" i="44"/>
  <c r="AH23" i="1"/>
  <c r="AW24" i="44"/>
  <c r="AK23" i="1"/>
  <c r="AU24" i="44"/>
  <c r="AI23" i="1"/>
  <c r="AX24" i="44"/>
  <c r="AG23" i="1"/>
  <c r="AV24" i="44"/>
  <c r="AK21" i="1"/>
  <c r="AU22" i="44"/>
  <c r="AH22" i="1"/>
  <c r="AW23" i="44"/>
  <c r="AI21" i="1"/>
  <c r="AX22" i="44"/>
  <c r="BJ21" i="1"/>
  <c r="AM22" i="44"/>
  <c r="AG22" i="1"/>
  <c r="AV23" i="44"/>
  <c r="AO21" i="1"/>
  <c r="AO22" i="44"/>
  <c r="AH21" i="1"/>
  <c r="AW22" i="44"/>
  <c r="AK22" i="1"/>
  <c r="AU23" i="44"/>
  <c r="N21" i="44"/>
  <c r="N22" i="44"/>
  <c r="AO22" i="1"/>
  <c r="AO23" i="44"/>
  <c r="AG21" i="1"/>
  <c r="AV22" i="44"/>
  <c r="AA22" i="44"/>
  <c r="AI22" i="1"/>
  <c r="AX23" i="44"/>
  <c r="BJ22" i="1"/>
  <c r="AM23" i="44"/>
  <c r="AI20" i="1"/>
  <c r="AX21" i="44"/>
  <c r="AO20" i="1"/>
  <c r="AO21" i="44"/>
  <c r="AH20" i="1"/>
  <c r="AW21" i="44"/>
  <c r="BJ20" i="1"/>
  <c r="AM21" i="44"/>
  <c r="AG20" i="1"/>
  <c r="AV21" i="44"/>
  <c r="AA21" i="44"/>
  <c r="AK20" i="1"/>
  <c r="AU21" i="44"/>
  <c r="AG19" i="1"/>
  <c r="AV20" i="44"/>
  <c r="AK19" i="1"/>
  <c r="AU20" i="44"/>
  <c r="AI19" i="1"/>
  <c r="AX20" i="44"/>
  <c r="BJ19" i="1"/>
  <c r="AM20" i="44"/>
  <c r="AO19" i="1"/>
  <c r="AO20" i="44"/>
  <c r="AH19" i="1"/>
  <c r="AW20" i="44"/>
  <c r="BJ18" i="1"/>
  <c r="AM19" i="44"/>
  <c r="AO18" i="1"/>
  <c r="AO19" i="44"/>
  <c r="AH18" i="1"/>
  <c r="AW19" i="44"/>
  <c r="AI18" i="1"/>
  <c r="AX19" i="44"/>
  <c r="AG18" i="1"/>
  <c r="AV19" i="44"/>
  <c r="AK18" i="1"/>
  <c r="AU19" i="44"/>
  <c r="AK17" i="1"/>
  <c r="AU18" i="44"/>
  <c r="AG17" i="1"/>
  <c r="AV18" i="44"/>
  <c r="AA18" i="44"/>
  <c r="AI17" i="1"/>
  <c r="AX18" i="44"/>
  <c r="BJ17" i="1"/>
  <c r="AM18" i="44"/>
  <c r="AH17" i="1"/>
  <c r="AW18" i="44"/>
  <c r="AI16" i="1"/>
  <c r="AX17" i="44"/>
  <c r="AO16" i="1"/>
  <c r="AO17" i="44"/>
  <c r="AG16" i="1"/>
  <c r="AV17" i="44"/>
  <c r="BJ16" i="1"/>
  <c r="AM17" i="44"/>
  <c r="AH16" i="1"/>
  <c r="AW17" i="44"/>
  <c r="AK16" i="1"/>
  <c r="AU17" i="44"/>
  <c r="AG15" i="1"/>
  <c r="AV16" i="44"/>
  <c r="AK15" i="1"/>
  <c r="AU16" i="44"/>
  <c r="AI15" i="1"/>
  <c r="AX16" i="44"/>
  <c r="BJ15" i="1"/>
  <c r="AM16" i="44"/>
  <c r="AO15" i="1"/>
  <c r="AO16" i="44"/>
  <c r="AH15" i="1"/>
  <c r="AW16" i="44"/>
  <c r="AG14" i="1"/>
  <c r="AV15" i="44"/>
  <c r="AI14" i="1"/>
  <c r="AX15" i="44"/>
  <c r="BJ14" i="1"/>
  <c r="AM15" i="44"/>
  <c r="AO14" i="1"/>
  <c r="AO15" i="44"/>
  <c r="AH14" i="1"/>
  <c r="AW15" i="44"/>
  <c r="AK14" i="1"/>
  <c r="AU15" i="44"/>
  <c r="AK13" i="1"/>
  <c r="AU14" i="44"/>
  <c r="AI13" i="1"/>
  <c r="AX14" i="44"/>
  <c r="AG13" i="1"/>
  <c r="AV14" i="44"/>
  <c r="AO13" i="1"/>
  <c r="AO14" i="44"/>
  <c r="AH13" i="1"/>
  <c r="AW14" i="44"/>
  <c r="AO12" i="1"/>
  <c r="AO13" i="44"/>
  <c r="AH12" i="1"/>
  <c r="AW13" i="44"/>
  <c r="AI12" i="1"/>
  <c r="AX13" i="44"/>
  <c r="AG12" i="1"/>
  <c r="AV13" i="44"/>
  <c r="AK12" i="1"/>
  <c r="AU13" i="44"/>
  <c r="AI11" i="1"/>
  <c r="AX12" i="44"/>
  <c r="AG11" i="1"/>
  <c r="AV12" i="44"/>
  <c r="AK11" i="1"/>
  <c r="AU12" i="44"/>
  <c r="AO11" i="1"/>
  <c r="AO12" i="44"/>
  <c r="AH11" i="1"/>
  <c r="AW12" i="44"/>
  <c r="H166" i="9"/>
  <c r="H166" i="10" s="1"/>
  <c r="H127" i="33"/>
  <c r="J127" i="33" s="1"/>
  <c r="J182" i="5"/>
  <c r="G100" i="19"/>
  <c r="G102" i="22"/>
  <c r="G100" i="23"/>
  <c r="G94" i="25"/>
  <c r="G102" i="13"/>
  <c r="G176" i="17"/>
  <c r="G104" i="29"/>
  <c r="H151" i="4"/>
  <c r="J151" i="3"/>
  <c r="G94" i="20"/>
  <c r="G104" i="21"/>
  <c r="G100" i="25"/>
  <c r="G102" i="28"/>
  <c r="H134" i="33"/>
  <c r="J134" i="5"/>
  <c r="BJ13" i="1"/>
  <c r="BJ12" i="1"/>
  <c r="BJ11" i="1"/>
  <c r="G96" i="11"/>
  <c r="G102" i="12"/>
  <c r="G98" i="13"/>
  <c r="G100" i="13"/>
  <c r="G102" i="27"/>
  <c r="G100" i="28"/>
  <c r="G102" i="43"/>
  <c r="J152" i="5"/>
  <c r="H152" i="33"/>
  <c r="G100" i="9"/>
  <c r="G102" i="16"/>
  <c r="G104" i="15"/>
  <c r="G102" i="19"/>
  <c r="G47" i="43"/>
  <c r="G186" i="43"/>
  <c r="G186" i="30"/>
  <c r="G186" i="27"/>
  <c r="G186" i="40"/>
  <c r="G47" i="40"/>
  <c r="G186" i="22"/>
  <c r="G186" i="21"/>
  <c r="G186" i="11"/>
  <c r="G186" i="9"/>
  <c r="H168" i="10"/>
  <c r="J168" i="9"/>
  <c r="H167" i="10"/>
  <c r="J167" i="9"/>
  <c r="H182" i="7"/>
  <c r="J182" i="33"/>
  <c r="H177" i="7"/>
  <c r="J177" i="33"/>
  <c r="G104" i="31"/>
  <c r="G186" i="31"/>
  <c r="G102" i="31"/>
  <c r="G31" i="31"/>
  <c r="G94" i="31"/>
  <c r="G98" i="31"/>
  <c r="G100" i="31"/>
  <c r="G71" i="31"/>
  <c r="G71" i="43"/>
  <c r="G96" i="43"/>
  <c r="G71" i="30"/>
  <c r="G100" i="30"/>
  <c r="G47" i="30"/>
  <c r="G100" i="29"/>
  <c r="G181" i="28"/>
  <c r="G189" i="28" s="1"/>
  <c r="G47" i="27"/>
  <c r="G71" i="40"/>
  <c r="G96" i="40"/>
  <c r="G186" i="25"/>
  <c r="G176" i="24"/>
  <c r="G181" i="24"/>
  <c r="G189" i="24" s="1"/>
  <c r="G186" i="23"/>
  <c r="G71" i="23"/>
  <c r="G47" i="23"/>
  <c r="G47" i="22"/>
  <c r="G96" i="21"/>
  <c r="G186" i="20"/>
  <c r="G71" i="20"/>
  <c r="G104" i="19"/>
  <c r="G181" i="18"/>
  <c r="G189" i="18" s="1"/>
  <c r="G186" i="16"/>
  <c r="G71" i="16"/>
  <c r="G47" i="16"/>
  <c r="G186" i="15"/>
  <c r="G79" i="15"/>
  <c r="G80" i="15" s="1"/>
  <c r="G181" i="14"/>
  <c r="G189" i="14" s="1"/>
  <c r="G176" i="13"/>
  <c r="G181" i="13"/>
  <c r="G189" i="13" s="1"/>
  <c r="G186" i="12"/>
  <c r="G47" i="12"/>
  <c r="G71" i="11"/>
  <c r="G47" i="11"/>
  <c r="G186" i="10"/>
  <c r="G47" i="10"/>
  <c r="G71" i="9"/>
  <c r="G96" i="9"/>
  <c r="G47" i="9"/>
  <c r="G59" i="31"/>
  <c r="G176" i="31"/>
  <c r="G181" i="31"/>
  <c r="G189" i="31" s="1"/>
  <c r="G64" i="31"/>
  <c r="G96" i="31"/>
  <c r="G47" i="31"/>
  <c r="G71" i="10"/>
  <c r="G176" i="14"/>
  <c r="G181" i="15"/>
  <c r="G189" i="15" s="1"/>
  <c r="G71" i="12"/>
  <c r="G176" i="15"/>
  <c r="G181" i="17"/>
  <c r="G189" i="17" s="1"/>
  <c r="G186" i="18"/>
  <c r="G176" i="19"/>
  <c r="G176" i="21"/>
  <c r="G186" i="24"/>
  <c r="G176" i="28"/>
  <c r="G94" i="43"/>
  <c r="G98" i="43"/>
  <c r="G100" i="14"/>
  <c r="G96" i="15"/>
  <c r="G102" i="17"/>
  <c r="G71" i="29"/>
  <c r="G176" i="18"/>
  <c r="G186" i="28"/>
  <c r="G104" i="14"/>
  <c r="G96" i="14"/>
  <c r="G104" i="43"/>
  <c r="G64" i="43"/>
  <c r="G176" i="43"/>
  <c r="G181" i="43"/>
  <c r="G189" i="43" s="1"/>
  <c r="G96" i="12"/>
  <c r="G102" i="14"/>
  <c r="G79" i="17"/>
  <c r="G80" i="17" s="1"/>
  <c r="G100" i="17"/>
  <c r="G104" i="18"/>
  <c r="G96" i="18"/>
  <c r="G186" i="19"/>
  <c r="G186" i="29"/>
  <c r="G181" i="19"/>
  <c r="G189" i="19" s="1"/>
  <c r="G100" i="15"/>
  <c r="G104" i="17"/>
  <c r="G96" i="17"/>
  <c r="G102" i="18"/>
  <c r="G71" i="25"/>
  <c r="G71" i="27"/>
  <c r="G102" i="24"/>
  <c r="G96" i="25"/>
  <c r="G71" i="22"/>
  <c r="G100" i="24"/>
  <c r="G104" i="28"/>
  <c r="G96" i="28"/>
  <c r="G96" i="29"/>
  <c r="G181" i="21"/>
  <c r="G189" i="21" s="1"/>
  <c r="G96" i="24"/>
  <c r="G94" i="30"/>
  <c r="G59" i="30"/>
  <c r="G98" i="30"/>
  <c r="G176" i="30"/>
  <c r="G96" i="30"/>
  <c r="G104" i="30"/>
  <c r="G64" i="30"/>
  <c r="G59" i="29"/>
  <c r="G176" i="29"/>
  <c r="G181" i="29"/>
  <c r="G189" i="29" s="1"/>
  <c r="G64" i="29"/>
  <c r="G71" i="28"/>
  <c r="G47" i="28"/>
  <c r="G59" i="28"/>
  <c r="G64" i="28"/>
  <c r="G94" i="28"/>
  <c r="G98" i="28"/>
  <c r="G94" i="27"/>
  <c r="G59" i="27"/>
  <c r="G98" i="27"/>
  <c r="G176" i="27"/>
  <c r="G181" i="27"/>
  <c r="G189" i="27" s="1"/>
  <c r="G96" i="27"/>
  <c r="G104" i="27"/>
  <c r="G64" i="27"/>
  <c r="G94" i="40"/>
  <c r="G59" i="40"/>
  <c r="G98" i="40"/>
  <c r="G176" i="40"/>
  <c r="G189" i="40"/>
  <c r="G104" i="40"/>
  <c r="G64" i="40"/>
  <c r="G59" i="25"/>
  <c r="G176" i="25"/>
  <c r="G181" i="25"/>
  <c r="G189" i="25" s="1"/>
  <c r="G64" i="25"/>
  <c r="G47" i="25"/>
  <c r="G71" i="24"/>
  <c r="G47" i="24"/>
  <c r="G59" i="24"/>
  <c r="G64" i="24"/>
  <c r="G94" i="24"/>
  <c r="G98" i="24"/>
  <c r="G94" i="23"/>
  <c r="G59" i="23"/>
  <c r="G98" i="23"/>
  <c r="G176" i="23"/>
  <c r="G181" i="23"/>
  <c r="G189" i="23" s="1"/>
  <c r="G96" i="23"/>
  <c r="G104" i="23"/>
  <c r="G64" i="23"/>
  <c r="G94" i="22"/>
  <c r="G59" i="22"/>
  <c r="G98" i="22"/>
  <c r="G176" i="22"/>
  <c r="G181" i="22"/>
  <c r="G189" i="22" s="1"/>
  <c r="G96" i="22"/>
  <c r="G104" i="22"/>
  <c r="G64" i="22"/>
  <c r="G64" i="21"/>
  <c r="G59" i="21"/>
  <c r="G71" i="21"/>
  <c r="G47" i="21"/>
  <c r="G94" i="21"/>
  <c r="G98" i="21"/>
  <c r="G59" i="20"/>
  <c r="G176" i="20"/>
  <c r="G181" i="20"/>
  <c r="G189" i="20" s="1"/>
  <c r="G96" i="20"/>
  <c r="G64" i="20"/>
  <c r="G47" i="20"/>
  <c r="G64" i="19"/>
  <c r="G96" i="19"/>
  <c r="G59" i="19"/>
  <c r="G71" i="19"/>
  <c r="G94" i="19"/>
  <c r="G98" i="19"/>
  <c r="G71" i="18"/>
  <c r="G47" i="18"/>
  <c r="G59" i="18"/>
  <c r="G64" i="18"/>
  <c r="G94" i="18"/>
  <c r="G98" i="18"/>
  <c r="G71" i="17"/>
  <c r="G186" i="17"/>
  <c r="G59" i="17"/>
  <c r="G64" i="17"/>
  <c r="G94" i="17"/>
  <c r="G98" i="17"/>
  <c r="E28" i="17"/>
  <c r="G28" i="17" s="1"/>
  <c r="G94" i="16"/>
  <c r="G59" i="16"/>
  <c r="G98" i="16"/>
  <c r="G176" i="16"/>
  <c r="G181" i="16"/>
  <c r="G189" i="16" s="1"/>
  <c r="G96" i="16"/>
  <c r="G104" i="16"/>
  <c r="G64" i="16"/>
  <c r="G64" i="15"/>
  <c r="G59" i="15"/>
  <c r="G71" i="15"/>
  <c r="G47" i="15"/>
  <c r="G94" i="15"/>
  <c r="G98" i="15"/>
  <c r="E28" i="15"/>
  <c r="G28" i="15" s="1"/>
  <c r="G186" i="14"/>
  <c r="G71" i="14"/>
  <c r="G47" i="14"/>
  <c r="G59" i="14"/>
  <c r="G64" i="14"/>
  <c r="G94" i="14"/>
  <c r="G98" i="14"/>
  <c r="G59" i="13"/>
  <c r="G71" i="13"/>
  <c r="G64" i="13"/>
  <c r="G96" i="13"/>
  <c r="G186" i="13"/>
  <c r="G47" i="13"/>
  <c r="G64" i="12"/>
  <c r="G94" i="12"/>
  <c r="G59" i="12"/>
  <c r="G98" i="12"/>
  <c r="G176" i="12"/>
  <c r="G181" i="12"/>
  <c r="G189" i="12" s="1"/>
  <c r="G104" i="12"/>
  <c r="G64" i="11"/>
  <c r="G94" i="11"/>
  <c r="G59" i="11"/>
  <c r="G98" i="11"/>
  <c r="G176" i="11"/>
  <c r="G181" i="11"/>
  <c r="G189" i="11" s="1"/>
  <c r="G104" i="11"/>
  <c r="G104" i="10"/>
  <c r="G64" i="10"/>
  <c r="G94" i="10"/>
  <c r="G59" i="10"/>
  <c r="G98" i="10"/>
  <c r="G100" i="10"/>
  <c r="G102" i="10"/>
  <c r="G176" i="10"/>
  <c r="G181" i="10"/>
  <c r="G189" i="10" s="1"/>
  <c r="G96" i="10"/>
  <c r="G64" i="9"/>
  <c r="G59" i="9"/>
  <c r="G94" i="9"/>
  <c r="G98" i="9"/>
  <c r="G176" i="9"/>
  <c r="G181" i="9"/>
  <c r="G189" i="9" s="1"/>
  <c r="G104" i="9"/>
  <c r="E31" i="9"/>
  <c r="G31" i="9" s="1"/>
  <c r="G185" i="8"/>
  <c r="G184" i="8"/>
  <c r="G183" i="8"/>
  <c r="G180" i="8"/>
  <c r="J23" i="45" s="1"/>
  <c r="G179" i="8"/>
  <c r="J22" i="45" s="1"/>
  <c r="G178" i="8"/>
  <c r="J21" i="45" s="1"/>
  <c r="G175" i="8"/>
  <c r="J19" i="45" s="1"/>
  <c r="G174" i="8"/>
  <c r="J18" i="45" s="1"/>
  <c r="G173" i="8"/>
  <c r="J17" i="45" s="1"/>
  <c r="G165" i="8"/>
  <c r="G164" i="8"/>
  <c r="G163" i="8"/>
  <c r="G162" i="8"/>
  <c r="AB11" i="44" s="1"/>
  <c r="G161" i="8"/>
  <c r="G142" i="8"/>
  <c r="R11" i="44" s="1"/>
  <c r="G141" i="8"/>
  <c r="Q11" i="44" s="1"/>
  <c r="G140" i="8"/>
  <c r="P11" i="44" s="1"/>
  <c r="G139" i="8"/>
  <c r="O11" i="44" s="1"/>
  <c r="G138" i="8"/>
  <c r="G133" i="8"/>
  <c r="G132" i="8"/>
  <c r="G131" i="8"/>
  <c r="G130" i="8"/>
  <c r="G129" i="8"/>
  <c r="G128" i="8"/>
  <c r="G123" i="8"/>
  <c r="AL11" i="44" s="1"/>
  <c r="G122" i="8"/>
  <c r="AK11" i="44" s="1"/>
  <c r="G121" i="8"/>
  <c r="AJ11" i="44" s="1"/>
  <c r="G120" i="8"/>
  <c r="AI11" i="44" s="1"/>
  <c r="G119" i="8"/>
  <c r="AH11" i="44" s="1"/>
  <c r="G118" i="8"/>
  <c r="AG11" i="44" s="1"/>
  <c r="G117" i="8"/>
  <c r="AF11" i="44" s="1"/>
  <c r="G116" i="8"/>
  <c r="AE11" i="44" s="1"/>
  <c r="G115" i="8"/>
  <c r="G114" i="8"/>
  <c r="G113" i="8"/>
  <c r="G112" i="8"/>
  <c r="G92" i="8"/>
  <c r="AL10" i="1" s="1"/>
  <c r="G91" i="8"/>
  <c r="G90" i="8"/>
  <c r="I90" i="8" s="1"/>
  <c r="G89" i="8"/>
  <c r="G88" i="8"/>
  <c r="G87" i="8"/>
  <c r="AC10" i="1" s="1"/>
  <c r="G86" i="8"/>
  <c r="AB10" i="1" s="1"/>
  <c r="G85" i="8"/>
  <c r="AA10" i="1" s="1"/>
  <c r="G84" i="8"/>
  <c r="G83" i="8"/>
  <c r="G82" i="8"/>
  <c r="G78" i="8"/>
  <c r="AS11" i="44" s="1"/>
  <c r="G77" i="8"/>
  <c r="AR11" i="44" s="1"/>
  <c r="G76" i="8"/>
  <c r="AQ11" i="44" s="1"/>
  <c r="G75" i="8"/>
  <c r="AP11" i="44" s="1"/>
  <c r="G74" i="8"/>
  <c r="G70" i="8"/>
  <c r="J15" i="45" s="1"/>
  <c r="G69" i="8"/>
  <c r="J14" i="45" s="1"/>
  <c r="G68" i="8"/>
  <c r="J13" i="45" s="1"/>
  <c r="G67" i="8"/>
  <c r="G66" i="8"/>
  <c r="G65" i="8"/>
  <c r="G63" i="8"/>
  <c r="J8" i="45" s="1"/>
  <c r="G62" i="8"/>
  <c r="G58" i="8"/>
  <c r="G57" i="8"/>
  <c r="G56" i="8"/>
  <c r="G55" i="8"/>
  <c r="G54" i="8"/>
  <c r="G53" i="8"/>
  <c r="G52" i="8"/>
  <c r="G51" i="8"/>
  <c r="G50" i="8"/>
  <c r="G49" i="8"/>
  <c r="G46" i="8"/>
  <c r="G45" i="8"/>
  <c r="G44" i="8"/>
  <c r="G43" i="8"/>
  <c r="G42" i="8"/>
  <c r="G41" i="8"/>
  <c r="G40" i="8"/>
  <c r="G39" i="8"/>
  <c r="G38" i="8"/>
  <c r="G37" i="8"/>
  <c r="G36" i="8"/>
  <c r="G35" i="8"/>
  <c r="E29" i="8"/>
  <c r="G29" i="8" s="1"/>
  <c r="G22" i="8"/>
  <c r="G18" i="8"/>
  <c r="E31" i="8" s="1"/>
  <c r="G31" i="8" s="1"/>
  <c r="G10" i="8"/>
  <c r="K9" i="8"/>
  <c r="M8" i="8"/>
  <c r="G185" i="7"/>
  <c r="G184" i="7"/>
  <c r="G183" i="7"/>
  <c r="G180" i="7"/>
  <c r="I23" i="45" s="1"/>
  <c r="G179" i="7"/>
  <c r="I22" i="45" s="1"/>
  <c r="G178" i="7"/>
  <c r="I21" i="45" s="1"/>
  <c r="G175" i="7"/>
  <c r="I19" i="45" s="1"/>
  <c r="G174" i="7"/>
  <c r="I18" i="45" s="1"/>
  <c r="G173" i="7"/>
  <c r="I17" i="45" s="1"/>
  <c r="G165" i="7"/>
  <c r="G164" i="7"/>
  <c r="G163" i="7"/>
  <c r="G162" i="7"/>
  <c r="AB10" i="44" s="1"/>
  <c r="G161" i="7"/>
  <c r="AA10" i="44" s="1"/>
  <c r="G142" i="7"/>
  <c r="R10" i="44" s="1"/>
  <c r="G141" i="7"/>
  <c r="Q10" i="44" s="1"/>
  <c r="G140" i="7"/>
  <c r="P10" i="44" s="1"/>
  <c r="G139" i="7"/>
  <c r="O10" i="44" s="1"/>
  <c r="G138" i="7"/>
  <c r="G133" i="7"/>
  <c r="G132" i="7"/>
  <c r="G131" i="7"/>
  <c r="G130" i="7"/>
  <c r="G129" i="7"/>
  <c r="G128" i="7"/>
  <c r="G123" i="7"/>
  <c r="AL10" i="44" s="1"/>
  <c r="G122" i="7"/>
  <c r="AK10" i="44" s="1"/>
  <c r="G121" i="7"/>
  <c r="AJ10" i="44" s="1"/>
  <c r="G120" i="7"/>
  <c r="AI10" i="44" s="1"/>
  <c r="G119" i="7"/>
  <c r="AH10" i="44" s="1"/>
  <c r="G118" i="7"/>
  <c r="AG10" i="44" s="1"/>
  <c r="G117" i="7"/>
  <c r="AF10" i="44" s="1"/>
  <c r="G116" i="7"/>
  <c r="AE10" i="44" s="1"/>
  <c r="G115" i="7"/>
  <c r="G114" i="7"/>
  <c r="G113" i="7"/>
  <c r="G112" i="7"/>
  <c r="G92" i="7"/>
  <c r="AL9" i="1" s="1"/>
  <c r="G91" i="7"/>
  <c r="G90" i="7"/>
  <c r="I90" i="7" s="1"/>
  <c r="G89" i="7"/>
  <c r="AW10" i="44" s="1"/>
  <c r="G88" i="7"/>
  <c r="G87" i="7"/>
  <c r="AC9" i="1" s="1"/>
  <c r="G86" i="7"/>
  <c r="AB9" i="1" s="1"/>
  <c r="G85" i="7"/>
  <c r="AA9" i="1" s="1"/>
  <c r="G84" i="7"/>
  <c r="G83" i="7"/>
  <c r="G82" i="7"/>
  <c r="G78" i="7"/>
  <c r="AS10" i="44" s="1"/>
  <c r="G77" i="7"/>
  <c r="AR10" i="44" s="1"/>
  <c r="G76" i="7"/>
  <c r="AQ10" i="44" s="1"/>
  <c r="G75" i="7"/>
  <c r="AP10" i="44" s="1"/>
  <c r="G74" i="7"/>
  <c r="G70" i="7"/>
  <c r="I15" i="45" s="1"/>
  <c r="G69" i="7"/>
  <c r="I14" i="45" s="1"/>
  <c r="G68" i="7"/>
  <c r="I13" i="45" s="1"/>
  <c r="G67" i="7"/>
  <c r="G66" i="7"/>
  <c r="G65" i="7"/>
  <c r="G63" i="7"/>
  <c r="I8" i="45" s="1"/>
  <c r="G62" i="7"/>
  <c r="G58" i="7"/>
  <c r="G57" i="7"/>
  <c r="G56" i="7"/>
  <c r="G55" i="7"/>
  <c r="G54" i="7"/>
  <c r="G53" i="7"/>
  <c r="G52" i="7"/>
  <c r="G51" i="7"/>
  <c r="G50" i="7"/>
  <c r="G49" i="7"/>
  <c r="G46" i="7"/>
  <c r="G45" i="7"/>
  <c r="G44" i="7"/>
  <c r="G43" i="7"/>
  <c r="G42" i="7"/>
  <c r="G41" i="7"/>
  <c r="G40" i="7"/>
  <c r="G39" i="7"/>
  <c r="G38" i="7"/>
  <c r="G37" i="7"/>
  <c r="G36" i="7"/>
  <c r="G35" i="7"/>
  <c r="E29" i="7"/>
  <c r="G29" i="7" s="1"/>
  <c r="G22" i="7"/>
  <c r="E31" i="7"/>
  <c r="G31" i="7" s="1"/>
  <c r="G15" i="7"/>
  <c r="G10" i="7"/>
  <c r="K9" i="7"/>
  <c r="M8" i="7"/>
  <c r="G8" i="7"/>
  <c r="G185" i="33"/>
  <c r="G184" i="33"/>
  <c r="G183" i="33"/>
  <c r="G180" i="33"/>
  <c r="H23" i="45" s="1"/>
  <c r="G179" i="33"/>
  <c r="H22" i="45" s="1"/>
  <c r="G178" i="33"/>
  <c r="H21" i="45" s="1"/>
  <c r="G175" i="33"/>
  <c r="H19" i="45" s="1"/>
  <c r="G174" i="33"/>
  <c r="H18" i="45" s="1"/>
  <c r="G173" i="33"/>
  <c r="H17" i="45" s="1"/>
  <c r="G165" i="33"/>
  <c r="G164" i="33"/>
  <c r="G163" i="33"/>
  <c r="G162" i="33"/>
  <c r="AB9" i="44" s="1"/>
  <c r="G161" i="33"/>
  <c r="AA9" i="44" s="1"/>
  <c r="G142" i="33"/>
  <c r="R9" i="44" s="1"/>
  <c r="G141" i="33"/>
  <c r="Q9" i="44" s="1"/>
  <c r="G140" i="33"/>
  <c r="P9" i="44" s="1"/>
  <c r="G139" i="33"/>
  <c r="O9" i="44" s="1"/>
  <c r="G138" i="33"/>
  <c r="G133" i="33"/>
  <c r="G132" i="33"/>
  <c r="G131" i="33"/>
  <c r="G130" i="33"/>
  <c r="G129" i="33"/>
  <c r="G128" i="33"/>
  <c r="G123" i="33"/>
  <c r="AL9" i="44" s="1"/>
  <c r="G122" i="33"/>
  <c r="AK9" i="44" s="1"/>
  <c r="G121" i="33"/>
  <c r="AJ9" i="44" s="1"/>
  <c r="G120" i="33"/>
  <c r="AI9" i="44" s="1"/>
  <c r="G119" i="33"/>
  <c r="AH9" i="44" s="1"/>
  <c r="G118" i="33"/>
  <c r="AG9" i="44" s="1"/>
  <c r="G117" i="33"/>
  <c r="AF9" i="44" s="1"/>
  <c r="G116" i="33"/>
  <c r="AE9" i="44" s="1"/>
  <c r="G115" i="33"/>
  <c r="G114" i="33"/>
  <c r="G113" i="33"/>
  <c r="G92" i="33"/>
  <c r="AL8" i="1" s="1"/>
  <c r="G91" i="33"/>
  <c r="G90" i="33"/>
  <c r="I90" i="33" s="1"/>
  <c r="G89" i="33"/>
  <c r="G88" i="33"/>
  <c r="G87" i="33"/>
  <c r="AC8" i="1" s="1"/>
  <c r="G86" i="33"/>
  <c r="AB8" i="1" s="1"/>
  <c r="G85" i="33"/>
  <c r="AA8" i="1" s="1"/>
  <c r="G84" i="33"/>
  <c r="G83" i="33"/>
  <c r="G82" i="33"/>
  <c r="G78" i="33"/>
  <c r="AS9" i="44" s="1"/>
  <c r="G77" i="33"/>
  <c r="AR9" i="44" s="1"/>
  <c r="G76" i="33"/>
  <c r="AQ9" i="44" s="1"/>
  <c r="G75" i="33"/>
  <c r="AP9" i="44" s="1"/>
  <c r="G74" i="33"/>
  <c r="G70" i="33"/>
  <c r="H15" i="45" s="1"/>
  <c r="G69" i="33"/>
  <c r="H14" i="45" s="1"/>
  <c r="G68" i="33"/>
  <c r="H13" i="45" s="1"/>
  <c r="G67" i="33"/>
  <c r="G66" i="33"/>
  <c r="G65" i="33"/>
  <c r="G63" i="33"/>
  <c r="H8" i="45" s="1"/>
  <c r="H7" i="45"/>
  <c r="G58" i="33"/>
  <c r="G57" i="33"/>
  <c r="G56" i="33"/>
  <c r="G55" i="33"/>
  <c r="G54" i="33"/>
  <c r="G53" i="33"/>
  <c r="G52" i="33"/>
  <c r="G51" i="33"/>
  <c r="G50" i="33"/>
  <c r="G49" i="33"/>
  <c r="G46" i="33"/>
  <c r="G45" i="33"/>
  <c r="G44" i="33"/>
  <c r="G43" i="33"/>
  <c r="G42" i="33"/>
  <c r="G41" i="33"/>
  <c r="G40" i="33"/>
  <c r="G39" i="33"/>
  <c r="G38" i="33"/>
  <c r="G37" i="33"/>
  <c r="G36" i="33"/>
  <c r="G35" i="33"/>
  <c r="E29" i="33"/>
  <c r="G29" i="33" s="1"/>
  <c r="G22" i="33"/>
  <c r="G19" i="33"/>
  <c r="G187" i="33" s="1"/>
  <c r="G18" i="33"/>
  <c r="E31" i="33" s="1"/>
  <c r="G31" i="33" s="1"/>
  <c r="G15" i="33"/>
  <c r="G10" i="33"/>
  <c r="K9" i="33"/>
  <c r="G9" i="33"/>
  <c r="M8" i="33"/>
  <c r="G8" i="33"/>
  <c r="G7" i="33"/>
  <c r="G185" i="5"/>
  <c r="G184" i="5"/>
  <c r="G183" i="5"/>
  <c r="G180" i="5"/>
  <c r="G23" i="45" s="1"/>
  <c r="G179" i="5"/>
  <c r="G22" i="45" s="1"/>
  <c r="G178" i="5"/>
  <c r="G21" i="45" s="1"/>
  <c r="G175" i="5"/>
  <c r="G19" i="45" s="1"/>
  <c r="G174" i="5"/>
  <c r="G18" i="45" s="1"/>
  <c r="G173" i="5"/>
  <c r="G17" i="45" s="1"/>
  <c r="G165" i="5"/>
  <c r="G164" i="5"/>
  <c r="G163" i="5"/>
  <c r="G162" i="5"/>
  <c r="AB8" i="44" s="1"/>
  <c r="G161" i="5"/>
  <c r="AA8" i="44" s="1"/>
  <c r="G142" i="5"/>
  <c r="R8" i="44" s="1"/>
  <c r="G141" i="5"/>
  <c r="Q8" i="44" s="1"/>
  <c r="G140" i="5"/>
  <c r="P8" i="44" s="1"/>
  <c r="G139" i="5"/>
  <c r="O8" i="44" s="1"/>
  <c r="G138" i="5"/>
  <c r="G133" i="5"/>
  <c r="AM8" i="44" s="1"/>
  <c r="G132" i="5"/>
  <c r="G131" i="5"/>
  <c r="G130" i="5"/>
  <c r="G129" i="5"/>
  <c r="G128" i="5"/>
  <c r="G123" i="5"/>
  <c r="AL8" i="44" s="1"/>
  <c r="G122" i="5"/>
  <c r="AK8" i="44" s="1"/>
  <c r="G121" i="5"/>
  <c r="AJ8" i="44" s="1"/>
  <c r="G120" i="5"/>
  <c r="AI8" i="44" s="1"/>
  <c r="G119" i="5"/>
  <c r="AH8" i="44" s="1"/>
  <c r="G118" i="5"/>
  <c r="AG8" i="44" s="1"/>
  <c r="G117" i="5"/>
  <c r="AF8" i="44" s="1"/>
  <c r="G116" i="5"/>
  <c r="AE8" i="44" s="1"/>
  <c r="G115" i="5"/>
  <c r="G114" i="5"/>
  <c r="G113" i="5"/>
  <c r="G112" i="5"/>
  <c r="G92" i="5"/>
  <c r="AL7" i="1" s="1"/>
  <c r="G91" i="5"/>
  <c r="G90" i="5"/>
  <c r="I90" i="5" s="1"/>
  <c r="G89" i="5"/>
  <c r="G88" i="5"/>
  <c r="G87" i="5"/>
  <c r="AC7" i="1" s="1"/>
  <c r="G86" i="5"/>
  <c r="AB7" i="1" s="1"/>
  <c r="G85" i="5"/>
  <c r="AA7" i="1" s="1"/>
  <c r="G84" i="5"/>
  <c r="G83" i="5"/>
  <c r="G82" i="5"/>
  <c r="G78" i="5"/>
  <c r="AS8" i="44" s="1"/>
  <c r="G77" i="5"/>
  <c r="AR8" i="44" s="1"/>
  <c r="G76" i="5"/>
  <c r="AQ8" i="44" s="1"/>
  <c r="G75" i="5"/>
  <c r="AP8" i="44" s="1"/>
  <c r="G74" i="5"/>
  <c r="G70" i="5"/>
  <c r="G15" i="45" s="1"/>
  <c r="G69" i="5"/>
  <c r="G14" i="45" s="1"/>
  <c r="G68" i="5"/>
  <c r="G13" i="45" s="1"/>
  <c r="G67" i="5"/>
  <c r="G66" i="5"/>
  <c r="G65" i="5"/>
  <c r="G63" i="5"/>
  <c r="G8" i="45" s="1"/>
  <c r="G62" i="5"/>
  <c r="G58" i="5"/>
  <c r="G57" i="5"/>
  <c r="G56" i="5"/>
  <c r="G55" i="5"/>
  <c r="G54" i="5"/>
  <c r="G53" i="5"/>
  <c r="G52" i="5"/>
  <c r="G51" i="5"/>
  <c r="G50" i="5"/>
  <c r="G49" i="5"/>
  <c r="G46" i="5"/>
  <c r="G45" i="5"/>
  <c r="G44" i="5"/>
  <c r="G43" i="5"/>
  <c r="G42" i="5"/>
  <c r="G41" i="5"/>
  <c r="G40" i="5"/>
  <c r="G39" i="5"/>
  <c r="G38" i="5"/>
  <c r="G37" i="5"/>
  <c r="G36" i="5"/>
  <c r="G35" i="5"/>
  <c r="E29" i="5"/>
  <c r="G29" i="5" s="1"/>
  <c r="G22" i="5"/>
  <c r="G19" i="5"/>
  <c r="G18" i="5"/>
  <c r="E31" i="5" s="1"/>
  <c r="G31" i="5" s="1"/>
  <c r="G15" i="5"/>
  <c r="G10" i="5"/>
  <c r="K9" i="5"/>
  <c r="G9" i="5"/>
  <c r="M8" i="5"/>
  <c r="G8" i="5"/>
  <c r="G7" i="5"/>
  <c r="G185" i="4"/>
  <c r="G184" i="4"/>
  <c r="G183" i="4"/>
  <c r="G180" i="4"/>
  <c r="F23" i="45" s="1"/>
  <c r="G179" i="4"/>
  <c r="F22" i="45" s="1"/>
  <c r="G178" i="4"/>
  <c r="F21" i="45" s="1"/>
  <c r="G175" i="4"/>
  <c r="F19" i="45" s="1"/>
  <c r="G174" i="4"/>
  <c r="F18" i="45" s="1"/>
  <c r="G173" i="4"/>
  <c r="F17" i="45" s="1"/>
  <c r="G165" i="4"/>
  <c r="G164" i="4"/>
  <c r="G163" i="4"/>
  <c r="G162" i="4"/>
  <c r="AB7" i="44" s="1"/>
  <c r="G161" i="4"/>
  <c r="AA7" i="44" s="1"/>
  <c r="G142" i="4"/>
  <c r="R7" i="44" s="1"/>
  <c r="G141" i="4"/>
  <c r="Q7" i="44" s="1"/>
  <c r="G140" i="4"/>
  <c r="P7" i="44" s="1"/>
  <c r="G139" i="4"/>
  <c r="O7" i="44" s="1"/>
  <c r="G138" i="4"/>
  <c r="G133" i="4"/>
  <c r="AM7" i="44" s="1"/>
  <c r="G132" i="4"/>
  <c r="G131" i="4"/>
  <c r="G130" i="4"/>
  <c r="G129" i="4"/>
  <c r="G123" i="4"/>
  <c r="AL7" i="44" s="1"/>
  <c r="G122" i="4"/>
  <c r="AK7" i="44" s="1"/>
  <c r="G121" i="4"/>
  <c r="AJ7" i="44" s="1"/>
  <c r="G120" i="4"/>
  <c r="AI7" i="44" s="1"/>
  <c r="G119" i="4"/>
  <c r="AH7" i="44" s="1"/>
  <c r="G118" i="4"/>
  <c r="AG7" i="44" s="1"/>
  <c r="G117" i="4"/>
  <c r="AF7" i="44" s="1"/>
  <c r="G116" i="4"/>
  <c r="AE7" i="44" s="1"/>
  <c r="G115" i="4"/>
  <c r="G114" i="4"/>
  <c r="G113" i="4"/>
  <c r="G112" i="4"/>
  <c r="G92" i="4"/>
  <c r="AL6" i="1" s="1"/>
  <c r="G91" i="4"/>
  <c r="G90" i="4"/>
  <c r="I90" i="4" s="1"/>
  <c r="G89" i="4"/>
  <c r="G88" i="4"/>
  <c r="G87" i="4"/>
  <c r="AC6" i="1" s="1"/>
  <c r="G86" i="4"/>
  <c r="AB6" i="1" s="1"/>
  <c r="G85" i="4"/>
  <c r="AA6" i="1" s="1"/>
  <c r="G84" i="4"/>
  <c r="G83" i="4"/>
  <c r="G82" i="4"/>
  <c r="G78" i="4"/>
  <c r="AS7" i="44" s="1"/>
  <c r="G77" i="4"/>
  <c r="AR7" i="44" s="1"/>
  <c r="G76" i="4"/>
  <c r="AQ7" i="44" s="1"/>
  <c r="G75" i="4"/>
  <c r="AP7" i="44" s="1"/>
  <c r="G74" i="4"/>
  <c r="G70" i="4"/>
  <c r="F15" i="45" s="1"/>
  <c r="G69" i="4"/>
  <c r="F14" i="45" s="1"/>
  <c r="G68" i="4"/>
  <c r="F13" i="45" s="1"/>
  <c r="G67" i="4"/>
  <c r="G66" i="4"/>
  <c r="G65" i="4"/>
  <c r="F8" i="45"/>
  <c r="G62" i="4"/>
  <c r="G58" i="4"/>
  <c r="G57" i="4"/>
  <c r="G56" i="4"/>
  <c r="G55" i="4"/>
  <c r="G54" i="4"/>
  <c r="G53" i="4"/>
  <c r="G52" i="4"/>
  <c r="G51" i="4"/>
  <c r="G50" i="4"/>
  <c r="G49" i="4"/>
  <c r="G46" i="4"/>
  <c r="G45" i="4"/>
  <c r="G44" i="4"/>
  <c r="G43" i="4"/>
  <c r="G42" i="4"/>
  <c r="G41" i="4"/>
  <c r="G40" i="4"/>
  <c r="G39" i="4"/>
  <c r="G38" i="4"/>
  <c r="G37" i="4"/>
  <c r="G36" i="4"/>
  <c r="G35" i="4"/>
  <c r="E29" i="4"/>
  <c r="G29" i="4" s="1"/>
  <c r="G22" i="4"/>
  <c r="H22" i="4" s="1"/>
  <c r="G19" i="4"/>
  <c r="H19" i="4" s="1"/>
  <c r="G18" i="4"/>
  <c r="G15" i="4"/>
  <c r="H15" i="4" s="1"/>
  <c r="G10" i="4"/>
  <c r="H10" i="4" s="1"/>
  <c r="K9" i="4"/>
  <c r="G9" i="4"/>
  <c r="H9" i="4" s="1"/>
  <c r="M8" i="4"/>
  <c r="G8" i="4"/>
  <c r="H8" i="4" s="1"/>
  <c r="G7" i="4"/>
  <c r="H7" i="4" s="1"/>
  <c r="G185" i="3"/>
  <c r="G184" i="3"/>
  <c r="G183" i="3"/>
  <c r="G180" i="3"/>
  <c r="E23" i="45" s="1"/>
  <c r="G179" i="3"/>
  <c r="E22" i="45" s="1"/>
  <c r="G178" i="3"/>
  <c r="E21" i="45" s="1"/>
  <c r="G175" i="3"/>
  <c r="E19" i="45" s="1"/>
  <c r="G174" i="3"/>
  <c r="E18" i="45" s="1"/>
  <c r="G173" i="3"/>
  <c r="E17" i="45" s="1"/>
  <c r="G165" i="3"/>
  <c r="G164" i="3"/>
  <c r="G163" i="3"/>
  <c r="G162" i="3"/>
  <c r="AB6" i="44" s="1"/>
  <c r="G161" i="3"/>
  <c r="AA6" i="44" s="1"/>
  <c r="G142" i="3"/>
  <c r="R6" i="44" s="1"/>
  <c r="G141" i="3"/>
  <c r="Q6" i="44" s="1"/>
  <c r="G140" i="3"/>
  <c r="P6" i="44" s="1"/>
  <c r="G139" i="3"/>
  <c r="O6" i="44" s="1"/>
  <c r="G138" i="3"/>
  <c r="G133" i="3"/>
  <c r="G132" i="3"/>
  <c r="G131" i="3"/>
  <c r="G130" i="3"/>
  <c r="G129" i="3"/>
  <c r="G128" i="3"/>
  <c r="G123" i="3"/>
  <c r="AL6" i="44" s="1"/>
  <c r="G122" i="3"/>
  <c r="AK6" i="44" s="1"/>
  <c r="G121" i="3"/>
  <c r="AJ6" i="44" s="1"/>
  <c r="G120" i="3"/>
  <c r="AI6" i="44" s="1"/>
  <c r="G119" i="3"/>
  <c r="AH6" i="44" s="1"/>
  <c r="G118" i="3"/>
  <c r="AG6" i="44" s="1"/>
  <c r="G117" i="3"/>
  <c r="AF6" i="44" s="1"/>
  <c r="G116" i="3"/>
  <c r="AE6" i="44" s="1"/>
  <c r="G115" i="3"/>
  <c r="G114" i="3"/>
  <c r="G113" i="3"/>
  <c r="G112" i="3"/>
  <c r="G92" i="3"/>
  <c r="AL5" i="1" s="1"/>
  <c r="G91" i="3"/>
  <c r="G90" i="3"/>
  <c r="I90" i="3" s="1"/>
  <c r="G89" i="3"/>
  <c r="G88" i="3"/>
  <c r="G87" i="3"/>
  <c r="AC5" i="1" s="1"/>
  <c r="G86" i="3"/>
  <c r="AB5" i="1" s="1"/>
  <c r="G85" i="3"/>
  <c r="AA5" i="1" s="1"/>
  <c r="G84" i="3"/>
  <c r="G83" i="3"/>
  <c r="G82" i="3"/>
  <c r="G78" i="3"/>
  <c r="AS6" i="44" s="1"/>
  <c r="G77" i="3"/>
  <c r="AR6" i="44" s="1"/>
  <c r="G76" i="3"/>
  <c r="AQ6" i="44" s="1"/>
  <c r="G75" i="3"/>
  <c r="AP6" i="44" s="1"/>
  <c r="G74" i="3"/>
  <c r="G70" i="3"/>
  <c r="E15" i="45" s="1"/>
  <c r="G69" i="3"/>
  <c r="E14" i="45" s="1"/>
  <c r="G68" i="3"/>
  <c r="E13" i="45" s="1"/>
  <c r="G67" i="3"/>
  <c r="G66" i="3"/>
  <c r="G65" i="3"/>
  <c r="G63" i="3"/>
  <c r="E8" i="45" s="1"/>
  <c r="G62" i="3"/>
  <c r="G58" i="3"/>
  <c r="G57" i="3"/>
  <c r="G56" i="3"/>
  <c r="G55" i="3"/>
  <c r="G54" i="3"/>
  <c r="G53" i="3"/>
  <c r="G52" i="3"/>
  <c r="G51" i="3"/>
  <c r="G50" i="3"/>
  <c r="G49" i="3"/>
  <c r="G46" i="3"/>
  <c r="G45" i="3"/>
  <c r="G44" i="3"/>
  <c r="G43" i="3"/>
  <c r="G42" i="3"/>
  <c r="G41" i="3"/>
  <c r="G40" i="3"/>
  <c r="G39" i="3"/>
  <c r="G38" i="3"/>
  <c r="G37" i="3"/>
  <c r="G36" i="3"/>
  <c r="G35" i="3"/>
  <c r="E29" i="3"/>
  <c r="G29" i="3" s="1"/>
  <c r="K9" i="3"/>
  <c r="M8" i="3"/>
  <c r="G185" i="2"/>
  <c r="H185" i="2" s="1"/>
  <c r="J185" i="2" s="1"/>
  <c r="G184" i="2"/>
  <c r="G183" i="2"/>
  <c r="G180" i="2"/>
  <c r="D23" i="45" s="1"/>
  <c r="G179" i="2"/>
  <c r="D22" i="45" s="1"/>
  <c r="G178" i="2"/>
  <c r="G175" i="2"/>
  <c r="D19" i="45" s="1"/>
  <c r="G174" i="2"/>
  <c r="D18" i="45" s="1"/>
  <c r="G173" i="2"/>
  <c r="D17" i="45" s="1"/>
  <c r="G165" i="2"/>
  <c r="G163" i="2"/>
  <c r="G162" i="2"/>
  <c r="AB5" i="44" s="1"/>
  <c r="G161" i="2"/>
  <c r="G150" i="2"/>
  <c r="G149" i="2"/>
  <c r="G148" i="2"/>
  <c r="W5" i="44" s="1"/>
  <c r="G147" i="2"/>
  <c r="V5" i="44" s="1"/>
  <c r="G146" i="2"/>
  <c r="T5" i="44" s="1"/>
  <c r="G145" i="2"/>
  <c r="S5" i="44" s="1"/>
  <c r="G144" i="2"/>
  <c r="U5" i="44" s="1"/>
  <c r="G143" i="2"/>
  <c r="X5" i="44" s="1"/>
  <c r="G142" i="2"/>
  <c r="R5" i="44" s="1"/>
  <c r="G141" i="2"/>
  <c r="Q5" i="44" s="1"/>
  <c r="G140" i="2"/>
  <c r="P5" i="44" s="1"/>
  <c r="G139" i="2"/>
  <c r="O5" i="44" s="1"/>
  <c r="G138" i="2"/>
  <c r="G133" i="2"/>
  <c r="G132" i="2"/>
  <c r="H132" i="2" s="1"/>
  <c r="J132" i="2" s="1"/>
  <c r="G131" i="2"/>
  <c r="G130" i="2"/>
  <c r="G129" i="2"/>
  <c r="G128" i="2"/>
  <c r="G123" i="2"/>
  <c r="AL5" i="44" s="1"/>
  <c r="G122" i="2"/>
  <c r="G121" i="2"/>
  <c r="AJ5" i="44" s="1"/>
  <c r="G120" i="2"/>
  <c r="G119" i="2"/>
  <c r="AH5" i="44" s="1"/>
  <c r="G118" i="2"/>
  <c r="G117" i="2"/>
  <c r="AF5" i="44" s="1"/>
  <c r="G116" i="2"/>
  <c r="G115" i="2"/>
  <c r="G114" i="2"/>
  <c r="H114" i="2" s="1"/>
  <c r="J114" i="2" s="1"/>
  <c r="G113" i="2"/>
  <c r="G112" i="2"/>
  <c r="G92" i="2"/>
  <c r="I92" i="2" s="1"/>
  <c r="G90" i="2"/>
  <c r="I90" i="2" s="1"/>
  <c r="G89" i="2"/>
  <c r="G88" i="2"/>
  <c r="G87" i="2"/>
  <c r="G86" i="2"/>
  <c r="G85" i="2"/>
  <c r="G84" i="2"/>
  <c r="G83" i="2"/>
  <c r="H83" i="2" s="1"/>
  <c r="G82" i="2"/>
  <c r="H82" i="2" s="1"/>
  <c r="G78" i="2"/>
  <c r="G77" i="2"/>
  <c r="G76" i="2"/>
  <c r="G75" i="2"/>
  <c r="G74" i="2"/>
  <c r="G70" i="2"/>
  <c r="G69" i="2"/>
  <c r="G68" i="2"/>
  <c r="G67" i="2"/>
  <c r="G66" i="2"/>
  <c r="G65" i="2"/>
  <c r="G63" i="2"/>
  <c r="G62" i="2"/>
  <c r="G187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H37" i="2"/>
  <c r="G36" i="2"/>
  <c r="G35" i="2"/>
  <c r="H35" i="2" s="1"/>
  <c r="G29" i="2"/>
  <c r="G30" i="2"/>
  <c r="H30" i="2" s="1"/>
  <c r="G31" i="2"/>
  <c r="H31" i="2" s="1"/>
  <c r="K9" i="2"/>
  <c r="M8" i="2"/>
  <c r="H27" i="2"/>
  <c r="P9" i="33" l="1"/>
  <c r="G60" i="17"/>
  <c r="G80" i="16"/>
  <c r="G60" i="11"/>
  <c r="G60" i="40"/>
  <c r="G79" i="18"/>
  <c r="G80" i="18" s="1"/>
  <c r="E28" i="18"/>
  <c r="G28" i="18" s="1"/>
  <c r="G60" i="13"/>
  <c r="G10" i="17"/>
  <c r="I135" i="29"/>
  <c r="I89" i="8"/>
  <c r="I89" i="3"/>
  <c r="I92" i="8"/>
  <c r="I92" i="3"/>
  <c r="I89" i="5"/>
  <c r="I92" i="7"/>
  <c r="Z9" i="1"/>
  <c r="I87" i="7"/>
  <c r="I87" i="2"/>
  <c r="I92" i="4"/>
  <c r="I89" i="33"/>
  <c r="Z10" i="1"/>
  <c r="I87" i="8"/>
  <c r="Z7" i="1"/>
  <c r="I87" i="5"/>
  <c r="I89" i="2"/>
  <c r="Z5" i="1"/>
  <c r="I87" i="3"/>
  <c r="I92" i="33"/>
  <c r="I89" i="7"/>
  <c r="Z8" i="1"/>
  <c r="I87" i="33"/>
  <c r="Z6" i="1"/>
  <c r="I87" i="4"/>
  <c r="I89" i="4"/>
  <c r="I92" i="5"/>
  <c r="G60" i="16"/>
  <c r="E28" i="16"/>
  <c r="G28" i="16" s="1"/>
  <c r="AZ18" i="44"/>
  <c r="G60" i="15"/>
  <c r="H29" i="2"/>
  <c r="G188" i="2"/>
  <c r="AZ12" i="44"/>
  <c r="G60" i="19"/>
  <c r="AZ14" i="44"/>
  <c r="AZ28" i="44"/>
  <c r="AZ15" i="44"/>
  <c r="AZ20" i="44"/>
  <c r="AZ24" i="44"/>
  <c r="AZ23" i="44"/>
  <c r="AZ26" i="44"/>
  <c r="AZ27" i="44"/>
  <c r="AZ13" i="44"/>
  <c r="AZ25" i="44"/>
  <c r="AZ16" i="44"/>
  <c r="AZ19" i="44"/>
  <c r="AZ17" i="44"/>
  <c r="AZ22" i="44"/>
  <c r="AZ21" i="44"/>
  <c r="N49" i="4"/>
  <c r="G188" i="4"/>
  <c r="H49" i="2"/>
  <c r="H49" i="3" s="1"/>
  <c r="H49" i="4" s="1"/>
  <c r="H49" i="5" s="1"/>
  <c r="H49" i="33" s="1"/>
  <c r="H49" i="7" s="1"/>
  <c r="H49" i="8" s="1"/>
  <c r="H49" i="9" s="1"/>
  <c r="H49" i="10" s="1"/>
  <c r="H49" i="11" s="1"/>
  <c r="H49" i="12" s="1"/>
  <c r="H49" i="13" s="1"/>
  <c r="H49" i="14" s="1"/>
  <c r="H49" i="15" s="1"/>
  <c r="H49" i="16" s="1"/>
  <c r="H49" i="17" s="1"/>
  <c r="H49" i="18" s="1"/>
  <c r="H49" i="19" s="1"/>
  <c r="H49" i="20" s="1"/>
  <c r="H49" i="21" s="1"/>
  <c r="H49" i="22" s="1"/>
  <c r="H49" i="23" s="1"/>
  <c r="H49" i="24" s="1"/>
  <c r="H49" i="25" s="1"/>
  <c r="H49" i="40" s="1"/>
  <c r="H49" i="27" s="1"/>
  <c r="H49" i="28" s="1"/>
  <c r="H49" i="29" s="1"/>
  <c r="H49" i="30" s="1"/>
  <c r="H49" i="43" s="1"/>
  <c r="H49" i="31" s="1"/>
  <c r="G59" i="2"/>
  <c r="H59" i="2" s="1"/>
  <c r="I13" i="3"/>
  <c r="G19" i="7"/>
  <c r="E30" i="7" s="1"/>
  <c r="G30" i="7" s="1"/>
  <c r="G15" i="8"/>
  <c r="G79" i="8" s="1"/>
  <c r="G9" i="8"/>
  <c r="G8" i="8"/>
  <c r="E27" i="8" s="1"/>
  <c r="G27" i="8" s="1"/>
  <c r="G9" i="7"/>
  <c r="G7" i="8"/>
  <c r="G60" i="18"/>
  <c r="G60" i="29"/>
  <c r="AD11" i="44"/>
  <c r="AD10" i="44"/>
  <c r="AD9" i="44"/>
  <c r="AD8" i="44"/>
  <c r="AD7" i="44"/>
  <c r="AD6" i="44"/>
  <c r="AL37" i="44"/>
  <c r="O36" i="44"/>
  <c r="AB36" i="44"/>
  <c r="AJ37" i="44"/>
  <c r="R36" i="44"/>
  <c r="P37" i="44"/>
  <c r="AF36" i="44"/>
  <c r="Q36" i="44"/>
  <c r="AH37" i="44"/>
  <c r="Q37" i="44"/>
  <c r="U37" i="44"/>
  <c r="U36" i="44"/>
  <c r="S37" i="44"/>
  <c r="S36" i="44"/>
  <c r="AH36" i="44"/>
  <c r="AL36" i="44"/>
  <c r="R37" i="44"/>
  <c r="T37" i="44"/>
  <c r="T36" i="44"/>
  <c r="V36" i="44"/>
  <c r="V37" i="44"/>
  <c r="O37" i="44"/>
  <c r="W36" i="44"/>
  <c r="W37" i="44"/>
  <c r="G125" i="7"/>
  <c r="I125" i="7" s="1"/>
  <c r="AF37" i="44"/>
  <c r="AJ36" i="44"/>
  <c r="P36" i="44"/>
  <c r="AB37" i="44"/>
  <c r="X36" i="44"/>
  <c r="X37" i="44"/>
  <c r="G135" i="8"/>
  <c r="I135" i="8" s="1"/>
  <c r="N8" i="44"/>
  <c r="G153" i="5"/>
  <c r="I153" i="5" s="1"/>
  <c r="G125" i="8"/>
  <c r="I125" i="8" s="1"/>
  <c r="G135" i="2"/>
  <c r="G125" i="4"/>
  <c r="I125" i="4" s="1"/>
  <c r="N7" i="44"/>
  <c r="G153" i="4"/>
  <c r="I153" i="4" s="1"/>
  <c r="G135" i="5"/>
  <c r="I135" i="5" s="1"/>
  <c r="N11" i="44"/>
  <c r="G153" i="8"/>
  <c r="N10" i="44"/>
  <c r="G153" i="7"/>
  <c r="I153" i="7" s="1"/>
  <c r="H112" i="2"/>
  <c r="J112" i="2" s="1"/>
  <c r="G125" i="2"/>
  <c r="I125" i="2" s="1"/>
  <c r="N6" i="44"/>
  <c r="G153" i="3"/>
  <c r="I153" i="3" s="1"/>
  <c r="G135" i="4"/>
  <c r="I135" i="4" s="1"/>
  <c r="G125" i="5"/>
  <c r="I125" i="5" s="1"/>
  <c r="N9" i="44"/>
  <c r="G153" i="33"/>
  <c r="I153" i="33" s="1"/>
  <c r="N5" i="44"/>
  <c r="G153" i="2"/>
  <c r="G135" i="3"/>
  <c r="G60" i="25"/>
  <c r="H56" i="3"/>
  <c r="H56" i="4" s="1"/>
  <c r="H56" i="5" s="1"/>
  <c r="H56" i="33" s="1"/>
  <c r="H56" i="7" s="1"/>
  <c r="H56" i="8" s="1"/>
  <c r="H56" i="9" s="1"/>
  <c r="H56" i="10" s="1"/>
  <c r="H56" i="11" s="1"/>
  <c r="H56" i="12" s="1"/>
  <c r="H56" i="13" s="1"/>
  <c r="H56" i="14" s="1"/>
  <c r="H56" i="15" s="1"/>
  <c r="H56" i="16" s="1"/>
  <c r="H56" i="17" s="1"/>
  <c r="H56" i="18" s="1"/>
  <c r="H56" i="19" s="1"/>
  <c r="H56" i="20" s="1"/>
  <c r="H56" i="21" s="1"/>
  <c r="H56" i="22" s="1"/>
  <c r="H56" i="23" s="1"/>
  <c r="H56" i="24" s="1"/>
  <c r="H56" i="25" s="1"/>
  <c r="H56" i="40" s="1"/>
  <c r="H56" i="27" s="1"/>
  <c r="H56" i="28" s="1"/>
  <c r="H56" i="29" s="1"/>
  <c r="H56" i="30" s="1"/>
  <c r="H56" i="43" s="1"/>
  <c r="H56" i="31" s="1"/>
  <c r="G188" i="33"/>
  <c r="G135" i="7"/>
  <c r="I135" i="7" s="1"/>
  <c r="E9" i="45"/>
  <c r="G188" i="3"/>
  <c r="G188" i="7"/>
  <c r="G7" i="45"/>
  <c r="G187" i="5"/>
  <c r="F7" i="45"/>
  <c r="G187" i="4"/>
  <c r="G188" i="5"/>
  <c r="G135" i="33"/>
  <c r="J7" i="45"/>
  <c r="H183" i="2"/>
  <c r="J183" i="2" s="1"/>
  <c r="G186" i="2"/>
  <c r="G102" i="5"/>
  <c r="G103" i="5" s="1"/>
  <c r="H127" i="7"/>
  <c r="H127" i="8" s="1"/>
  <c r="E7" i="45"/>
  <c r="G187" i="3"/>
  <c r="I7" i="45"/>
  <c r="G188" i="8"/>
  <c r="AA11" i="44"/>
  <c r="J156" i="9"/>
  <c r="G125" i="33"/>
  <c r="I125" i="33" s="1"/>
  <c r="G98" i="33"/>
  <c r="G99" i="33" s="1"/>
  <c r="G125" i="3"/>
  <c r="I125" i="3" s="1"/>
  <c r="G104" i="4"/>
  <c r="G105" i="4" s="1"/>
  <c r="AA5" i="44"/>
  <c r="V10" i="1"/>
  <c r="J9" i="45"/>
  <c r="W7" i="1"/>
  <c r="G10" i="45"/>
  <c r="W6" i="1"/>
  <c r="F10" i="45"/>
  <c r="V6" i="1"/>
  <c r="F9" i="45"/>
  <c r="X7" i="1"/>
  <c r="G11" i="45"/>
  <c r="X6" i="1"/>
  <c r="F11" i="45"/>
  <c r="V9" i="1"/>
  <c r="I9" i="45"/>
  <c r="W10" i="1"/>
  <c r="J10" i="45"/>
  <c r="J155" i="10"/>
  <c r="H155" i="11"/>
  <c r="W9" i="1"/>
  <c r="I10" i="45"/>
  <c r="X10" i="1"/>
  <c r="J11" i="45"/>
  <c r="J156" i="10"/>
  <c r="H156" i="11"/>
  <c r="V8" i="1"/>
  <c r="H9" i="45"/>
  <c r="X9" i="1"/>
  <c r="I11" i="45"/>
  <c r="W8" i="1"/>
  <c r="H10" i="45"/>
  <c r="G100" i="7"/>
  <c r="G101" i="7" s="1"/>
  <c r="G98" i="8"/>
  <c r="V7" i="1"/>
  <c r="G9" i="45"/>
  <c r="X8" i="1"/>
  <c r="H11" i="45"/>
  <c r="X5" i="1"/>
  <c r="E11" i="45"/>
  <c r="W5" i="1"/>
  <c r="E10" i="45"/>
  <c r="J24" i="3"/>
  <c r="H24" i="4"/>
  <c r="H24" i="5" s="1"/>
  <c r="H24" i="33" s="1"/>
  <c r="H24" i="7" s="1"/>
  <c r="H24" i="8" s="1"/>
  <c r="H24" i="9" s="1"/>
  <c r="H24" i="10" s="1"/>
  <c r="H24" i="11" s="1"/>
  <c r="H24" i="12" s="1"/>
  <c r="H24" i="13" s="1"/>
  <c r="H24" i="14" s="1"/>
  <c r="H24" i="15" s="1"/>
  <c r="H24" i="16" s="1"/>
  <c r="H24" i="17" s="1"/>
  <c r="H24" i="18" s="1"/>
  <c r="H24" i="19" s="1"/>
  <c r="H24" i="20" s="1"/>
  <c r="H24" i="21" s="1"/>
  <c r="H24" i="22" s="1"/>
  <c r="H24" i="23" s="1"/>
  <c r="H24" i="24" s="1"/>
  <c r="H24" i="25" s="1"/>
  <c r="H24" i="40" s="1"/>
  <c r="H24" i="27" s="1"/>
  <c r="H24" i="28" s="1"/>
  <c r="H24" i="29" s="1"/>
  <c r="H24" i="30" s="1"/>
  <c r="H24" i="43" s="1"/>
  <c r="H24" i="31" s="1"/>
  <c r="G60" i="12"/>
  <c r="AO10" i="1"/>
  <c r="AO11" i="44"/>
  <c r="AH10" i="1"/>
  <c r="AW11" i="44"/>
  <c r="AG10" i="1"/>
  <c r="AV11" i="44"/>
  <c r="AI10" i="1"/>
  <c r="AX11" i="44"/>
  <c r="BJ10" i="1"/>
  <c r="AM11" i="44"/>
  <c r="AK10" i="1"/>
  <c r="AU11" i="44"/>
  <c r="J166" i="9"/>
  <c r="AI9" i="1"/>
  <c r="AX10" i="44"/>
  <c r="BJ9" i="1"/>
  <c r="AM10" i="44"/>
  <c r="AO9" i="1"/>
  <c r="AO10" i="44"/>
  <c r="AK9" i="1"/>
  <c r="AU10" i="44"/>
  <c r="AG9" i="1"/>
  <c r="AV10" i="44"/>
  <c r="AK8" i="1"/>
  <c r="AU9" i="44"/>
  <c r="AI8" i="1"/>
  <c r="AX9" i="44"/>
  <c r="BJ8" i="1"/>
  <c r="AM9" i="44"/>
  <c r="AG8" i="1"/>
  <c r="AV9" i="44"/>
  <c r="AO8" i="1"/>
  <c r="AO9" i="44"/>
  <c r="AH8" i="1"/>
  <c r="AW9" i="44"/>
  <c r="AI7" i="1"/>
  <c r="AX8" i="44"/>
  <c r="AO7" i="1"/>
  <c r="AO8" i="44"/>
  <c r="AH7" i="1"/>
  <c r="AW8" i="44"/>
  <c r="AG7" i="1"/>
  <c r="AV8" i="44"/>
  <c r="AK7" i="1"/>
  <c r="AU8" i="44"/>
  <c r="AK6" i="1"/>
  <c r="AU7" i="44"/>
  <c r="AG6" i="1"/>
  <c r="AV7" i="44"/>
  <c r="AI6" i="1"/>
  <c r="AX7" i="44"/>
  <c r="AO6" i="1"/>
  <c r="AO7" i="44"/>
  <c r="AH6" i="1"/>
  <c r="AW7" i="44"/>
  <c r="AG5" i="1"/>
  <c r="AV6" i="44"/>
  <c r="AK5" i="1"/>
  <c r="AU6" i="44"/>
  <c r="AO5" i="1"/>
  <c r="AO6" i="44"/>
  <c r="AH5" i="1"/>
  <c r="AW6" i="44"/>
  <c r="AI5" i="1"/>
  <c r="AX6" i="44"/>
  <c r="BJ5" i="1"/>
  <c r="AM6" i="44"/>
  <c r="H70" i="2"/>
  <c r="H70" i="3" s="1"/>
  <c r="H70" i="4" s="1"/>
  <c r="H70" i="5" s="1"/>
  <c r="H70" i="33" s="1"/>
  <c r="H70" i="7" s="1"/>
  <c r="H70" i="8" s="1"/>
  <c r="H70" i="9" s="1"/>
  <c r="H70" i="10" s="1"/>
  <c r="H70" i="11" s="1"/>
  <c r="H70" i="12" s="1"/>
  <c r="H70" i="13" s="1"/>
  <c r="H70" i="14" s="1"/>
  <c r="H70" i="15" s="1"/>
  <c r="H70" i="16" s="1"/>
  <c r="H70" i="17" s="1"/>
  <c r="H70" i="18" s="1"/>
  <c r="H70" i="19" s="1"/>
  <c r="H70" i="20" s="1"/>
  <c r="H70" i="21" s="1"/>
  <c r="H70" i="22" s="1"/>
  <c r="H70" i="23" s="1"/>
  <c r="H70" i="24" s="1"/>
  <c r="H70" i="25" s="1"/>
  <c r="H70" i="40" s="1"/>
  <c r="D15" i="45"/>
  <c r="H84" i="2"/>
  <c r="H84" i="3" s="1"/>
  <c r="H84" i="4" s="1"/>
  <c r="H84" i="5" s="1"/>
  <c r="H84" i="33" s="1"/>
  <c r="H84" i="7" s="1"/>
  <c r="H84" i="8" s="1"/>
  <c r="H84" i="9" s="1"/>
  <c r="H84" i="10" s="1"/>
  <c r="H84" i="11" s="1"/>
  <c r="H84" i="12" s="1"/>
  <c r="H84" i="13" s="1"/>
  <c r="H84" i="14" s="1"/>
  <c r="H84" i="15" s="1"/>
  <c r="H84" i="16" s="1"/>
  <c r="H84" i="17" s="1"/>
  <c r="H84" i="18" s="1"/>
  <c r="H84" i="19" s="1"/>
  <c r="H84" i="20" s="1"/>
  <c r="H84" i="21" s="1"/>
  <c r="H84" i="22" s="1"/>
  <c r="H84" i="23" s="1"/>
  <c r="H84" i="24" s="1"/>
  <c r="H84" i="25" s="1"/>
  <c r="H84" i="40" s="1"/>
  <c r="H84" i="27" s="1"/>
  <c r="H84" i="28" s="1"/>
  <c r="H84" i="29" s="1"/>
  <c r="H84" i="30" s="1"/>
  <c r="H84" i="43" s="1"/>
  <c r="Z4" i="1"/>
  <c r="H92" i="2"/>
  <c r="H92" i="3" s="1"/>
  <c r="H92" i="4" s="1"/>
  <c r="H92" i="5" s="1"/>
  <c r="H92" i="33" s="1"/>
  <c r="H92" i="7" s="1"/>
  <c r="H92" i="8" s="1"/>
  <c r="H92" i="9" s="1"/>
  <c r="H92" i="10" s="1"/>
  <c r="H92" i="11" s="1"/>
  <c r="H92" i="12" s="1"/>
  <c r="H92" i="13" s="1"/>
  <c r="H92" i="14" s="1"/>
  <c r="H92" i="15" s="1"/>
  <c r="H92" i="16" s="1"/>
  <c r="H92" i="17" s="1"/>
  <c r="H92" i="18" s="1"/>
  <c r="H92" i="19" s="1"/>
  <c r="H92" i="20" s="1"/>
  <c r="H92" i="21" s="1"/>
  <c r="H92" i="22" s="1"/>
  <c r="H92" i="23" s="1"/>
  <c r="H92" i="24" s="1"/>
  <c r="H92" i="25" s="1"/>
  <c r="H92" i="40" s="1"/>
  <c r="H92" i="27" s="1"/>
  <c r="H92" i="28" s="1"/>
  <c r="H92" i="29" s="1"/>
  <c r="H92" i="30" s="1"/>
  <c r="H92" i="43" s="1"/>
  <c r="AL4" i="1"/>
  <c r="H178" i="2"/>
  <c r="J178" i="2" s="1"/>
  <c r="D21" i="45"/>
  <c r="G102" i="4"/>
  <c r="G103" i="4" s="1"/>
  <c r="G100" i="5"/>
  <c r="G101" i="5" s="1"/>
  <c r="G94" i="8"/>
  <c r="J152" i="33"/>
  <c r="H152" i="7"/>
  <c r="H120" i="2"/>
  <c r="J120" i="2" s="1"/>
  <c r="AI5" i="44"/>
  <c r="H118" i="2"/>
  <c r="J118" i="2" s="1"/>
  <c r="AG5" i="44"/>
  <c r="H85" i="2"/>
  <c r="H85" i="3" s="1"/>
  <c r="H85" i="4" s="1"/>
  <c r="H85" i="5" s="1"/>
  <c r="H85" i="33" s="1"/>
  <c r="H85" i="7" s="1"/>
  <c r="H85" i="8" s="1"/>
  <c r="H85" i="9" s="1"/>
  <c r="H85" i="10" s="1"/>
  <c r="H85" i="11" s="1"/>
  <c r="H85" i="12" s="1"/>
  <c r="H85" i="13" s="1"/>
  <c r="H85" i="14" s="1"/>
  <c r="H85" i="15" s="1"/>
  <c r="H85" i="16" s="1"/>
  <c r="H85" i="17" s="1"/>
  <c r="H85" i="18" s="1"/>
  <c r="H85" i="19" s="1"/>
  <c r="H85" i="20" s="1"/>
  <c r="H85" i="21" s="1"/>
  <c r="H85" i="22" s="1"/>
  <c r="H85" i="23" s="1"/>
  <c r="H85" i="24" s="1"/>
  <c r="H85" i="25" s="1"/>
  <c r="H85" i="40" s="1"/>
  <c r="H85" i="27" s="1"/>
  <c r="H85" i="28" s="1"/>
  <c r="H85" i="29" s="1"/>
  <c r="H85" i="30" s="1"/>
  <c r="H85" i="43" s="1"/>
  <c r="AA4" i="1"/>
  <c r="H63" i="2"/>
  <c r="H63" i="3" s="1"/>
  <c r="H63" i="4" s="1"/>
  <c r="H63" i="5" s="1"/>
  <c r="H63" i="33" s="1"/>
  <c r="H63" i="7" s="1"/>
  <c r="H63" i="8" s="1"/>
  <c r="H63" i="9" s="1"/>
  <c r="H63" i="10" s="1"/>
  <c r="H63" i="11" s="1"/>
  <c r="H63" i="12" s="1"/>
  <c r="H63" i="13" s="1"/>
  <c r="H63" i="14" s="1"/>
  <c r="H63" i="15" s="1"/>
  <c r="H63" i="16" s="1"/>
  <c r="H63" i="17" s="1"/>
  <c r="H63" i="18" s="1"/>
  <c r="H63" i="19" s="1"/>
  <c r="H63" i="20" s="1"/>
  <c r="H63" i="21" s="1"/>
  <c r="H63" i="22" s="1"/>
  <c r="H63" i="23" s="1"/>
  <c r="H63" i="24" s="1"/>
  <c r="H63" i="25" s="1"/>
  <c r="H63" i="40" s="1"/>
  <c r="H63" i="27" s="1"/>
  <c r="D8" i="45"/>
  <c r="H75" i="2"/>
  <c r="H75" i="3" s="1"/>
  <c r="H75" i="4" s="1"/>
  <c r="H75" i="5" s="1"/>
  <c r="H75" i="33" s="1"/>
  <c r="H75" i="7" s="1"/>
  <c r="H75" i="8" s="1"/>
  <c r="H75" i="9" s="1"/>
  <c r="H75" i="10" s="1"/>
  <c r="H75" i="11" s="1"/>
  <c r="H75" i="12" s="1"/>
  <c r="H75" i="13" s="1"/>
  <c r="H75" i="14" s="1"/>
  <c r="H75" i="15" s="1"/>
  <c r="H75" i="16" s="1"/>
  <c r="H75" i="17" s="1"/>
  <c r="H75" i="18" s="1"/>
  <c r="H75" i="19" s="1"/>
  <c r="H75" i="20" s="1"/>
  <c r="H75" i="21" s="1"/>
  <c r="H75" i="22" s="1"/>
  <c r="H75" i="23" s="1"/>
  <c r="H75" i="24" s="1"/>
  <c r="H75" i="25" s="1"/>
  <c r="H75" i="40" s="1"/>
  <c r="H75" i="27" s="1"/>
  <c r="H75" i="28" s="1"/>
  <c r="H75" i="29" s="1"/>
  <c r="H75" i="30" s="1"/>
  <c r="H75" i="43" s="1"/>
  <c r="AP5" i="44"/>
  <c r="H86" i="2"/>
  <c r="H86" i="3" s="1"/>
  <c r="H86" i="4" s="1"/>
  <c r="H86" i="5" s="1"/>
  <c r="H86" i="33" s="1"/>
  <c r="H86" i="7" s="1"/>
  <c r="H86" i="8" s="1"/>
  <c r="H86" i="9" s="1"/>
  <c r="H86" i="10" s="1"/>
  <c r="H86" i="11" s="1"/>
  <c r="H86" i="12" s="1"/>
  <c r="H86" i="13" s="1"/>
  <c r="H86" i="14" s="1"/>
  <c r="H86" i="15" s="1"/>
  <c r="H86" i="16" s="1"/>
  <c r="H86" i="17" s="1"/>
  <c r="H86" i="18" s="1"/>
  <c r="H86" i="19" s="1"/>
  <c r="H86" i="20" s="1"/>
  <c r="H86" i="21" s="1"/>
  <c r="H86" i="22" s="1"/>
  <c r="H86" i="23" s="1"/>
  <c r="H86" i="24" s="1"/>
  <c r="H86" i="25" s="1"/>
  <c r="H86" i="40" s="1"/>
  <c r="H86" i="27" s="1"/>
  <c r="H86" i="28" s="1"/>
  <c r="H86" i="29" s="1"/>
  <c r="H86" i="30" s="1"/>
  <c r="H86" i="43" s="1"/>
  <c r="AB4" i="1"/>
  <c r="BJ4" i="1"/>
  <c r="AM5" i="44"/>
  <c r="AD5" i="44"/>
  <c r="G100" i="4"/>
  <c r="G101" i="4" s="1"/>
  <c r="H91" i="2"/>
  <c r="H91" i="3" s="1"/>
  <c r="H91" i="4" s="1"/>
  <c r="H91" i="5" s="1"/>
  <c r="H91" i="33" s="1"/>
  <c r="H91" i="7" s="1"/>
  <c r="H91" i="8" s="1"/>
  <c r="H91" i="9" s="1"/>
  <c r="H91" i="10" s="1"/>
  <c r="H91" i="11" s="1"/>
  <c r="H91" i="12" s="1"/>
  <c r="H91" i="13" s="1"/>
  <c r="H91" i="14" s="1"/>
  <c r="H91" i="15" s="1"/>
  <c r="H91" i="16" s="1"/>
  <c r="H91" i="17" s="1"/>
  <c r="H91" i="18" s="1"/>
  <c r="H91" i="19" s="1"/>
  <c r="H91" i="20" s="1"/>
  <c r="H91" i="21" s="1"/>
  <c r="H91" i="22" s="1"/>
  <c r="H91" i="23" s="1"/>
  <c r="H91" i="24" s="1"/>
  <c r="H91" i="25" s="1"/>
  <c r="H91" i="40" s="1"/>
  <c r="H91" i="27" s="1"/>
  <c r="H91" i="28" s="1"/>
  <c r="H91" i="29" s="1"/>
  <c r="H91" i="30" s="1"/>
  <c r="H91" i="43" s="1"/>
  <c r="AU5" i="44"/>
  <c r="AK4" i="1"/>
  <c r="H74" i="2"/>
  <c r="H74" i="3" s="1"/>
  <c r="H74" i="4" s="1"/>
  <c r="H74" i="5" s="1"/>
  <c r="H74" i="33" s="1"/>
  <c r="H74" i="7" s="1"/>
  <c r="H74" i="8" s="1"/>
  <c r="H74" i="9" s="1"/>
  <c r="H74" i="10" s="1"/>
  <c r="H74" i="11" s="1"/>
  <c r="H74" i="12" s="1"/>
  <c r="H74" i="13" s="1"/>
  <c r="H74" i="14" s="1"/>
  <c r="H74" i="15" s="1"/>
  <c r="H74" i="16" s="1"/>
  <c r="H74" i="17" s="1"/>
  <c r="H74" i="18" s="1"/>
  <c r="H74" i="19" s="1"/>
  <c r="H74" i="20" s="1"/>
  <c r="H74" i="21" s="1"/>
  <c r="H74" i="22" s="1"/>
  <c r="H74" i="23" s="1"/>
  <c r="H74" i="24" s="1"/>
  <c r="H74" i="25" s="1"/>
  <c r="H74" i="40" s="1"/>
  <c r="H74" i="27" s="1"/>
  <c r="H74" i="28" s="1"/>
  <c r="H74" i="29" s="1"/>
  <c r="AO4" i="1"/>
  <c r="AO5" i="44"/>
  <c r="H65" i="2"/>
  <c r="H65" i="3" s="1"/>
  <c r="H65" i="4" s="1"/>
  <c r="H65" i="5" s="1"/>
  <c r="H65" i="33" s="1"/>
  <c r="H65" i="7" s="1"/>
  <c r="H65" i="8" s="1"/>
  <c r="H65" i="9" s="1"/>
  <c r="H65" i="10" s="1"/>
  <c r="H65" i="11" s="1"/>
  <c r="H65" i="12" s="1"/>
  <c r="H65" i="13" s="1"/>
  <c r="H65" i="14" s="1"/>
  <c r="H65" i="15" s="1"/>
  <c r="H65" i="16" s="1"/>
  <c r="H65" i="17" s="1"/>
  <c r="H65" i="18" s="1"/>
  <c r="H65" i="19" s="1"/>
  <c r="H65" i="20" s="1"/>
  <c r="H65" i="21" s="1"/>
  <c r="H65" i="22" s="1"/>
  <c r="H65" i="23" s="1"/>
  <c r="H65" i="24" s="1"/>
  <c r="H65" i="25" s="1"/>
  <c r="H65" i="40" s="1"/>
  <c r="H65" i="27" s="1"/>
  <c r="V4" i="1"/>
  <c r="D9" i="45"/>
  <c r="H76" i="2"/>
  <c r="H76" i="3" s="1"/>
  <c r="H76" i="4" s="1"/>
  <c r="H76" i="5" s="1"/>
  <c r="H76" i="33" s="1"/>
  <c r="H76" i="7" s="1"/>
  <c r="H76" i="8" s="1"/>
  <c r="H76" i="9" s="1"/>
  <c r="H76" i="10" s="1"/>
  <c r="H76" i="11" s="1"/>
  <c r="H76" i="12" s="1"/>
  <c r="H76" i="13" s="1"/>
  <c r="H76" i="14" s="1"/>
  <c r="H76" i="15" s="1"/>
  <c r="H76" i="16" s="1"/>
  <c r="H76" i="17" s="1"/>
  <c r="H76" i="18" s="1"/>
  <c r="H76" i="19" s="1"/>
  <c r="H76" i="20" s="1"/>
  <c r="H76" i="21" s="1"/>
  <c r="H76" i="22" s="1"/>
  <c r="H76" i="23" s="1"/>
  <c r="H76" i="24" s="1"/>
  <c r="H76" i="25" s="1"/>
  <c r="H76" i="40" s="1"/>
  <c r="H76" i="27" s="1"/>
  <c r="H76" i="28" s="1"/>
  <c r="H76" i="29" s="1"/>
  <c r="H76" i="30" s="1"/>
  <c r="H76" i="43" s="1"/>
  <c r="AQ5" i="44"/>
  <c r="H87" i="2"/>
  <c r="H87" i="3" s="1"/>
  <c r="H87" i="4" s="1"/>
  <c r="H87" i="5" s="1"/>
  <c r="H87" i="33" s="1"/>
  <c r="H87" i="7" s="1"/>
  <c r="H87" i="8" s="1"/>
  <c r="H87" i="9" s="1"/>
  <c r="H87" i="10" s="1"/>
  <c r="H87" i="11" s="1"/>
  <c r="H87" i="12" s="1"/>
  <c r="H87" i="13" s="1"/>
  <c r="H87" i="14" s="1"/>
  <c r="H87" i="15" s="1"/>
  <c r="H87" i="16" s="1"/>
  <c r="H87" i="17" s="1"/>
  <c r="H87" i="18" s="1"/>
  <c r="H87" i="19" s="1"/>
  <c r="H87" i="20" s="1"/>
  <c r="H87" i="21" s="1"/>
  <c r="H87" i="22" s="1"/>
  <c r="H87" i="23" s="1"/>
  <c r="H87" i="24" s="1"/>
  <c r="H87" i="25" s="1"/>
  <c r="H87" i="40" s="1"/>
  <c r="H87" i="27" s="1"/>
  <c r="H87" i="28" s="1"/>
  <c r="H87" i="29" s="1"/>
  <c r="H87" i="30" s="1"/>
  <c r="H87" i="43" s="1"/>
  <c r="AC4" i="1"/>
  <c r="H122" i="2"/>
  <c r="J122" i="2" s="1"/>
  <c r="AK5" i="44"/>
  <c r="G94" i="33"/>
  <c r="G95" i="33" s="1"/>
  <c r="AH9" i="1"/>
  <c r="G100" i="8"/>
  <c r="H151" i="5"/>
  <c r="J151" i="4"/>
  <c r="H69" i="2"/>
  <c r="H69" i="3" s="1"/>
  <c r="H69" i="4" s="1"/>
  <c r="H69" i="5" s="1"/>
  <c r="H69" i="33" s="1"/>
  <c r="H69" i="7" s="1"/>
  <c r="H69" i="8" s="1"/>
  <c r="H69" i="9" s="1"/>
  <c r="H69" i="10" s="1"/>
  <c r="H69" i="11" s="1"/>
  <c r="H69" i="12" s="1"/>
  <c r="H69" i="13" s="1"/>
  <c r="H69" i="14" s="1"/>
  <c r="H69" i="15" s="1"/>
  <c r="H69" i="16" s="1"/>
  <c r="H69" i="17" s="1"/>
  <c r="H69" i="18" s="1"/>
  <c r="H69" i="19" s="1"/>
  <c r="H69" i="20" s="1"/>
  <c r="H69" i="21" s="1"/>
  <c r="H69" i="22" s="1"/>
  <c r="H69" i="23" s="1"/>
  <c r="H69" i="24" s="1"/>
  <c r="H69" i="25" s="1"/>
  <c r="H69" i="40" s="1"/>
  <c r="H69" i="27" s="1"/>
  <c r="D14" i="45"/>
  <c r="H66" i="2"/>
  <c r="H66" i="3" s="1"/>
  <c r="H66" i="4" s="1"/>
  <c r="H66" i="5" s="1"/>
  <c r="H66" i="33" s="1"/>
  <c r="H66" i="7" s="1"/>
  <c r="H66" i="8" s="1"/>
  <c r="H66" i="9" s="1"/>
  <c r="H66" i="10" s="1"/>
  <c r="H66" i="11" s="1"/>
  <c r="H66" i="12" s="1"/>
  <c r="H66" i="13" s="1"/>
  <c r="H66" i="14" s="1"/>
  <c r="H66" i="15" s="1"/>
  <c r="H66" i="16" s="1"/>
  <c r="H66" i="17" s="1"/>
  <c r="H66" i="18" s="1"/>
  <c r="H66" i="19" s="1"/>
  <c r="H66" i="20" s="1"/>
  <c r="H66" i="21" s="1"/>
  <c r="H66" i="22" s="1"/>
  <c r="H66" i="23" s="1"/>
  <c r="H66" i="24" s="1"/>
  <c r="H66" i="25" s="1"/>
  <c r="H66" i="40" s="1"/>
  <c r="H66" i="27" s="1"/>
  <c r="D10" i="45"/>
  <c r="W4" i="1"/>
  <c r="H77" i="2"/>
  <c r="H77" i="3" s="1"/>
  <c r="H77" i="4" s="1"/>
  <c r="H77" i="5" s="1"/>
  <c r="H77" i="33" s="1"/>
  <c r="H77" i="7" s="1"/>
  <c r="H77" i="8" s="1"/>
  <c r="H77" i="9" s="1"/>
  <c r="H77" i="10" s="1"/>
  <c r="H77" i="11" s="1"/>
  <c r="H77" i="12" s="1"/>
  <c r="H77" i="13" s="1"/>
  <c r="H77" i="14" s="1"/>
  <c r="H77" i="15" s="1"/>
  <c r="H77" i="16" s="1"/>
  <c r="H77" i="17" s="1"/>
  <c r="H77" i="18" s="1"/>
  <c r="H77" i="19" s="1"/>
  <c r="H77" i="20" s="1"/>
  <c r="H77" i="21" s="1"/>
  <c r="H77" i="22" s="1"/>
  <c r="H77" i="23" s="1"/>
  <c r="H77" i="24" s="1"/>
  <c r="H77" i="25" s="1"/>
  <c r="H77" i="40" s="1"/>
  <c r="H77" i="27" s="1"/>
  <c r="H77" i="28" s="1"/>
  <c r="H77" i="29" s="1"/>
  <c r="H77" i="30" s="1"/>
  <c r="H77" i="43" s="1"/>
  <c r="H77" i="31" s="1"/>
  <c r="J77" i="31" s="1"/>
  <c r="AR5" i="44"/>
  <c r="H88" i="2"/>
  <c r="H88" i="3" s="1"/>
  <c r="H88" i="4" s="1"/>
  <c r="H88" i="5" s="1"/>
  <c r="H88" i="33" s="1"/>
  <c r="H88" i="7" s="1"/>
  <c r="H88" i="8" s="1"/>
  <c r="H88" i="9" s="1"/>
  <c r="H88" i="10" s="1"/>
  <c r="H88" i="11" s="1"/>
  <c r="H88" i="12" s="1"/>
  <c r="H88" i="13" s="1"/>
  <c r="H88" i="14" s="1"/>
  <c r="H88" i="15" s="1"/>
  <c r="H88" i="16" s="1"/>
  <c r="H88" i="17" s="1"/>
  <c r="H88" i="18" s="1"/>
  <c r="H88" i="19" s="1"/>
  <c r="H88" i="20" s="1"/>
  <c r="H88" i="21" s="1"/>
  <c r="H88" i="22" s="1"/>
  <c r="H88" i="23" s="1"/>
  <c r="H88" i="24" s="1"/>
  <c r="H88" i="25" s="1"/>
  <c r="H88" i="40" s="1"/>
  <c r="H88" i="27" s="1"/>
  <c r="H88" i="28" s="1"/>
  <c r="H88" i="29" s="1"/>
  <c r="H88" i="30" s="1"/>
  <c r="H88" i="43" s="1"/>
  <c r="AV5" i="44"/>
  <c r="AG4" i="1"/>
  <c r="H67" i="2"/>
  <c r="H67" i="3" s="1"/>
  <c r="H67" i="4" s="1"/>
  <c r="H67" i="5" s="1"/>
  <c r="H67" i="33" s="1"/>
  <c r="H67" i="7" s="1"/>
  <c r="H67" i="8" s="1"/>
  <c r="H67" i="9" s="1"/>
  <c r="H67" i="10" s="1"/>
  <c r="H67" i="11" s="1"/>
  <c r="H67" i="12" s="1"/>
  <c r="H67" i="13" s="1"/>
  <c r="H67" i="14" s="1"/>
  <c r="H67" i="15" s="1"/>
  <c r="H67" i="16" s="1"/>
  <c r="H67" i="17" s="1"/>
  <c r="H67" i="18" s="1"/>
  <c r="H67" i="19" s="1"/>
  <c r="H67" i="20" s="1"/>
  <c r="H67" i="21" s="1"/>
  <c r="H67" i="22" s="1"/>
  <c r="H67" i="23" s="1"/>
  <c r="H67" i="24" s="1"/>
  <c r="H67" i="25" s="1"/>
  <c r="H67" i="40" s="1"/>
  <c r="H67" i="27" s="1"/>
  <c r="D11" i="45"/>
  <c r="X4" i="1"/>
  <c r="H78" i="2"/>
  <c r="H78" i="3" s="1"/>
  <c r="H78" i="4" s="1"/>
  <c r="H78" i="5" s="1"/>
  <c r="H78" i="33" s="1"/>
  <c r="H78" i="7" s="1"/>
  <c r="H78" i="8" s="1"/>
  <c r="H78" i="9" s="1"/>
  <c r="H78" i="10" s="1"/>
  <c r="H78" i="11" s="1"/>
  <c r="H78" i="12" s="1"/>
  <c r="H78" i="13" s="1"/>
  <c r="H78" i="14" s="1"/>
  <c r="H78" i="15" s="1"/>
  <c r="H78" i="16" s="1"/>
  <c r="H78" i="17" s="1"/>
  <c r="H78" i="18" s="1"/>
  <c r="H78" i="19" s="1"/>
  <c r="H78" i="20" s="1"/>
  <c r="H78" i="21" s="1"/>
  <c r="H78" i="22" s="1"/>
  <c r="H78" i="23" s="1"/>
  <c r="H78" i="24" s="1"/>
  <c r="H78" i="25" s="1"/>
  <c r="H78" i="40" s="1"/>
  <c r="H78" i="27" s="1"/>
  <c r="H78" i="28" s="1"/>
  <c r="H78" i="29" s="1"/>
  <c r="H78" i="30" s="1"/>
  <c r="H78" i="43" s="1"/>
  <c r="H78" i="31" s="1"/>
  <c r="J78" i="31" s="1"/>
  <c r="AS5" i="44"/>
  <c r="H89" i="2"/>
  <c r="H89" i="3" s="1"/>
  <c r="H89" i="4" s="1"/>
  <c r="H89" i="5" s="1"/>
  <c r="H89" i="33" s="1"/>
  <c r="H89" i="7" s="1"/>
  <c r="H89" i="8" s="1"/>
  <c r="H89" i="9" s="1"/>
  <c r="H89" i="10" s="1"/>
  <c r="H89" i="11" s="1"/>
  <c r="H89" i="12" s="1"/>
  <c r="H89" i="13" s="1"/>
  <c r="H89" i="14" s="1"/>
  <c r="H89" i="15" s="1"/>
  <c r="H89" i="16" s="1"/>
  <c r="H89" i="17" s="1"/>
  <c r="H89" i="18" s="1"/>
  <c r="H89" i="19" s="1"/>
  <c r="H89" i="20" s="1"/>
  <c r="H89" i="21" s="1"/>
  <c r="H89" i="22" s="1"/>
  <c r="H89" i="23" s="1"/>
  <c r="H89" i="24" s="1"/>
  <c r="H89" i="25" s="1"/>
  <c r="H89" i="40" s="1"/>
  <c r="H89" i="27" s="1"/>
  <c r="H89" i="28" s="1"/>
  <c r="H89" i="29" s="1"/>
  <c r="H89" i="30" s="1"/>
  <c r="H89" i="43" s="1"/>
  <c r="AW5" i="44"/>
  <c r="AH4" i="1"/>
  <c r="H116" i="2"/>
  <c r="J116" i="2" s="1"/>
  <c r="AE5" i="44"/>
  <c r="J134" i="33"/>
  <c r="H134" i="7"/>
  <c r="H62" i="2"/>
  <c r="H62" i="3" s="1"/>
  <c r="H62" i="4" s="1"/>
  <c r="H62" i="5" s="1"/>
  <c r="H62" i="33" s="1"/>
  <c r="H62" i="7" s="1"/>
  <c r="H62" i="8" s="1"/>
  <c r="H62" i="9" s="1"/>
  <c r="H62" i="10" s="1"/>
  <c r="H62" i="11" s="1"/>
  <c r="H62" i="12" s="1"/>
  <c r="H62" i="13" s="1"/>
  <c r="H62" i="14" s="1"/>
  <c r="H62" i="15" s="1"/>
  <c r="H62" i="16" s="1"/>
  <c r="H62" i="17" s="1"/>
  <c r="H62" i="18" s="1"/>
  <c r="H62" i="19" s="1"/>
  <c r="H62" i="20" s="1"/>
  <c r="H62" i="21" s="1"/>
  <c r="H62" i="22" s="1"/>
  <c r="H62" i="23" s="1"/>
  <c r="H62" i="24" s="1"/>
  <c r="H62" i="25" s="1"/>
  <c r="H62" i="40" s="1"/>
  <c r="H62" i="27" s="1"/>
  <c r="H62" i="28" s="1"/>
  <c r="H62" i="29" s="1"/>
  <c r="H62" i="30" s="1"/>
  <c r="H62" i="43" s="1"/>
  <c r="D7" i="45"/>
  <c r="H68" i="2"/>
  <c r="H68" i="3" s="1"/>
  <c r="H68" i="4" s="1"/>
  <c r="H68" i="5" s="1"/>
  <c r="H68" i="33" s="1"/>
  <c r="H68" i="7" s="1"/>
  <c r="H68" i="8" s="1"/>
  <c r="H68" i="9" s="1"/>
  <c r="H68" i="10" s="1"/>
  <c r="H68" i="11" s="1"/>
  <c r="H68" i="12" s="1"/>
  <c r="H68" i="13" s="1"/>
  <c r="H68" i="14" s="1"/>
  <c r="H68" i="15" s="1"/>
  <c r="H68" i="16" s="1"/>
  <c r="H68" i="17" s="1"/>
  <c r="H68" i="18" s="1"/>
  <c r="H68" i="19" s="1"/>
  <c r="H68" i="20" s="1"/>
  <c r="H68" i="21" s="1"/>
  <c r="H68" i="22" s="1"/>
  <c r="H68" i="23" s="1"/>
  <c r="H68" i="24" s="1"/>
  <c r="H68" i="25" s="1"/>
  <c r="H68" i="40" s="1"/>
  <c r="H68" i="27" s="1"/>
  <c r="D13" i="45"/>
  <c r="H90" i="2"/>
  <c r="H90" i="3" s="1"/>
  <c r="H90" i="4" s="1"/>
  <c r="H90" i="5" s="1"/>
  <c r="H90" i="33" s="1"/>
  <c r="H90" i="7" s="1"/>
  <c r="H90" i="8" s="1"/>
  <c r="H90" i="9" s="1"/>
  <c r="H90" i="10" s="1"/>
  <c r="H90" i="11" s="1"/>
  <c r="H90" i="12" s="1"/>
  <c r="H90" i="13" s="1"/>
  <c r="H90" i="14" s="1"/>
  <c r="H90" i="15" s="1"/>
  <c r="H90" i="16" s="1"/>
  <c r="H90" i="17" s="1"/>
  <c r="H90" i="18" s="1"/>
  <c r="H90" i="19" s="1"/>
  <c r="H90" i="20" s="1"/>
  <c r="H90" i="21" s="1"/>
  <c r="H90" i="22" s="1"/>
  <c r="H90" i="23" s="1"/>
  <c r="H90" i="24" s="1"/>
  <c r="H90" i="25" s="1"/>
  <c r="H90" i="40" s="1"/>
  <c r="H90" i="27" s="1"/>
  <c r="H90" i="29" s="1"/>
  <c r="H90" i="30" s="1"/>
  <c r="H90" i="43" s="1"/>
  <c r="AI4" i="1"/>
  <c r="AX5" i="44"/>
  <c r="BJ7" i="1"/>
  <c r="BJ6" i="1"/>
  <c r="G60" i="43"/>
  <c r="G60" i="30"/>
  <c r="G186" i="7"/>
  <c r="H15" i="5"/>
  <c r="H15" i="33" s="1"/>
  <c r="H15" i="7" s="1"/>
  <c r="H8" i="5"/>
  <c r="H8" i="33" s="1"/>
  <c r="H8" i="7" s="1"/>
  <c r="H10" i="5"/>
  <c r="H10" i="33" s="1"/>
  <c r="H10" i="7" s="1"/>
  <c r="H10" i="8" s="1"/>
  <c r="H10" i="9" s="1"/>
  <c r="H10" i="10" s="1"/>
  <c r="H10" i="11" s="1"/>
  <c r="H10" i="12" s="1"/>
  <c r="H10" i="13" s="1"/>
  <c r="H10" i="14" s="1"/>
  <c r="H10" i="15" s="1"/>
  <c r="H10" i="16" s="1"/>
  <c r="H22" i="5"/>
  <c r="H22" i="33" s="1"/>
  <c r="H22" i="7" s="1"/>
  <c r="H22" i="8" s="1"/>
  <c r="H22" i="9" s="1"/>
  <c r="H22" i="10" s="1"/>
  <c r="H22" i="11" s="1"/>
  <c r="H22" i="12" s="1"/>
  <c r="H22" i="13" s="1"/>
  <c r="H22" i="14" s="1"/>
  <c r="H22" i="15" s="1"/>
  <c r="H22" i="16" s="1"/>
  <c r="H22" i="17" s="1"/>
  <c r="H22" i="18" s="1"/>
  <c r="H22" i="19" s="1"/>
  <c r="H22" i="20" s="1"/>
  <c r="H22" i="21" s="1"/>
  <c r="H22" i="22" s="1"/>
  <c r="H22" i="23" s="1"/>
  <c r="H22" i="24" s="1"/>
  <c r="H22" i="25" s="1"/>
  <c r="H22" i="40" s="1"/>
  <c r="H22" i="27" s="1"/>
  <c r="H22" i="28" s="1"/>
  <c r="H22" i="29" s="1"/>
  <c r="H22" i="30" s="1"/>
  <c r="H22" i="43" s="1"/>
  <c r="H22" i="31" s="1"/>
  <c r="G96" i="5"/>
  <c r="G97" i="5" s="1"/>
  <c r="H9" i="5"/>
  <c r="H9" i="33" s="1"/>
  <c r="G47" i="5"/>
  <c r="G71" i="5"/>
  <c r="H7" i="5"/>
  <c r="H7" i="33" s="1"/>
  <c r="H7" i="7" s="1"/>
  <c r="H19" i="5"/>
  <c r="H19" i="33" s="1"/>
  <c r="E31" i="4"/>
  <c r="G31" i="4" s="1"/>
  <c r="H18" i="4"/>
  <c r="H18" i="5" s="1"/>
  <c r="H18" i="33" s="1"/>
  <c r="H18" i="7" s="1"/>
  <c r="H18" i="8" s="1"/>
  <c r="H18" i="9" s="1"/>
  <c r="H18" i="10" s="1"/>
  <c r="H18" i="11" s="1"/>
  <c r="H18" i="12" s="1"/>
  <c r="H18" i="13" s="1"/>
  <c r="H18" i="14" s="1"/>
  <c r="H18" i="15" s="1"/>
  <c r="H18" i="16" s="1"/>
  <c r="H18" i="17" s="1"/>
  <c r="H18" i="18" s="1"/>
  <c r="H18" i="19" s="1"/>
  <c r="H18" i="20" s="1"/>
  <c r="H18" i="21" s="1"/>
  <c r="H18" i="22" s="1"/>
  <c r="H18" i="23" s="1"/>
  <c r="H18" i="24" s="1"/>
  <c r="H18" i="25" s="1"/>
  <c r="H18" i="40" s="1"/>
  <c r="H18" i="27" s="1"/>
  <c r="H18" i="28" s="1"/>
  <c r="H18" i="29" s="1"/>
  <c r="H18" i="30" s="1"/>
  <c r="H18" i="43" s="1"/>
  <c r="H18" i="31" s="1"/>
  <c r="H133" i="2"/>
  <c r="H131" i="2"/>
  <c r="J131" i="2" s="1"/>
  <c r="H129" i="2"/>
  <c r="H128" i="2"/>
  <c r="J128" i="2" s="1"/>
  <c r="H130" i="2"/>
  <c r="H182" i="8"/>
  <c r="J182" i="7"/>
  <c r="J166" i="10"/>
  <c r="H166" i="11"/>
  <c r="H132" i="3"/>
  <c r="H29" i="3"/>
  <c r="H29" i="4" s="1"/>
  <c r="H29" i="5" s="1"/>
  <c r="H29" i="33" s="1"/>
  <c r="H29" i="7" s="1"/>
  <c r="H29" i="8" s="1"/>
  <c r="H29" i="9" s="1"/>
  <c r="H29" i="10" s="1"/>
  <c r="H29" i="11" s="1"/>
  <c r="H29" i="12" s="1"/>
  <c r="H29" i="13" s="1"/>
  <c r="H29" i="14" s="1"/>
  <c r="H29" i="15" s="1"/>
  <c r="H29" i="16" s="1"/>
  <c r="H29" i="17" s="1"/>
  <c r="H29" i="18" s="1"/>
  <c r="H29" i="19" s="1"/>
  <c r="H29" i="20" s="1"/>
  <c r="H29" i="21" s="1"/>
  <c r="H29" i="22" s="1"/>
  <c r="H29" i="23" s="1"/>
  <c r="H29" i="24" s="1"/>
  <c r="H29" i="25" s="1"/>
  <c r="H29" i="40" s="1"/>
  <c r="H29" i="27" s="1"/>
  <c r="H29" i="28" s="1"/>
  <c r="H29" i="29" s="1"/>
  <c r="H29" i="30" s="1"/>
  <c r="H29" i="43" s="1"/>
  <c r="H29" i="31" s="1"/>
  <c r="H168" i="11"/>
  <c r="J168" i="10"/>
  <c r="H177" i="8"/>
  <c r="J177" i="7"/>
  <c r="H167" i="11"/>
  <c r="J167" i="10"/>
  <c r="H82" i="3"/>
  <c r="H82" i="4" s="1"/>
  <c r="H82" i="5" s="1"/>
  <c r="H82" i="33" s="1"/>
  <c r="H82" i="7" s="1"/>
  <c r="H82" i="8" s="1"/>
  <c r="H82" i="9" s="1"/>
  <c r="H82" i="10" s="1"/>
  <c r="H82" i="11" s="1"/>
  <c r="H82" i="12" s="1"/>
  <c r="H82" i="13" s="1"/>
  <c r="H82" i="14" s="1"/>
  <c r="H82" i="15" s="1"/>
  <c r="H82" i="16" s="1"/>
  <c r="H82" i="17" s="1"/>
  <c r="H82" i="18" s="1"/>
  <c r="H82" i="19" s="1"/>
  <c r="H82" i="20" s="1"/>
  <c r="H82" i="21" s="1"/>
  <c r="H82" i="22" s="1"/>
  <c r="H82" i="23" s="1"/>
  <c r="H82" i="24" s="1"/>
  <c r="H82" i="25" s="1"/>
  <c r="H82" i="40" s="1"/>
  <c r="H82" i="27" s="1"/>
  <c r="H82" i="28" s="1"/>
  <c r="H82" i="29" s="1"/>
  <c r="H82" i="30" s="1"/>
  <c r="H82" i="43" s="1"/>
  <c r="J82" i="43" s="1"/>
  <c r="G176" i="2"/>
  <c r="H173" i="2"/>
  <c r="H175" i="2"/>
  <c r="G186" i="3"/>
  <c r="H180" i="2"/>
  <c r="J180" i="2" s="1"/>
  <c r="H174" i="2"/>
  <c r="H179" i="2"/>
  <c r="J179" i="2" s="1"/>
  <c r="H184" i="2"/>
  <c r="H185" i="3"/>
  <c r="H161" i="2"/>
  <c r="J161" i="2" s="1"/>
  <c r="H163" i="2"/>
  <c r="J163" i="2" s="1"/>
  <c r="H165" i="2"/>
  <c r="J165" i="2" s="1"/>
  <c r="H162" i="2"/>
  <c r="H164" i="2"/>
  <c r="H139" i="2"/>
  <c r="H143" i="2"/>
  <c r="H147" i="2"/>
  <c r="H149" i="2"/>
  <c r="H141" i="2"/>
  <c r="J141" i="2" s="1"/>
  <c r="H145" i="2"/>
  <c r="H140" i="2"/>
  <c r="H142" i="2"/>
  <c r="J142" i="2" s="1"/>
  <c r="H144" i="2"/>
  <c r="H148" i="2"/>
  <c r="H150" i="2"/>
  <c r="H138" i="2"/>
  <c r="H146" i="2"/>
  <c r="H117" i="2"/>
  <c r="J117" i="2" s="1"/>
  <c r="H119" i="2"/>
  <c r="J119" i="2" s="1"/>
  <c r="H113" i="2"/>
  <c r="J113" i="2" s="1"/>
  <c r="H121" i="2"/>
  <c r="J121" i="2" s="1"/>
  <c r="H114" i="3"/>
  <c r="H115" i="2"/>
  <c r="H123" i="2"/>
  <c r="J123" i="2" s="1"/>
  <c r="H83" i="3"/>
  <c r="H83" i="4" s="1"/>
  <c r="H83" i="5" s="1"/>
  <c r="H83" i="33" s="1"/>
  <c r="H83" i="7" s="1"/>
  <c r="H83" i="8" s="1"/>
  <c r="H83" i="9" s="1"/>
  <c r="H83" i="10" s="1"/>
  <c r="H83" i="11" s="1"/>
  <c r="H83" i="12" s="1"/>
  <c r="H83" i="13" s="1"/>
  <c r="H83" i="14" s="1"/>
  <c r="H83" i="15" s="1"/>
  <c r="H83" i="16" s="1"/>
  <c r="H83" i="17" s="1"/>
  <c r="H83" i="18" s="1"/>
  <c r="H83" i="19" s="1"/>
  <c r="H83" i="20" s="1"/>
  <c r="H83" i="21" s="1"/>
  <c r="H83" i="22" s="1"/>
  <c r="H83" i="23" s="1"/>
  <c r="H83" i="24" s="1"/>
  <c r="H83" i="25" s="1"/>
  <c r="H83" i="40" s="1"/>
  <c r="H83" i="27" s="1"/>
  <c r="H83" i="28" s="1"/>
  <c r="H83" i="29" s="1"/>
  <c r="H83" i="30" s="1"/>
  <c r="H83" i="43" s="1"/>
  <c r="H83" i="31" s="1"/>
  <c r="G79" i="2"/>
  <c r="H79" i="2" s="1"/>
  <c r="H52" i="3"/>
  <c r="H52" i="4" s="1"/>
  <c r="H52" i="5" s="1"/>
  <c r="H52" i="33" s="1"/>
  <c r="H52" i="7" s="1"/>
  <c r="H52" i="8" s="1"/>
  <c r="H52" i="9" s="1"/>
  <c r="H52" i="10" s="1"/>
  <c r="H52" i="11" s="1"/>
  <c r="H52" i="12" s="1"/>
  <c r="H52" i="13" s="1"/>
  <c r="H52" i="14" s="1"/>
  <c r="H52" i="15" s="1"/>
  <c r="H52" i="16" s="1"/>
  <c r="H52" i="17" s="1"/>
  <c r="H52" i="18" s="1"/>
  <c r="H52" i="19" s="1"/>
  <c r="H52" i="20" s="1"/>
  <c r="H52" i="21" s="1"/>
  <c r="H52" i="22" s="1"/>
  <c r="H52" i="23" s="1"/>
  <c r="H52" i="24" s="1"/>
  <c r="H52" i="25" s="1"/>
  <c r="H52" i="40" s="1"/>
  <c r="H52" i="27" s="1"/>
  <c r="H52" i="28" s="1"/>
  <c r="H52" i="29" s="1"/>
  <c r="H52" i="30" s="1"/>
  <c r="H52" i="43" s="1"/>
  <c r="H52" i="31" s="1"/>
  <c r="H51" i="3"/>
  <c r="H51" i="4" s="1"/>
  <c r="H51" i="5" s="1"/>
  <c r="H51" i="33" s="1"/>
  <c r="H51" i="7" s="1"/>
  <c r="H51" i="8" s="1"/>
  <c r="H51" i="9" s="1"/>
  <c r="H51" i="10" s="1"/>
  <c r="H51" i="11" s="1"/>
  <c r="H51" i="12" s="1"/>
  <c r="H51" i="13" s="1"/>
  <c r="H51" i="14" s="1"/>
  <c r="H51" i="15" s="1"/>
  <c r="H51" i="16" s="1"/>
  <c r="H51" i="17" s="1"/>
  <c r="H51" i="18" s="1"/>
  <c r="H51" i="19" s="1"/>
  <c r="H51" i="20" s="1"/>
  <c r="H51" i="21" s="1"/>
  <c r="H51" i="22" s="1"/>
  <c r="H51" i="23" s="1"/>
  <c r="H51" i="24" s="1"/>
  <c r="H51" i="25" s="1"/>
  <c r="H51" i="40" s="1"/>
  <c r="H51" i="27" s="1"/>
  <c r="H51" i="28" s="1"/>
  <c r="H51" i="29" s="1"/>
  <c r="H51" i="30" s="1"/>
  <c r="H51" i="43" s="1"/>
  <c r="H51" i="31" s="1"/>
  <c r="H55" i="3"/>
  <c r="H55" i="4" s="1"/>
  <c r="H55" i="5" s="1"/>
  <c r="H55" i="33" s="1"/>
  <c r="H55" i="7" s="1"/>
  <c r="H55" i="8" s="1"/>
  <c r="H55" i="9" s="1"/>
  <c r="H55" i="10" s="1"/>
  <c r="H55" i="11" s="1"/>
  <c r="H55" i="12" s="1"/>
  <c r="H55" i="13" s="1"/>
  <c r="H55" i="14" s="1"/>
  <c r="H55" i="15" s="1"/>
  <c r="H55" i="16" s="1"/>
  <c r="H55" i="17" s="1"/>
  <c r="H55" i="18" s="1"/>
  <c r="H55" i="19" s="1"/>
  <c r="H55" i="20" s="1"/>
  <c r="H55" i="21" s="1"/>
  <c r="H55" i="22" s="1"/>
  <c r="H55" i="23" s="1"/>
  <c r="H55" i="24" s="1"/>
  <c r="H55" i="25" s="1"/>
  <c r="H55" i="40" s="1"/>
  <c r="H55" i="27" s="1"/>
  <c r="H55" i="28" s="1"/>
  <c r="H55" i="29" s="1"/>
  <c r="H55" i="30" s="1"/>
  <c r="H55" i="43" s="1"/>
  <c r="H55" i="31" s="1"/>
  <c r="H50" i="3"/>
  <c r="H50" i="4" s="1"/>
  <c r="H50" i="5" s="1"/>
  <c r="H50" i="33" s="1"/>
  <c r="H50" i="7" s="1"/>
  <c r="H50" i="8" s="1"/>
  <c r="H50" i="9" s="1"/>
  <c r="H50" i="10" s="1"/>
  <c r="H50" i="11" s="1"/>
  <c r="H50" i="12" s="1"/>
  <c r="H50" i="13" s="1"/>
  <c r="H50" i="14" s="1"/>
  <c r="H50" i="15" s="1"/>
  <c r="H50" i="16" s="1"/>
  <c r="H50" i="17" s="1"/>
  <c r="H50" i="18" s="1"/>
  <c r="H50" i="19" s="1"/>
  <c r="H50" i="20" s="1"/>
  <c r="H50" i="21" s="1"/>
  <c r="H50" i="22" s="1"/>
  <c r="H50" i="23" s="1"/>
  <c r="H50" i="24" s="1"/>
  <c r="H50" i="25" s="1"/>
  <c r="H50" i="40" s="1"/>
  <c r="H50" i="27" s="1"/>
  <c r="H50" i="28" s="1"/>
  <c r="H50" i="29" s="1"/>
  <c r="H50" i="30" s="1"/>
  <c r="H50" i="43" s="1"/>
  <c r="H50" i="31" s="1"/>
  <c r="H54" i="3"/>
  <c r="H54" i="4" s="1"/>
  <c r="H54" i="5" s="1"/>
  <c r="H54" i="33" s="1"/>
  <c r="H54" i="7" s="1"/>
  <c r="H54" i="8" s="1"/>
  <c r="H54" i="9" s="1"/>
  <c r="H54" i="10" s="1"/>
  <c r="H54" i="11" s="1"/>
  <c r="H54" i="12" s="1"/>
  <c r="H54" i="13" s="1"/>
  <c r="H54" i="14" s="1"/>
  <c r="H54" i="15" s="1"/>
  <c r="H54" i="16" s="1"/>
  <c r="H54" i="17" s="1"/>
  <c r="H54" i="18" s="1"/>
  <c r="H54" i="19" s="1"/>
  <c r="H54" i="20" s="1"/>
  <c r="H54" i="21" s="1"/>
  <c r="H54" i="22" s="1"/>
  <c r="H54" i="23" s="1"/>
  <c r="H54" i="24" s="1"/>
  <c r="H54" i="25" s="1"/>
  <c r="H54" i="40" s="1"/>
  <c r="H54" i="27" s="1"/>
  <c r="H54" i="28" s="1"/>
  <c r="H54" i="29" s="1"/>
  <c r="H54" i="30" s="1"/>
  <c r="H54" i="43" s="1"/>
  <c r="H54" i="31" s="1"/>
  <c r="H58" i="3"/>
  <c r="H58" i="4" s="1"/>
  <c r="H58" i="5" s="1"/>
  <c r="H58" i="33" s="1"/>
  <c r="H58" i="7" s="1"/>
  <c r="H58" i="8" s="1"/>
  <c r="H58" i="9" s="1"/>
  <c r="H58" i="10" s="1"/>
  <c r="H58" i="11" s="1"/>
  <c r="H58" i="12" s="1"/>
  <c r="H58" i="13" s="1"/>
  <c r="H58" i="14" s="1"/>
  <c r="H58" i="15" s="1"/>
  <c r="H58" i="16" s="1"/>
  <c r="H58" i="17" s="1"/>
  <c r="H58" i="18" s="1"/>
  <c r="H58" i="19" s="1"/>
  <c r="H58" i="20" s="1"/>
  <c r="H58" i="21" s="1"/>
  <c r="H58" i="22" s="1"/>
  <c r="H58" i="23" s="1"/>
  <c r="H58" i="24" s="1"/>
  <c r="H58" i="25" s="1"/>
  <c r="H58" i="40" s="1"/>
  <c r="H58" i="27" s="1"/>
  <c r="H58" i="28" s="1"/>
  <c r="H58" i="29" s="1"/>
  <c r="H58" i="30" s="1"/>
  <c r="H58" i="43" s="1"/>
  <c r="H58" i="31" s="1"/>
  <c r="H53" i="3"/>
  <c r="H53" i="4" s="1"/>
  <c r="H53" i="5" s="1"/>
  <c r="H53" i="33" s="1"/>
  <c r="H53" i="7" s="1"/>
  <c r="H53" i="8" s="1"/>
  <c r="H53" i="9" s="1"/>
  <c r="H53" i="10" s="1"/>
  <c r="H53" i="11" s="1"/>
  <c r="H53" i="12" s="1"/>
  <c r="H53" i="13" s="1"/>
  <c r="H53" i="14" s="1"/>
  <c r="H53" i="15" s="1"/>
  <c r="H53" i="16" s="1"/>
  <c r="H53" i="17" s="1"/>
  <c r="H53" i="18" s="1"/>
  <c r="H53" i="19" s="1"/>
  <c r="H53" i="20" s="1"/>
  <c r="H53" i="21" s="1"/>
  <c r="H53" i="22" s="1"/>
  <c r="H53" i="23" s="1"/>
  <c r="H53" i="24" s="1"/>
  <c r="H53" i="25" s="1"/>
  <c r="H53" i="40" s="1"/>
  <c r="H53" i="27" s="1"/>
  <c r="H53" i="28" s="1"/>
  <c r="H53" i="29" s="1"/>
  <c r="H53" i="30" s="1"/>
  <c r="H53" i="43" s="1"/>
  <c r="H53" i="31" s="1"/>
  <c r="H57" i="3"/>
  <c r="H57" i="4" s="1"/>
  <c r="H57" i="5" s="1"/>
  <c r="H57" i="33" s="1"/>
  <c r="H57" i="7" s="1"/>
  <c r="H57" i="8" s="1"/>
  <c r="H57" i="9" s="1"/>
  <c r="H57" i="10" s="1"/>
  <c r="H57" i="11" s="1"/>
  <c r="H57" i="12" s="1"/>
  <c r="H57" i="13" s="1"/>
  <c r="H57" i="14" s="1"/>
  <c r="H57" i="15" s="1"/>
  <c r="H57" i="16" s="1"/>
  <c r="H57" i="17" s="1"/>
  <c r="H57" i="18" s="1"/>
  <c r="H57" i="19" s="1"/>
  <c r="H57" i="20" s="1"/>
  <c r="H57" i="21" s="1"/>
  <c r="H57" i="22" s="1"/>
  <c r="H57" i="23" s="1"/>
  <c r="H57" i="24" s="1"/>
  <c r="H57" i="25" s="1"/>
  <c r="H57" i="40" s="1"/>
  <c r="H57" i="27" s="1"/>
  <c r="H57" i="28" s="1"/>
  <c r="H57" i="29" s="1"/>
  <c r="H57" i="30" s="1"/>
  <c r="H57" i="43" s="1"/>
  <c r="H57" i="31" s="1"/>
  <c r="H35" i="3"/>
  <c r="H35" i="4" s="1"/>
  <c r="H35" i="5" s="1"/>
  <c r="H35" i="33" s="1"/>
  <c r="H35" i="7" s="1"/>
  <c r="H35" i="8" s="1"/>
  <c r="H35" i="9" s="1"/>
  <c r="H35" i="10" s="1"/>
  <c r="H35" i="11" s="1"/>
  <c r="H35" i="12" s="1"/>
  <c r="H35" i="13" s="1"/>
  <c r="H35" i="14" s="1"/>
  <c r="H35" i="15" s="1"/>
  <c r="H35" i="16" s="1"/>
  <c r="H35" i="17" s="1"/>
  <c r="H35" i="18" s="1"/>
  <c r="H35" i="19" s="1"/>
  <c r="H35" i="20" s="1"/>
  <c r="H35" i="21" s="1"/>
  <c r="H35" i="22" s="1"/>
  <c r="H35" i="23" s="1"/>
  <c r="H35" i="24" s="1"/>
  <c r="H35" i="25" s="1"/>
  <c r="H35" i="40" s="1"/>
  <c r="H35" i="27" s="1"/>
  <c r="H35" i="28" s="1"/>
  <c r="H35" i="29" s="1"/>
  <c r="H35" i="30" s="1"/>
  <c r="H35" i="43" s="1"/>
  <c r="H35" i="31" s="1"/>
  <c r="H39" i="3"/>
  <c r="H39" i="4" s="1"/>
  <c r="H39" i="5" s="1"/>
  <c r="H39" i="33" s="1"/>
  <c r="H39" i="7" s="1"/>
  <c r="H39" i="8" s="1"/>
  <c r="H39" i="9" s="1"/>
  <c r="H39" i="10" s="1"/>
  <c r="H39" i="11" s="1"/>
  <c r="H39" i="12" s="1"/>
  <c r="H39" i="13" s="1"/>
  <c r="H39" i="14" s="1"/>
  <c r="H39" i="15" s="1"/>
  <c r="H39" i="16" s="1"/>
  <c r="H39" i="17" s="1"/>
  <c r="H39" i="18" s="1"/>
  <c r="H39" i="19" s="1"/>
  <c r="H39" i="20" s="1"/>
  <c r="H39" i="21" s="1"/>
  <c r="H39" i="22" s="1"/>
  <c r="H39" i="23" s="1"/>
  <c r="H39" i="24" s="1"/>
  <c r="H39" i="25" s="1"/>
  <c r="H39" i="40" s="1"/>
  <c r="H39" i="27" s="1"/>
  <c r="H39" i="28" s="1"/>
  <c r="H39" i="29" s="1"/>
  <c r="H39" i="30" s="1"/>
  <c r="H39" i="43" s="1"/>
  <c r="H39" i="31" s="1"/>
  <c r="H43" i="3"/>
  <c r="H43" i="4" s="1"/>
  <c r="H43" i="5" s="1"/>
  <c r="H43" i="33" s="1"/>
  <c r="H43" i="7" s="1"/>
  <c r="H43" i="8" s="1"/>
  <c r="H43" i="9" s="1"/>
  <c r="H43" i="10" s="1"/>
  <c r="H43" i="11" s="1"/>
  <c r="H43" i="12" s="1"/>
  <c r="H43" i="13" s="1"/>
  <c r="H43" i="14" s="1"/>
  <c r="H43" i="15" s="1"/>
  <c r="H43" i="16" s="1"/>
  <c r="H43" i="17" s="1"/>
  <c r="H43" i="18" s="1"/>
  <c r="H43" i="19" s="1"/>
  <c r="H43" i="20" s="1"/>
  <c r="H43" i="21" s="1"/>
  <c r="H43" i="22" s="1"/>
  <c r="H43" i="23" s="1"/>
  <c r="H43" i="24" s="1"/>
  <c r="H43" i="25" s="1"/>
  <c r="H43" i="40" s="1"/>
  <c r="H43" i="27" s="1"/>
  <c r="H43" i="28" s="1"/>
  <c r="H43" i="29" s="1"/>
  <c r="H43" i="30" s="1"/>
  <c r="H43" i="43" s="1"/>
  <c r="H43" i="31" s="1"/>
  <c r="G102" i="2"/>
  <c r="H102" i="2" s="1"/>
  <c r="H36" i="2"/>
  <c r="H36" i="3" s="1"/>
  <c r="H36" i="4" s="1"/>
  <c r="H36" i="5" s="1"/>
  <c r="H36" i="33" s="1"/>
  <c r="H36" i="7" s="1"/>
  <c r="H36" i="8" s="1"/>
  <c r="H36" i="9" s="1"/>
  <c r="H36" i="10" s="1"/>
  <c r="H36" i="11" s="1"/>
  <c r="H36" i="12" s="1"/>
  <c r="H36" i="13" s="1"/>
  <c r="H36" i="14" s="1"/>
  <c r="H36" i="15" s="1"/>
  <c r="H36" i="16" s="1"/>
  <c r="H36" i="17" s="1"/>
  <c r="H36" i="18" s="1"/>
  <c r="H36" i="19" s="1"/>
  <c r="H36" i="20" s="1"/>
  <c r="H36" i="21" s="1"/>
  <c r="H36" i="22" s="1"/>
  <c r="H36" i="23" s="1"/>
  <c r="H36" i="24" s="1"/>
  <c r="H36" i="25" s="1"/>
  <c r="H36" i="40" s="1"/>
  <c r="H36" i="27" s="1"/>
  <c r="H36" i="28" s="1"/>
  <c r="H36" i="29" s="1"/>
  <c r="H36" i="30" s="1"/>
  <c r="H36" i="43" s="1"/>
  <c r="H36" i="31" s="1"/>
  <c r="G100" i="3"/>
  <c r="G101" i="3" s="1"/>
  <c r="H42" i="3"/>
  <c r="H42" i="4" s="1"/>
  <c r="H42" i="5" s="1"/>
  <c r="H42" i="33" s="1"/>
  <c r="H42" i="7" s="1"/>
  <c r="H42" i="8" s="1"/>
  <c r="H42" i="9" s="1"/>
  <c r="H42" i="10" s="1"/>
  <c r="H42" i="11" s="1"/>
  <c r="H42" i="12" s="1"/>
  <c r="H42" i="13" s="1"/>
  <c r="H42" i="14" s="1"/>
  <c r="H42" i="15" s="1"/>
  <c r="H42" i="16" s="1"/>
  <c r="H42" i="17" s="1"/>
  <c r="H42" i="18" s="1"/>
  <c r="H42" i="19" s="1"/>
  <c r="H42" i="20" s="1"/>
  <c r="H42" i="21" s="1"/>
  <c r="H42" i="22" s="1"/>
  <c r="H42" i="23" s="1"/>
  <c r="H42" i="24" s="1"/>
  <c r="H42" i="25" s="1"/>
  <c r="H42" i="40" s="1"/>
  <c r="H42" i="27" s="1"/>
  <c r="H42" i="28" s="1"/>
  <c r="H42" i="29" s="1"/>
  <c r="H42" i="30" s="1"/>
  <c r="H42" i="43" s="1"/>
  <c r="H42" i="31" s="1"/>
  <c r="H46" i="3"/>
  <c r="H46" i="4" s="1"/>
  <c r="H46" i="5" s="1"/>
  <c r="H46" i="33" s="1"/>
  <c r="H46" i="7" s="1"/>
  <c r="H46" i="8" s="1"/>
  <c r="H46" i="9" s="1"/>
  <c r="H46" i="10" s="1"/>
  <c r="H46" i="11" s="1"/>
  <c r="H46" i="12" s="1"/>
  <c r="H46" i="13" s="1"/>
  <c r="H46" i="14" s="1"/>
  <c r="H46" i="15" s="1"/>
  <c r="H46" i="16" s="1"/>
  <c r="H46" i="17" s="1"/>
  <c r="H46" i="18" s="1"/>
  <c r="H46" i="19" s="1"/>
  <c r="H46" i="20" s="1"/>
  <c r="H46" i="21" s="1"/>
  <c r="H46" i="22" s="1"/>
  <c r="H46" i="23" s="1"/>
  <c r="H46" i="24" s="1"/>
  <c r="H46" i="25" s="1"/>
  <c r="H46" i="40" s="1"/>
  <c r="H46" i="27" s="1"/>
  <c r="H46" i="28" s="1"/>
  <c r="H46" i="29" s="1"/>
  <c r="H46" i="30" s="1"/>
  <c r="H46" i="43" s="1"/>
  <c r="H46" i="31" s="1"/>
  <c r="H37" i="3"/>
  <c r="H37" i="4" s="1"/>
  <c r="H37" i="5" s="1"/>
  <c r="H37" i="33" s="1"/>
  <c r="H37" i="7" s="1"/>
  <c r="H37" i="8" s="1"/>
  <c r="H37" i="9" s="1"/>
  <c r="H37" i="10" s="1"/>
  <c r="H37" i="11" s="1"/>
  <c r="H37" i="12" s="1"/>
  <c r="H37" i="13" s="1"/>
  <c r="H37" i="14" s="1"/>
  <c r="H37" i="15" s="1"/>
  <c r="H37" i="16" s="1"/>
  <c r="H37" i="17" s="1"/>
  <c r="H37" i="18" s="1"/>
  <c r="H37" i="19" s="1"/>
  <c r="H37" i="20" s="1"/>
  <c r="H37" i="21" s="1"/>
  <c r="H37" i="22" s="1"/>
  <c r="H37" i="23" s="1"/>
  <c r="H37" i="24" s="1"/>
  <c r="H37" i="25" s="1"/>
  <c r="H37" i="40" s="1"/>
  <c r="H37" i="27" s="1"/>
  <c r="H37" i="28" s="1"/>
  <c r="H37" i="29" s="1"/>
  <c r="H37" i="30" s="1"/>
  <c r="H37" i="43" s="1"/>
  <c r="H37" i="31" s="1"/>
  <c r="H41" i="3"/>
  <c r="H41" i="4" s="1"/>
  <c r="H41" i="5" s="1"/>
  <c r="H41" i="33" s="1"/>
  <c r="H41" i="7" s="1"/>
  <c r="H41" i="8" s="1"/>
  <c r="H41" i="9" s="1"/>
  <c r="H41" i="10" s="1"/>
  <c r="H41" i="11" s="1"/>
  <c r="H41" i="12" s="1"/>
  <c r="H41" i="13" s="1"/>
  <c r="H41" i="14" s="1"/>
  <c r="H41" i="15" s="1"/>
  <c r="H41" i="16" s="1"/>
  <c r="H41" i="17" s="1"/>
  <c r="H41" i="18" s="1"/>
  <c r="H41" i="19" s="1"/>
  <c r="H41" i="20" s="1"/>
  <c r="H41" i="21" s="1"/>
  <c r="H41" i="22" s="1"/>
  <c r="H41" i="23" s="1"/>
  <c r="H41" i="24" s="1"/>
  <c r="H41" i="25" s="1"/>
  <c r="H41" i="40" s="1"/>
  <c r="H41" i="27" s="1"/>
  <c r="H41" i="28" s="1"/>
  <c r="H41" i="29" s="1"/>
  <c r="H41" i="30" s="1"/>
  <c r="H41" i="43" s="1"/>
  <c r="H41" i="31" s="1"/>
  <c r="H45" i="3"/>
  <c r="H45" i="4" s="1"/>
  <c r="H45" i="5" s="1"/>
  <c r="H45" i="33" s="1"/>
  <c r="H45" i="7" s="1"/>
  <c r="H45" i="8" s="1"/>
  <c r="H45" i="9" s="1"/>
  <c r="H45" i="10" s="1"/>
  <c r="H45" i="11" s="1"/>
  <c r="H45" i="12" s="1"/>
  <c r="H45" i="13" s="1"/>
  <c r="H45" i="14" s="1"/>
  <c r="H45" i="15" s="1"/>
  <c r="H45" i="16" s="1"/>
  <c r="H45" i="17" s="1"/>
  <c r="H45" i="18" s="1"/>
  <c r="H45" i="19" s="1"/>
  <c r="H45" i="20" s="1"/>
  <c r="H45" i="21" s="1"/>
  <c r="H45" i="22" s="1"/>
  <c r="H45" i="23" s="1"/>
  <c r="H45" i="24" s="1"/>
  <c r="H45" i="25" s="1"/>
  <c r="H45" i="40" s="1"/>
  <c r="H45" i="27" s="1"/>
  <c r="H45" i="28" s="1"/>
  <c r="H45" i="29" s="1"/>
  <c r="H45" i="30" s="1"/>
  <c r="H45" i="43" s="1"/>
  <c r="H45" i="31" s="1"/>
  <c r="G100" i="2"/>
  <c r="H100" i="2" s="1"/>
  <c r="H38" i="2"/>
  <c r="H38" i="3" s="1"/>
  <c r="H38" i="4" s="1"/>
  <c r="H38" i="5" s="1"/>
  <c r="H38" i="33" s="1"/>
  <c r="H38" i="7" s="1"/>
  <c r="H38" i="8" s="1"/>
  <c r="H38" i="9" s="1"/>
  <c r="H38" i="10" s="1"/>
  <c r="H38" i="11" s="1"/>
  <c r="H38" i="12" s="1"/>
  <c r="H38" i="13" s="1"/>
  <c r="H38" i="14" s="1"/>
  <c r="H38" i="15" s="1"/>
  <c r="H38" i="16" s="1"/>
  <c r="H38" i="17" s="1"/>
  <c r="H38" i="18" s="1"/>
  <c r="H38" i="19" s="1"/>
  <c r="H38" i="20" s="1"/>
  <c r="H38" i="21" s="1"/>
  <c r="H38" i="22" s="1"/>
  <c r="H38" i="23" s="1"/>
  <c r="H38" i="24" s="1"/>
  <c r="H38" i="25" s="1"/>
  <c r="H38" i="40" s="1"/>
  <c r="H38" i="27" s="1"/>
  <c r="H38" i="28" s="1"/>
  <c r="H38" i="29" s="1"/>
  <c r="H38" i="30" s="1"/>
  <c r="H38" i="43" s="1"/>
  <c r="H38" i="31" s="1"/>
  <c r="G102" i="3"/>
  <c r="G103" i="3" s="1"/>
  <c r="H40" i="3"/>
  <c r="H40" i="4" s="1"/>
  <c r="H40" i="5" s="1"/>
  <c r="H40" i="33" s="1"/>
  <c r="H40" i="7" s="1"/>
  <c r="H40" i="8" s="1"/>
  <c r="H40" i="9" s="1"/>
  <c r="H40" i="10" s="1"/>
  <c r="H40" i="11" s="1"/>
  <c r="H40" i="12" s="1"/>
  <c r="H40" i="13" s="1"/>
  <c r="H40" i="14" s="1"/>
  <c r="H40" i="15" s="1"/>
  <c r="H40" i="16" s="1"/>
  <c r="H40" i="17" s="1"/>
  <c r="H40" i="18" s="1"/>
  <c r="H40" i="19" s="1"/>
  <c r="H40" i="20" s="1"/>
  <c r="H40" i="21" s="1"/>
  <c r="H40" i="22" s="1"/>
  <c r="H40" i="23" s="1"/>
  <c r="H40" i="24" s="1"/>
  <c r="H40" i="25" s="1"/>
  <c r="H40" i="40" s="1"/>
  <c r="H40" i="27" s="1"/>
  <c r="H40" i="28" s="1"/>
  <c r="H40" i="29" s="1"/>
  <c r="H40" i="30" s="1"/>
  <c r="H40" i="43" s="1"/>
  <c r="H40" i="31" s="1"/>
  <c r="H44" i="3"/>
  <c r="H44" i="4" s="1"/>
  <c r="H44" i="5" s="1"/>
  <c r="H44" i="33" s="1"/>
  <c r="H44" i="7" s="1"/>
  <c r="H44" i="8" s="1"/>
  <c r="H44" i="9" s="1"/>
  <c r="H44" i="10" s="1"/>
  <c r="H44" i="11" s="1"/>
  <c r="H44" i="12" s="1"/>
  <c r="H44" i="13" s="1"/>
  <c r="H44" i="14" s="1"/>
  <c r="H44" i="15" s="1"/>
  <c r="H44" i="16" s="1"/>
  <c r="H44" i="17" s="1"/>
  <c r="H44" i="18" s="1"/>
  <c r="H44" i="19" s="1"/>
  <c r="H44" i="20" s="1"/>
  <c r="H44" i="21" s="1"/>
  <c r="H44" i="22" s="1"/>
  <c r="H44" i="23" s="1"/>
  <c r="H44" i="24" s="1"/>
  <c r="H44" i="25" s="1"/>
  <c r="H44" i="40" s="1"/>
  <c r="H44" i="27" s="1"/>
  <c r="H44" i="28" s="1"/>
  <c r="H44" i="29" s="1"/>
  <c r="H44" i="30" s="1"/>
  <c r="H44" i="43" s="1"/>
  <c r="H44" i="31" s="1"/>
  <c r="G60" i="27"/>
  <c r="G60" i="23"/>
  <c r="G60" i="22"/>
  <c r="G60" i="10"/>
  <c r="G186" i="8"/>
  <c r="G96" i="8"/>
  <c r="G71" i="7"/>
  <c r="G102" i="7"/>
  <c r="G103" i="7" s="1"/>
  <c r="G79" i="33"/>
  <c r="G80" i="33" s="1"/>
  <c r="G71" i="33"/>
  <c r="G186" i="5"/>
  <c r="G96" i="4"/>
  <c r="G97" i="4" s="1"/>
  <c r="G60" i="31"/>
  <c r="G71" i="3"/>
  <c r="G186" i="33"/>
  <c r="G176" i="4"/>
  <c r="G71" i="8"/>
  <c r="G181" i="2"/>
  <c r="H80" i="17"/>
  <c r="G104" i="2"/>
  <c r="H104" i="2" s="1"/>
  <c r="G96" i="2"/>
  <c r="H96" i="2" s="1"/>
  <c r="G79" i="4"/>
  <c r="G181" i="4"/>
  <c r="G189" i="4" s="1"/>
  <c r="G60" i="28"/>
  <c r="G60" i="24"/>
  <c r="G60" i="21"/>
  <c r="H189" i="20"/>
  <c r="G60" i="20"/>
  <c r="G60" i="14"/>
  <c r="G60" i="9"/>
  <c r="G104" i="8"/>
  <c r="G59" i="8"/>
  <c r="G102" i="8"/>
  <c r="G176" i="8"/>
  <c r="G181" i="8"/>
  <c r="G189" i="8" s="1"/>
  <c r="G64" i="8"/>
  <c r="G47" i="8"/>
  <c r="E27" i="7"/>
  <c r="G27" i="7" s="1"/>
  <c r="G104" i="7"/>
  <c r="G96" i="7"/>
  <c r="G59" i="7"/>
  <c r="G176" i="7"/>
  <c r="G181" i="7"/>
  <c r="G189" i="7" s="1"/>
  <c r="G79" i="7"/>
  <c r="G94" i="7"/>
  <c r="G98" i="7"/>
  <c r="G64" i="7"/>
  <c r="G47" i="7"/>
  <c r="E28" i="7"/>
  <c r="G28" i="7" s="1"/>
  <c r="E27" i="33"/>
  <c r="G27" i="33" s="1"/>
  <c r="G100" i="33"/>
  <c r="G104" i="33"/>
  <c r="G96" i="33"/>
  <c r="G64" i="33"/>
  <c r="G59" i="33"/>
  <c r="G102" i="33"/>
  <c r="G176" i="33"/>
  <c r="G181" i="33"/>
  <c r="G189" i="33" s="1"/>
  <c r="E30" i="33"/>
  <c r="G30" i="33" s="1"/>
  <c r="G47" i="33"/>
  <c r="G20" i="33"/>
  <c r="E28" i="33"/>
  <c r="G28" i="33" s="1"/>
  <c r="G64" i="5"/>
  <c r="G98" i="5"/>
  <c r="G94" i="5"/>
  <c r="G59" i="5"/>
  <c r="G176" i="5"/>
  <c r="G181" i="5"/>
  <c r="G189" i="5" s="1"/>
  <c r="G79" i="5"/>
  <c r="E27" i="5"/>
  <c r="G27" i="5" s="1"/>
  <c r="E30" i="5"/>
  <c r="G30" i="5" s="1"/>
  <c r="G104" i="5"/>
  <c r="G20" i="5"/>
  <c r="E28" i="5"/>
  <c r="G28" i="5" s="1"/>
  <c r="G64" i="4"/>
  <c r="E30" i="4"/>
  <c r="G30" i="4" s="1"/>
  <c r="E27" i="4"/>
  <c r="G27" i="4" s="1"/>
  <c r="G59" i="4"/>
  <c r="G71" i="4"/>
  <c r="G186" i="4"/>
  <c r="G47" i="4"/>
  <c r="G20" i="4"/>
  <c r="H20" i="4" s="1"/>
  <c r="G94" i="4"/>
  <c r="G98" i="4"/>
  <c r="E28" i="4"/>
  <c r="G28" i="4" s="1"/>
  <c r="E30" i="3"/>
  <c r="G64" i="3"/>
  <c r="G104" i="3"/>
  <c r="G96" i="3"/>
  <c r="G59" i="3"/>
  <c r="G176" i="3"/>
  <c r="G181" i="3"/>
  <c r="G189" i="3" s="1"/>
  <c r="G79" i="3"/>
  <c r="G94" i="3"/>
  <c r="G98" i="3"/>
  <c r="E31" i="3"/>
  <c r="G47" i="3"/>
  <c r="E28" i="3"/>
  <c r="G28" i="3" s="1"/>
  <c r="G71" i="2"/>
  <c r="H71" i="2" s="1"/>
  <c r="G47" i="2"/>
  <c r="G64" i="2"/>
  <c r="H64" i="2" s="1"/>
  <c r="G94" i="2"/>
  <c r="H94" i="2" s="1"/>
  <c r="G98" i="2"/>
  <c r="H98" i="2" s="1"/>
  <c r="G28" i="2"/>
  <c r="H28" i="2" s="1"/>
  <c r="G178" i="50"/>
  <c r="H178" i="50" s="1"/>
  <c r="J178" i="50" s="1"/>
  <c r="E177" i="50"/>
  <c r="G177" i="50" s="1"/>
  <c r="H177" i="50" s="1"/>
  <c r="J177" i="50" s="1"/>
  <c r="E176" i="50"/>
  <c r="G176" i="50" s="1"/>
  <c r="H176" i="50" s="1"/>
  <c r="J176" i="50" s="1"/>
  <c r="H175" i="50"/>
  <c r="J175" i="50" s="1"/>
  <c r="E173" i="50"/>
  <c r="G173" i="50" s="1"/>
  <c r="H173" i="50" s="1"/>
  <c r="J173" i="50" s="1"/>
  <c r="E172" i="50"/>
  <c r="G172" i="50" s="1"/>
  <c r="H172" i="50" s="1"/>
  <c r="J172" i="50" s="1"/>
  <c r="E171" i="50"/>
  <c r="G171" i="50" s="1"/>
  <c r="H170" i="50"/>
  <c r="E168" i="50"/>
  <c r="G168" i="50" s="1"/>
  <c r="H168" i="50" s="1"/>
  <c r="J168" i="50" s="1"/>
  <c r="E167" i="50"/>
  <c r="G167" i="50" s="1"/>
  <c r="H167" i="50" s="1"/>
  <c r="J167" i="50" s="1"/>
  <c r="E166" i="50"/>
  <c r="G166" i="50" s="1"/>
  <c r="E158" i="50"/>
  <c r="G158" i="50" s="1"/>
  <c r="H158" i="50" s="1"/>
  <c r="J158" i="50" s="1"/>
  <c r="E157" i="50"/>
  <c r="G157" i="50" s="1"/>
  <c r="H157" i="50" s="1"/>
  <c r="J157" i="50" s="1"/>
  <c r="E156" i="50"/>
  <c r="G156" i="50" s="1"/>
  <c r="H156" i="50" s="1"/>
  <c r="J156" i="50" s="1"/>
  <c r="E155" i="50"/>
  <c r="G155" i="50" s="1"/>
  <c r="H155" i="50" s="1"/>
  <c r="J155" i="50" s="1"/>
  <c r="E154" i="50"/>
  <c r="G154" i="50" s="1"/>
  <c r="H154" i="50" s="1"/>
  <c r="J154" i="50" s="1"/>
  <c r="H136" i="50"/>
  <c r="J136" i="50" s="1"/>
  <c r="H135" i="50"/>
  <c r="J135" i="50" s="1"/>
  <c r="E151" i="50"/>
  <c r="G151" i="50" s="1"/>
  <c r="H151" i="50" s="1"/>
  <c r="J151" i="50" s="1"/>
  <c r="E150" i="50"/>
  <c r="G150" i="50" s="1"/>
  <c r="H150" i="50" s="1"/>
  <c r="J150" i="50" s="1"/>
  <c r="E149" i="50"/>
  <c r="G149" i="50" s="1"/>
  <c r="H149" i="50" s="1"/>
  <c r="J149" i="50" s="1"/>
  <c r="E148" i="50"/>
  <c r="G148" i="50" s="1"/>
  <c r="H148" i="50" s="1"/>
  <c r="J148" i="50" s="1"/>
  <c r="E147" i="50"/>
  <c r="G147" i="50" s="1"/>
  <c r="H147" i="50" s="1"/>
  <c r="J147" i="50" s="1"/>
  <c r="E146" i="50"/>
  <c r="G146" i="50" s="1"/>
  <c r="H146" i="50" s="1"/>
  <c r="J146" i="50" s="1"/>
  <c r="E145" i="50"/>
  <c r="G145" i="50" s="1"/>
  <c r="H145" i="50" s="1"/>
  <c r="J145" i="50" s="1"/>
  <c r="E144" i="50"/>
  <c r="G144" i="50" s="1"/>
  <c r="H144" i="50" s="1"/>
  <c r="J144" i="50" s="1"/>
  <c r="E143" i="50"/>
  <c r="G143" i="50" s="1"/>
  <c r="H143" i="50" s="1"/>
  <c r="J143" i="50" s="1"/>
  <c r="E142" i="50"/>
  <c r="G142" i="50" s="1"/>
  <c r="H142" i="50" s="1"/>
  <c r="J142" i="50" s="1"/>
  <c r="E141" i="50"/>
  <c r="G141" i="50" s="1"/>
  <c r="H141" i="50" s="1"/>
  <c r="J141" i="50" s="1"/>
  <c r="E140" i="50"/>
  <c r="G140" i="50" s="1"/>
  <c r="H140" i="50" s="1"/>
  <c r="J140" i="50" s="1"/>
  <c r="E139" i="50"/>
  <c r="G139" i="50" s="1"/>
  <c r="H139" i="50" s="1"/>
  <c r="J139" i="50" s="1"/>
  <c r="E134" i="50"/>
  <c r="G134" i="50" s="1"/>
  <c r="H134" i="50" s="1"/>
  <c r="J134" i="50" s="1"/>
  <c r="E133" i="50"/>
  <c r="G133" i="50" s="1"/>
  <c r="E132" i="50"/>
  <c r="G132" i="50" s="1"/>
  <c r="E131" i="50"/>
  <c r="G131" i="50" s="1"/>
  <c r="E130" i="50"/>
  <c r="G130" i="50" s="1"/>
  <c r="E129" i="50"/>
  <c r="G129" i="50" s="1"/>
  <c r="G118" i="50"/>
  <c r="G116" i="50"/>
  <c r="H116" i="50" s="1"/>
  <c r="J116" i="50" s="1"/>
  <c r="G115" i="50"/>
  <c r="H115" i="50" s="1"/>
  <c r="J115" i="50" s="1"/>
  <c r="G114" i="50"/>
  <c r="H114" i="50" s="1"/>
  <c r="J114" i="50" s="1"/>
  <c r="G113" i="50"/>
  <c r="H113" i="50" s="1"/>
  <c r="J113" i="50" s="1"/>
  <c r="E93" i="50"/>
  <c r="G93" i="50" s="1"/>
  <c r="E92" i="50"/>
  <c r="G92" i="50" s="1"/>
  <c r="E91" i="50"/>
  <c r="G91" i="50" s="1"/>
  <c r="E90" i="50"/>
  <c r="G90" i="50" s="1"/>
  <c r="E89" i="50"/>
  <c r="G89" i="50" s="1"/>
  <c r="E88" i="50"/>
  <c r="G88" i="50" s="1"/>
  <c r="E87" i="50"/>
  <c r="G87" i="50" s="1"/>
  <c r="E86" i="50"/>
  <c r="G86" i="50" s="1"/>
  <c r="E85" i="50"/>
  <c r="G85" i="50" s="1"/>
  <c r="E84" i="50"/>
  <c r="G84" i="50" s="1"/>
  <c r="E83" i="50"/>
  <c r="G83" i="50" s="1"/>
  <c r="E79" i="50"/>
  <c r="G79" i="50" s="1"/>
  <c r="E78" i="50"/>
  <c r="G78" i="50" s="1"/>
  <c r="E77" i="50"/>
  <c r="G77" i="50" s="1"/>
  <c r="E76" i="50"/>
  <c r="G76" i="50" s="1"/>
  <c r="E75" i="50"/>
  <c r="G75" i="50" s="1"/>
  <c r="E71" i="50"/>
  <c r="G71" i="50" s="1"/>
  <c r="E70" i="50"/>
  <c r="G70" i="50" s="1"/>
  <c r="E69" i="50"/>
  <c r="G69" i="50" s="1"/>
  <c r="E68" i="50"/>
  <c r="G68" i="50" s="1"/>
  <c r="E67" i="50"/>
  <c r="G67" i="50" s="1"/>
  <c r="E66" i="50"/>
  <c r="G66" i="50" s="1"/>
  <c r="E64" i="50"/>
  <c r="G64" i="50" s="1"/>
  <c r="E63" i="50"/>
  <c r="G63" i="50" s="1"/>
  <c r="G123" i="50"/>
  <c r="G121" i="50"/>
  <c r="G119" i="50"/>
  <c r="E59" i="50"/>
  <c r="G59" i="50" s="1"/>
  <c r="E58" i="50"/>
  <c r="G58" i="50" s="1"/>
  <c r="E57" i="50"/>
  <c r="G57" i="50" s="1"/>
  <c r="E56" i="50"/>
  <c r="G56" i="50" s="1"/>
  <c r="E55" i="50"/>
  <c r="G55" i="50" s="1"/>
  <c r="E54" i="50"/>
  <c r="G54" i="50" s="1"/>
  <c r="E53" i="50"/>
  <c r="G53" i="50" s="1"/>
  <c r="E52" i="50"/>
  <c r="G52" i="50" s="1"/>
  <c r="E51" i="50"/>
  <c r="G51" i="50" s="1"/>
  <c r="E50" i="50"/>
  <c r="G50" i="50" s="1"/>
  <c r="G47" i="50"/>
  <c r="G46" i="50"/>
  <c r="G45" i="50"/>
  <c r="G44" i="50"/>
  <c r="G43" i="50"/>
  <c r="G42" i="50"/>
  <c r="G41" i="50"/>
  <c r="G40" i="50"/>
  <c r="G39" i="50"/>
  <c r="G38" i="50"/>
  <c r="G37" i="50"/>
  <c r="G36" i="50"/>
  <c r="E30" i="50"/>
  <c r="G30" i="50" s="1"/>
  <c r="E25" i="50"/>
  <c r="E24" i="50"/>
  <c r="E23" i="50"/>
  <c r="G23" i="50" s="1"/>
  <c r="G19" i="50"/>
  <c r="E19" i="50"/>
  <c r="G16" i="50"/>
  <c r="K9" i="50"/>
  <c r="M8" i="50"/>
  <c r="H10" i="17" l="1"/>
  <c r="G32" i="2"/>
  <c r="H32" i="2" s="1"/>
  <c r="H112" i="3"/>
  <c r="J112" i="3" s="1"/>
  <c r="H70" i="27"/>
  <c r="H70" i="28" s="1"/>
  <c r="H70" i="29" s="1"/>
  <c r="H70" i="30" s="1"/>
  <c r="H70" i="43" s="1"/>
  <c r="J70" i="40"/>
  <c r="H67" i="28"/>
  <c r="H67" i="29" s="1"/>
  <c r="H67" i="30" s="1"/>
  <c r="H67" i="43" s="1"/>
  <c r="H66" i="28"/>
  <c r="H66" i="29" s="1"/>
  <c r="H66" i="30" s="1"/>
  <c r="H66" i="43" s="1"/>
  <c r="H69" i="28"/>
  <c r="H69" i="29" s="1"/>
  <c r="H69" i="30" s="1"/>
  <c r="H69" i="43" s="1"/>
  <c r="H63" i="28"/>
  <c r="H63" i="29" s="1"/>
  <c r="H63" i="30" s="1"/>
  <c r="H63" i="43" s="1"/>
  <c r="H65" i="28"/>
  <c r="H65" i="29" s="1"/>
  <c r="H65" i="30" s="1"/>
  <c r="H65" i="43" s="1"/>
  <c r="H68" i="28"/>
  <c r="H68" i="29" s="1"/>
  <c r="H68" i="30" s="1"/>
  <c r="H68" i="43" s="1"/>
  <c r="H68" i="31" s="1"/>
  <c r="J68" i="31" s="1"/>
  <c r="AZ5" i="44"/>
  <c r="H19" i="7"/>
  <c r="AZ11" i="44"/>
  <c r="E28" i="8"/>
  <c r="G28" i="8" s="1"/>
  <c r="H15" i="8"/>
  <c r="H47" i="2"/>
  <c r="H47" i="3" s="1"/>
  <c r="H47" i="4" s="1"/>
  <c r="H47" i="5" s="1"/>
  <c r="H47" i="33" s="1"/>
  <c r="H47" i="7" s="1"/>
  <c r="H47" i="8" s="1"/>
  <c r="H47" i="9" s="1"/>
  <c r="H47" i="10" s="1"/>
  <c r="H47" i="11" s="1"/>
  <c r="H47" i="12" s="1"/>
  <c r="H47" i="13" s="1"/>
  <c r="H47" i="14" s="1"/>
  <c r="H47" i="15" s="1"/>
  <c r="H47" i="16" s="1"/>
  <c r="H47" i="17" s="1"/>
  <c r="H47" i="18" s="1"/>
  <c r="H47" i="19" s="1"/>
  <c r="H47" i="20" s="1"/>
  <c r="H47" i="21" s="1"/>
  <c r="H47" i="22" s="1"/>
  <c r="H47" i="23" s="1"/>
  <c r="H47" i="24" s="1"/>
  <c r="H47" i="25" s="1"/>
  <c r="H47" i="40" s="1"/>
  <c r="H47" i="27" s="1"/>
  <c r="H47" i="28" s="1"/>
  <c r="H47" i="29" s="1"/>
  <c r="H47" i="30" s="1"/>
  <c r="H47" i="43" s="1"/>
  <c r="H47" i="31" s="1"/>
  <c r="G60" i="2"/>
  <c r="H60" i="2" s="1"/>
  <c r="G60" i="4"/>
  <c r="H9" i="7"/>
  <c r="H9" i="8" s="1"/>
  <c r="E15" i="9"/>
  <c r="H8" i="8"/>
  <c r="G187" i="7"/>
  <c r="G20" i="7"/>
  <c r="E19" i="8"/>
  <c r="G99" i="8"/>
  <c r="G97" i="8"/>
  <c r="G101" i="8"/>
  <c r="H7" i="8"/>
  <c r="G95" i="8"/>
  <c r="E8" i="9"/>
  <c r="G10" i="18"/>
  <c r="E9" i="9"/>
  <c r="AM37" i="44"/>
  <c r="H183" i="3"/>
  <c r="J183" i="3" s="1"/>
  <c r="N37" i="44"/>
  <c r="AW37" i="44"/>
  <c r="AX36" i="44"/>
  <c r="H74" i="30"/>
  <c r="H74" i="43" s="1"/>
  <c r="AO36" i="44"/>
  <c r="AV36" i="44"/>
  <c r="AV37" i="44"/>
  <c r="AO37" i="44"/>
  <c r="AM36" i="44"/>
  <c r="N36" i="44"/>
  <c r="AE36" i="44"/>
  <c r="AE37" i="44"/>
  <c r="AP37" i="44"/>
  <c r="AP36" i="44"/>
  <c r="AI37" i="44"/>
  <c r="AI36" i="44"/>
  <c r="AW36" i="44"/>
  <c r="AK36" i="44"/>
  <c r="AK37" i="44"/>
  <c r="AA36" i="44"/>
  <c r="AA37" i="44"/>
  <c r="AX37" i="44"/>
  <c r="AS37" i="44"/>
  <c r="AS36" i="44"/>
  <c r="AR37" i="44"/>
  <c r="AR36" i="44"/>
  <c r="AQ36" i="44"/>
  <c r="AQ37" i="44"/>
  <c r="AG36" i="44"/>
  <c r="AG37" i="44"/>
  <c r="I135" i="33"/>
  <c r="H153" i="2"/>
  <c r="I153" i="2"/>
  <c r="I135" i="2"/>
  <c r="H135" i="2"/>
  <c r="J135" i="2" s="1"/>
  <c r="I135" i="3"/>
  <c r="H178" i="3"/>
  <c r="H178" i="4" s="1"/>
  <c r="H122" i="3"/>
  <c r="J122" i="3" s="1"/>
  <c r="J127" i="7"/>
  <c r="H181" i="2"/>
  <c r="J181" i="2" s="1"/>
  <c r="G189" i="2"/>
  <c r="H189" i="2" s="1"/>
  <c r="J189" i="2" s="1"/>
  <c r="G60" i="5"/>
  <c r="I59" i="5" s="1"/>
  <c r="G30" i="3"/>
  <c r="H30" i="3" s="1"/>
  <c r="H30" i="4" s="1"/>
  <c r="H30" i="5" s="1"/>
  <c r="H30" i="33" s="1"/>
  <c r="H30" i="7" s="1"/>
  <c r="H118" i="3"/>
  <c r="J118" i="3" s="1"/>
  <c r="G31" i="3"/>
  <c r="H31" i="3" s="1"/>
  <c r="H31" i="4" s="1"/>
  <c r="H31" i="5" s="1"/>
  <c r="H31" i="33" s="1"/>
  <c r="H31" i="7" s="1"/>
  <c r="H31" i="8" s="1"/>
  <c r="H31" i="9" s="1"/>
  <c r="H31" i="10" s="1"/>
  <c r="H31" i="11" s="1"/>
  <c r="H31" i="12" s="1"/>
  <c r="H31" i="13" s="1"/>
  <c r="H31" i="14" s="1"/>
  <c r="H31" i="15" s="1"/>
  <c r="H31" i="16" s="1"/>
  <c r="H31" i="17" s="1"/>
  <c r="H31" i="18" s="1"/>
  <c r="H31" i="19" s="1"/>
  <c r="H31" i="20" s="1"/>
  <c r="H31" i="21" s="1"/>
  <c r="H31" i="22" s="1"/>
  <c r="H31" i="23" s="1"/>
  <c r="H31" i="24" s="1"/>
  <c r="H31" i="25" s="1"/>
  <c r="H31" i="40" s="1"/>
  <c r="H31" i="27" s="1"/>
  <c r="H31" i="28" s="1"/>
  <c r="H31" i="29" s="1"/>
  <c r="H31" i="30" s="1"/>
  <c r="H31" i="43" s="1"/>
  <c r="H31" i="31" s="1"/>
  <c r="H120" i="3"/>
  <c r="H120" i="4" s="1"/>
  <c r="J155" i="11"/>
  <c r="H155" i="12"/>
  <c r="J156" i="11"/>
  <c r="H156" i="12"/>
  <c r="H131" i="3"/>
  <c r="J131" i="3" s="1"/>
  <c r="H117" i="3"/>
  <c r="H117" i="4" s="1"/>
  <c r="H121" i="3"/>
  <c r="J121" i="3" s="1"/>
  <c r="G97" i="2"/>
  <c r="H97" i="2" s="1"/>
  <c r="H96" i="3"/>
  <c r="H96" i="4" s="1"/>
  <c r="H96" i="5" s="1"/>
  <c r="H96" i="33" s="1"/>
  <c r="H96" i="7" s="1"/>
  <c r="H96" i="8" s="1"/>
  <c r="H96" i="9" s="1"/>
  <c r="H96" i="10" s="1"/>
  <c r="H96" i="11" s="1"/>
  <c r="H96" i="12" s="1"/>
  <c r="H96" i="13" s="1"/>
  <c r="H96" i="14" s="1"/>
  <c r="H96" i="15" s="1"/>
  <c r="H96" i="16" s="1"/>
  <c r="H96" i="17" s="1"/>
  <c r="H96" i="18" s="1"/>
  <c r="H96" i="19" s="1"/>
  <c r="H96" i="20" s="1"/>
  <c r="H96" i="21" s="1"/>
  <c r="H96" i="22" s="1"/>
  <c r="H96" i="23" s="1"/>
  <c r="H96" i="24" s="1"/>
  <c r="H96" i="25" s="1"/>
  <c r="H96" i="40" s="1"/>
  <c r="H96" i="27" s="1"/>
  <c r="H96" i="28" s="1"/>
  <c r="H96" i="29" s="1"/>
  <c r="H96" i="30" s="1"/>
  <c r="H96" i="43" s="1"/>
  <c r="J96" i="43" s="1"/>
  <c r="H119" i="3"/>
  <c r="H119" i="4" s="1"/>
  <c r="H28" i="3"/>
  <c r="H28" i="4" s="1"/>
  <c r="H28" i="5" s="1"/>
  <c r="H28" i="33" s="1"/>
  <c r="H28" i="7" s="1"/>
  <c r="G105" i="2"/>
  <c r="H105" i="2" s="1"/>
  <c r="H161" i="3"/>
  <c r="J161" i="3" s="1"/>
  <c r="J148" i="2"/>
  <c r="H148" i="3"/>
  <c r="H148" i="4" s="1"/>
  <c r="J143" i="2"/>
  <c r="H143" i="3"/>
  <c r="H143" i="4" s="1"/>
  <c r="J147" i="2"/>
  <c r="H147" i="3"/>
  <c r="H147" i="4" s="1"/>
  <c r="H129" i="3"/>
  <c r="J129" i="3" s="1"/>
  <c r="J129" i="2"/>
  <c r="H116" i="3"/>
  <c r="J116" i="3" s="1"/>
  <c r="J144" i="2"/>
  <c r="H144" i="3"/>
  <c r="H144" i="4" s="1"/>
  <c r="H139" i="3"/>
  <c r="H139" i="4" s="1"/>
  <c r="J139" i="2"/>
  <c r="H128" i="3"/>
  <c r="J128" i="3" s="1"/>
  <c r="H133" i="3"/>
  <c r="H133" i="4" s="1"/>
  <c r="J133" i="2"/>
  <c r="J152" i="7"/>
  <c r="H152" i="8"/>
  <c r="H115" i="3"/>
  <c r="J115" i="3" s="1"/>
  <c r="J115" i="2"/>
  <c r="J150" i="2"/>
  <c r="H150" i="3"/>
  <c r="H150" i="4" s="1"/>
  <c r="H173" i="3"/>
  <c r="H173" i="4" s="1"/>
  <c r="J173" i="2"/>
  <c r="H140" i="3"/>
  <c r="J140" i="3" s="1"/>
  <c r="J140" i="2"/>
  <c r="H164" i="3"/>
  <c r="H164" i="4" s="1"/>
  <c r="J164" i="2"/>
  <c r="H184" i="3"/>
  <c r="J184" i="3" s="1"/>
  <c r="J184" i="2"/>
  <c r="J151" i="5"/>
  <c r="H151" i="33"/>
  <c r="G105" i="50"/>
  <c r="J146" i="2"/>
  <c r="H146" i="3"/>
  <c r="H146" i="4" s="1"/>
  <c r="J145" i="2"/>
  <c r="H145" i="3"/>
  <c r="H145" i="4" s="1"/>
  <c r="J134" i="7"/>
  <c r="H134" i="8"/>
  <c r="H138" i="3"/>
  <c r="J138" i="3" s="1"/>
  <c r="J138" i="2"/>
  <c r="H162" i="3"/>
  <c r="J162" i="3" s="1"/>
  <c r="J162" i="2"/>
  <c r="H174" i="3"/>
  <c r="H174" i="4" s="1"/>
  <c r="J174" i="2"/>
  <c r="H130" i="3"/>
  <c r="H130" i="4" s="1"/>
  <c r="J130" i="2"/>
  <c r="H123" i="3"/>
  <c r="H123" i="4" s="1"/>
  <c r="H142" i="3"/>
  <c r="J142" i="3" s="1"/>
  <c r="J149" i="2"/>
  <c r="H149" i="3"/>
  <c r="H149" i="4" s="1"/>
  <c r="G101" i="2"/>
  <c r="H101" i="2" s="1"/>
  <c r="H101" i="3" s="1"/>
  <c r="H101" i="4" s="1"/>
  <c r="H101" i="5" s="1"/>
  <c r="G103" i="2"/>
  <c r="H103" i="2" s="1"/>
  <c r="H103" i="3" s="1"/>
  <c r="H103" i="4" s="1"/>
  <c r="H103" i="5" s="1"/>
  <c r="H104" i="3"/>
  <c r="H104" i="4" s="1"/>
  <c r="H104" i="5" s="1"/>
  <c r="H104" i="33" s="1"/>
  <c r="H104" i="7" s="1"/>
  <c r="H104" i="8" s="1"/>
  <c r="H104" i="9" s="1"/>
  <c r="H104" i="10" s="1"/>
  <c r="H104" i="11" s="1"/>
  <c r="H104" i="12" s="1"/>
  <c r="H104" i="13" s="1"/>
  <c r="H104" i="14" s="1"/>
  <c r="H104" i="15" s="1"/>
  <c r="H104" i="16" s="1"/>
  <c r="H104" i="17" s="1"/>
  <c r="H104" i="18" s="1"/>
  <c r="H104" i="19" s="1"/>
  <c r="H104" i="20" s="1"/>
  <c r="H104" i="21" s="1"/>
  <c r="H104" i="22" s="1"/>
  <c r="H104" i="23" s="1"/>
  <c r="H104" i="24" s="1"/>
  <c r="H104" i="25" s="1"/>
  <c r="H104" i="40" s="1"/>
  <c r="H104" i="27" s="1"/>
  <c r="H104" i="28" s="1"/>
  <c r="H104" i="29" s="1"/>
  <c r="J189" i="20"/>
  <c r="H189" i="21"/>
  <c r="H20" i="5"/>
  <c r="H20" i="33" s="1"/>
  <c r="J77" i="43"/>
  <c r="J78" i="43"/>
  <c r="H141" i="3"/>
  <c r="J141" i="3" s="1"/>
  <c r="H179" i="3"/>
  <c r="H179" i="4" s="1"/>
  <c r="H180" i="3"/>
  <c r="J180" i="3" s="1"/>
  <c r="H168" i="12"/>
  <c r="J168" i="11"/>
  <c r="J166" i="11"/>
  <c r="H166" i="12"/>
  <c r="H132" i="4"/>
  <c r="J132" i="3"/>
  <c r="H182" i="9"/>
  <c r="J182" i="8"/>
  <c r="H79" i="3"/>
  <c r="H79" i="4" s="1"/>
  <c r="H79" i="5" s="1"/>
  <c r="H79" i="33" s="1"/>
  <c r="H79" i="7" s="1"/>
  <c r="H79" i="8" s="1"/>
  <c r="H167" i="12"/>
  <c r="J167" i="11"/>
  <c r="J177" i="8"/>
  <c r="H177" i="9"/>
  <c r="H127" i="9"/>
  <c r="J127" i="8"/>
  <c r="G80" i="2"/>
  <c r="H94" i="3"/>
  <c r="H94" i="4" s="1"/>
  <c r="H94" i="5" s="1"/>
  <c r="H94" i="33" s="1"/>
  <c r="H94" i="7" s="1"/>
  <c r="H94" i="8" s="1"/>
  <c r="H94" i="9" s="1"/>
  <c r="H94" i="10" s="1"/>
  <c r="H94" i="11" s="1"/>
  <c r="H94" i="12" s="1"/>
  <c r="H94" i="13" s="1"/>
  <c r="H94" i="14" s="1"/>
  <c r="H94" i="15" s="1"/>
  <c r="H94" i="16" s="1"/>
  <c r="H94" i="17" s="1"/>
  <c r="H94" i="18" s="1"/>
  <c r="H94" i="19" s="1"/>
  <c r="H94" i="20" s="1"/>
  <c r="H94" i="21" s="1"/>
  <c r="H94" i="22" s="1"/>
  <c r="H94" i="23" s="1"/>
  <c r="H94" i="24" s="1"/>
  <c r="H94" i="25" s="1"/>
  <c r="H94" i="40" s="1"/>
  <c r="H94" i="27" s="1"/>
  <c r="H94" i="28" s="1"/>
  <c r="H94" i="29" s="1"/>
  <c r="H94" i="30" s="1"/>
  <c r="H94" i="43" s="1"/>
  <c r="H94" i="31" s="1"/>
  <c r="J94" i="31" s="1"/>
  <c r="H59" i="3"/>
  <c r="H59" i="4" s="1"/>
  <c r="H59" i="5" s="1"/>
  <c r="H59" i="33" s="1"/>
  <c r="H59" i="7" s="1"/>
  <c r="H59" i="8" s="1"/>
  <c r="H59" i="9" s="1"/>
  <c r="H59" i="10" s="1"/>
  <c r="H59" i="11" s="1"/>
  <c r="H59" i="12" s="1"/>
  <c r="H59" i="13" s="1"/>
  <c r="H59" i="14" s="1"/>
  <c r="H59" i="15" s="1"/>
  <c r="H59" i="16" s="1"/>
  <c r="H59" i="17" s="1"/>
  <c r="H59" i="18" s="1"/>
  <c r="H59" i="19" s="1"/>
  <c r="H59" i="20" s="1"/>
  <c r="H59" i="21" s="1"/>
  <c r="H59" i="22" s="1"/>
  <c r="H59" i="23" s="1"/>
  <c r="H59" i="24" s="1"/>
  <c r="H59" i="25" s="1"/>
  <c r="H59" i="40" s="1"/>
  <c r="H59" i="27" s="1"/>
  <c r="H59" i="28" s="1"/>
  <c r="H59" i="29" s="1"/>
  <c r="H59" i="30" s="1"/>
  <c r="H59" i="43" s="1"/>
  <c r="H59" i="31" s="1"/>
  <c r="H165" i="3"/>
  <c r="J165" i="3" s="1"/>
  <c r="H176" i="2"/>
  <c r="J176" i="2" s="1"/>
  <c r="H186" i="2"/>
  <c r="H185" i="4"/>
  <c r="J185" i="3"/>
  <c r="H175" i="3"/>
  <c r="H188" i="2"/>
  <c r="H187" i="2"/>
  <c r="J187" i="2" s="1"/>
  <c r="H163" i="3"/>
  <c r="H113" i="3"/>
  <c r="J114" i="3"/>
  <c r="H114" i="4"/>
  <c r="H86" i="31"/>
  <c r="J86" i="31" s="1"/>
  <c r="J86" i="43"/>
  <c r="H92" i="31"/>
  <c r="J92" i="31" s="1"/>
  <c r="J92" i="43"/>
  <c r="J85" i="43"/>
  <c r="H85" i="31"/>
  <c r="J85" i="31" s="1"/>
  <c r="H90" i="31"/>
  <c r="J90" i="31" s="1"/>
  <c r="J90" i="43"/>
  <c r="J89" i="43"/>
  <c r="H89" i="31"/>
  <c r="J89" i="31" s="1"/>
  <c r="J87" i="43"/>
  <c r="H87" i="31"/>
  <c r="J87" i="31" s="1"/>
  <c r="H84" i="31"/>
  <c r="J84" i="31" s="1"/>
  <c r="J84" i="43"/>
  <c r="H91" i="31"/>
  <c r="J91" i="31" s="1"/>
  <c r="J91" i="43"/>
  <c r="J88" i="43"/>
  <c r="H88" i="31"/>
  <c r="J88" i="31" s="1"/>
  <c r="H75" i="31"/>
  <c r="J75" i="31" s="1"/>
  <c r="J75" i="43"/>
  <c r="H76" i="31"/>
  <c r="J76" i="31" s="1"/>
  <c r="J76" i="43"/>
  <c r="J62" i="43"/>
  <c r="H62" i="31"/>
  <c r="J62" i="31" s="1"/>
  <c r="H64" i="3"/>
  <c r="H64" i="4" s="1"/>
  <c r="H64" i="5" s="1"/>
  <c r="H64" i="33" s="1"/>
  <c r="H64" i="7" s="1"/>
  <c r="H64" i="8" s="1"/>
  <c r="H64" i="9" s="1"/>
  <c r="H64" i="10" s="1"/>
  <c r="H64" i="11" s="1"/>
  <c r="H64" i="12" s="1"/>
  <c r="H64" i="13" s="1"/>
  <c r="H64" i="14" s="1"/>
  <c r="H64" i="15" s="1"/>
  <c r="H64" i="16" s="1"/>
  <c r="H64" i="17" s="1"/>
  <c r="H64" i="18" s="1"/>
  <c r="H64" i="19" s="1"/>
  <c r="H64" i="20" s="1"/>
  <c r="H64" i="21" s="1"/>
  <c r="H64" i="22" s="1"/>
  <c r="H64" i="23" s="1"/>
  <c r="H64" i="24" s="1"/>
  <c r="H64" i="25" s="1"/>
  <c r="H64" i="40" s="1"/>
  <c r="H64" i="27" s="1"/>
  <c r="H71" i="3"/>
  <c r="H71" i="4" s="1"/>
  <c r="H71" i="5" s="1"/>
  <c r="H71" i="33" s="1"/>
  <c r="H71" i="7" s="1"/>
  <c r="H71" i="8" s="1"/>
  <c r="H71" i="9" s="1"/>
  <c r="H71" i="10" s="1"/>
  <c r="H71" i="11" s="1"/>
  <c r="H71" i="12" s="1"/>
  <c r="H71" i="13" s="1"/>
  <c r="H71" i="14" s="1"/>
  <c r="H71" i="15" s="1"/>
  <c r="H71" i="16" s="1"/>
  <c r="H71" i="17" s="1"/>
  <c r="H71" i="18" s="1"/>
  <c r="H71" i="19" s="1"/>
  <c r="H71" i="20" s="1"/>
  <c r="H71" i="21" s="1"/>
  <c r="H71" i="22" s="1"/>
  <c r="H71" i="23" s="1"/>
  <c r="H71" i="24" s="1"/>
  <c r="H71" i="25" s="1"/>
  <c r="H71" i="40" s="1"/>
  <c r="H71" i="27" s="1"/>
  <c r="H102" i="3"/>
  <c r="H102" i="4" s="1"/>
  <c r="H102" i="5" s="1"/>
  <c r="H102" i="33" s="1"/>
  <c r="H102" i="7" s="1"/>
  <c r="H102" i="8" s="1"/>
  <c r="H102" i="9" s="1"/>
  <c r="H102" i="10" s="1"/>
  <c r="H102" i="11" s="1"/>
  <c r="H102" i="12" s="1"/>
  <c r="H102" i="13" s="1"/>
  <c r="H102" i="14" s="1"/>
  <c r="H102" i="15" s="1"/>
  <c r="H102" i="16" s="1"/>
  <c r="H102" i="17" s="1"/>
  <c r="H102" i="18" s="1"/>
  <c r="H102" i="19" s="1"/>
  <c r="H102" i="20" s="1"/>
  <c r="H102" i="21" s="1"/>
  <c r="H102" i="22" s="1"/>
  <c r="H102" i="23" s="1"/>
  <c r="H102" i="24" s="1"/>
  <c r="H102" i="25" s="1"/>
  <c r="H102" i="40" s="1"/>
  <c r="H102" i="27" s="1"/>
  <c r="H102" i="28" s="1"/>
  <c r="H102" i="29" s="1"/>
  <c r="H102" i="30" s="1"/>
  <c r="H102" i="43" s="1"/>
  <c r="J102" i="43" s="1"/>
  <c r="H98" i="3"/>
  <c r="H98" i="4" s="1"/>
  <c r="H98" i="5" s="1"/>
  <c r="H98" i="33" s="1"/>
  <c r="H98" i="7" s="1"/>
  <c r="H98" i="8" s="1"/>
  <c r="H98" i="9" s="1"/>
  <c r="H98" i="10" s="1"/>
  <c r="H98" i="11" s="1"/>
  <c r="H98" i="12" s="1"/>
  <c r="H98" i="13" s="1"/>
  <c r="H98" i="14" s="1"/>
  <c r="H98" i="15" s="1"/>
  <c r="H98" i="16" s="1"/>
  <c r="H98" i="17" s="1"/>
  <c r="H98" i="18" s="1"/>
  <c r="H98" i="19" s="1"/>
  <c r="H98" i="20" s="1"/>
  <c r="H98" i="21" s="1"/>
  <c r="H98" i="22" s="1"/>
  <c r="H98" i="23" s="1"/>
  <c r="H98" i="24" s="1"/>
  <c r="H98" i="25" s="1"/>
  <c r="H98" i="40" s="1"/>
  <c r="H98" i="27" s="1"/>
  <c r="H98" i="28" s="1"/>
  <c r="H98" i="29" s="1"/>
  <c r="H98" i="30" s="1"/>
  <c r="H98" i="43" s="1"/>
  <c r="H98" i="31" s="1"/>
  <c r="J98" i="31" s="1"/>
  <c r="H100" i="3"/>
  <c r="H100" i="4" s="1"/>
  <c r="H100" i="5" s="1"/>
  <c r="H100" i="33" s="1"/>
  <c r="H100" i="7" s="1"/>
  <c r="H100" i="8" s="1"/>
  <c r="H100" i="9" s="1"/>
  <c r="H100" i="10" s="1"/>
  <c r="H100" i="11" s="1"/>
  <c r="H100" i="12" s="1"/>
  <c r="H100" i="13" s="1"/>
  <c r="H100" i="14" s="1"/>
  <c r="H100" i="15" s="1"/>
  <c r="H100" i="16" s="1"/>
  <c r="H100" i="17" s="1"/>
  <c r="H100" i="18" s="1"/>
  <c r="H100" i="19" s="1"/>
  <c r="H100" i="20" s="1"/>
  <c r="H100" i="21" s="1"/>
  <c r="H100" i="22" s="1"/>
  <c r="H100" i="23" s="1"/>
  <c r="H100" i="24" s="1"/>
  <c r="H100" i="25" s="1"/>
  <c r="H100" i="40" s="1"/>
  <c r="H100" i="27" s="1"/>
  <c r="H100" i="28" s="1"/>
  <c r="H100" i="29" s="1"/>
  <c r="H100" i="30" s="1"/>
  <c r="H100" i="43" s="1"/>
  <c r="G80" i="8"/>
  <c r="H80" i="8" s="1"/>
  <c r="G80" i="4"/>
  <c r="G80" i="3"/>
  <c r="H80" i="3" s="1"/>
  <c r="G80" i="7"/>
  <c r="G60" i="8"/>
  <c r="G105" i="8"/>
  <c r="G103" i="8"/>
  <c r="G95" i="7"/>
  <c r="G99" i="7"/>
  <c r="G32" i="7"/>
  <c r="G60" i="7"/>
  <c r="G105" i="7"/>
  <c r="G97" i="7"/>
  <c r="G105" i="33"/>
  <c r="G101" i="33"/>
  <c r="G32" i="33"/>
  <c r="G60" i="33"/>
  <c r="G97" i="33"/>
  <c r="G103" i="33"/>
  <c r="G105" i="5"/>
  <c r="G95" i="5"/>
  <c r="G99" i="5"/>
  <c r="G32" i="5"/>
  <c r="G80" i="5"/>
  <c r="G99" i="4"/>
  <c r="G32" i="4"/>
  <c r="G95" i="4"/>
  <c r="G97" i="3"/>
  <c r="G95" i="3"/>
  <c r="G99" i="3"/>
  <c r="G60" i="3"/>
  <c r="G105" i="3"/>
  <c r="G95" i="2"/>
  <c r="H95" i="2" s="1"/>
  <c r="G99" i="2"/>
  <c r="H99" i="2" s="1"/>
  <c r="G181" i="50"/>
  <c r="H181" i="50" s="1"/>
  <c r="J181" i="50" s="1"/>
  <c r="G180" i="50"/>
  <c r="H180" i="50" s="1"/>
  <c r="J180" i="50" s="1"/>
  <c r="H166" i="50"/>
  <c r="J166" i="50" s="1"/>
  <c r="G169" i="50"/>
  <c r="H169" i="50" s="1"/>
  <c r="J169" i="50" s="1"/>
  <c r="H171" i="50"/>
  <c r="J171" i="50" s="1"/>
  <c r="G174" i="50"/>
  <c r="G179" i="50"/>
  <c r="H179" i="50" s="1"/>
  <c r="J179" i="50" s="1"/>
  <c r="G95" i="50"/>
  <c r="I86" i="50"/>
  <c r="G99" i="50"/>
  <c r="G80" i="50"/>
  <c r="G97" i="50"/>
  <c r="E32" i="50"/>
  <c r="G32" i="50" s="1"/>
  <c r="G103" i="50"/>
  <c r="G101" i="50"/>
  <c r="G117" i="50"/>
  <c r="G72" i="50"/>
  <c r="G122" i="50"/>
  <c r="I89" i="50"/>
  <c r="G120" i="50"/>
  <c r="G124" i="50"/>
  <c r="G60" i="50"/>
  <c r="G65" i="50"/>
  <c r="E29" i="50"/>
  <c r="G29" i="50" s="1"/>
  <c r="I91" i="50"/>
  <c r="G48" i="50"/>
  <c r="H10" i="18" l="1"/>
  <c r="G15" i="9"/>
  <c r="H28" i="8"/>
  <c r="H112" i="4"/>
  <c r="J112" i="4" s="1"/>
  <c r="H69" i="31"/>
  <c r="J69" i="31" s="1"/>
  <c r="J69" i="43"/>
  <c r="H66" i="31"/>
  <c r="J66" i="31" s="1"/>
  <c r="J66" i="43"/>
  <c r="H67" i="31"/>
  <c r="J67" i="31" s="1"/>
  <c r="J67" i="43"/>
  <c r="H70" i="31"/>
  <c r="J70" i="31" s="1"/>
  <c r="J70" i="43"/>
  <c r="H65" i="31"/>
  <c r="J65" i="31" s="1"/>
  <c r="J65" i="43"/>
  <c r="H63" i="31"/>
  <c r="J63" i="31" s="1"/>
  <c r="J63" i="43"/>
  <c r="H64" i="28"/>
  <c r="H64" i="29" s="1"/>
  <c r="H64" i="30" s="1"/>
  <c r="H64" i="43" s="1"/>
  <c r="H64" i="31" s="1"/>
  <c r="J64" i="31" s="1"/>
  <c r="H71" i="28"/>
  <c r="H71" i="29" s="1"/>
  <c r="H71" i="30" s="1"/>
  <c r="H71" i="43" s="1"/>
  <c r="J71" i="43" s="1"/>
  <c r="J68" i="43"/>
  <c r="E10" i="19"/>
  <c r="G15" i="19"/>
  <c r="H20" i="7"/>
  <c r="G19" i="8"/>
  <c r="G7" i="9"/>
  <c r="G9" i="9"/>
  <c r="H9" i="9" s="1"/>
  <c r="G8" i="9"/>
  <c r="H122" i="4"/>
  <c r="J122" i="4" s="1"/>
  <c r="H183" i="4"/>
  <c r="J183" i="4" s="1"/>
  <c r="J74" i="43"/>
  <c r="H74" i="31"/>
  <c r="J74" i="31" s="1"/>
  <c r="H104" i="30"/>
  <c r="H104" i="43" s="1"/>
  <c r="H135" i="3"/>
  <c r="H135" i="4" s="1"/>
  <c r="J178" i="3"/>
  <c r="H181" i="3"/>
  <c r="H181" i="4" s="1"/>
  <c r="J117" i="3"/>
  <c r="H118" i="4"/>
  <c r="J118" i="4" s="1"/>
  <c r="H138" i="4"/>
  <c r="H138" i="5" s="1"/>
  <c r="G32" i="3"/>
  <c r="H32" i="3" s="1"/>
  <c r="H32" i="4" s="1"/>
  <c r="H32" i="5" s="1"/>
  <c r="H32" i="33" s="1"/>
  <c r="H32" i="7" s="1"/>
  <c r="H115" i="4"/>
  <c r="H115" i="5" s="1"/>
  <c r="H121" i="4"/>
  <c r="J121" i="4" s="1"/>
  <c r="H27" i="3"/>
  <c r="H27" i="4" s="1"/>
  <c r="H27" i="5" s="1"/>
  <c r="H27" i="33" s="1"/>
  <c r="H27" i="7" s="1"/>
  <c r="H27" i="8" s="1"/>
  <c r="J164" i="3"/>
  <c r="H161" i="4"/>
  <c r="H161" i="5" s="1"/>
  <c r="J150" i="3"/>
  <c r="J149" i="3"/>
  <c r="J120" i="3"/>
  <c r="J143" i="3"/>
  <c r="H97" i="3"/>
  <c r="H97" i="4" s="1"/>
  <c r="H97" i="5" s="1"/>
  <c r="H97" i="33" s="1"/>
  <c r="H97" i="7" s="1"/>
  <c r="H97" i="8" s="1"/>
  <c r="H80" i="4"/>
  <c r="H80" i="5" s="1"/>
  <c r="J139" i="3"/>
  <c r="J174" i="3"/>
  <c r="J156" i="12"/>
  <c r="H156" i="13"/>
  <c r="H155" i="13"/>
  <c r="J155" i="12"/>
  <c r="J146" i="3"/>
  <c r="J144" i="3"/>
  <c r="H131" i="4"/>
  <c r="J131" i="4" s="1"/>
  <c r="J123" i="3"/>
  <c r="J119" i="3"/>
  <c r="H116" i="4"/>
  <c r="J116" i="4" s="1"/>
  <c r="H140" i="4"/>
  <c r="H140" i="5" s="1"/>
  <c r="H184" i="4"/>
  <c r="H184" i="5" s="1"/>
  <c r="H142" i="4"/>
  <c r="H142" i="5" s="1"/>
  <c r="J147" i="3"/>
  <c r="J148" i="3"/>
  <c r="H105" i="3"/>
  <c r="H105" i="4" s="1"/>
  <c r="H105" i="5" s="1"/>
  <c r="H105" i="33" s="1"/>
  <c r="H105" i="7" s="1"/>
  <c r="H105" i="8" s="1"/>
  <c r="H162" i="4"/>
  <c r="J162" i="4" s="1"/>
  <c r="H129" i="4"/>
  <c r="J129" i="4" s="1"/>
  <c r="J130" i="3"/>
  <c r="H141" i="4"/>
  <c r="J141" i="4" s="1"/>
  <c r="H165" i="4"/>
  <c r="J165" i="4" s="1"/>
  <c r="H128" i="4"/>
  <c r="J128" i="4" s="1"/>
  <c r="H134" i="9"/>
  <c r="J134" i="8"/>
  <c r="H103" i="33"/>
  <c r="H103" i="7" s="1"/>
  <c r="H103" i="8" s="1"/>
  <c r="H150" i="5"/>
  <c r="J150" i="4"/>
  <c r="H189" i="3"/>
  <c r="H189" i="4" s="1"/>
  <c r="J145" i="4"/>
  <c r="H145" i="5"/>
  <c r="H147" i="5"/>
  <c r="J147" i="4"/>
  <c r="J173" i="3"/>
  <c r="J179" i="3"/>
  <c r="J133" i="3"/>
  <c r="H149" i="5"/>
  <c r="J149" i="4"/>
  <c r="J146" i="4"/>
  <c r="H146" i="5"/>
  <c r="J144" i="4"/>
  <c r="H144" i="5"/>
  <c r="H143" i="5"/>
  <c r="J143" i="4"/>
  <c r="J152" i="8"/>
  <c r="H152" i="9"/>
  <c r="H148" i="5"/>
  <c r="J148" i="4"/>
  <c r="H186" i="3"/>
  <c r="H186" i="4" s="1"/>
  <c r="J186" i="2"/>
  <c r="H151" i="7"/>
  <c r="J151" i="33"/>
  <c r="H189" i="22"/>
  <c r="J189" i="21"/>
  <c r="H96" i="31"/>
  <c r="J96" i="31" s="1"/>
  <c r="J94" i="43"/>
  <c r="H101" i="33"/>
  <c r="H101" i="7" s="1"/>
  <c r="H101" i="8" s="1"/>
  <c r="H102" i="31"/>
  <c r="J102" i="31" s="1"/>
  <c r="H180" i="4"/>
  <c r="H180" i="5" s="1"/>
  <c r="J168" i="12"/>
  <c r="H168" i="13"/>
  <c r="H132" i="5"/>
  <c r="J132" i="4"/>
  <c r="H133" i="5"/>
  <c r="J133" i="4"/>
  <c r="H60" i="3"/>
  <c r="H60" i="4" s="1"/>
  <c r="H60" i="5" s="1"/>
  <c r="H60" i="33" s="1"/>
  <c r="H60" i="7" s="1"/>
  <c r="H60" i="8" s="1"/>
  <c r="H60" i="9" s="1"/>
  <c r="H60" i="10" s="1"/>
  <c r="H60" i="11" s="1"/>
  <c r="H60" i="12" s="1"/>
  <c r="H60" i="13" s="1"/>
  <c r="H60" i="14" s="1"/>
  <c r="H60" i="15" s="1"/>
  <c r="H60" i="16" s="1"/>
  <c r="H60" i="17" s="1"/>
  <c r="H60" i="18" s="1"/>
  <c r="H60" i="19" s="1"/>
  <c r="H60" i="20" s="1"/>
  <c r="H60" i="21" s="1"/>
  <c r="H60" i="22" s="1"/>
  <c r="H60" i="23" s="1"/>
  <c r="H60" i="24" s="1"/>
  <c r="H60" i="25" s="1"/>
  <c r="J177" i="9"/>
  <c r="H177" i="10"/>
  <c r="J127" i="9"/>
  <c r="H127" i="10"/>
  <c r="H167" i="13"/>
  <c r="J167" i="12"/>
  <c r="H182" i="10"/>
  <c r="J182" i="9"/>
  <c r="H130" i="5"/>
  <c r="J130" i="4"/>
  <c r="H166" i="13"/>
  <c r="J166" i="12"/>
  <c r="J185" i="4"/>
  <c r="H185" i="5"/>
  <c r="H174" i="5"/>
  <c r="J174" i="4"/>
  <c r="H175" i="4"/>
  <c r="J175" i="3"/>
  <c r="J179" i="4"/>
  <c r="H179" i="5"/>
  <c r="H176" i="3"/>
  <c r="H173" i="5"/>
  <c r="J173" i="4"/>
  <c r="H178" i="5"/>
  <c r="J178" i="4"/>
  <c r="H163" i="4"/>
  <c r="J163" i="3"/>
  <c r="H164" i="5"/>
  <c r="J164" i="4"/>
  <c r="H188" i="3"/>
  <c r="H187" i="3"/>
  <c r="J145" i="3"/>
  <c r="J139" i="4"/>
  <c r="H139" i="5"/>
  <c r="H114" i="5"/>
  <c r="J114" i="4"/>
  <c r="H117" i="5"/>
  <c r="J117" i="4"/>
  <c r="H123" i="5"/>
  <c r="J123" i="4"/>
  <c r="H119" i="5"/>
  <c r="J119" i="4"/>
  <c r="H120" i="5"/>
  <c r="J120" i="4"/>
  <c r="H113" i="4"/>
  <c r="J113" i="3"/>
  <c r="J100" i="43"/>
  <c r="H100" i="31"/>
  <c r="J100" i="31" s="1"/>
  <c r="H95" i="3"/>
  <c r="H95" i="4" s="1"/>
  <c r="H95" i="5" s="1"/>
  <c r="H95" i="33" s="1"/>
  <c r="H95" i="7" s="1"/>
  <c r="H95" i="8" s="1"/>
  <c r="J98" i="43"/>
  <c r="H99" i="3"/>
  <c r="H99" i="4" s="1"/>
  <c r="H99" i="5" s="1"/>
  <c r="H99" i="33" s="1"/>
  <c r="H99" i="7" s="1"/>
  <c r="H99" i="8" s="1"/>
  <c r="J83" i="31"/>
  <c r="J83" i="43"/>
  <c r="I59" i="8"/>
  <c r="I59" i="7"/>
  <c r="I59" i="33"/>
  <c r="I59" i="4"/>
  <c r="I59" i="3"/>
  <c r="I59" i="2"/>
  <c r="G81" i="50"/>
  <c r="G182" i="50"/>
  <c r="H182" i="50" s="1"/>
  <c r="J182" i="50" s="1"/>
  <c r="H174" i="50"/>
  <c r="J174" i="50" s="1"/>
  <c r="G61" i="50"/>
  <c r="B26" i="48"/>
  <c r="H60" i="40" l="1"/>
  <c r="H60" i="27" s="1"/>
  <c r="H60" i="28" s="1"/>
  <c r="H60" i="29" s="1"/>
  <c r="H60" i="30" s="1"/>
  <c r="H60" i="43" s="1"/>
  <c r="H60" i="31" s="1"/>
  <c r="G10" i="20"/>
  <c r="O7" i="9"/>
  <c r="E15" i="10"/>
  <c r="G15" i="10" s="1"/>
  <c r="G79" i="9"/>
  <c r="G80" i="9" s="1"/>
  <c r="E28" i="9"/>
  <c r="G28" i="9" s="1"/>
  <c r="H28" i="9" s="1"/>
  <c r="H15" i="9"/>
  <c r="H112" i="5"/>
  <c r="J112" i="5" s="1"/>
  <c r="J64" i="43"/>
  <c r="H71" i="31"/>
  <c r="J71" i="31" s="1"/>
  <c r="G79" i="19"/>
  <c r="G80" i="19" s="1"/>
  <c r="H80" i="19" s="1"/>
  <c r="E28" i="19"/>
  <c r="G28" i="19" s="1"/>
  <c r="E19" i="9"/>
  <c r="G19" i="9" s="1"/>
  <c r="E27" i="10"/>
  <c r="G27" i="10" s="1"/>
  <c r="G187" i="8"/>
  <c r="E30" i="8"/>
  <c r="G30" i="8" s="1"/>
  <c r="G20" i="8"/>
  <c r="H20" i="8" s="1"/>
  <c r="H19" i="8"/>
  <c r="G15" i="21"/>
  <c r="G95" i="9"/>
  <c r="H95" i="9" s="1"/>
  <c r="G97" i="9"/>
  <c r="H97" i="9" s="1"/>
  <c r="G105" i="9"/>
  <c r="H105" i="9" s="1"/>
  <c r="G103" i="9"/>
  <c r="H103" i="9" s="1"/>
  <c r="G101" i="9"/>
  <c r="H101" i="9" s="1"/>
  <c r="G99" i="9"/>
  <c r="H99" i="9" s="1"/>
  <c r="I59" i="9"/>
  <c r="E27" i="9"/>
  <c r="G27" i="9" s="1"/>
  <c r="H8" i="9"/>
  <c r="E7" i="10"/>
  <c r="H7" i="9"/>
  <c r="H183" i="5"/>
  <c r="H183" i="33" s="1"/>
  <c r="H122" i="5"/>
  <c r="J122" i="5" s="1"/>
  <c r="H104" i="31"/>
  <c r="J104" i="31" s="1"/>
  <c r="J104" i="43"/>
  <c r="J135" i="3"/>
  <c r="H135" i="5"/>
  <c r="J135" i="4"/>
  <c r="J161" i="4"/>
  <c r="H121" i="5"/>
  <c r="J121" i="5" s="1"/>
  <c r="J181" i="3"/>
  <c r="J115" i="4"/>
  <c r="J138" i="4"/>
  <c r="J140" i="4"/>
  <c r="H118" i="5"/>
  <c r="H118" i="33" s="1"/>
  <c r="J184" i="4"/>
  <c r="H155" i="14"/>
  <c r="J155" i="13"/>
  <c r="H156" i="14"/>
  <c r="J156" i="13"/>
  <c r="H131" i="5"/>
  <c r="J131" i="5" s="1"/>
  <c r="J186" i="3"/>
  <c r="H116" i="5"/>
  <c r="J116" i="5" s="1"/>
  <c r="H129" i="5"/>
  <c r="J129" i="5" s="1"/>
  <c r="H165" i="5"/>
  <c r="H165" i="33" s="1"/>
  <c r="J142" i="4"/>
  <c r="H162" i="5"/>
  <c r="J162" i="5" s="1"/>
  <c r="H141" i="5"/>
  <c r="J141" i="5" s="1"/>
  <c r="H128" i="5"/>
  <c r="J128" i="5" s="1"/>
  <c r="J189" i="3"/>
  <c r="H152" i="10"/>
  <c r="J152" i="9"/>
  <c r="H145" i="33"/>
  <c r="J145" i="5"/>
  <c r="H149" i="33"/>
  <c r="J149" i="5"/>
  <c r="H151" i="8"/>
  <c r="J151" i="7"/>
  <c r="H143" i="33"/>
  <c r="J143" i="5"/>
  <c r="J150" i="5"/>
  <c r="H150" i="33"/>
  <c r="J144" i="5"/>
  <c r="H144" i="33"/>
  <c r="H146" i="33"/>
  <c r="J146" i="5"/>
  <c r="H148" i="33"/>
  <c r="J148" i="5"/>
  <c r="H147" i="33"/>
  <c r="J147" i="5"/>
  <c r="H134" i="10"/>
  <c r="J134" i="9"/>
  <c r="H189" i="23"/>
  <c r="J189" i="22"/>
  <c r="J180" i="4"/>
  <c r="H130" i="33"/>
  <c r="J130" i="5"/>
  <c r="J177" i="10"/>
  <c r="H177" i="11"/>
  <c r="J168" i="13"/>
  <c r="H168" i="14"/>
  <c r="J127" i="10"/>
  <c r="H127" i="11"/>
  <c r="H132" i="33"/>
  <c r="J132" i="5"/>
  <c r="J133" i="5"/>
  <c r="H133" i="33"/>
  <c r="H166" i="14"/>
  <c r="J166" i="13"/>
  <c r="J182" i="10"/>
  <c r="H182" i="11"/>
  <c r="H167" i="14"/>
  <c r="J167" i="13"/>
  <c r="H178" i="33"/>
  <c r="J178" i="5"/>
  <c r="H173" i="33"/>
  <c r="J173" i="5"/>
  <c r="H179" i="33"/>
  <c r="J179" i="5"/>
  <c r="H185" i="33"/>
  <c r="J185" i="5"/>
  <c r="H174" i="33"/>
  <c r="J174" i="5"/>
  <c r="H186" i="5"/>
  <c r="J186" i="4"/>
  <c r="J181" i="4"/>
  <c r="H181" i="5"/>
  <c r="H184" i="33"/>
  <c r="J184" i="5"/>
  <c r="H180" i="33"/>
  <c r="J180" i="5"/>
  <c r="H176" i="4"/>
  <c r="J176" i="3"/>
  <c r="H175" i="5"/>
  <c r="J175" i="4"/>
  <c r="J189" i="4"/>
  <c r="H189" i="5"/>
  <c r="H164" i="33"/>
  <c r="J164" i="5"/>
  <c r="H161" i="33"/>
  <c r="J161" i="5"/>
  <c r="H188" i="4"/>
  <c r="J188" i="3"/>
  <c r="H163" i="5"/>
  <c r="J163" i="4"/>
  <c r="H187" i="4"/>
  <c r="J187" i="3"/>
  <c r="H139" i="33"/>
  <c r="J139" i="5"/>
  <c r="J142" i="5"/>
  <c r="H142" i="33"/>
  <c r="J140" i="5"/>
  <c r="H140" i="33"/>
  <c r="J138" i="5"/>
  <c r="H138" i="33"/>
  <c r="H113" i="5"/>
  <c r="J113" i="4"/>
  <c r="H120" i="33"/>
  <c r="J120" i="5"/>
  <c r="H123" i="33"/>
  <c r="J123" i="5"/>
  <c r="H114" i="33"/>
  <c r="J114" i="5"/>
  <c r="H115" i="33"/>
  <c r="J115" i="5"/>
  <c r="H119" i="33"/>
  <c r="J119" i="5"/>
  <c r="H117" i="33"/>
  <c r="J117" i="5"/>
  <c r="G10" i="19" l="1"/>
  <c r="H10" i="19" s="1"/>
  <c r="H10" i="20" s="1"/>
  <c r="H112" i="33"/>
  <c r="H112" i="7" s="1"/>
  <c r="H79" i="9"/>
  <c r="H8" i="10"/>
  <c r="G20" i="9"/>
  <c r="H20" i="9" s="1"/>
  <c r="G187" i="9"/>
  <c r="E30" i="9"/>
  <c r="G30" i="9" s="1"/>
  <c r="G32" i="9" s="1"/>
  <c r="E19" i="10"/>
  <c r="G32" i="8"/>
  <c r="H32" i="8" s="1"/>
  <c r="H30" i="8"/>
  <c r="H19" i="9"/>
  <c r="G79" i="20"/>
  <c r="G80" i="20" s="1"/>
  <c r="E28" i="20"/>
  <c r="G28" i="20" s="1"/>
  <c r="E28" i="21"/>
  <c r="G28" i="21" s="1"/>
  <c r="G79" i="21"/>
  <c r="G80" i="21" s="1"/>
  <c r="G15" i="22"/>
  <c r="E28" i="10"/>
  <c r="G28" i="10" s="1"/>
  <c r="H28" i="10" s="1"/>
  <c r="G79" i="10"/>
  <c r="G80" i="10" s="1"/>
  <c r="H15" i="10"/>
  <c r="E15" i="11"/>
  <c r="E8" i="11"/>
  <c r="G9" i="10"/>
  <c r="H9" i="10" s="1"/>
  <c r="G7" i="10"/>
  <c r="H27" i="9"/>
  <c r="H27" i="10" s="1"/>
  <c r="J183" i="5"/>
  <c r="H122" i="33"/>
  <c r="J122" i="33" s="1"/>
  <c r="H162" i="33"/>
  <c r="H162" i="7" s="1"/>
  <c r="J135" i="5"/>
  <c r="H135" i="33"/>
  <c r="H121" i="33"/>
  <c r="H121" i="7" s="1"/>
  <c r="J118" i="5"/>
  <c r="J156" i="14"/>
  <c r="H156" i="15"/>
  <c r="H129" i="33"/>
  <c r="J129" i="33" s="1"/>
  <c r="H155" i="15"/>
  <c r="J155" i="14"/>
  <c r="H131" i="33"/>
  <c r="J131" i="33" s="1"/>
  <c r="J165" i="5"/>
  <c r="H116" i="33"/>
  <c r="H116" i="7" s="1"/>
  <c r="H141" i="33"/>
  <c r="H141" i="7" s="1"/>
  <c r="H128" i="33"/>
  <c r="J128" i="33" s="1"/>
  <c r="H151" i="9"/>
  <c r="J151" i="8"/>
  <c r="H144" i="7"/>
  <c r="J144" i="33"/>
  <c r="J134" i="10"/>
  <c r="H134" i="11"/>
  <c r="J149" i="33"/>
  <c r="H149" i="7"/>
  <c r="H150" i="7"/>
  <c r="J150" i="33"/>
  <c r="J146" i="33"/>
  <c r="H146" i="7"/>
  <c r="J147" i="33"/>
  <c r="H147" i="7"/>
  <c r="H145" i="7"/>
  <c r="J145" i="33"/>
  <c r="J148" i="33"/>
  <c r="H148" i="7"/>
  <c r="J143" i="33"/>
  <c r="H143" i="7"/>
  <c r="H152" i="11"/>
  <c r="J152" i="10"/>
  <c r="H189" i="24"/>
  <c r="J189" i="23"/>
  <c r="H132" i="7"/>
  <c r="J132" i="33"/>
  <c r="J182" i="11"/>
  <c r="H182" i="12"/>
  <c r="J127" i="11"/>
  <c r="H127" i="12"/>
  <c r="H177" i="12"/>
  <c r="J177" i="11"/>
  <c r="H130" i="7"/>
  <c r="J130" i="33"/>
  <c r="H167" i="15"/>
  <c r="J167" i="14"/>
  <c r="J166" i="14"/>
  <c r="H166" i="15"/>
  <c r="H133" i="7"/>
  <c r="J133" i="33"/>
  <c r="H168" i="15"/>
  <c r="J168" i="14"/>
  <c r="H176" i="5"/>
  <c r="J176" i="4"/>
  <c r="H183" i="7"/>
  <c r="J183" i="33"/>
  <c r="J174" i="33"/>
  <c r="H174" i="7"/>
  <c r="H179" i="7"/>
  <c r="J179" i="33"/>
  <c r="J178" i="33"/>
  <c r="H178" i="7"/>
  <c r="H189" i="33"/>
  <c r="J189" i="5"/>
  <c r="H181" i="33"/>
  <c r="J181" i="5"/>
  <c r="H175" i="33"/>
  <c r="J175" i="5"/>
  <c r="J180" i="33"/>
  <c r="H180" i="7"/>
  <c r="J184" i="33"/>
  <c r="H184" i="7"/>
  <c r="H186" i="33"/>
  <c r="J186" i="5"/>
  <c r="J185" i="33"/>
  <c r="H185" i="7"/>
  <c r="J173" i="33"/>
  <c r="H173" i="7"/>
  <c r="H187" i="5"/>
  <c r="J187" i="4"/>
  <c r="H163" i="33"/>
  <c r="J163" i="5"/>
  <c r="J161" i="33"/>
  <c r="H161" i="7"/>
  <c r="H164" i="7"/>
  <c r="J164" i="33"/>
  <c r="J165" i="33"/>
  <c r="H165" i="7"/>
  <c r="H188" i="5"/>
  <c r="J188" i="4"/>
  <c r="J138" i="33"/>
  <c r="H138" i="7"/>
  <c r="J142" i="33"/>
  <c r="H142" i="7"/>
  <c r="H139" i="7"/>
  <c r="J139" i="33"/>
  <c r="H140" i="7"/>
  <c r="J140" i="33"/>
  <c r="H122" i="7"/>
  <c r="J119" i="33"/>
  <c r="H119" i="7"/>
  <c r="H114" i="7"/>
  <c r="J114" i="33"/>
  <c r="J123" i="33"/>
  <c r="H123" i="7"/>
  <c r="H113" i="33"/>
  <c r="J113" i="5"/>
  <c r="H118" i="7"/>
  <c r="J118" i="33"/>
  <c r="J117" i="33"/>
  <c r="H117" i="7"/>
  <c r="J115" i="33"/>
  <c r="H115" i="7"/>
  <c r="J120" i="33"/>
  <c r="H120" i="7"/>
  <c r="B20" i="48"/>
  <c r="H7" i="10" l="1"/>
  <c r="N7" i="10"/>
  <c r="J112" i="33"/>
  <c r="H30" i="9"/>
  <c r="E7" i="11"/>
  <c r="H32" i="9"/>
  <c r="G19" i="10"/>
  <c r="H19" i="10" s="1"/>
  <c r="G15" i="23"/>
  <c r="E15" i="12"/>
  <c r="G15" i="11"/>
  <c r="H15" i="11" s="1"/>
  <c r="H79" i="10"/>
  <c r="E28" i="22"/>
  <c r="G28" i="22" s="1"/>
  <c r="G79" i="22"/>
  <c r="G80" i="22" s="1"/>
  <c r="E9" i="11"/>
  <c r="E8" i="12"/>
  <c r="G8" i="11"/>
  <c r="G10" i="21"/>
  <c r="H10" i="21" s="1"/>
  <c r="G99" i="10"/>
  <c r="H99" i="10" s="1"/>
  <c r="G103" i="10"/>
  <c r="H103" i="10" s="1"/>
  <c r="G97" i="10"/>
  <c r="H97" i="10" s="1"/>
  <c r="G95" i="10"/>
  <c r="H95" i="10" s="1"/>
  <c r="G105" i="10"/>
  <c r="H105" i="10" s="1"/>
  <c r="G101" i="10"/>
  <c r="H101" i="10" s="1"/>
  <c r="I59" i="10"/>
  <c r="J162" i="33"/>
  <c r="J135" i="33"/>
  <c r="H135" i="7"/>
  <c r="H129" i="7"/>
  <c r="J129" i="7" s="1"/>
  <c r="J121" i="33"/>
  <c r="J141" i="33"/>
  <c r="J155" i="15"/>
  <c r="H155" i="16"/>
  <c r="H156" i="16"/>
  <c r="J156" i="15"/>
  <c r="H131" i="7"/>
  <c r="H131" i="8" s="1"/>
  <c r="J116" i="33"/>
  <c r="H128" i="7"/>
  <c r="J128" i="7" s="1"/>
  <c r="J149" i="7"/>
  <c r="H149" i="8"/>
  <c r="H145" i="8"/>
  <c r="J145" i="7"/>
  <c r="J147" i="7"/>
  <c r="H147" i="8"/>
  <c r="J134" i="11"/>
  <c r="H134" i="12"/>
  <c r="H152" i="12"/>
  <c r="J152" i="11"/>
  <c r="H143" i="8"/>
  <c r="J143" i="7"/>
  <c r="H146" i="8"/>
  <c r="J146" i="7"/>
  <c r="J144" i="7"/>
  <c r="H144" i="8"/>
  <c r="J148" i="7"/>
  <c r="H148" i="8"/>
  <c r="H150" i="8"/>
  <c r="J150" i="7"/>
  <c r="H151" i="10"/>
  <c r="J151" i="9"/>
  <c r="H189" i="25"/>
  <c r="J189" i="24"/>
  <c r="J166" i="15"/>
  <c r="H166" i="16"/>
  <c r="J127" i="12"/>
  <c r="H127" i="13"/>
  <c r="H182" i="13"/>
  <c r="J182" i="12"/>
  <c r="H130" i="8"/>
  <c r="J130" i="7"/>
  <c r="H132" i="8"/>
  <c r="J132" i="7"/>
  <c r="H133" i="8"/>
  <c r="J133" i="7"/>
  <c r="J167" i="15"/>
  <c r="H167" i="16"/>
  <c r="J177" i="12"/>
  <c r="H177" i="13"/>
  <c r="H168" i="16"/>
  <c r="J168" i="15"/>
  <c r="J185" i="7"/>
  <c r="H185" i="8"/>
  <c r="J184" i="7"/>
  <c r="H184" i="8"/>
  <c r="J186" i="33"/>
  <c r="H186" i="7"/>
  <c r="J181" i="33"/>
  <c r="H181" i="7"/>
  <c r="H176" i="33"/>
  <c r="J176" i="5"/>
  <c r="J173" i="7"/>
  <c r="H173" i="8"/>
  <c r="J180" i="7"/>
  <c r="H180" i="8"/>
  <c r="J178" i="7"/>
  <c r="H178" i="8"/>
  <c r="J174" i="7"/>
  <c r="H174" i="8"/>
  <c r="H175" i="7"/>
  <c r="J175" i="33"/>
  <c r="H189" i="7"/>
  <c r="J189" i="33"/>
  <c r="H179" i="8"/>
  <c r="J179" i="7"/>
  <c r="H183" i="8"/>
  <c r="J183" i="7"/>
  <c r="H187" i="33"/>
  <c r="J187" i="5"/>
  <c r="J161" i="7"/>
  <c r="H161" i="8"/>
  <c r="H162" i="8"/>
  <c r="J162" i="7"/>
  <c r="J165" i="7"/>
  <c r="H165" i="8"/>
  <c r="H188" i="33"/>
  <c r="J188" i="5"/>
  <c r="J164" i="7"/>
  <c r="H164" i="8"/>
  <c r="J163" i="33"/>
  <c r="H163" i="7"/>
  <c r="J141" i="7"/>
  <c r="H141" i="8"/>
  <c r="J142" i="7"/>
  <c r="H142" i="8"/>
  <c r="H140" i="8"/>
  <c r="J140" i="7"/>
  <c r="H139" i="8"/>
  <c r="J139" i="7"/>
  <c r="J138" i="7"/>
  <c r="H138" i="8"/>
  <c r="H118" i="8"/>
  <c r="J118" i="7"/>
  <c r="H122" i="8"/>
  <c r="J122" i="7"/>
  <c r="J121" i="7"/>
  <c r="H121" i="8"/>
  <c r="J115" i="7"/>
  <c r="H115" i="8"/>
  <c r="J112" i="7"/>
  <c r="H112" i="8"/>
  <c r="J123" i="7"/>
  <c r="H123" i="8"/>
  <c r="J113" i="33"/>
  <c r="H113" i="7"/>
  <c r="H114" i="8"/>
  <c r="J114" i="7"/>
  <c r="J120" i="7"/>
  <c r="H120" i="8"/>
  <c r="J116" i="7"/>
  <c r="H116" i="8"/>
  <c r="J117" i="7"/>
  <c r="H117" i="8"/>
  <c r="J119" i="7"/>
  <c r="H119" i="8"/>
  <c r="D33" i="48"/>
  <c r="F33" i="48"/>
  <c r="B3" i="48"/>
  <c r="E4" i="45" s="1"/>
  <c r="B4" i="48"/>
  <c r="B5" i="48"/>
  <c r="B6" i="48"/>
  <c r="B7" i="48"/>
  <c r="B8" i="48"/>
  <c r="B9" i="48"/>
  <c r="B10" i="48"/>
  <c r="B11" i="48"/>
  <c r="B12" i="48"/>
  <c r="B13" i="48"/>
  <c r="B14" i="48"/>
  <c r="B15" i="48"/>
  <c r="B16" i="48"/>
  <c r="B17" i="48"/>
  <c r="B18" i="48"/>
  <c r="B19" i="48"/>
  <c r="B21" i="48"/>
  <c r="B25" i="48"/>
  <c r="B27" i="48"/>
  <c r="B28" i="48"/>
  <c r="B29" i="48"/>
  <c r="B31" i="48"/>
  <c r="B32" i="48"/>
  <c r="B2" i="48"/>
  <c r="D4" i="45" s="1"/>
  <c r="K2" i="48"/>
  <c r="G7" i="11" l="1"/>
  <c r="E30" i="10"/>
  <c r="G30" i="10" s="1"/>
  <c r="G187" i="10"/>
  <c r="G20" i="10"/>
  <c r="H20" i="10" s="1"/>
  <c r="E19" i="11"/>
  <c r="E28" i="11"/>
  <c r="G28" i="11" s="1"/>
  <c r="H28" i="11" s="1"/>
  <c r="G79" i="11"/>
  <c r="G80" i="11" s="1"/>
  <c r="E15" i="13"/>
  <c r="F15" i="13" s="1"/>
  <c r="E15" i="14" s="1"/>
  <c r="G15" i="14" s="1"/>
  <c r="G15" i="12"/>
  <c r="G79" i="23"/>
  <c r="G80" i="23" s="1"/>
  <c r="E28" i="23"/>
  <c r="G28" i="23" s="1"/>
  <c r="G15" i="24"/>
  <c r="E27" i="11"/>
  <c r="G27" i="11" s="1"/>
  <c r="H8" i="11"/>
  <c r="E9" i="12"/>
  <c r="G9" i="11"/>
  <c r="H9" i="11" s="1"/>
  <c r="E10" i="22"/>
  <c r="H135" i="8"/>
  <c r="J135" i="8" s="1"/>
  <c r="J135" i="7"/>
  <c r="H129" i="8"/>
  <c r="H129" i="9" s="1"/>
  <c r="H156" i="17"/>
  <c r="J156" i="16"/>
  <c r="J155" i="16"/>
  <c r="H155" i="17"/>
  <c r="J131" i="7"/>
  <c r="H128" i="8"/>
  <c r="J128" i="8" s="1"/>
  <c r="H144" i="9"/>
  <c r="J144" i="8"/>
  <c r="H134" i="13"/>
  <c r="J134" i="12"/>
  <c r="H147" i="9"/>
  <c r="J147" i="8"/>
  <c r="H151" i="11"/>
  <c r="J151" i="10"/>
  <c r="J146" i="8"/>
  <c r="H146" i="9"/>
  <c r="J150" i="8"/>
  <c r="H150" i="9"/>
  <c r="J143" i="8"/>
  <c r="H143" i="9"/>
  <c r="H145" i="9"/>
  <c r="J145" i="8"/>
  <c r="H148" i="9"/>
  <c r="J148" i="8"/>
  <c r="J149" i="8"/>
  <c r="H149" i="9"/>
  <c r="H152" i="13"/>
  <c r="J152" i="12"/>
  <c r="H189" i="40"/>
  <c r="J189" i="25"/>
  <c r="H131" i="9"/>
  <c r="J131" i="8"/>
  <c r="H132" i="9"/>
  <c r="J132" i="8"/>
  <c r="H177" i="14"/>
  <c r="J177" i="13"/>
  <c r="H166" i="17"/>
  <c r="J166" i="16"/>
  <c r="H182" i="14"/>
  <c r="J182" i="13"/>
  <c r="H168" i="17"/>
  <c r="J168" i="16"/>
  <c r="H133" i="9"/>
  <c r="J133" i="8"/>
  <c r="H130" i="9"/>
  <c r="J130" i="8"/>
  <c r="J167" i="16"/>
  <c r="H167" i="17"/>
  <c r="J127" i="13"/>
  <c r="H127" i="14"/>
  <c r="J178" i="8"/>
  <c r="H178" i="9"/>
  <c r="H173" i="9"/>
  <c r="J173" i="8"/>
  <c r="J181" i="7"/>
  <c r="H181" i="8"/>
  <c r="H184" i="9"/>
  <c r="J184" i="8"/>
  <c r="H183" i="9"/>
  <c r="J183" i="8"/>
  <c r="H189" i="8"/>
  <c r="J189" i="7"/>
  <c r="J176" i="33"/>
  <c r="H176" i="7"/>
  <c r="J174" i="8"/>
  <c r="H174" i="9"/>
  <c r="H180" i="9"/>
  <c r="J180" i="8"/>
  <c r="J186" i="7"/>
  <c r="H186" i="8"/>
  <c r="H185" i="9"/>
  <c r="J185" i="8"/>
  <c r="H179" i="9"/>
  <c r="J179" i="8"/>
  <c r="H175" i="8"/>
  <c r="J175" i="7"/>
  <c r="H188" i="7"/>
  <c r="J188" i="33"/>
  <c r="J162" i="8"/>
  <c r="H162" i="9"/>
  <c r="H187" i="7"/>
  <c r="J187" i="33"/>
  <c r="J163" i="7"/>
  <c r="H163" i="8"/>
  <c r="H164" i="9"/>
  <c r="J164" i="8"/>
  <c r="H165" i="9"/>
  <c r="J165" i="8"/>
  <c r="H161" i="9"/>
  <c r="J161" i="8"/>
  <c r="J138" i="8"/>
  <c r="H138" i="9"/>
  <c r="J142" i="8"/>
  <c r="H142" i="9"/>
  <c r="J141" i="8"/>
  <c r="H141" i="9"/>
  <c r="H139" i="9"/>
  <c r="J139" i="8"/>
  <c r="H140" i="9"/>
  <c r="J140" i="8"/>
  <c r="J116" i="8"/>
  <c r="H116" i="9"/>
  <c r="J123" i="8"/>
  <c r="H123" i="9"/>
  <c r="H118" i="9"/>
  <c r="J118" i="8"/>
  <c r="J120" i="8"/>
  <c r="H120" i="9"/>
  <c r="J113" i="7"/>
  <c r="H113" i="8"/>
  <c r="J112" i="8"/>
  <c r="H112" i="9"/>
  <c r="J121" i="8"/>
  <c r="H121" i="9"/>
  <c r="J119" i="8"/>
  <c r="H119" i="9"/>
  <c r="J115" i="8"/>
  <c r="H115" i="9"/>
  <c r="J117" i="8"/>
  <c r="H117" i="9"/>
  <c r="H114" i="9"/>
  <c r="J114" i="8"/>
  <c r="H122" i="9"/>
  <c r="J122" i="8"/>
  <c r="B33" i="48"/>
  <c r="E7" i="12" l="1"/>
  <c r="H7" i="11"/>
  <c r="G97" i="11"/>
  <c r="H97" i="11" s="1"/>
  <c r="G95" i="11"/>
  <c r="H95" i="11" s="1"/>
  <c r="G103" i="11"/>
  <c r="H103" i="11" s="1"/>
  <c r="I59" i="11"/>
  <c r="G105" i="11"/>
  <c r="H105" i="11" s="1"/>
  <c r="G101" i="11"/>
  <c r="H101" i="11" s="1"/>
  <c r="G99" i="11"/>
  <c r="H99" i="11" s="1"/>
  <c r="G19" i="11"/>
  <c r="G32" i="10"/>
  <c r="H32" i="10" s="1"/>
  <c r="H30" i="10"/>
  <c r="G79" i="12"/>
  <c r="G80" i="12" s="1"/>
  <c r="E28" i="12"/>
  <c r="G28" i="12" s="1"/>
  <c r="H28" i="12" s="1"/>
  <c r="G15" i="13"/>
  <c r="G15" i="25"/>
  <c r="H15" i="12"/>
  <c r="G79" i="24"/>
  <c r="G80" i="24" s="1"/>
  <c r="E28" i="24"/>
  <c r="G28" i="24" s="1"/>
  <c r="H79" i="11"/>
  <c r="H27" i="11"/>
  <c r="E9" i="13"/>
  <c r="G9" i="12"/>
  <c r="H9" i="12" s="1"/>
  <c r="G10" i="22"/>
  <c r="H10" i="22" s="1"/>
  <c r="E8" i="13"/>
  <c r="G8" i="12"/>
  <c r="E27" i="12" s="1"/>
  <c r="G27" i="12" s="1"/>
  <c r="H135" i="9"/>
  <c r="J135" i="9" s="1"/>
  <c r="J129" i="8"/>
  <c r="H155" i="18"/>
  <c r="J155" i="17"/>
  <c r="H156" i="18"/>
  <c r="J156" i="17"/>
  <c r="H128" i="9"/>
  <c r="H128" i="10" s="1"/>
  <c r="J145" i="9"/>
  <c r="H145" i="10"/>
  <c r="J151" i="11"/>
  <c r="H151" i="12"/>
  <c r="H152" i="14"/>
  <c r="J152" i="13"/>
  <c r="H147" i="10"/>
  <c r="J147" i="9"/>
  <c r="H143" i="10"/>
  <c r="J143" i="9"/>
  <c r="H149" i="10"/>
  <c r="J149" i="9"/>
  <c r="H150" i="10"/>
  <c r="J150" i="9"/>
  <c r="J134" i="13"/>
  <c r="H134" i="14"/>
  <c r="H146" i="10"/>
  <c r="J146" i="9"/>
  <c r="H148" i="10"/>
  <c r="J148" i="9"/>
  <c r="H144" i="10"/>
  <c r="J144" i="9"/>
  <c r="H189" i="27"/>
  <c r="J189" i="40"/>
  <c r="J130" i="9"/>
  <c r="H130" i="10"/>
  <c r="H129" i="10"/>
  <c r="J129" i="9"/>
  <c r="J131" i="9"/>
  <c r="H131" i="10"/>
  <c r="J127" i="14"/>
  <c r="H127" i="15"/>
  <c r="J182" i="14"/>
  <c r="H182" i="15"/>
  <c r="H133" i="10"/>
  <c r="J133" i="9"/>
  <c r="J168" i="17"/>
  <c r="J177" i="14"/>
  <c r="H177" i="15"/>
  <c r="H132" i="10"/>
  <c r="J132" i="9"/>
  <c r="J166" i="17"/>
  <c r="J167" i="17"/>
  <c r="J186" i="8"/>
  <c r="H186" i="9"/>
  <c r="H174" i="10"/>
  <c r="J174" i="9"/>
  <c r="H175" i="9"/>
  <c r="J175" i="8"/>
  <c r="H185" i="10"/>
  <c r="J185" i="9"/>
  <c r="H180" i="10"/>
  <c r="J180" i="9"/>
  <c r="H183" i="10"/>
  <c r="J183" i="9"/>
  <c r="J176" i="7"/>
  <c r="H176" i="8"/>
  <c r="H181" i="9"/>
  <c r="J181" i="8"/>
  <c r="H178" i="10"/>
  <c r="J178" i="9"/>
  <c r="H179" i="10"/>
  <c r="J179" i="9"/>
  <c r="H189" i="9"/>
  <c r="J189" i="8"/>
  <c r="H184" i="10"/>
  <c r="J184" i="9"/>
  <c r="H173" i="10"/>
  <c r="J173" i="9"/>
  <c r="J163" i="8"/>
  <c r="H163" i="9"/>
  <c r="H162" i="10"/>
  <c r="J162" i="9"/>
  <c r="H161" i="10"/>
  <c r="J161" i="9"/>
  <c r="H164" i="10"/>
  <c r="J164" i="9"/>
  <c r="H187" i="8"/>
  <c r="J187" i="7"/>
  <c r="H188" i="8"/>
  <c r="J188" i="7"/>
  <c r="H165" i="10"/>
  <c r="J165" i="9"/>
  <c r="H141" i="10"/>
  <c r="J141" i="9"/>
  <c r="H138" i="10"/>
  <c r="J138" i="9"/>
  <c r="H140" i="10"/>
  <c r="J140" i="9"/>
  <c r="H139" i="10"/>
  <c r="J139" i="9"/>
  <c r="H142" i="10"/>
  <c r="J142" i="9"/>
  <c r="H114" i="10"/>
  <c r="J114" i="9"/>
  <c r="H118" i="10"/>
  <c r="J118" i="9"/>
  <c r="H116" i="10"/>
  <c r="J116" i="9"/>
  <c r="J115" i="9"/>
  <c r="H115" i="10"/>
  <c r="H121" i="10"/>
  <c r="J121" i="9"/>
  <c r="J113" i="8"/>
  <c r="H113" i="9"/>
  <c r="H122" i="10"/>
  <c r="J122" i="9"/>
  <c r="H117" i="10"/>
  <c r="J117" i="9"/>
  <c r="J119" i="9"/>
  <c r="H119" i="10"/>
  <c r="H112" i="10"/>
  <c r="J112" i="9"/>
  <c r="H120" i="10"/>
  <c r="J120" i="9"/>
  <c r="J123" i="9"/>
  <c r="H123" i="10"/>
  <c r="H3" i="48"/>
  <c r="K4" i="45" s="1"/>
  <c r="H4" i="48"/>
  <c r="H5" i="48"/>
  <c r="H6" i="48"/>
  <c r="H7" i="48"/>
  <c r="H8" i="48"/>
  <c r="H9" i="48"/>
  <c r="H10" i="48"/>
  <c r="H11" i="48"/>
  <c r="H12" i="48"/>
  <c r="H13" i="48"/>
  <c r="H14" i="48"/>
  <c r="H15" i="48"/>
  <c r="H16" i="48"/>
  <c r="H17" i="48"/>
  <c r="H18" i="48"/>
  <c r="H19" i="48"/>
  <c r="H20" i="48"/>
  <c r="H21" i="48"/>
  <c r="H22" i="48"/>
  <c r="H23" i="48"/>
  <c r="H24" i="48"/>
  <c r="H25" i="48"/>
  <c r="H26" i="48"/>
  <c r="H27" i="48"/>
  <c r="H28" i="48"/>
  <c r="H29" i="48"/>
  <c r="H31" i="48"/>
  <c r="H32" i="48"/>
  <c r="H2" i="48"/>
  <c r="G7" i="12" l="1"/>
  <c r="I59" i="12" s="1"/>
  <c r="E7" i="13"/>
  <c r="G7" i="13" s="1"/>
  <c r="H79" i="12"/>
  <c r="H8" i="12"/>
  <c r="H15" i="13"/>
  <c r="G187" i="11"/>
  <c r="E30" i="11"/>
  <c r="G30" i="11" s="1"/>
  <c r="G32" i="11" s="1"/>
  <c r="H32" i="11" s="1"/>
  <c r="G20" i="11"/>
  <c r="H20" i="11" s="1"/>
  <c r="H19" i="11"/>
  <c r="E19" i="12"/>
  <c r="G15" i="40"/>
  <c r="G79" i="25"/>
  <c r="E28" i="25"/>
  <c r="G28" i="25" s="1"/>
  <c r="E28" i="13"/>
  <c r="G28" i="13" s="1"/>
  <c r="H28" i="13" s="1"/>
  <c r="G79" i="13"/>
  <c r="G80" i="13" s="1"/>
  <c r="H80" i="13" s="1"/>
  <c r="J80" i="13" s="1"/>
  <c r="H27" i="12"/>
  <c r="G8" i="13"/>
  <c r="E27" i="13" s="1"/>
  <c r="G27" i="13" s="1"/>
  <c r="E8" i="14"/>
  <c r="G9" i="13"/>
  <c r="E9" i="14"/>
  <c r="H135" i="10"/>
  <c r="J156" i="18"/>
  <c r="H156" i="19"/>
  <c r="H155" i="19"/>
  <c r="J155" i="18"/>
  <c r="J128" i="9"/>
  <c r="J134" i="14"/>
  <c r="H134" i="15"/>
  <c r="H147" i="11"/>
  <c r="J147" i="10"/>
  <c r="J144" i="10"/>
  <c r="H144" i="11"/>
  <c r="H150" i="11"/>
  <c r="J150" i="10"/>
  <c r="H152" i="15"/>
  <c r="J152" i="14"/>
  <c r="J151" i="12"/>
  <c r="H151" i="13"/>
  <c r="H148" i="11"/>
  <c r="J148" i="10"/>
  <c r="J149" i="10"/>
  <c r="H149" i="11"/>
  <c r="J145" i="10"/>
  <c r="H145" i="11"/>
  <c r="J146" i="10"/>
  <c r="H146" i="11"/>
  <c r="H143" i="11"/>
  <c r="J143" i="10"/>
  <c r="H189" i="28"/>
  <c r="J189" i="27"/>
  <c r="J182" i="15"/>
  <c r="H182" i="16"/>
  <c r="J131" i="10"/>
  <c r="H131" i="11"/>
  <c r="J130" i="10"/>
  <c r="H130" i="11"/>
  <c r="H167" i="19"/>
  <c r="J128" i="10"/>
  <c r="H128" i="11"/>
  <c r="H166" i="19"/>
  <c r="H168" i="19"/>
  <c r="H129" i="11"/>
  <c r="J129" i="10"/>
  <c r="J132" i="10"/>
  <c r="H132" i="11"/>
  <c r="H133" i="11"/>
  <c r="J133" i="10"/>
  <c r="H177" i="16"/>
  <c r="J177" i="15"/>
  <c r="H127" i="16"/>
  <c r="J127" i="15"/>
  <c r="H173" i="11"/>
  <c r="J173" i="10"/>
  <c r="H189" i="10"/>
  <c r="J189" i="9"/>
  <c r="H178" i="11"/>
  <c r="J178" i="10"/>
  <c r="H180" i="11"/>
  <c r="J180" i="10"/>
  <c r="H175" i="10"/>
  <c r="J175" i="9"/>
  <c r="H186" i="10"/>
  <c r="J186" i="9"/>
  <c r="H176" i="9"/>
  <c r="J176" i="8"/>
  <c r="H184" i="11"/>
  <c r="J184" i="10"/>
  <c r="J179" i="10"/>
  <c r="H179" i="11"/>
  <c r="H181" i="10"/>
  <c r="J181" i="9"/>
  <c r="J183" i="10"/>
  <c r="H183" i="11"/>
  <c r="H185" i="11"/>
  <c r="J185" i="10"/>
  <c r="H174" i="11"/>
  <c r="J174" i="10"/>
  <c r="H165" i="11"/>
  <c r="J165" i="10"/>
  <c r="J187" i="8"/>
  <c r="H187" i="9"/>
  <c r="H161" i="11"/>
  <c r="J161" i="10"/>
  <c r="J163" i="9"/>
  <c r="H163" i="10"/>
  <c r="H188" i="9"/>
  <c r="J188" i="8"/>
  <c r="J164" i="10"/>
  <c r="H164" i="11"/>
  <c r="H162" i="11"/>
  <c r="J162" i="10"/>
  <c r="H138" i="11"/>
  <c r="J138" i="10"/>
  <c r="H141" i="11"/>
  <c r="J141" i="10"/>
  <c r="J139" i="10"/>
  <c r="H139" i="11"/>
  <c r="H140" i="11"/>
  <c r="J140" i="10"/>
  <c r="H142" i="11"/>
  <c r="J142" i="10"/>
  <c r="J123" i="10"/>
  <c r="H123" i="11"/>
  <c r="J122" i="10"/>
  <c r="H122" i="11"/>
  <c r="J121" i="10"/>
  <c r="H121" i="11"/>
  <c r="H116" i="11"/>
  <c r="J116" i="10"/>
  <c r="J114" i="10"/>
  <c r="H114" i="11"/>
  <c r="J119" i="10"/>
  <c r="H119" i="11"/>
  <c r="H120" i="11"/>
  <c r="J120" i="10"/>
  <c r="H112" i="11"/>
  <c r="J112" i="10"/>
  <c r="J117" i="10"/>
  <c r="H117" i="11"/>
  <c r="J118" i="10"/>
  <c r="H118" i="11"/>
  <c r="H113" i="10"/>
  <c r="J113" i="9"/>
  <c r="J115" i="10"/>
  <c r="H115" i="11"/>
  <c r="H33" i="48"/>
  <c r="H9" i="13" l="1"/>
  <c r="O9" i="13"/>
  <c r="G105" i="12"/>
  <c r="H105" i="12" s="1"/>
  <c r="G99" i="12"/>
  <c r="H99" i="12" s="1"/>
  <c r="H7" i="12"/>
  <c r="H7" i="13" s="1"/>
  <c r="G97" i="12"/>
  <c r="H97" i="12" s="1"/>
  <c r="G103" i="12"/>
  <c r="H103" i="12" s="1"/>
  <c r="G95" i="12"/>
  <c r="H95" i="12" s="1"/>
  <c r="G101" i="12"/>
  <c r="H101" i="12" s="1"/>
  <c r="E7" i="14"/>
  <c r="H30" i="11"/>
  <c r="G19" i="12"/>
  <c r="G79" i="14"/>
  <c r="E28" i="14"/>
  <c r="G28" i="14" s="1"/>
  <c r="H28" i="14" s="1"/>
  <c r="H28" i="15" s="1"/>
  <c r="H28" i="16" s="1"/>
  <c r="H28" i="17" s="1"/>
  <c r="H28" i="18" s="1"/>
  <c r="H28" i="19" s="1"/>
  <c r="H28" i="20" s="1"/>
  <c r="H28" i="21" s="1"/>
  <c r="H28" i="22" s="1"/>
  <c r="H28" i="23" s="1"/>
  <c r="H28" i="24" s="1"/>
  <c r="H28" i="25" s="1"/>
  <c r="H15" i="14"/>
  <c r="H15" i="15" s="1"/>
  <c r="H15" i="16" s="1"/>
  <c r="H15" i="17" s="1"/>
  <c r="H15" i="18" s="1"/>
  <c r="H15" i="19" s="1"/>
  <c r="H15" i="20" s="1"/>
  <c r="H15" i="21" s="1"/>
  <c r="H15" i="22" s="1"/>
  <c r="H15" i="23" s="1"/>
  <c r="H15" i="24" s="1"/>
  <c r="H15" i="25" s="1"/>
  <c r="H15" i="40" s="1"/>
  <c r="G80" i="25"/>
  <c r="G15" i="27"/>
  <c r="G79" i="27" s="1"/>
  <c r="H79" i="13"/>
  <c r="J79" i="13" s="1"/>
  <c r="G79" i="40"/>
  <c r="E28" i="40"/>
  <c r="G28" i="40" s="1"/>
  <c r="H27" i="13"/>
  <c r="E9" i="15"/>
  <c r="G9" i="14"/>
  <c r="E8" i="15"/>
  <c r="G8" i="14"/>
  <c r="E27" i="14" s="1"/>
  <c r="G27" i="14" s="1"/>
  <c r="G99" i="13"/>
  <c r="G105" i="13"/>
  <c r="G97" i="13"/>
  <c r="G103" i="13"/>
  <c r="G101" i="13"/>
  <c r="G95" i="13"/>
  <c r="I59" i="13"/>
  <c r="G10" i="23"/>
  <c r="H10" i="23" s="1"/>
  <c r="H135" i="11"/>
  <c r="J135" i="10"/>
  <c r="J155" i="19"/>
  <c r="H155" i="20"/>
  <c r="J156" i="19"/>
  <c r="H156" i="20"/>
  <c r="H149" i="12"/>
  <c r="J149" i="11"/>
  <c r="H150" i="12"/>
  <c r="J150" i="11"/>
  <c r="H144" i="12"/>
  <c r="J144" i="11"/>
  <c r="H143" i="12"/>
  <c r="J143" i="11"/>
  <c r="H148" i="12"/>
  <c r="J148" i="11"/>
  <c r="J146" i="11"/>
  <c r="H146" i="12"/>
  <c r="J151" i="13"/>
  <c r="H151" i="14"/>
  <c r="H147" i="12"/>
  <c r="J147" i="11"/>
  <c r="H145" i="12"/>
  <c r="J145" i="11"/>
  <c r="H134" i="16"/>
  <c r="J134" i="15"/>
  <c r="J152" i="15"/>
  <c r="H152" i="16"/>
  <c r="H189" i="29"/>
  <c r="J189" i="28"/>
  <c r="H133" i="12"/>
  <c r="J133" i="11"/>
  <c r="J128" i="11"/>
  <c r="H128" i="12"/>
  <c r="H130" i="12"/>
  <c r="J130" i="11"/>
  <c r="H182" i="17"/>
  <c r="J182" i="16"/>
  <c r="J127" i="16"/>
  <c r="H127" i="17"/>
  <c r="H129" i="12"/>
  <c r="J129" i="11"/>
  <c r="J168" i="19"/>
  <c r="H177" i="17"/>
  <c r="J177" i="16"/>
  <c r="J166" i="19"/>
  <c r="J167" i="19"/>
  <c r="J132" i="11"/>
  <c r="H132" i="12"/>
  <c r="J131" i="11"/>
  <c r="H131" i="12"/>
  <c r="H174" i="12"/>
  <c r="J174" i="11"/>
  <c r="H176" i="10"/>
  <c r="J176" i="9"/>
  <c r="J175" i="10"/>
  <c r="H175" i="11"/>
  <c r="H178" i="12"/>
  <c r="J178" i="11"/>
  <c r="H173" i="12"/>
  <c r="J173" i="11"/>
  <c r="H183" i="12"/>
  <c r="J183" i="11"/>
  <c r="H179" i="12"/>
  <c r="J179" i="11"/>
  <c r="H185" i="12"/>
  <c r="J185" i="11"/>
  <c r="H181" i="11"/>
  <c r="J181" i="10"/>
  <c r="H184" i="12"/>
  <c r="J184" i="11"/>
  <c r="H186" i="11"/>
  <c r="J186" i="10"/>
  <c r="H180" i="12"/>
  <c r="J180" i="11"/>
  <c r="J189" i="10"/>
  <c r="H189" i="11"/>
  <c r="J163" i="10"/>
  <c r="H163" i="11"/>
  <c r="H162" i="12"/>
  <c r="J162" i="11"/>
  <c r="H188" i="10"/>
  <c r="J188" i="9"/>
  <c r="H161" i="12"/>
  <c r="J161" i="11"/>
  <c r="H165" i="12"/>
  <c r="J165" i="11"/>
  <c r="J164" i="11"/>
  <c r="H164" i="12"/>
  <c r="J187" i="9"/>
  <c r="H187" i="10"/>
  <c r="H142" i="12"/>
  <c r="J142" i="11"/>
  <c r="H138" i="12"/>
  <c r="J138" i="11"/>
  <c r="H139" i="12"/>
  <c r="J139" i="11"/>
  <c r="H140" i="12"/>
  <c r="J140" i="11"/>
  <c r="H141" i="12"/>
  <c r="J141" i="11"/>
  <c r="H115" i="12"/>
  <c r="J115" i="11"/>
  <c r="J113" i="10"/>
  <c r="H113" i="11"/>
  <c r="J120" i="11"/>
  <c r="H120" i="12"/>
  <c r="H123" i="12"/>
  <c r="J123" i="11"/>
  <c r="H117" i="12"/>
  <c r="J117" i="11"/>
  <c r="H114" i="12"/>
  <c r="J114" i="11"/>
  <c r="H121" i="12"/>
  <c r="J121" i="11"/>
  <c r="J112" i="11"/>
  <c r="H112" i="12"/>
  <c r="J116" i="11"/>
  <c r="H116" i="12"/>
  <c r="H118" i="12"/>
  <c r="J118" i="11"/>
  <c r="H119" i="12"/>
  <c r="J119" i="11"/>
  <c r="H122" i="12"/>
  <c r="J122" i="11"/>
  <c r="E34" i="1"/>
  <c r="F34" i="1"/>
  <c r="S34" i="1"/>
  <c r="U34" i="1" s="1"/>
  <c r="H9" i="14" l="1"/>
  <c r="H97" i="13"/>
  <c r="H99" i="13"/>
  <c r="H95" i="13"/>
  <c r="H105" i="13"/>
  <c r="H103" i="13"/>
  <c r="H101" i="13"/>
  <c r="G7" i="14"/>
  <c r="H19" i="12"/>
  <c r="G187" i="12"/>
  <c r="E30" i="12"/>
  <c r="G30" i="12" s="1"/>
  <c r="G32" i="12" s="1"/>
  <c r="G20" i="12"/>
  <c r="H20" i="12" s="1"/>
  <c r="E19" i="13"/>
  <c r="G15" i="28"/>
  <c r="E28" i="27"/>
  <c r="G28" i="27" s="1"/>
  <c r="H15" i="27"/>
  <c r="H28" i="40"/>
  <c r="G80" i="40"/>
  <c r="G80" i="14"/>
  <c r="H79" i="14"/>
  <c r="H79" i="15" s="1"/>
  <c r="G8" i="15"/>
  <c r="E8" i="16"/>
  <c r="E9" i="16"/>
  <c r="G9" i="15"/>
  <c r="H27" i="14"/>
  <c r="H135" i="22"/>
  <c r="H135" i="23"/>
  <c r="H135" i="18"/>
  <c r="H135" i="19"/>
  <c r="H135" i="24"/>
  <c r="H135" i="20"/>
  <c r="H135" i="16"/>
  <c r="H135" i="13"/>
  <c r="H135" i="12"/>
  <c r="J135" i="12" s="1"/>
  <c r="H135" i="17"/>
  <c r="J135" i="11"/>
  <c r="J156" i="20"/>
  <c r="H156" i="21"/>
  <c r="J155" i="20"/>
  <c r="H155" i="21"/>
  <c r="J147" i="12"/>
  <c r="H147" i="13"/>
  <c r="H143" i="13"/>
  <c r="J143" i="12"/>
  <c r="H144" i="13"/>
  <c r="J144" i="12"/>
  <c r="H152" i="17"/>
  <c r="J152" i="16"/>
  <c r="H146" i="13"/>
  <c r="J146" i="12"/>
  <c r="H134" i="17"/>
  <c r="J134" i="16"/>
  <c r="J150" i="12"/>
  <c r="H150" i="13"/>
  <c r="H151" i="15"/>
  <c r="J151" i="14"/>
  <c r="J145" i="12"/>
  <c r="H145" i="13"/>
  <c r="J148" i="12"/>
  <c r="H148" i="13"/>
  <c r="H149" i="13"/>
  <c r="J149" i="12"/>
  <c r="H189" i="30"/>
  <c r="J189" i="29"/>
  <c r="H131" i="13"/>
  <c r="J131" i="12"/>
  <c r="H127" i="18"/>
  <c r="J127" i="17"/>
  <c r="H167" i="21"/>
  <c r="H168" i="21"/>
  <c r="H130" i="13"/>
  <c r="J130" i="12"/>
  <c r="H177" i="18"/>
  <c r="J177" i="17"/>
  <c r="H129" i="13"/>
  <c r="J129" i="12"/>
  <c r="J182" i="17"/>
  <c r="H182" i="18"/>
  <c r="H133" i="13"/>
  <c r="J133" i="12"/>
  <c r="H132" i="13"/>
  <c r="J132" i="12"/>
  <c r="H166" i="21"/>
  <c r="H128" i="13"/>
  <c r="J128" i="12"/>
  <c r="H186" i="12"/>
  <c r="J186" i="11"/>
  <c r="H181" i="12"/>
  <c r="J181" i="11"/>
  <c r="H179" i="13"/>
  <c r="J179" i="12"/>
  <c r="H173" i="13"/>
  <c r="J173" i="12"/>
  <c r="H174" i="13"/>
  <c r="J174" i="12"/>
  <c r="H189" i="12"/>
  <c r="J189" i="11"/>
  <c r="H175" i="12"/>
  <c r="J175" i="11"/>
  <c r="H180" i="13"/>
  <c r="J180" i="12"/>
  <c r="H184" i="13"/>
  <c r="J184" i="12"/>
  <c r="H185" i="13"/>
  <c r="J185" i="12"/>
  <c r="H183" i="13"/>
  <c r="J183" i="12"/>
  <c r="H178" i="13"/>
  <c r="J178" i="12"/>
  <c r="H176" i="11"/>
  <c r="J176" i="10"/>
  <c r="H165" i="13"/>
  <c r="J165" i="12"/>
  <c r="J188" i="10"/>
  <c r="H188" i="11"/>
  <c r="H164" i="13"/>
  <c r="J164" i="12"/>
  <c r="J187" i="10"/>
  <c r="H187" i="11"/>
  <c r="H163" i="12"/>
  <c r="J163" i="11"/>
  <c r="H161" i="13"/>
  <c r="J161" i="12"/>
  <c r="H162" i="13"/>
  <c r="J162" i="12"/>
  <c r="H141" i="13"/>
  <c r="J141" i="12"/>
  <c r="H138" i="13"/>
  <c r="J138" i="12"/>
  <c r="H142" i="13"/>
  <c r="J142" i="12"/>
  <c r="H140" i="13"/>
  <c r="J140" i="12"/>
  <c r="H139" i="13"/>
  <c r="J139" i="12"/>
  <c r="H114" i="13"/>
  <c r="J114" i="12"/>
  <c r="H123" i="13"/>
  <c r="J123" i="12"/>
  <c r="H112" i="13"/>
  <c r="J112" i="12"/>
  <c r="H119" i="13"/>
  <c r="J119" i="12"/>
  <c r="H121" i="13"/>
  <c r="J121" i="12"/>
  <c r="H117" i="13"/>
  <c r="J117" i="12"/>
  <c r="H115" i="13"/>
  <c r="J115" i="12"/>
  <c r="H116" i="13"/>
  <c r="J116" i="12"/>
  <c r="H120" i="13"/>
  <c r="J120" i="12"/>
  <c r="H122" i="13"/>
  <c r="J122" i="12"/>
  <c r="H118" i="13"/>
  <c r="J118" i="12"/>
  <c r="H113" i="12"/>
  <c r="J113" i="11"/>
  <c r="H9" i="15" l="1"/>
  <c r="E8" i="17"/>
  <c r="E8" i="18" s="1"/>
  <c r="E10" i="25"/>
  <c r="E10" i="40" s="1"/>
  <c r="E10" i="27" s="1"/>
  <c r="E10" i="28" s="1"/>
  <c r="E9" i="17"/>
  <c r="E9" i="18" s="1"/>
  <c r="H135" i="30"/>
  <c r="H135" i="29"/>
  <c r="H135" i="14"/>
  <c r="J135" i="14" s="1"/>
  <c r="J135" i="13"/>
  <c r="E7" i="15"/>
  <c r="G15" i="29"/>
  <c r="G79" i="29" s="1"/>
  <c r="I59" i="14"/>
  <c r="H7" i="14"/>
  <c r="G105" i="14"/>
  <c r="H105" i="14" s="1"/>
  <c r="G95" i="14"/>
  <c r="H95" i="14" s="1"/>
  <c r="G103" i="14"/>
  <c r="H103" i="14" s="1"/>
  <c r="G97" i="14"/>
  <c r="H97" i="14" s="1"/>
  <c r="G101" i="14"/>
  <c r="H101" i="14" s="1"/>
  <c r="G99" i="14"/>
  <c r="H99" i="14" s="1"/>
  <c r="E27" i="15"/>
  <c r="G27" i="15" s="1"/>
  <c r="H27" i="15" s="1"/>
  <c r="H79" i="16"/>
  <c r="H79" i="17" s="1"/>
  <c r="H79" i="18" s="1"/>
  <c r="H79" i="19" s="1"/>
  <c r="H79" i="20" s="1"/>
  <c r="H79" i="21" s="1"/>
  <c r="H79" i="22" s="1"/>
  <c r="H79" i="23" s="1"/>
  <c r="H79" i="24" s="1"/>
  <c r="H79" i="25" s="1"/>
  <c r="J79" i="25" s="1"/>
  <c r="J79" i="15"/>
  <c r="G19" i="13"/>
  <c r="G187" i="13" s="1"/>
  <c r="H32" i="12"/>
  <c r="H30" i="12"/>
  <c r="G80" i="27"/>
  <c r="H28" i="27"/>
  <c r="H15" i="28"/>
  <c r="E28" i="28"/>
  <c r="G28" i="28" s="1"/>
  <c r="G79" i="28"/>
  <c r="G80" i="28" s="1"/>
  <c r="H135" i="43"/>
  <c r="J135" i="43" s="1"/>
  <c r="H135" i="40"/>
  <c r="H135" i="27"/>
  <c r="H135" i="25"/>
  <c r="H135" i="31"/>
  <c r="H135" i="28"/>
  <c r="J155" i="21"/>
  <c r="H155" i="22"/>
  <c r="H156" i="22"/>
  <c r="J156" i="21"/>
  <c r="H151" i="16"/>
  <c r="J151" i="15"/>
  <c r="J152" i="17"/>
  <c r="H152" i="18"/>
  <c r="J149" i="13"/>
  <c r="H149" i="14"/>
  <c r="H144" i="14"/>
  <c r="J144" i="13"/>
  <c r="J148" i="13"/>
  <c r="H148" i="14"/>
  <c r="J134" i="17"/>
  <c r="H134" i="18"/>
  <c r="J143" i="13"/>
  <c r="H143" i="14"/>
  <c r="H150" i="14"/>
  <c r="J150" i="13"/>
  <c r="J145" i="13"/>
  <c r="H145" i="14"/>
  <c r="H147" i="14"/>
  <c r="J147" i="13"/>
  <c r="H146" i="14"/>
  <c r="J146" i="13"/>
  <c r="H189" i="43"/>
  <c r="J189" i="30"/>
  <c r="H130" i="14"/>
  <c r="J130" i="13"/>
  <c r="H167" i="22"/>
  <c r="J167" i="21"/>
  <c r="H128" i="14"/>
  <c r="J128" i="13"/>
  <c r="H132" i="14"/>
  <c r="J132" i="13"/>
  <c r="J166" i="21"/>
  <c r="H166" i="22"/>
  <c r="H133" i="14"/>
  <c r="J133" i="13"/>
  <c r="H177" i="19"/>
  <c r="J177" i="18"/>
  <c r="H127" i="19"/>
  <c r="J127" i="18"/>
  <c r="H129" i="14"/>
  <c r="J129" i="13"/>
  <c r="H131" i="14"/>
  <c r="J131" i="13"/>
  <c r="H182" i="19"/>
  <c r="J182" i="18"/>
  <c r="J168" i="21"/>
  <c r="H168" i="22"/>
  <c r="H176" i="12"/>
  <c r="J176" i="11"/>
  <c r="H183" i="14"/>
  <c r="J183" i="13"/>
  <c r="H184" i="14"/>
  <c r="J184" i="13"/>
  <c r="H175" i="13"/>
  <c r="J175" i="12"/>
  <c r="H174" i="14"/>
  <c r="J174" i="13"/>
  <c r="H179" i="14"/>
  <c r="J179" i="13"/>
  <c r="H186" i="13"/>
  <c r="J186" i="12"/>
  <c r="H178" i="14"/>
  <c r="J178" i="13"/>
  <c r="H185" i="14"/>
  <c r="J185" i="13"/>
  <c r="H180" i="14"/>
  <c r="J180" i="13"/>
  <c r="H189" i="13"/>
  <c r="J189" i="12"/>
  <c r="H173" i="14"/>
  <c r="J173" i="13"/>
  <c r="H181" i="13"/>
  <c r="J181" i="12"/>
  <c r="H187" i="12"/>
  <c r="J187" i="11"/>
  <c r="H162" i="14"/>
  <c r="J162" i="13"/>
  <c r="H163" i="13"/>
  <c r="J163" i="12"/>
  <c r="H164" i="14"/>
  <c r="J164" i="13"/>
  <c r="H165" i="14"/>
  <c r="J165" i="13"/>
  <c r="H161" i="14"/>
  <c r="J161" i="13"/>
  <c r="J188" i="11"/>
  <c r="H188" i="12"/>
  <c r="H139" i="14"/>
  <c r="J139" i="13"/>
  <c r="H142" i="14"/>
  <c r="J142" i="13"/>
  <c r="H138" i="14"/>
  <c r="J138" i="13"/>
  <c r="H140" i="14"/>
  <c r="J140" i="13"/>
  <c r="H141" i="14"/>
  <c r="J141" i="13"/>
  <c r="H121" i="14"/>
  <c r="J121" i="13"/>
  <c r="H120" i="14"/>
  <c r="J120" i="13"/>
  <c r="H112" i="14"/>
  <c r="J112" i="13"/>
  <c r="H122" i="14"/>
  <c r="J122" i="13"/>
  <c r="H116" i="14"/>
  <c r="J116" i="13"/>
  <c r="H117" i="14"/>
  <c r="J117" i="13"/>
  <c r="H119" i="14"/>
  <c r="J119" i="13"/>
  <c r="H123" i="14"/>
  <c r="J123" i="13"/>
  <c r="H118" i="14"/>
  <c r="J118" i="13"/>
  <c r="H115" i="14"/>
  <c r="J115" i="13"/>
  <c r="H114" i="14"/>
  <c r="J114" i="13"/>
  <c r="H113" i="13"/>
  <c r="J113" i="12"/>
  <c r="K32" i="47"/>
  <c r="L32" i="47"/>
  <c r="G31" i="48"/>
  <c r="G9" i="16" l="1"/>
  <c r="H9" i="16" s="1"/>
  <c r="G10" i="24"/>
  <c r="H10" i="24" s="1"/>
  <c r="E7" i="16"/>
  <c r="G80" i="29"/>
  <c r="E28" i="29"/>
  <c r="G28" i="29" s="1"/>
  <c r="H15" i="29"/>
  <c r="H79" i="40"/>
  <c r="H79" i="27" s="1"/>
  <c r="H79" i="28" s="1"/>
  <c r="H28" i="28"/>
  <c r="G20" i="13"/>
  <c r="H20" i="13" s="1"/>
  <c r="E30" i="13"/>
  <c r="G30" i="13" s="1"/>
  <c r="G32" i="13" s="1"/>
  <c r="H32" i="13" s="1"/>
  <c r="H19" i="13"/>
  <c r="E19" i="14"/>
  <c r="G9" i="17"/>
  <c r="G10" i="25"/>
  <c r="G8" i="16"/>
  <c r="J156" i="22"/>
  <c r="H156" i="23"/>
  <c r="H156" i="24" s="1"/>
  <c r="J156" i="24" s="1"/>
  <c r="H155" i="23"/>
  <c r="J155" i="22"/>
  <c r="H150" i="15"/>
  <c r="J150" i="14"/>
  <c r="H144" i="15"/>
  <c r="J144" i="14"/>
  <c r="H143" i="15"/>
  <c r="J143" i="14"/>
  <c r="J149" i="14"/>
  <c r="H149" i="15"/>
  <c r="H146" i="15"/>
  <c r="J146" i="14"/>
  <c r="H134" i="19"/>
  <c r="J134" i="18"/>
  <c r="J152" i="18"/>
  <c r="H152" i="19"/>
  <c r="J147" i="14"/>
  <c r="H147" i="15"/>
  <c r="H145" i="15"/>
  <c r="J145" i="14"/>
  <c r="H148" i="15"/>
  <c r="J148" i="14"/>
  <c r="H151" i="17"/>
  <c r="J151" i="16"/>
  <c r="J189" i="43"/>
  <c r="H189" i="31"/>
  <c r="J189" i="31" s="1"/>
  <c r="H133" i="50"/>
  <c r="J133" i="50" s="1"/>
  <c r="H131" i="15"/>
  <c r="J131" i="14"/>
  <c r="J177" i="19"/>
  <c r="H177" i="20"/>
  <c r="H130" i="15"/>
  <c r="J130" i="14"/>
  <c r="H168" i="23"/>
  <c r="J168" i="22"/>
  <c r="J166" i="22"/>
  <c r="H166" i="23"/>
  <c r="H182" i="20"/>
  <c r="J182" i="19"/>
  <c r="H129" i="15"/>
  <c r="J129" i="14"/>
  <c r="H127" i="20"/>
  <c r="J127" i="19"/>
  <c r="H133" i="15"/>
  <c r="J133" i="14"/>
  <c r="H132" i="15"/>
  <c r="J132" i="14"/>
  <c r="J167" i="22"/>
  <c r="H167" i="23"/>
  <c r="H128" i="15"/>
  <c r="H135" i="15" s="1"/>
  <c r="J135" i="15" s="1"/>
  <c r="J128" i="14"/>
  <c r="H181" i="14"/>
  <c r="J181" i="13"/>
  <c r="H189" i="14"/>
  <c r="J189" i="13"/>
  <c r="H185" i="15"/>
  <c r="J185" i="14"/>
  <c r="H186" i="14"/>
  <c r="J186" i="13"/>
  <c r="H174" i="15"/>
  <c r="J174" i="14"/>
  <c r="H184" i="15"/>
  <c r="J184" i="14"/>
  <c r="H176" i="13"/>
  <c r="J176" i="12"/>
  <c r="H173" i="15"/>
  <c r="J173" i="14"/>
  <c r="H180" i="15"/>
  <c r="J180" i="14"/>
  <c r="H178" i="15"/>
  <c r="J178" i="14"/>
  <c r="H179" i="15"/>
  <c r="J179" i="14"/>
  <c r="H175" i="14"/>
  <c r="J175" i="13"/>
  <c r="H183" i="15"/>
  <c r="J183" i="14"/>
  <c r="H165" i="15"/>
  <c r="J165" i="14"/>
  <c r="H163" i="14"/>
  <c r="J163" i="13"/>
  <c r="H187" i="13"/>
  <c r="J187" i="12"/>
  <c r="H188" i="13"/>
  <c r="H188" i="14" s="1"/>
  <c r="J188" i="14" s="1"/>
  <c r="J188" i="12"/>
  <c r="H161" i="15"/>
  <c r="J161" i="14"/>
  <c r="H164" i="15"/>
  <c r="J164" i="14"/>
  <c r="H162" i="15"/>
  <c r="J162" i="14"/>
  <c r="H141" i="15"/>
  <c r="J141" i="14"/>
  <c r="H140" i="15"/>
  <c r="J140" i="14"/>
  <c r="H138" i="15"/>
  <c r="J138" i="14"/>
  <c r="H139" i="15"/>
  <c r="J139" i="14"/>
  <c r="H142" i="15"/>
  <c r="J142" i="14"/>
  <c r="H114" i="15"/>
  <c r="J114" i="14"/>
  <c r="H118" i="15"/>
  <c r="J118" i="14"/>
  <c r="H119" i="15"/>
  <c r="J119" i="14"/>
  <c r="H116" i="15"/>
  <c r="J116" i="14"/>
  <c r="H112" i="15"/>
  <c r="J112" i="14"/>
  <c r="H121" i="15"/>
  <c r="J121" i="14"/>
  <c r="H113" i="14"/>
  <c r="J113" i="13"/>
  <c r="H115" i="15"/>
  <c r="J115" i="14"/>
  <c r="H123" i="15"/>
  <c r="J123" i="14"/>
  <c r="H117" i="15"/>
  <c r="J117" i="14"/>
  <c r="H122" i="15"/>
  <c r="J122" i="14"/>
  <c r="H120" i="15"/>
  <c r="J120" i="14"/>
  <c r="F33" i="1"/>
  <c r="E33" i="1"/>
  <c r="D33" i="1"/>
  <c r="S33" i="1"/>
  <c r="U33" i="1" s="1"/>
  <c r="H28" i="29" l="1"/>
  <c r="H10" i="25"/>
  <c r="H9" i="17"/>
  <c r="E7" i="17"/>
  <c r="G7" i="16"/>
  <c r="G103" i="16" s="1"/>
  <c r="G7" i="15"/>
  <c r="G105" i="15" s="1"/>
  <c r="H105" i="15" s="1"/>
  <c r="H79" i="29"/>
  <c r="G15" i="30"/>
  <c r="H15" i="30" s="1"/>
  <c r="E27" i="16"/>
  <c r="G27" i="16" s="1"/>
  <c r="H27" i="16" s="1"/>
  <c r="H30" i="13"/>
  <c r="G19" i="14"/>
  <c r="H19" i="14" s="1"/>
  <c r="G8" i="17"/>
  <c r="E27" i="17" s="1"/>
  <c r="G27" i="17" s="1"/>
  <c r="E9" i="19"/>
  <c r="G15" i="43"/>
  <c r="H155" i="24"/>
  <c r="J155" i="23"/>
  <c r="H156" i="25"/>
  <c r="J156" i="23"/>
  <c r="J147" i="15"/>
  <c r="H147" i="16"/>
  <c r="H149" i="16"/>
  <c r="J149" i="15"/>
  <c r="J152" i="19"/>
  <c r="H152" i="20"/>
  <c r="H151" i="18"/>
  <c r="J151" i="17"/>
  <c r="J143" i="15"/>
  <c r="H143" i="16"/>
  <c r="H148" i="16"/>
  <c r="J148" i="15"/>
  <c r="J134" i="19"/>
  <c r="H134" i="20"/>
  <c r="J144" i="15"/>
  <c r="H144" i="16"/>
  <c r="J145" i="15"/>
  <c r="H145" i="16"/>
  <c r="H146" i="16"/>
  <c r="J146" i="15"/>
  <c r="J150" i="15"/>
  <c r="H150" i="16"/>
  <c r="H128" i="16"/>
  <c r="J128" i="15"/>
  <c r="H127" i="21"/>
  <c r="J127" i="20"/>
  <c r="H131" i="16"/>
  <c r="J131" i="15"/>
  <c r="H133" i="16"/>
  <c r="J133" i="15"/>
  <c r="H129" i="16"/>
  <c r="J129" i="15"/>
  <c r="J168" i="23"/>
  <c r="H168" i="24"/>
  <c r="H132" i="16"/>
  <c r="J132" i="15"/>
  <c r="H182" i="21"/>
  <c r="J182" i="20"/>
  <c r="H130" i="16"/>
  <c r="J130" i="15"/>
  <c r="J167" i="23"/>
  <c r="H167" i="24"/>
  <c r="J166" i="23"/>
  <c r="H166" i="24"/>
  <c r="H177" i="21"/>
  <c r="J177" i="20"/>
  <c r="H183" i="16"/>
  <c r="J183" i="15"/>
  <c r="H179" i="16"/>
  <c r="J179" i="15"/>
  <c r="H180" i="16"/>
  <c r="J180" i="15"/>
  <c r="H176" i="14"/>
  <c r="J176" i="13"/>
  <c r="H174" i="16"/>
  <c r="J174" i="15"/>
  <c r="H185" i="16"/>
  <c r="J185" i="15"/>
  <c r="H181" i="15"/>
  <c r="J181" i="14"/>
  <c r="H175" i="15"/>
  <c r="J175" i="14"/>
  <c r="H178" i="16"/>
  <c r="J178" i="15"/>
  <c r="H173" i="16"/>
  <c r="J173" i="15"/>
  <c r="H184" i="16"/>
  <c r="J184" i="15"/>
  <c r="H186" i="15"/>
  <c r="J186" i="14"/>
  <c r="H189" i="15"/>
  <c r="J189" i="14"/>
  <c r="H162" i="16"/>
  <c r="J162" i="15"/>
  <c r="H161" i="16"/>
  <c r="J161" i="15"/>
  <c r="J187" i="13"/>
  <c r="H165" i="16"/>
  <c r="J165" i="15"/>
  <c r="H164" i="16"/>
  <c r="J164" i="15"/>
  <c r="J188" i="13"/>
  <c r="H163" i="15"/>
  <c r="J163" i="14"/>
  <c r="H142" i="16"/>
  <c r="J142" i="15"/>
  <c r="H139" i="16"/>
  <c r="J139" i="15"/>
  <c r="H141" i="16"/>
  <c r="J141" i="15"/>
  <c r="H138" i="16"/>
  <c r="J138" i="15"/>
  <c r="H140" i="16"/>
  <c r="J140" i="15"/>
  <c r="H122" i="16"/>
  <c r="J122" i="15"/>
  <c r="H123" i="16"/>
  <c r="J123" i="15"/>
  <c r="H113" i="15"/>
  <c r="J113" i="14"/>
  <c r="H112" i="16"/>
  <c r="J112" i="15"/>
  <c r="H119" i="16"/>
  <c r="J119" i="15"/>
  <c r="H114" i="16"/>
  <c r="H114" i="17" s="1"/>
  <c r="J114" i="15"/>
  <c r="H120" i="16"/>
  <c r="J120" i="15"/>
  <c r="H117" i="16"/>
  <c r="J117" i="15"/>
  <c r="H115" i="16"/>
  <c r="J115" i="15"/>
  <c r="H121" i="16"/>
  <c r="J121" i="15"/>
  <c r="H116" i="16"/>
  <c r="J116" i="15"/>
  <c r="H118" i="16"/>
  <c r="J118" i="15"/>
  <c r="Q21" i="49"/>
  <c r="L3" i="47"/>
  <c r="L4" i="47"/>
  <c r="L5" i="47"/>
  <c r="L6" i="47"/>
  <c r="L7" i="47"/>
  <c r="L8" i="47"/>
  <c r="L9" i="47"/>
  <c r="L10" i="47"/>
  <c r="L11" i="47"/>
  <c r="L12" i="47"/>
  <c r="L13" i="47"/>
  <c r="L14" i="47"/>
  <c r="L15" i="47"/>
  <c r="L16" i="47"/>
  <c r="L17" i="47"/>
  <c r="L18" i="47"/>
  <c r="L19" i="47"/>
  <c r="L20" i="47"/>
  <c r="L21" i="47"/>
  <c r="L22" i="47"/>
  <c r="L23" i="47"/>
  <c r="L24" i="47"/>
  <c r="L25" i="47"/>
  <c r="L26" i="47"/>
  <c r="L27" i="47"/>
  <c r="L28" i="47"/>
  <c r="L29" i="47"/>
  <c r="L30" i="47"/>
  <c r="L31" i="47"/>
  <c r="L2" i="47"/>
  <c r="H7" i="1"/>
  <c r="J7" i="1" s="1"/>
  <c r="G7" i="1"/>
  <c r="H6" i="1"/>
  <c r="J6" i="1" s="1"/>
  <c r="G6" i="1"/>
  <c r="H5" i="1"/>
  <c r="J5" i="1" s="1"/>
  <c r="G5" i="1"/>
  <c r="AN2" i="49"/>
  <c r="G4" i="1"/>
  <c r="E7" i="18" l="1"/>
  <c r="G95" i="16"/>
  <c r="N7" i="15"/>
  <c r="G99" i="15"/>
  <c r="H99" i="15" s="1"/>
  <c r="G101" i="15"/>
  <c r="H101" i="15" s="1"/>
  <c r="G97" i="16"/>
  <c r="I59" i="15"/>
  <c r="H7" i="15"/>
  <c r="H7" i="16" s="1"/>
  <c r="G99" i="16"/>
  <c r="I59" i="16"/>
  <c r="G101" i="16"/>
  <c r="G97" i="15"/>
  <c r="H97" i="15" s="1"/>
  <c r="G105" i="16"/>
  <c r="H105" i="16" s="1"/>
  <c r="G103" i="15"/>
  <c r="H103" i="15" s="1"/>
  <c r="H103" i="16" s="1"/>
  <c r="G95" i="15"/>
  <c r="H95" i="15" s="1"/>
  <c r="G79" i="30"/>
  <c r="E28" i="30"/>
  <c r="G28" i="30" s="1"/>
  <c r="H28" i="30" s="1"/>
  <c r="E30" i="14"/>
  <c r="G30" i="14" s="1"/>
  <c r="G20" i="14"/>
  <c r="H20" i="14" s="1"/>
  <c r="G187" i="14"/>
  <c r="H187" i="14" s="1"/>
  <c r="J187" i="14" s="1"/>
  <c r="E19" i="15"/>
  <c r="G10" i="40"/>
  <c r="H10" i="40" s="1"/>
  <c r="G9" i="19"/>
  <c r="G9" i="18"/>
  <c r="H9" i="18" s="1"/>
  <c r="G8" i="18"/>
  <c r="E8" i="19"/>
  <c r="H27" i="17"/>
  <c r="H156" i="40"/>
  <c r="H156" i="27" s="1"/>
  <c r="H156" i="28" s="1"/>
  <c r="J156" i="25"/>
  <c r="E28" i="43"/>
  <c r="G28" i="43" s="1"/>
  <c r="G79" i="43"/>
  <c r="G80" i="43" s="1"/>
  <c r="H15" i="43"/>
  <c r="H155" i="25"/>
  <c r="H144" i="17"/>
  <c r="J144" i="16"/>
  <c r="J151" i="18"/>
  <c r="H151" i="19"/>
  <c r="H152" i="21"/>
  <c r="J152" i="20"/>
  <c r="H134" i="21"/>
  <c r="J134" i="20"/>
  <c r="H146" i="17"/>
  <c r="J146" i="16"/>
  <c r="H148" i="17"/>
  <c r="J148" i="16"/>
  <c r="H149" i="17"/>
  <c r="J149" i="16"/>
  <c r="H150" i="17"/>
  <c r="J150" i="16"/>
  <c r="J145" i="16"/>
  <c r="H145" i="17"/>
  <c r="H143" i="17"/>
  <c r="J143" i="16"/>
  <c r="H147" i="17"/>
  <c r="J147" i="16"/>
  <c r="H177" i="22"/>
  <c r="J177" i="21"/>
  <c r="H131" i="17"/>
  <c r="J131" i="16"/>
  <c r="J167" i="24"/>
  <c r="H167" i="25"/>
  <c r="H168" i="25"/>
  <c r="J168" i="24"/>
  <c r="H133" i="17"/>
  <c r="J133" i="16"/>
  <c r="H130" i="17"/>
  <c r="J130" i="16"/>
  <c r="H132" i="17"/>
  <c r="J132" i="16"/>
  <c r="H129" i="17"/>
  <c r="J129" i="16"/>
  <c r="H127" i="22"/>
  <c r="J127" i="21"/>
  <c r="H182" i="22"/>
  <c r="J182" i="21"/>
  <c r="H128" i="17"/>
  <c r="J128" i="16"/>
  <c r="H166" i="25"/>
  <c r="J166" i="24"/>
  <c r="H189" i="16"/>
  <c r="J189" i="15"/>
  <c r="H184" i="17"/>
  <c r="J184" i="16"/>
  <c r="H178" i="17"/>
  <c r="J178" i="16"/>
  <c r="H181" i="16"/>
  <c r="J181" i="15"/>
  <c r="H174" i="17"/>
  <c r="J174" i="16"/>
  <c r="H180" i="17"/>
  <c r="J180" i="16"/>
  <c r="H183" i="17"/>
  <c r="J183" i="16"/>
  <c r="H186" i="16"/>
  <c r="J186" i="15"/>
  <c r="H173" i="17"/>
  <c r="J173" i="16"/>
  <c r="H175" i="16"/>
  <c r="J175" i="15"/>
  <c r="H185" i="17"/>
  <c r="J185" i="16"/>
  <c r="H176" i="15"/>
  <c r="J176" i="14"/>
  <c r="H179" i="17"/>
  <c r="J179" i="16"/>
  <c r="H163" i="16"/>
  <c r="J163" i="15"/>
  <c r="H164" i="17"/>
  <c r="J164" i="16"/>
  <c r="H162" i="17"/>
  <c r="J162" i="16"/>
  <c r="H165" i="17"/>
  <c r="J165" i="16"/>
  <c r="H161" i="17"/>
  <c r="J161" i="16"/>
  <c r="H138" i="17"/>
  <c r="J138" i="16"/>
  <c r="H141" i="17"/>
  <c r="J141" i="16"/>
  <c r="H142" i="17"/>
  <c r="J142" i="16"/>
  <c r="H140" i="17"/>
  <c r="J140" i="16"/>
  <c r="H139" i="17"/>
  <c r="J139" i="16"/>
  <c r="H116" i="17"/>
  <c r="J116" i="16"/>
  <c r="H115" i="17"/>
  <c r="J115" i="16"/>
  <c r="H120" i="17"/>
  <c r="J120" i="16"/>
  <c r="H119" i="17"/>
  <c r="J119" i="16"/>
  <c r="H113" i="16"/>
  <c r="J113" i="15"/>
  <c r="H122" i="17"/>
  <c r="J122" i="16"/>
  <c r="H118" i="17"/>
  <c r="J118" i="16"/>
  <c r="H121" i="17"/>
  <c r="J121" i="16"/>
  <c r="H117" i="17"/>
  <c r="J117" i="16"/>
  <c r="J114" i="16"/>
  <c r="H112" i="17"/>
  <c r="J112" i="16"/>
  <c r="H123" i="17"/>
  <c r="J123" i="16"/>
  <c r="D5" i="44"/>
  <c r="H4" i="1"/>
  <c r="J4" i="1" s="1"/>
  <c r="B5" i="44"/>
  <c r="C5" i="44"/>
  <c r="J2" i="48" s="1"/>
  <c r="D6" i="44"/>
  <c r="D7" i="44"/>
  <c r="D8" i="44"/>
  <c r="B8" i="44"/>
  <c r="B6" i="44"/>
  <c r="B7" i="44"/>
  <c r="C6" i="44"/>
  <c r="C7" i="44"/>
  <c r="C8" i="44"/>
  <c r="AN4" i="49"/>
  <c r="AN3" i="49"/>
  <c r="G7" i="17" l="1"/>
  <c r="G101" i="17" s="1"/>
  <c r="G7" i="18"/>
  <c r="G95" i="18" s="1"/>
  <c r="H95" i="16"/>
  <c r="H99" i="16"/>
  <c r="H101" i="16"/>
  <c r="H97" i="16"/>
  <c r="H28" i="43"/>
  <c r="G80" i="30"/>
  <c r="H79" i="30"/>
  <c r="H79" i="43" s="1"/>
  <c r="O8" i="18"/>
  <c r="E27" i="18"/>
  <c r="G27" i="18" s="1"/>
  <c r="H27" i="18" s="1"/>
  <c r="G19" i="15"/>
  <c r="G32" i="14"/>
  <c r="H32" i="14" s="1"/>
  <c r="H30" i="14"/>
  <c r="G15" i="31"/>
  <c r="G8" i="19"/>
  <c r="H9" i="19"/>
  <c r="G97" i="18"/>
  <c r="H155" i="40"/>
  <c r="J155" i="25"/>
  <c r="H150" i="18"/>
  <c r="J150" i="17"/>
  <c r="J134" i="21"/>
  <c r="H134" i="22"/>
  <c r="J147" i="17"/>
  <c r="H147" i="18"/>
  <c r="J149" i="17"/>
  <c r="H149" i="18"/>
  <c r="J152" i="21"/>
  <c r="H152" i="22"/>
  <c r="J151" i="19"/>
  <c r="H151" i="20"/>
  <c r="J143" i="17"/>
  <c r="H143" i="18"/>
  <c r="J148" i="17"/>
  <c r="H148" i="18"/>
  <c r="H145" i="18"/>
  <c r="J145" i="17"/>
  <c r="H146" i="18"/>
  <c r="J146" i="17"/>
  <c r="H144" i="18"/>
  <c r="J144" i="17"/>
  <c r="H128" i="18"/>
  <c r="J128" i="17"/>
  <c r="J127" i="22"/>
  <c r="H127" i="23"/>
  <c r="H132" i="18"/>
  <c r="J132" i="17"/>
  <c r="H133" i="18"/>
  <c r="J133" i="17"/>
  <c r="J177" i="22"/>
  <c r="H177" i="23"/>
  <c r="H167" i="40"/>
  <c r="J167" i="25"/>
  <c r="J166" i="25"/>
  <c r="H166" i="40"/>
  <c r="J182" i="22"/>
  <c r="H182" i="23"/>
  <c r="H129" i="18"/>
  <c r="J129" i="17"/>
  <c r="H130" i="18"/>
  <c r="J130" i="17"/>
  <c r="J168" i="25"/>
  <c r="H168" i="40"/>
  <c r="H131" i="18"/>
  <c r="J131" i="17"/>
  <c r="H179" i="18"/>
  <c r="J179" i="17"/>
  <c r="H185" i="18"/>
  <c r="J185" i="17"/>
  <c r="H173" i="18"/>
  <c r="J173" i="17"/>
  <c r="H183" i="18"/>
  <c r="J183" i="17"/>
  <c r="H174" i="18"/>
  <c r="J174" i="17"/>
  <c r="H178" i="18"/>
  <c r="J178" i="17"/>
  <c r="H189" i="17"/>
  <c r="J189" i="16"/>
  <c r="H176" i="16"/>
  <c r="J176" i="15"/>
  <c r="H175" i="17"/>
  <c r="J175" i="16"/>
  <c r="J186" i="16"/>
  <c r="H186" i="17"/>
  <c r="H180" i="18"/>
  <c r="J180" i="17"/>
  <c r="H181" i="17"/>
  <c r="J181" i="16"/>
  <c r="H184" i="18"/>
  <c r="J184" i="17"/>
  <c r="H161" i="18"/>
  <c r="J161" i="17"/>
  <c r="H188" i="16"/>
  <c r="H163" i="17"/>
  <c r="J163" i="16"/>
  <c r="H165" i="18"/>
  <c r="J165" i="17"/>
  <c r="H162" i="18"/>
  <c r="J162" i="17"/>
  <c r="H164" i="18"/>
  <c r="J164" i="17"/>
  <c r="H142" i="18"/>
  <c r="J142" i="17"/>
  <c r="H139" i="18"/>
  <c r="J139" i="17"/>
  <c r="H140" i="18"/>
  <c r="J140" i="17"/>
  <c r="H141" i="18"/>
  <c r="J141" i="17"/>
  <c r="H138" i="18"/>
  <c r="J138" i="17"/>
  <c r="H112" i="18"/>
  <c r="J112" i="17"/>
  <c r="H117" i="18"/>
  <c r="J117" i="17"/>
  <c r="H118" i="18"/>
  <c r="J118" i="17"/>
  <c r="H113" i="17"/>
  <c r="J113" i="16"/>
  <c r="H120" i="18"/>
  <c r="J120" i="17"/>
  <c r="H116" i="18"/>
  <c r="J116" i="17"/>
  <c r="H123" i="18"/>
  <c r="J123" i="17"/>
  <c r="H114" i="18"/>
  <c r="J114" i="17"/>
  <c r="H121" i="18"/>
  <c r="J121" i="17"/>
  <c r="H122" i="18"/>
  <c r="J122" i="17"/>
  <c r="H119" i="18"/>
  <c r="J119" i="17"/>
  <c r="H115" i="18"/>
  <c r="J115" i="17"/>
  <c r="E5" i="44"/>
  <c r="E7" i="44"/>
  <c r="E6" i="44"/>
  <c r="E8" i="44"/>
  <c r="AN5" i="49"/>
  <c r="G99" i="18" l="1"/>
  <c r="G101" i="18"/>
  <c r="G105" i="18"/>
  <c r="G103" i="18"/>
  <c r="G99" i="17"/>
  <c r="H99" i="17" s="1"/>
  <c r="G103" i="17"/>
  <c r="H103" i="17" s="1"/>
  <c r="H101" i="17"/>
  <c r="G95" i="17"/>
  <c r="H95" i="17" s="1"/>
  <c r="H95" i="18" s="1"/>
  <c r="H7" i="17"/>
  <c r="H7" i="18" s="1"/>
  <c r="I59" i="17"/>
  <c r="G105" i="17"/>
  <c r="H105" i="17" s="1"/>
  <c r="H105" i="18" s="1"/>
  <c r="G97" i="17"/>
  <c r="H97" i="17" s="1"/>
  <c r="H97" i="18" s="1"/>
  <c r="I59" i="18"/>
  <c r="G7" i="19"/>
  <c r="G95" i="19" s="1"/>
  <c r="E27" i="19"/>
  <c r="G27" i="19" s="1"/>
  <c r="H27" i="19" s="1"/>
  <c r="N8" i="19"/>
  <c r="E19" i="16"/>
  <c r="G19" i="16" s="1"/>
  <c r="E30" i="15"/>
  <c r="G30" i="15" s="1"/>
  <c r="G32" i="15" s="1"/>
  <c r="H32" i="15" s="1"/>
  <c r="G187" i="15"/>
  <c r="H187" i="15" s="1"/>
  <c r="J187" i="15" s="1"/>
  <c r="G20" i="15"/>
  <c r="H20" i="15" s="1"/>
  <c r="H19" i="15"/>
  <c r="H15" i="31"/>
  <c r="J15" i="31" s="1"/>
  <c r="G79" i="31"/>
  <c r="G80" i="31" s="1"/>
  <c r="G28" i="31"/>
  <c r="H28" i="31" s="1"/>
  <c r="G9" i="20"/>
  <c r="H9" i="20" s="1"/>
  <c r="G10" i="27"/>
  <c r="H10" i="27" s="1"/>
  <c r="G8" i="20"/>
  <c r="E27" i="20" s="1"/>
  <c r="G27" i="20" s="1"/>
  <c r="J156" i="40"/>
  <c r="H155" i="27"/>
  <c r="J155" i="40"/>
  <c r="H148" i="19"/>
  <c r="J148" i="18"/>
  <c r="J149" i="18"/>
  <c r="H149" i="19"/>
  <c r="J143" i="18"/>
  <c r="H143" i="19"/>
  <c r="H147" i="19"/>
  <c r="J147" i="18"/>
  <c r="J144" i="18"/>
  <c r="H144" i="19"/>
  <c r="H151" i="21"/>
  <c r="J151" i="20"/>
  <c r="J134" i="22"/>
  <c r="H134" i="23"/>
  <c r="J146" i="18"/>
  <c r="H146" i="19"/>
  <c r="H152" i="23"/>
  <c r="H152" i="24" s="1"/>
  <c r="J152" i="22"/>
  <c r="J145" i="18"/>
  <c r="H145" i="19"/>
  <c r="J150" i="18"/>
  <c r="H150" i="19"/>
  <c r="H182" i="24"/>
  <c r="J182" i="23"/>
  <c r="H127" i="24"/>
  <c r="J127" i="23"/>
  <c r="H133" i="19"/>
  <c r="J133" i="18"/>
  <c r="H129" i="19"/>
  <c r="J129" i="18"/>
  <c r="H132" i="19"/>
  <c r="J132" i="18"/>
  <c r="H128" i="19"/>
  <c r="J128" i="18"/>
  <c r="H131" i="19"/>
  <c r="J131" i="18"/>
  <c r="H130" i="19"/>
  <c r="J130" i="18"/>
  <c r="H167" i="27"/>
  <c r="J167" i="40"/>
  <c r="H168" i="27"/>
  <c r="J168" i="40"/>
  <c r="H166" i="27"/>
  <c r="J166" i="40"/>
  <c r="H177" i="24"/>
  <c r="J177" i="23"/>
  <c r="J186" i="17"/>
  <c r="H186" i="18"/>
  <c r="H184" i="19"/>
  <c r="J184" i="18"/>
  <c r="H180" i="19"/>
  <c r="J180" i="18"/>
  <c r="H175" i="18"/>
  <c r="J175" i="17"/>
  <c r="H189" i="18"/>
  <c r="J189" i="17"/>
  <c r="H174" i="19"/>
  <c r="J174" i="18"/>
  <c r="H173" i="19"/>
  <c r="J173" i="18"/>
  <c r="H179" i="19"/>
  <c r="J179" i="18"/>
  <c r="H181" i="18"/>
  <c r="J181" i="17"/>
  <c r="H176" i="17"/>
  <c r="J176" i="16"/>
  <c r="H178" i="19"/>
  <c r="J178" i="18"/>
  <c r="H183" i="19"/>
  <c r="J183" i="18"/>
  <c r="H185" i="19"/>
  <c r="J185" i="18"/>
  <c r="H164" i="19"/>
  <c r="J164" i="18"/>
  <c r="H165" i="19"/>
  <c r="J165" i="18"/>
  <c r="H161" i="19"/>
  <c r="J161" i="18"/>
  <c r="H162" i="19"/>
  <c r="J162" i="18"/>
  <c r="H163" i="18"/>
  <c r="J163" i="17"/>
  <c r="H188" i="17"/>
  <c r="J188" i="16"/>
  <c r="H138" i="19"/>
  <c r="J138" i="18"/>
  <c r="H141" i="19"/>
  <c r="J141" i="18"/>
  <c r="H140" i="19"/>
  <c r="J140" i="18"/>
  <c r="H139" i="19"/>
  <c r="J139" i="18"/>
  <c r="H142" i="19"/>
  <c r="J142" i="18"/>
  <c r="H119" i="19"/>
  <c r="J119" i="18"/>
  <c r="H121" i="19"/>
  <c r="J121" i="18"/>
  <c r="H123" i="19"/>
  <c r="J123" i="18"/>
  <c r="H120" i="19"/>
  <c r="J120" i="18"/>
  <c r="H118" i="19"/>
  <c r="J118" i="18"/>
  <c r="H112" i="19"/>
  <c r="J112" i="18"/>
  <c r="H115" i="19"/>
  <c r="J115" i="18"/>
  <c r="H122" i="19"/>
  <c r="J122" i="18"/>
  <c r="H114" i="19"/>
  <c r="J114" i="18"/>
  <c r="H116" i="19"/>
  <c r="J116" i="18"/>
  <c r="H113" i="18"/>
  <c r="J113" i="17"/>
  <c r="H117" i="19"/>
  <c r="J117" i="18"/>
  <c r="BM1" i="49"/>
  <c r="BH1" i="49"/>
  <c r="BI1" i="49"/>
  <c r="BJ1" i="49"/>
  <c r="BK1" i="49"/>
  <c r="BL1" i="49"/>
  <c r="BG1" i="49"/>
  <c r="F1" i="49"/>
  <c r="G1" i="49"/>
  <c r="H1" i="49"/>
  <c r="I1" i="49"/>
  <c r="J1" i="49"/>
  <c r="K1" i="49"/>
  <c r="L1" i="49"/>
  <c r="M1" i="49"/>
  <c r="N1" i="49"/>
  <c r="O1" i="49"/>
  <c r="P1" i="49"/>
  <c r="Q1" i="49"/>
  <c r="R1" i="49"/>
  <c r="S1" i="49"/>
  <c r="T1" i="49"/>
  <c r="U1" i="49"/>
  <c r="V1" i="49"/>
  <c r="W1" i="49"/>
  <c r="X1" i="49"/>
  <c r="Y1" i="49"/>
  <c r="Z1" i="49"/>
  <c r="AA1" i="49"/>
  <c r="AB1" i="49"/>
  <c r="AC1" i="49"/>
  <c r="AD1" i="49"/>
  <c r="AE1" i="49"/>
  <c r="AF1" i="49"/>
  <c r="AG1" i="49"/>
  <c r="AH1" i="49"/>
  <c r="AI1" i="49"/>
  <c r="AJ1" i="49"/>
  <c r="AK1" i="49"/>
  <c r="AL1" i="49"/>
  <c r="E1" i="49"/>
  <c r="H99" i="18" l="1"/>
  <c r="H101" i="18"/>
  <c r="H103" i="18"/>
  <c r="G99" i="19"/>
  <c r="G103" i="19"/>
  <c r="O8" i="19"/>
  <c r="G97" i="19"/>
  <c r="H97" i="19" s="1"/>
  <c r="H7" i="19"/>
  <c r="I59" i="19"/>
  <c r="H95" i="19"/>
  <c r="G101" i="19"/>
  <c r="G105" i="19"/>
  <c r="H105" i="19" s="1"/>
  <c r="E7" i="20"/>
  <c r="H79" i="31"/>
  <c r="G10" i="28"/>
  <c r="H10" i="28" s="1"/>
  <c r="H30" i="15"/>
  <c r="H27" i="20"/>
  <c r="E19" i="17"/>
  <c r="H19" i="16"/>
  <c r="G20" i="16"/>
  <c r="H20" i="16" s="1"/>
  <c r="G187" i="16"/>
  <c r="H187" i="16" s="1"/>
  <c r="J187" i="16" s="1"/>
  <c r="E30" i="16"/>
  <c r="G30" i="16" s="1"/>
  <c r="G32" i="16" s="1"/>
  <c r="H32" i="16" s="1"/>
  <c r="G9" i="21"/>
  <c r="H9" i="21" s="1"/>
  <c r="E9" i="22"/>
  <c r="E8" i="22"/>
  <c r="J156" i="27"/>
  <c r="J155" i="27"/>
  <c r="H155" i="28"/>
  <c r="H148" i="20"/>
  <c r="J148" i="19"/>
  <c r="H146" i="20"/>
  <c r="J146" i="19"/>
  <c r="J152" i="23"/>
  <c r="J147" i="19"/>
  <c r="H147" i="20"/>
  <c r="H150" i="20"/>
  <c r="J150" i="19"/>
  <c r="J134" i="23"/>
  <c r="H134" i="24"/>
  <c r="H143" i="20"/>
  <c r="J143" i="19"/>
  <c r="J145" i="19"/>
  <c r="H145" i="20"/>
  <c r="J149" i="19"/>
  <c r="H149" i="20"/>
  <c r="H151" i="22"/>
  <c r="J151" i="21"/>
  <c r="J144" i="19"/>
  <c r="H144" i="20"/>
  <c r="J177" i="24"/>
  <c r="H177" i="25"/>
  <c r="H167" i="28"/>
  <c r="J167" i="27"/>
  <c r="H133" i="20"/>
  <c r="J133" i="19"/>
  <c r="J182" i="24"/>
  <c r="H182" i="25"/>
  <c r="H166" i="28"/>
  <c r="J166" i="27"/>
  <c r="H130" i="20"/>
  <c r="J130" i="19"/>
  <c r="H128" i="20"/>
  <c r="J128" i="19"/>
  <c r="H129" i="20"/>
  <c r="J129" i="19"/>
  <c r="J127" i="24"/>
  <c r="H127" i="25"/>
  <c r="H168" i="28"/>
  <c r="J168" i="27"/>
  <c r="H131" i="20"/>
  <c r="J131" i="19"/>
  <c r="H132" i="20"/>
  <c r="J132" i="19"/>
  <c r="H185" i="20"/>
  <c r="J185" i="19"/>
  <c r="H178" i="20"/>
  <c r="J178" i="19"/>
  <c r="H181" i="19"/>
  <c r="J181" i="18"/>
  <c r="H173" i="20"/>
  <c r="J173" i="19"/>
  <c r="H189" i="19"/>
  <c r="J189" i="19" s="1"/>
  <c r="J189" i="18"/>
  <c r="H180" i="20"/>
  <c r="J180" i="19"/>
  <c r="H186" i="19"/>
  <c r="J186" i="18"/>
  <c r="H183" i="20"/>
  <c r="J183" i="19"/>
  <c r="H176" i="18"/>
  <c r="J176" i="17"/>
  <c r="H179" i="20"/>
  <c r="J179" i="19"/>
  <c r="H174" i="20"/>
  <c r="J174" i="19"/>
  <c r="H175" i="19"/>
  <c r="J175" i="18"/>
  <c r="H184" i="20"/>
  <c r="J184" i="19"/>
  <c r="H188" i="18"/>
  <c r="J188" i="17"/>
  <c r="H162" i="20"/>
  <c r="J162" i="19"/>
  <c r="H164" i="20"/>
  <c r="J164" i="19"/>
  <c r="H163" i="19"/>
  <c r="J163" i="18"/>
  <c r="H161" i="20"/>
  <c r="J161" i="19"/>
  <c r="H165" i="20"/>
  <c r="J165" i="19"/>
  <c r="H140" i="20"/>
  <c r="J140" i="19"/>
  <c r="H138" i="20"/>
  <c r="J138" i="19"/>
  <c r="H142" i="20"/>
  <c r="J142" i="19"/>
  <c r="H139" i="20"/>
  <c r="J139" i="19"/>
  <c r="H141" i="20"/>
  <c r="J141" i="19"/>
  <c r="H113" i="19"/>
  <c r="J113" i="18"/>
  <c r="H114" i="20"/>
  <c r="J114" i="19"/>
  <c r="H115" i="20"/>
  <c r="J115" i="19"/>
  <c r="H118" i="20"/>
  <c r="J118" i="19"/>
  <c r="H123" i="20"/>
  <c r="J123" i="19"/>
  <c r="H119" i="20"/>
  <c r="J119" i="19"/>
  <c r="H117" i="20"/>
  <c r="J117" i="19"/>
  <c r="H116" i="20"/>
  <c r="J116" i="19"/>
  <c r="H122" i="20"/>
  <c r="J122" i="19"/>
  <c r="H112" i="20"/>
  <c r="J112" i="19"/>
  <c r="H120" i="20"/>
  <c r="J120" i="19"/>
  <c r="H121" i="20"/>
  <c r="J121" i="19"/>
  <c r="B3" i="49"/>
  <c r="B4" i="49" s="1"/>
  <c r="B5" i="49" s="1"/>
  <c r="B6" i="49" s="1"/>
  <c r="B7" i="49" s="1"/>
  <c r="B8" i="49" s="1"/>
  <c r="B9" i="49" s="1"/>
  <c r="B10" i="49" s="1"/>
  <c r="B11" i="49" s="1"/>
  <c r="B12" i="49" s="1"/>
  <c r="B13" i="49" s="1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B30" i="49" s="1"/>
  <c r="B31" i="49" s="1"/>
  <c r="B32" i="49" s="1"/>
  <c r="H99" i="19" l="1"/>
  <c r="H101" i="19"/>
  <c r="H103" i="19"/>
  <c r="G7" i="20"/>
  <c r="G8" i="21"/>
  <c r="E27" i="21" s="1"/>
  <c r="G27" i="21" s="1"/>
  <c r="H27" i="21" s="1"/>
  <c r="H30" i="16"/>
  <c r="G8" i="22"/>
  <c r="E27" i="22" s="1"/>
  <c r="G27" i="22" s="1"/>
  <c r="J155" i="28"/>
  <c r="H155" i="29"/>
  <c r="J156" i="28"/>
  <c r="H156" i="29"/>
  <c r="J145" i="20"/>
  <c r="H145" i="21"/>
  <c r="H147" i="21"/>
  <c r="J147" i="20"/>
  <c r="H144" i="21"/>
  <c r="J144" i="20"/>
  <c r="J143" i="20"/>
  <c r="H143" i="21"/>
  <c r="H152" i="25"/>
  <c r="J152" i="24"/>
  <c r="H134" i="25"/>
  <c r="J134" i="24"/>
  <c r="H151" i="23"/>
  <c r="J151" i="22"/>
  <c r="J146" i="20"/>
  <c r="H146" i="21"/>
  <c r="J149" i="20"/>
  <c r="H149" i="21"/>
  <c r="H150" i="21"/>
  <c r="J150" i="20"/>
  <c r="J148" i="20"/>
  <c r="H148" i="21"/>
  <c r="H132" i="21"/>
  <c r="J132" i="20"/>
  <c r="H129" i="21"/>
  <c r="J129" i="20"/>
  <c r="H177" i="40"/>
  <c r="J177" i="25"/>
  <c r="H133" i="21"/>
  <c r="J133" i="20"/>
  <c r="H131" i="21"/>
  <c r="J131" i="20"/>
  <c r="H128" i="21"/>
  <c r="J128" i="20"/>
  <c r="H167" i="29"/>
  <c r="J167" i="28"/>
  <c r="H168" i="29"/>
  <c r="J168" i="28"/>
  <c r="H130" i="21"/>
  <c r="J130" i="20"/>
  <c r="H166" i="29"/>
  <c r="J166" i="28"/>
  <c r="H127" i="40"/>
  <c r="J127" i="25"/>
  <c r="H182" i="40"/>
  <c r="J182" i="25"/>
  <c r="H184" i="21"/>
  <c r="J184" i="20"/>
  <c r="H174" i="21"/>
  <c r="J174" i="20"/>
  <c r="H176" i="19"/>
  <c r="J176" i="18"/>
  <c r="H186" i="20"/>
  <c r="J186" i="19"/>
  <c r="H181" i="20"/>
  <c r="J181" i="19"/>
  <c r="H185" i="21"/>
  <c r="J185" i="20"/>
  <c r="H175" i="20"/>
  <c r="J175" i="19"/>
  <c r="H179" i="21"/>
  <c r="J179" i="20"/>
  <c r="H183" i="21"/>
  <c r="J183" i="20"/>
  <c r="H180" i="21"/>
  <c r="J180" i="20"/>
  <c r="H173" i="21"/>
  <c r="J173" i="20"/>
  <c r="H178" i="21"/>
  <c r="J178" i="20"/>
  <c r="H165" i="21"/>
  <c r="J165" i="20"/>
  <c r="H163" i="20"/>
  <c r="J163" i="19"/>
  <c r="H188" i="19"/>
  <c r="J188" i="18"/>
  <c r="H161" i="21"/>
  <c r="J161" i="20"/>
  <c r="H164" i="21"/>
  <c r="J164" i="20"/>
  <c r="H162" i="21"/>
  <c r="J162" i="20"/>
  <c r="H138" i="21"/>
  <c r="J138" i="20"/>
  <c r="H140" i="21"/>
  <c r="J140" i="20"/>
  <c r="H139" i="21"/>
  <c r="J139" i="20"/>
  <c r="H141" i="21"/>
  <c r="J141" i="20"/>
  <c r="H142" i="21"/>
  <c r="J142" i="20"/>
  <c r="H120" i="21"/>
  <c r="J120" i="20"/>
  <c r="H122" i="21"/>
  <c r="J122" i="20"/>
  <c r="H117" i="21"/>
  <c r="J117" i="20"/>
  <c r="H123" i="21"/>
  <c r="J123" i="20"/>
  <c r="H115" i="21"/>
  <c r="J115" i="20"/>
  <c r="H113" i="20"/>
  <c r="J113" i="19"/>
  <c r="H121" i="21"/>
  <c r="J121" i="20"/>
  <c r="H112" i="21"/>
  <c r="J112" i="20"/>
  <c r="H116" i="21"/>
  <c r="J116" i="20"/>
  <c r="H119" i="21"/>
  <c r="J119" i="20"/>
  <c r="H118" i="21"/>
  <c r="J118" i="20"/>
  <c r="H114" i="21"/>
  <c r="J114" i="20"/>
  <c r="K31" i="47"/>
  <c r="G3" i="48"/>
  <c r="G4" i="48"/>
  <c r="G5" i="48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K2" i="47"/>
  <c r="H4" i="45"/>
  <c r="AM35" i="1"/>
  <c r="T35" i="1"/>
  <c r="P35" i="1"/>
  <c r="M35" i="1"/>
  <c r="B3" i="47"/>
  <c r="B4" i="47" s="1"/>
  <c r="B5" i="47" s="1"/>
  <c r="B6" i="47" s="1"/>
  <c r="B7" i="47" s="1"/>
  <c r="B8" i="47" s="1"/>
  <c r="B9" i="47" s="1"/>
  <c r="B10" i="47" s="1"/>
  <c r="B11" i="47" s="1"/>
  <c r="B12" i="47" s="1"/>
  <c r="B13" i="47" s="1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B32" i="47" s="1"/>
  <c r="G7" i="21" l="1"/>
  <c r="G95" i="20"/>
  <c r="H95" i="20" s="1"/>
  <c r="G105" i="20"/>
  <c r="H105" i="20" s="1"/>
  <c r="H7" i="20"/>
  <c r="I59" i="20"/>
  <c r="G103" i="20"/>
  <c r="H103" i="20" s="1"/>
  <c r="G99" i="20"/>
  <c r="H99" i="20" s="1"/>
  <c r="G101" i="20"/>
  <c r="H101" i="20" s="1"/>
  <c r="G97" i="20"/>
  <c r="H97" i="20" s="1"/>
  <c r="E30" i="17"/>
  <c r="G30" i="17" s="1"/>
  <c r="G20" i="17"/>
  <c r="H20" i="17" s="1"/>
  <c r="G187" i="17"/>
  <c r="H187" i="17" s="1"/>
  <c r="J187" i="17" s="1"/>
  <c r="E19" i="18"/>
  <c r="H19" i="17"/>
  <c r="G9" i="23"/>
  <c r="G10" i="29"/>
  <c r="H10" i="29" s="1"/>
  <c r="G8" i="23"/>
  <c r="E27" i="23" s="1"/>
  <c r="G27" i="23" s="1"/>
  <c r="G9" i="22"/>
  <c r="H9" i="22" s="1"/>
  <c r="H27" i="22"/>
  <c r="J3" i="48"/>
  <c r="M4" i="45" s="1"/>
  <c r="J4" i="45"/>
  <c r="K5" i="47"/>
  <c r="J5" i="48"/>
  <c r="K4" i="47"/>
  <c r="J4" i="48"/>
  <c r="H156" i="30"/>
  <c r="J156" i="29"/>
  <c r="J155" i="29"/>
  <c r="H155" i="30"/>
  <c r="H146" i="22"/>
  <c r="J146" i="21"/>
  <c r="H143" i="22"/>
  <c r="J143" i="21"/>
  <c r="J152" i="25"/>
  <c r="H152" i="40"/>
  <c r="H151" i="24"/>
  <c r="J151" i="23"/>
  <c r="J144" i="21"/>
  <c r="H144" i="22"/>
  <c r="H150" i="22"/>
  <c r="J150" i="21"/>
  <c r="H134" i="40"/>
  <c r="J134" i="25"/>
  <c r="J147" i="21"/>
  <c r="H147" i="22"/>
  <c r="J148" i="21"/>
  <c r="H148" i="22"/>
  <c r="H149" i="22"/>
  <c r="J149" i="21"/>
  <c r="J145" i="21"/>
  <c r="H145" i="22"/>
  <c r="H182" i="27"/>
  <c r="J182" i="40"/>
  <c r="J166" i="29"/>
  <c r="H166" i="30"/>
  <c r="H131" i="22"/>
  <c r="J131" i="21"/>
  <c r="H132" i="22"/>
  <c r="J132" i="21"/>
  <c r="H127" i="27"/>
  <c r="J127" i="40"/>
  <c r="H130" i="22"/>
  <c r="J130" i="21"/>
  <c r="H167" i="30"/>
  <c r="J167" i="29"/>
  <c r="H128" i="22"/>
  <c r="J128" i="21"/>
  <c r="H133" i="22"/>
  <c r="J133" i="21"/>
  <c r="H129" i="22"/>
  <c r="J129" i="21"/>
  <c r="J168" i="29"/>
  <c r="H168" i="30"/>
  <c r="H177" i="27"/>
  <c r="J177" i="40"/>
  <c r="H173" i="22"/>
  <c r="J173" i="21"/>
  <c r="H183" i="22"/>
  <c r="J183" i="21"/>
  <c r="H175" i="21"/>
  <c r="J175" i="20"/>
  <c r="H181" i="21"/>
  <c r="J181" i="20"/>
  <c r="H176" i="20"/>
  <c r="J176" i="19"/>
  <c r="H184" i="22"/>
  <c r="J184" i="21"/>
  <c r="H178" i="22"/>
  <c r="J178" i="21"/>
  <c r="H180" i="22"/>
  <c r="J180" i="21"/>
  <c r="H179" i="22"/>
  <c r="J179" i="21"/>
  <c r="H185" i="22"/>
  <c r="J185" i="21"/>
  <c r="H186" i="21"/>
  <c r="J186" i="20"/>
  <c r="H174" i="22"/>
  <c r="J174" i="21"/>
  <c r="H162" i="22"/>
  <c r="J162" i="21"/>
  <c r="H161" i="22"/>
  <c r="J161" i="21"/>
  <c r="H165" i="22"/>
  <c r="J165" i="21"/>
  <c r="H164" i="22"/>
  <c r="J164" i="21"/>
  <c r="H188" i="20"/>
  <c r="J188" i="19"/>
  <c r="H163" i="21"/>
  <c r="J163" i="20"/>
  <c r="H142" i="22"/>
  <c r="J142" i="21"/>
  <c r="H141" i="22"/>
  <c r="J141" i="21"/>
  <c r="H139" i="22"/>
  <c r="J139" i="21"/>
  <c r="H140" i="22"/>
  <c r="J140" i="21"/>
  <c r="H138" i="22"/>
  <c r="J138" i="21"/>
  <c r="H118" i="22"/>
  <c r="J118" i="21"/>
  <c r="H116" i="22"/>
  <c r="J116" i="21"/>
  <c r="H121" i="22"/>
  <c r="J121" i="21"/>
  <c r="H115" i="22"/>
  <c r="J115" i="21"/>
  <c r="H117" i="22"/>
  <c r="J117" i="21"/>
  <c r="H120" i="22"/>
  <c r="J120" i="21"/>
  <c r="H114" i="22"/>
  <c r="J114" i="21"/>
  <c r="H119" i="22"/>
  <c r="J119" i="21"/>
  <c r="H112" i="22"/>
  <c r="J112" i="21"/>
  <c r="H113" i="21"/>
  <c r="J113" i="20"/>
  <c r="H123" i="22"/>
  <c r="J123" i="21"/>
  <c r="H122" i="22"/>
  <c r="J122" i="21"/>
  <c r="K3" i="47"/>
  <c r="G33" i="48"/>
  <c r="E33" i="48"/>
  <c r="G7" i="22" l="1"/>
  <c r="G103" i="21"/>
  <c r="H103" i="21" s="1"/>
  <c r="G97" i="21"/>
  <c r="H97" i="21" s="1"/>
  <c r="G99" i="21"/>
  <c r="H99" i="21" s="1"/>
  <c r="G95" i="21"/>
  <c r="H95" i="21" s="1"/>
  <c r="G105" i="21"/>
  <c r="H105" i="21" s="1"/>
  <c r="I59" i="21"/>
  <c r="G101" i="21"/>
  <c r="H101" i="21" s="1"/>
  <c r="H7" i="21"/>
  <c r="H9" i="23"/>
  <c r="G19" i="18"/>
  <c r="E30" i="18" s="1"/>
  <c r="G32" i="17"/>
  <c r="H32" i="17" s="1"/>
  <c r="H30" i="17"/>
  <c r="G9" i="24"/>
  <c r="E9" i="25"/>
  <c r="E9" i="40" s="1"/>
  <c r="E9" i="27" s="1"/>
  <c r="E9" i="28" s="1"/>
  <c r="G8" i="24"/>
  <c r="E27" i="24" s="1"/>
  <c r="G27" i="24" s="1"/>
  <c r="E8" i="25"/>
  <c r="H27" i="23"/>
  <c r="H156" i="43"/>
  <c r="H156" i="31" s="1"/>
  <c r="J156" i="30"/>
  <c r="H155" i="43"/>
  <c r="J155" i="30"/>
  <c r="J151" i="24"/>
  <c r="H151" i="25"/>
  <c r="H145" i="23"/>
  <c r="J145" i="22"/>
  <c r="J152" i="40"/>
  <c r="H152" i="27"/>
  <c r="J147" i="22"/>
  <c r="H147" i="23"/>
  <c r="H134" i="27"/>
  <c r="J134" i="40"/>
  <c r="J149" i="22"/>
  <c r="H149" i="23"/>
  <c r="H150" i="23"/>
  <c r="J150" i="22"/>
  <c r="H143" i="23"/>
  <c r="J143" i="22"/>
  <c r="H148" i="23"/>
  <c r="J148" i="22"/>
  <c r="J144" i="22"/>
  <c r="H144" i="23"/>
  <c r="J146" i="22"/>
  <c r="H146" i="23"/>
  <c r="H129" i="23"/>
  <c r="J129" i="22"/>
  <c r="H130" i="23"/>
  <c r="J130" i="22"/>
  <c r="H132" i="23"/>
  <c r="J132" i="22"/>
  <c r="H133" i="23"/>
  <c r="J133" i="22"/>
  <c r="J167" i="30"/>
  <c r="H167" i="43"/>
  <c r="J127" i="27"/>
  <c r="H127" i="28"/>
  <c r="H131" i="23"/>
  <c r="J131" i="22"/>
  <c r="J177" i="27"/>
  <c r="H177" i="28"/>
  <c r="H128" i="23"/>
  <c r="J128" i="22"/>
  <c r="H182" i="28"/>
  <c r="J182" i="27"/>
  <c r="H168" i="43"/>
  <c r="J168" i="30"/>
  <c r="J166" i="30"/>
  <c r="H166" i="43"/>
  <c r="H186" i="22"/>
  <c r="J186" i="21"/>
  <c r="H179" i="23"/>
  <c r="J179" i="22"/>
  <c r="H178" i="23"/>
  <c r="J178" i="22"/>
  <c r="H176" i="21"/>
  <c r="J176" i="20"/>
  <c r="H175" i="22"/>
  <c r="J175" i="21"/>
  <c r="H173" i="23"/>
  <c r="J173" i="22"/>
  <c r="H174" i="23"/>
  <c r="J174" i="22"/>
  <c r="H185" i="23"/>
  <c r="J185" i="22"/>
  <c r="H180" i="23"/>
  <c r="J180" i="22"/>
  <c r="H184" i="23"/>
  <c r="J184" i="22"/>
  <c r="H181" i="22"/>
  <c r="J181" i="21"/>
  <c r="H183" i="23"/>
  <c r="J183" i="22"/>
  <c r="H163" i="22"/>
  <c r="J163" i="21"/>
  <c r="H164" i="23"/>
  <c r="J164" i="22"/>
  <c r="H162" i="23"/>
  <c r="J162" i="22"/>
  <c r="H188" i="21"/>
  <c r="J188" i="20"/>
  <c r="H165" i="23"/>
  <c r="J165" i="22"/>
  <c r="H161" i="23"/>
  <c r="J161" i="22"/>
  <c r="H138" i="23"/>
  <c r="J138" i="22"/>
  <c r="H139" i="23"/>
  <c r="J139" i="22"/>
  <c r="H142" i="23"/>
  <c r="H142" i="24" s="1"/>
  <c r="J142" i="24" s="1"/>
  <c r="J142" i="22"/>
  <c r="H140" i="23"/>
  <c r="J140" i="22"/>
  <c r="H141" i="23"/>
  <c r="H141" i="24" s="1"/>
  <c r="J141" i="24" s="1"/>
  <c r="J141" i="22"/>
  <c r="H123" i="23"/>
  <c r="J123" i="22"/>
  <c r="H112" i="23"/>
  <c r="J112" i="22"/>
  <c r="H114" i="23"/>
  <c r="J114" i="22"/>
  <c r="H117" i="23"/>
  <c r="J117" i="22"/>
  <c r="H121" i="23"/>
  <c r="J121" i="22"/>
  <c r="H118" i="23"/>
  <c r="J118" i="22"/>
  <c r="H122" i="23"/>
  <c r="J122" i="22"/>
  <c r="H113" i="22"/>
  <c r="J113" i="21"/>
  <c r="H119" i="23"/>
  <c r="J119" i="22"/>
  <c r="H120" i="23"/>
  <c r="J120" i="22"/>
  <c r="H115" i="23"/>
  <c r="J115" i="22"/>
  <c r="H116" i="23"/>
  <c r="J116" i="22"/>
  <c r="AP45" i="44"/>
  <c r="AP41" i="44"/>
  <c r="G7" i="23" l="1"/>
  <c r="G99" i="22"/>
  <c r="H99" i="22" s="1"/>
  <c r="G97" i="22"/>
  <c r="H97" i="22" s="1"/>
  <c r="G95" i="22"/>
  <c r="H95" i="22" s="1"/>
  <c r="G105" i="22"/>
  <c r="H105" i="22" s="1"/>
  <c r="G103" i="22"/>
  <c r="H103" i="22" s="1"/>
  <c r="G101" i="22"/>
  <c r="H101" i="22" s="1"/>
  <c r="H7" i="22"/>
  <c r="I59" i="22"/>
  <c r="H9" i="24"/>
  <c r="G20" i="18"/>
  <c r="H20" i="18" s="1"/>
  <c r="G187" i="18"/>
  <c r="H187" i="18" s="1"/>
  <c r="J187" i="18" s="1"/>
  <c r="G30" i="18"/>
  <c r="G32" i="18" s="1"/>
  <c r="H32" i="18" s="1"/>
  <c r="E19" i="19"/>
  <c r="H19" i="18"/>
  <c r="G9" i="25"/>
  <c r="G10" i="30"/>
  <c r="H10" i="30" s="1"/>
  <c r="H27" i="24"/>
  <c r="H155" i="31"/>
  <c r="J155" i="31" s="1"/>
  <c r="J155" i="43"/>
  <c r="J156" i="31"/>
  <c r="J156" i="43"/>
  <c r="H143" i="24"/>
  <c r="J143" i="23"/>
  <c r="H146" i="24"/>
  <c r="J146" i="23"/>
  <c r="J152" i="27"/>
  <c r="H152" i="28"/>
  <c r="H150" i="24"/>
  <c r="J150" i="23"/>
  <c r="H144" i="24"/>
  <c r="J144" i="23"/>
  <c r="H149" i="24"/>
  <c r="J149" i="23"/>
  <c r="H145" i="24"/>
  <c r="J145" i="23"/>
  <c r="H147" i="24"/>
  <c r="J147" i="23"/>
  <c r="H151" i="40"/>
  <c r="J151" i="25"/>
  <c r="H148" i="24"/>
  <c r="J148" i="23"/>
  <c r="J134" i="27"/>
  <c r="H134" i="28"/>
  <c r="H182" i="29"/>
  <c r="J182" i="28"/>
  <c r="H129" i="24"/>
  <c r="J129" i="23"/>
  <c r="H166" i="31"/>
  <c r="J166" i="31" s="1"/>
  <c r="J166" i="43"/>
  <c r="J177" i="28"/>
  <c r="H177" i="29"/>
  <c r="J127" i="28"/>
  <c r="H127" i="29"/>
  <c r="H132" i="24"/>
  <c r="J132" i="23"/>
  <c r="H168" i="31"/>
  <c r="J168" i="31" s="1"/>
  <c r="J168" i="43"/>
  <c r="H128" i="24"/>
  <c r="J128" i="23"/>
  <c r="H131" i="24"/>
  <c r="J131" i="23"/>
  <c r="H130" i="24"/>
  <c r="J130" i="23"/>
  <c r="H133" i="24"/>
  <c r="J133" i="23"/>
  <c r="H167" i="31"/>
  <c r="J167" i="31" s="1"/>
  <c r="J167" i="43"/>
  <c r="H181" i="23"/>
  <c r="J181" i="22"/>
  <c r="H180" i="24"/>
  <c r="J180" i="23"/>
  <c r="H174" i="24"/>
  <c r="J174" i="23"/>
  <c r="H175" i="23"/>
  <c r="J175" i="22"/>
  <c r="H178" i="24"/>
  <c r="J178" i="23"/>
  <c r="H186" i="23"/>
  <c r="J186" i="22"/>
  <c r="H183" i="24"/>
  <c r="J183" i="23"/>
  <c r="H184" i="24"/>
  <c r="J184" i="23"/>
  <c r="H185" i="24"/>
  <c r="J185" i="23"/>
  <c r="H173" i="24"/>
  <c r="J173" i="23"/>
  <c r="H176" i="22"/>
  <c r="J176" i="21"/>
  <c r="H179" i="24"/>
  <c r="J179" i="23"/>
  <c r="H161" i="24"/>
  <c r="J161" i="23"/>
  <c r="H188" i="22"/>
  <c r="J188" i="21"/>
  <c r="H163" i="23"/>
  <c r="J163" i="22"/>
  <c r="H165" i="24"/>
  <c r="J165" i="23"/>
  <c r="H162" i="24"/>
  <c r="J162" i="23"/>
  <c r="H164" i="24"/>
  <c r="J164" i="23"/>
  <c r="H138" i="24"/>
  <c r="J138" i="23"/>
  <c r="H140" i="24"/>
  <c r="J140" i="23"/>
  <c r="J141" i="23"/>
  <c r="J142" i="23"/>
  <c r="H139" i="24"/>
  <c r="J139" i="23"/>
  <c r="H115" i="24"/>
  <c r="J115" i="23"/>
  <c r="H119" i="24"/>
  <c r="J119" i="23"/>
  <c r="H122" i="24"/>
  <c r="J122" i="23"/>
  <c r="H121" i="24"/>
  <c r="J121" i="23"/>
  <c r="H114" i="24"/>
  <c r="J114" i="23"/>
  <c r="H123" i="24"/>
  <c r="J123" i="23"/>
  <c r="H116" i="24"/>
  <c r="J116" i="23"/>
  <c r="H120" i="24"/>
  <c r="J120" i="23"/>
  <c r="H113" i="23"/>
  <c r="J113" i="22"/>
  <c r="H118" i="24"/>
  <c r="J118" i="23"/>
  <c r="H117" i="24"/>
  <c r="J117" i="23"/>
  <c r="H112" i="24"/>
  <c r="J112" i="23"/>
  <c r="AC35" i="44"/>
  <c r="E7" i="25" l="1"/>
  <c r="G7" i="24"/>
  <c r="G99" i="23"/>
  <c r="H99" i="23" s="1"/>
  <c r="I59" i="23"/>
  <c r="G97" i="23"/>
  <c r="H97" i="23" s="1"/>
  <c r="G105" i="23"/>
  <c r="H105" i="23" s="1"/>
  <c r="G95" i="23"/>
  <c r="H95" i="23" s="1"/>
  <c r="G101" i="23"/>
  <c r="H101" i="23" s="1"/>
  <c r="G103" i="23"/>
  <c r="H103" i="23" s="1"/>
  <c r="H7" i="23"/>
  <c r="E8" i="27"/>
  <c r="G8" i="40"/>
  <c r="E27" i="40" s="1"/>
  <c r="G27" i="40" s="1"/>
  <c r="G8" i="25"/>
  <c r="E27" i="25" s="1"/>
  <c r="G27" i="25" s="1"/>
  <c r="H9" i="25"/>
  <c r="E19" i="20"/>
  <c r="G19" i="19"/>
  <c r="H30" i="18"/>
  <c r="E10" i="43"/>
  <c r="G9" i="40"/>
  <c r="H144" i="25"/>
  <c r="J144" i="24"/>
  <c r="J147" i="24"/>
  <c r="H147" i="25"/>
  <c r="J150" i="24"/>
  <c r="H150" i="25"/>
  <c r="H143" i="25"/>
  <c r="J143" i="24"/>
  <c r="H145" i="25"/>
  <c r="J145" i="24"/>
  <c r="H152" i="29"/>
  <c r="J152" i="28"/>
  <c r="H151" i="27"/>
  <c r="J151" i="40"/>
  <c r="J148" i="24"/>
  <c r="H148" i="25"/>
  <c r="H149" i="25"/>
  <c r="J149" i="24"/>
  <c r="H146" i="25"/>
  <c r="J146" i="24"/>
  <c r="H134" i="29"/>
  <c r="J134" i="28"/>
  <c r="H127" i="30"/>
  <c r="J127" i="29"/>
  <c r="H130" i="25"/>
  <c r="J130" i="24"/>
  <c r="J182" i="29"/>
  <c r="H182" i="30"/>
  <c r="H133" i="25"/>
  <c r="J133" i="24"/>
  <c r="H128" i="25"/>
  <c r="J128" i="24"/>
  <c r="H132" i="25"/>
  <c r="J132" i="24"/>
  <c r="H129" i="25"/>
  <c r="J129" i="24"/>
  <c r="H131" i="25"/>
  <c r="J131" i="24"/>
  <c r="J177" i="29"/>
  <c r="H177" i="30"/>
  <c r="H176" i="23"/>
  <c r="J176" i="22"/>
  <c r="H185" i="25"/>
  <c r="J185" i="24"/>
  <c r="H183" i="25"/>
  <c r="J183" i="24"/>
  <c r="H178" i="25"/>
  <c r="J178" i="24"/>
  <c r="H174" i="25"/>
  <c r="J174" i="24"/>
  <c r="H181" i="24"/>
  <c r="J181" i="23"/>
  <c r="H179" i="25"/>
  <c r="J179" i="24"/>
  <c r="H173" i="25"/>
  <c r="J173" i="24"/>
  <c r="H184" i="25"/>
  <c r="J184" i="24"/>
  <c r="H186" i="24"/>
  <c r="J186" i="23"/>
  <c r="H175" i="24"/>
  <c r="J175" i="23"/>
  <c r="H180" i="25"/>
  <c r="J180" i="24"/>
  <c r="H164" i="25"/>
  <c r="J164" i="24"/>
  <c r="H165" i="25"/>
  <c r="J165" i="24"/>
  <c r="H161" i="25"/>
  <c r="J161" i="24"/>
  <c r="H162" i="25"/>
  <c r="J162" i="24"/>
  <c r="H163" i="24"/>
  <c r="J163" i="23"/>
  <c r="H188" i="23"/>
  <c r="J188" i="22"/>
  <c r="H139" i="25"/>
  <c r="J139" i="24"/>
  <c r="H142" i="25"/>
  <c r="H141" i="25"/>
  <c r="H140" i="25"/>
  <c r="J140" i="24"/>
  <c r="H138" i="25"/>
  <c r="J138" i="24"/>
  <c r="H117" i="25"/>
  <c r="J117" i="24"/>
  <c r="H113" i="24"/>
  <c r="J113" i="23"/>
  <c r="H116" i="25"/>
  <c r="J116" i="24"/>
  <c r="H114" i="25"/>
  <c r="J114" i="24"/>
  <c r="H122" i="25"/>
  <c r="J122" i="24"/>
  <c r="H115" i="25"/>
  <c r="J115" i="24"/>
  <c r="H112" i="25"/>
  <c r="J112" i="24"/>
  <c r="H118" i="25"/>
  <c r="J118" i="24"/>
  <c r="H120" i="25"/>
  <c r="J120" i="24"/>
  <c r="H123" i="25"/>
  <c r="J123" i="24"/>
  <c r="H121" i="25"/>
  <c r="J121" i="24"/>
  <c r="H119" i="25"/>
  <c r="J119" i="24"/>
  <c r="AB32" i="49"/>
  <c r="E8" i="28" l="1"/>
  <c r="G97" i="24"/>
  <c r="H97" i="24" s="1"/>
  <c r="G103" i="24"/>
  <c r="H103" i="24" s="1"/>
  <c r="H7" i="24"/>
  <c r="G99" i="24"/>
  <c r="H99" i="24" s="1"/>
  <c r="G95" i="24"/>
  <c r="H95" i="24" s="1"/>
  <c r="I59" i="24"/>
  <c r="G101" i="24"/>
  <c r="H101" i="24" s="1"/>
  <c r="G105" i="24"/>
  <c r="H105" i="24" s="1"/>
  <c r="E7" i="40"/>
  <c r="G7" i="25"/>
  <c r="H27" i="25"/>
  <c r="H27" i="40" s="1"/>
  <c r="H9" i="40"/>
  <c r="E30" i="19"/>
  <c r="G30" i="19" s="1"/>
  <c r="G32" i="19" s="1"/>
  <c r="H32" i="19" s="1"/>
  <c r="G20" i="19"/>
  <c r="H20" i="19" s="1"/>
  <c r="G187" i="19"/>
  <c r="H187" i="19" s="1"/>
  <c r="J187" i="19" s="1"/>
  <c r="E19" i="21"/>
  <c r="G19" i="20"/>
  <c r="H19" i="19"/>
  <c r="G9" i="27"/>
  <c r="G8" i="50"/>
  <c r="E28" i="50" s="1"/>
  <c r="G28" i="50" s="1"/>
  <c r="J143" i="25"/>
  <c r="H143" i="40"/>
  <c r="J150" i="25"/>
  <c r="H150" i="40"/>
  <c r="H134" i="30"/>
  <c r="J134" i="29"/>
  <c r="H151" i="28"/>
  <c r="J151" i="27"/>
  <c r="J147" i="25"/>
  <c r="H147" i="40"/>
  <c r="H146" i="40"/>
  <c r="J146" i="25"/>
  <c r="H152" i="30"/>
  <c r="J152" i="29"/>
  <c r="J148" i="25"/>
  <c r="H148" i="40"/>
  <c r="H149" i="40"/>
  <c r="J149" i="25"/>
  <c r="J145" i="25"/>
  <c r="H145" i="40"/>
  <c r="J144" i="25"/>
  <c r="H144" i="40"/>
  <c r="H129" i="40"/>
  <c r="J129" i="25"/>
  <c r="J127" i="30"/>
  <c r="H127" i="43"/>
  <c r="J182" i="30"/>
  <c r="H182" i="43"/>
  <c r="H128" i="40"/>
  <c r="J128" i="25"/>
  <c r="H131" i="40"/>
  <c r="J131" i="25"/>
  <c r="H132" i="40"/>
  <c r="J132" i="25"/>
  <c r="H133" i="40"/>
  <c r="J133" i="25"/>
  <c r="H130" i="40"/>
  <c r="J130" i="25"/>
  <c r="H177" i="43"/>
  <c r="J177" i="30"/>
  <c r="H175" i="25"/>
  <c r="J175" i="24"/>
  <c r="H184" i="40"/>
  <c r="J184" i="25"/>
  <c r="H179" i="40"/>
  <c r="J179" i="25"/>
  <c r="H174" i="40"/>
  <c r="J174" i="25"/>
  <c r="H183" i="40"/>
  <c r="J183" i="25"/>
  <c r="H176" i="24"/>
  <c r="J176" i="23"/>
  <c r="H180" i="40"/>
  <c r="J180" i="25"/>
  <c r="H186" i="25"/>
  <c r="J186" i="24"/>
  <c r="H173" i="40"/>
  <c r="J173" i="25"/>
  <c r="H181" i="25"/>
  <c r="J181" i="24"/>
  <c r="H178" i="40"/>
  <c r="J178" i="25"/>
  <c r="H185" i="40"/>
  <c r="J185" i="25"/>
  <c r="H188" i="24"/>
  <c r="J188" i="23"/>
  <c r="H162" i="40"/>
  <c r="J162" i="25"/>
  <c r="H164" i="40"/>
  <c r="J164" i="25"/>
  <c r="H163" i="25"/>
  <c r="J163" i="24"/>
  <c r="H161" i="40"/>
  <c r="J161" i="25"/>
  <c r="H165" i="40"/>
  <c r="J165" i="25"/>
  <c r="H138" i="40"/>
  <c r="J138" i="25"/>
  <c r="H140" i="40"/>
  <c r="J140" i="25"/>
  <c r="H142" i="40"/>
  <c r="J142" i="25"/>
  <c r="H141" i="40"/>
  <c r="J141" i="25"/>
  <c r="H139" i="40"/>
  <c r="J139" i="25"/>
  <c r="H121" i="40"/>
  <c r="J121" i="25"/>
  <c r="H120" i="40"/>
  <c r="J120" i="25"/>
  <c r="H112" i="40"/>
  <c r="J112" i="25"/>
  <c r="H122" i="40"/>
  <c r="J122" i="25"/>
  <c r="H116" i="40"/>
  <c r="J116" i="25"/>
  <c r="H117" i="40"/>
  <c r="J117" i="25"/>
  <c r="H119" i="40"/>
  <c r="J119" i="25"/>
  <c r="H123" i="40"/>
  <c r="J123" i="25"/>
  <c r="H118" i="40"/>
  <c r="J118" i="25"/>
  <c r="H115" i="40"/>
  <c r="J115" i="25"/>
  <c r="H114" i="40"/>
  <c r="J114" i="25"/>
  <c r="H113" i="25"/>
  <c r="J113" i="24"/>
  <c r="G8" i="27" l="1"/>
  <c r="E27" i="27" s="1"/>
  <c r="G27" i="27" s="1"/>
  <c r="H27" i="27" s="1"/>
  <c r="G105" i="25"/>
  <c r="H105" i="25" s="1"/>
  <c r="G95" i="25"/>
  <c r="H95" i="25" s="1"/>
  <c r="I59" i="25"/>
  <c r="G99" i="25"/>
  <c r="H99" i="25" s="1"/>
  <c r="G103" i="25"/>
  <c r="H103" i="25" s="1"/>
  <c r="G97" i="25"/>
  <c r="H97" i="25" s="1"/>
  <c r="G101" i="25"/>
  <c r="H101" i="25" s="1"/>
  <c r="H7" i="25"/>
  <c r="E7" i="27"/>
  <c r="G7" i="40"/>
  <c r="G8" i="28"/>
  <c r="H9" i="27"/>
  <c r="H30" i="19"/>
  <c r="H19" i="20"/>
  <c r="G20" i="20"/>
  <c r="H20" i="20" s="1"/>
  <c r="G187" i="20"/>
  <c r="H187" i="20" s="1"/>
  <c r="J187" i="20" s="1"/>
  <c r="E30" i="20"/>
  <c r="G30" i="20" s="1"/>
  <c r="G19" i="21"/>
  <c r="I59" i="29"/>
  <c r="G9" i="28"/>
  <c r="G10" i="43"/>
  <c r="H10" i="43" s="1"/>
  <c r="H10" i="50" s="1"/>
  <c r="G10" i="31"/>
  <c r="H151" i="29"/>
  <c r="J151" i="28"/>
  <c r="H144" i="27"/>
  <c r="J144" i="40"/>
  <c r="H152" i="43"/>
  <c r="J152" i="30"/>
  <c r="H134" i="43"/>
  <c r="J134" i="30"/>
  <c r="J145" i="40"/>
  <c r="H145" i="27"/>
  <c r="H150" i="27"/>
  <c r="J150" i="40"/>
  <c r="H148" i="27"/>
  <c r="J148" i="40"/>
  <c r="H146" i="27"/>
  <c r="J146" i="40"/>
  <c r="H147" i="27"/>
  <c r="J147" i="40"/>
  <c r="H143" i="27"/>
  <c r="J143" i="40"/>
  <c r="J149" i="40"/>
  <c r="H149" i="27"/>
  <c r="H133" i="27"/>
  <c r="J133" i="40"/>
  <c r="H129" i="27"/>
  <c r="J129" i="40"/>
  <c r="J182" i="43"/>
  <c r="H182" i="31"/>
  <c r="J182" i="31" s="1"/>
  <c r="H131" i="27"/>
  <c r="J131" i="40"/>
  <c r="J177" i="43"/>
  <c r="H177" i="31"/>
  <c r="J177" i="31" s="1"/>
  <c r="H121" i="50"/>
  <c r="J121" i="50" s="1"/>
  <c r="H130" i="27"/>
  <c r="J130" i="40"/>
  <c r="H132" i="27"/>
  <c r="J132" i="40"/>
  <c r="H128" i="27"/>
  <c r="J128" i="40"/>
  <c r="H127" i="31"/>
  <c r="J127" i="31" s="1"/>
  <c r="J127" i="43"/>
  <c r="H178" i="27"/>
  <c r="J178" i="40"/>
  <c r="H173" i="27"/>
  <c r="J173" i="40"/>
  <c r="H180" i="27"/>
  <c r="J180" i="40"/>
  <c r="H183" i="27"/>
  <c r="J183" i="40"/>
  <c r="H179" i="27"/>
  <c r="J179" i="40"/>
  <c r="H175" i="40"/>
  <c r="J175" i="25"/>
  <c r="H185" i="27"/>
  <c r="J185" i="40"/>
  <c r="H181" i="40"/>
  <c r="J181" i="25"/>
  <c r="H186" i="40"/>
  <c r="J186" i="25"/>
  <c r="H176" i="25"/>
  <c r="J176" i="24"/>
  <c r="H174" i="27"/>
  <c r="J174" i="40"/>
  <c r="H184" i="27"/>
  <c r="J184" i="40"/>
  <c r="H165" i="27"/>
  <c r="J165" i="40"/>
  <c r="H163" i="40"/>
  <c r="J163" i="25"/>
  <c r="H188" i="25"/>
  <c r="J188" i="24"/>
  <c r="H161" i="27"/>
  <c r="J161" i="40"/>
  <c r="H164" i="27"/>
  <c r="J164" i="40"/>
  <c r="H162" i="27"/>
  <c r="J162" i="40"/>
  <c r="H139" i="27"/>
  <c r="J139" i="40"/>
  <c r="H140" i="27"/>
  <c r="J140" i="40"/>
  <c r="H138" i="27"/>
  <c r="J138" i="40"/>
  <c r="H141" i="27"/>
  <c r="J141" i="40"/>
  <c r="H142" i="27"/>
  <c r="J142" i="40"/>
  <c r="H114" i="27"/>
  <c r="J114" i="40"/>
  <c r="H118" i="27"/>
  <c r="J118" i="40"/>
  <c r="H119" i="27"/>
  <c r="J119" i="40"/>
  <c r="H116" i="27"/>
  <c r="J116" i="40"/>
  <c r="H112" i="27"/>
  <c r="J112" i="40"/>
  <c r="H121" i="27"/>
  <c r="J121" i="40"/>
  <c r="H113" i="40"/>
  <c r="J113" i="25"/>
  <c r="H115" i="27"/>
  <c r="J115" i="40"/>
  <c r="H123" i="27"/>
  <c r="J123" i="40"/>
  <c r="H117" i="27"/>
  <c r="J117" i="40"/>
  <c r="H122" i="27"/>
  <c r="J122" i="40"/>
  <c r="H120" i="27"/>
  <c r="J120" i="40"/>
  <c r="AC2" i="49"/>
  <c r="AC9" i="49"/>
  <c r="AC7" i="49"/>
  <c r="AC8" i="49"/>
  <c r="AC6" i="49"/>
  <c r="G97" i="40" l="1"/>
  <c r="H97" i="40" s="1"/>
  <c r="G95" i="40"/>
  <c r="H95" i="40" s="1"/>
  <c r="H7" i="40"/>
  <c r="G105" i="40"/>
  <c r="H105" i="40" s="1"/>
  <c r="G101" i="40"/>
  <c r="H101" i="40" s="1"/>
  <c r="G103" i="40"/>
  <c r="H103" i="40" s="1"/>
  <c r="G99" i="40"/>
  <c r="H99" i="40" s="1"/>
  <c r="I59" i="40"/>
  <c r="G7" i="27"/>
  <c r="E27" i="28"/>
  <c r="G27" i="28" s="1"/>
  <c r="H27" i="28" s="1"/>
  <c r="G8" i="29"/>
  <c r="G32" i="20"/>
  <c r="H32" i="20" s="1"/>
  <c r="H9" i="28"/>
  <c r="G103" i="29"/>
  <c r="G101" i="29"/>
  <c r="G97" i="29"/>
  <c r="G105" i="29"/>
  <c r="G95" i="29"/>
  <c r="G99" i="29"/>
  <c r="E19" i="22"/>
  <c r="G19" i="22" s="1"/>
  <c r="H30" i="20"/>
  <c r="G187" i="21"/>
  <c r="H187" i="21" s="1"/>
  <c r="J187" i="21" s="1"/>
  <c r="E30" i="21"/>
  <c r="G30" i="21" s="1"/>
  <c r="G32" i="21" s="1"/>
  <c r="G20" i="21"/>
  <c r="H20" i="21" s="1"/>
  <c r="H19" i="21"/>
  <c r="H10" i="31"/>
  <c r="J10" i="31" s="1"/>
  <c r="G9" i="29"/>
  <c r="G9" i="30"/>
  <c r="H146" i="28"/>
  <c r="J146" i="27"/>
  <c r="J134" i="43"/>
  <c r="H134" i="31"/>
  <c r="J134" i="31" s="1"/>
  <c r="J149" i="27"/>
  <c r="H149" i="28"/>
  <c r="H148" i="28"/>
  <c r="J148" i="27"/>
  <c r="H152" i="31"/>
  <c r="J152" i="31" s="1"/>
  <c r="J152" i="43"/>
  <c r="H143" i="28"/>
  <c r="J143" i="27"/>
  <c r="J150" i="27"/>
  <c r="H150" i="28"/>
  <c r="J144" i="27"/>
  <c r="H144" i="28"/>
  <c r="H145" i="28"/>
  <c r="J145" i="27"/>
  <c r="J147" i="27"/>
  <c r="H147" i="28"/>
  <c r="H151" i="30"/>
  <c r="J151" i="29"/>
  <c r="H133" i="28"/>
  <c r="J133" i="27"/>
  <c r="H132" i="28"/>
  <c r="J132" i="27"/>
  <c r="H131" i="28"/>
  <c r="J131" i="27"/>
  <c r="H129" i="28"/>
  <c r="J129" i="27"/>
  <c r="H128" i="28"/>
  <c r="J128" i="27"/>
  <c r="H130" i="28"/>
  <c r="J130" i="27"/>
  <c r="H174" i="28"/>
  <c r="J174" i="27"/>
  <c r="H186" i="27"/>
  <c r="J186" i="40"/>
  <c r="H185" i="28"/>
  <c r="J185" i="27"/>
  <c r="H179" i="28"/>
  <c r="J179" i="27"/>
  <c r="H180" i="28"/>
  <c r="J180" i="27"/>
  <c r="H178" i="28"/>
  <c r="J178" i="27"/>
  <c r="H184" i="28"/>
  <c r="J184" i="27"/>
  <c r="H176" i="40"/>
  <c r="J176" i="25"/>
  <c r="H181" i="27"/>
  <c r="J181" i="40"/>
  <c r="H175" i="27"/>
  <c r="J175" i="40"/>
  <c r="H183" i="28"/>
  <c r="J183" i="27"/>
  <c r="H173" i="28"/>
  <c r="J173" i="27"/>
  <c r="H162" i="28"/>
  <c r="J162" i="27"/>
  <c r="H161" i="28"/>
  <c r="J161" i="27"/>
  <c r="H165" i="28"/>
  <c r="J165" i="27"/>
  <c r="H164" i="28"/>
  <c r="J164" i="27"/>
  <c r="H188" i="40"/>
  <c r="J188" i="25"/>
  <c r="H163" i="27"/>
  <c r="J163" i="40"/>
  <c r="H141" i="28"/>
  <c r="J141" i="27"/>
  <c r="H140" i="28"/>
  <c r="J140" i="27"/>
  <c r="H142" i="28"/>
  <c r="J142" i="27"/>
  <c r="H138" i="28"/>
  <c r="J138" i="27"/>
  <c r="H139" i="28"/>
  <c r="J139" i="27"/>
  <c r="H122" i="28"/>
  <c r="J122" i="27"/>
  <c r="H123" i="28"/>
  <c r="J123" i="27"/>
  <c r="H113" i="27"/>
  <c r="J113" i="40"/>
  <c r="H112" i="28"/>
  <c r="J112" i="27"/>
  <c r="H119" i="28"/>
  <c r="J119" i="27"/>
  <c r="H114" i="28"/>
  <c r="J114" i="27"/>
  <c r="H120" i="28"/>
  <c r="J120" i="27"/>
  <c r="H117" i="28"/>
  <c r="J117" i="27"/>
  <c r="H115" i="28"/>
  <c r="J115" i="27"/>
  <c r="H121" i="28"/>
  <c r="J121" i="27"/>
  <c r="H116" i="28"/>
  <c r="J116" i="27"/>
  <c r="H118" i="28"/>
  <c r="J118" i="27"/>
  <c r="AC5" i="49"/>
  <c r="AC4" i="49"/>
  <c r="G99" i="27" l="1"/>
  <c r="H99" i="27" s="1"/>
  <c r="G103" i="27"/>
  <c r="H103" i="27" s="1"/>
  <c r="G101" i="27"/>
  <c r="H101" i="27" s="1"/>
  <c r="G105" i="27"/>
  <c r="H105" i="27" s="1"/>
  <c r="G97" i="27"/>
  <c r="H97" i="27" s="1"/>
  <c r="H7" i="27"/>
  <c r="G95" i="27"/>
  <c r="H95" i="27" s="1"/>
  <c r="I59" i="27"/>
  <c r="E7" i="28"/>
  <c r="O8" i="29"/>
  <c r="E27" i="29"/>
  <c r="G27" i="29" s="1"/>
  <c r="H27" i="29" s="1"/>
  <c r="O15" i="29"/>
  <c r="G8" i="30"/>
  <c r="E27" i="30" s="1"/>
  <c r="G27" i="30" s="1"/>
  <c r="H32" i="21"/>
  <c r="H9" i="29"/>
  <c r="H9" i="30" s="1"/>
  <c r="E19" i="23"/>
  <c r="G19" i="23" s="1"/>
  <c r="H19" i="22"/>
  <c r="E9" i="43"/>
  <c r="H30" i="21"/>
  <c r="E30" i="22"/>
  <c r="G30" i="22" s="1"/>
  <c r="G32" i="22" s="1"/>
  <c r="G20" i="22"/>
  <c r="H20" i="22" s="1"/>
  <c r="G187" i="22"/>
  <c r="H187" i="22" s="1"/>
  <c r="J187" i="22" s="1"/>
  <c r="G105" i="30"/>
  <c r="G99" i="30"/>
  <c r="G97" i="30"/>
  <c r="G95" i="30"/>
  <c r="G103" i="30"/>
  <c r="G101" i="30"/>
  <c r="I59" i="30"/>
  <c r="E7" i="43"/>
  <c r="H144" i="29"/>
  <c r="J144" i="28"/>
  <c r="H148" i="29"/>
  <c r="J148" i="28"/>
  <c r="J146" i="28"/>
  <c r="H146" i="29"/>
  <c r="H151" i="43"/>
  <c r="J151" i="30"/>
  <c r="J145" i="28"/>
  <c r="H145" i="29"/>
  <c r="J147" i="28"/>
  <c r="H147" i="29"/>
  <c r="J150" i="28"/>
  <c r="H150" i="29"/>
  <c r="J143" i="28"/>
  <c r="H143" i="29"/>
  <c r="J149" i="28"/>
  <c r="H149" i="29"/>
  <c r="H131" i="29"/>
  <c r="J131" i="28"/>
  <c r="H128" i="29"/>
  <c r="J128" i="28"/>
  <c r="H130" i="29"/>
  <c r="J130" i="28"/>
  <c r="H129" i="29"/>
  <c r="J129" i="28"/>
  <c r="H132" i="29"/>
  <c r="J132" i="28"/>
  <c r="H133" i="29"/>
  <c r="J133" i="28"/>
  <c r="H183" i="29"/>
  <c r="J183" i="28"/>
  <c r="H181" i="28"/>
  <c r="J181" i="27"/>
  <c r="H184" i="29"/>
  <c r="J184" i="28"/>
  <c r="H180" i="29"/>
  <c r="J180" i="28"/>
  <c r="H185" i="29"/>
  <c r="J185" i="28"/>
  <c r="H174" i="29"/>
  <c r="J174" i="28"/>
  <c r="H173" i="29"/>
  <c r="J173" i="28"/>
  <c r="H175" i="28"/>
  <c r="J175" i="27"/>
  <c r="H176" i="27"/>
  <c r="J176" i="40"/>
  <c r="H178" i="29"/>
  <c r="J178" i="28"/>
  <c r="H179" i="29"/>
  <c r="J179" i="28"/>
  <c r="H186" i="28"/>
  <c r="J186" i="27"/>
  <c r="H163" i="28"/>
  <c r="J163" i="27"/>
  <c r="H164" i="29"/>
  <c r="J164" i="28"/>
  <c r="H162" i="29"/>
  <c r="J162" i="28"/>
  <c r="H188" i="27"/>
  <c r="J188" i="40"/>
  <c r="H165" i="29"/>
  <c r="J165" i="28"/>
  <c r="H161" i="29"/>
  <c r="J161" i="28"/>
  <c r="H138" i="29"/>
  <c r="J138" i="28"/>
  <c r="H141" i="29"/>
  <c r="J141" i="28"/>
  <c r="H142" i="29"/>
  <c r="J142" i="28"/>
  <c r="H139" i="29"/>
  <c r="J139" i="28"/>
  <c r="H140" i="29"/>
  <c r="J140" i="28"/>
  <c r="H116" i="29"/>
  <c r="J116" i="28"/>
  <c r="H115" i="29"/>
  <c r="J115" i="28"/>
  <c r="H120" i="29"/>
  <c r="J120" i="28"/>
  <c r="H119" i="29"/>
  <c r="J119" i="28"/>
  <c r="H113" i="28"/>
  <c r="J113" i="27"/>
  <c r="H122" i="29"/>
  <c r="J122" i="28"/>
  <c r="H118" i="29"/>
  <c r="J118" i="28"/>
  <c r="H121" i="29"/>
  <c r="J121" i="28"/>
  <c r="H117" i="29"/>
  <c r="J117" i="28"/>
  <c r="H114" i="29"/>
  <c r="J114" i="28"/>
  <c r="H112" i="29"/>
  <c r="J112" i="28"/>
  <c r="H123" i="29"/>
  <c r="J123" i="28"/>
  <c r="AC3" i="49"/>
  <c r="G7" i="28" l="1"/>
  <c r="G9" i="43"/>
  <c r="H9" i="43" s="1"/>
  <c r="H9" i="50" s="1"/>
  <c r="J9" i="50" s="1"/>
  <c r="H27" i="30"/>
  <c r="G8" i="43"/>
  <c r="E27" i="43" s="1"/>
  <c r="G27" i="43" s="1"/>
  <c r="O10" i="29"/>
  <c r="O12" i="29"/>
  <c r="H32" i="22"/>
  <c r="E19" i="24"/>
  <c r="H30" i="22"/>
  <c r="G20" i="23"/>
  <c r="H20" i="23" s="1"/>
  <c r="G187" i="23"/>
  <c r="H187" i="23" s="1"/>
  <c r="J187" i="23" s="1"/>
  <c r="E30" i="23"/>
  <c r="G30" i="23" s="1"/>
  <c r="G32" i="23" s="1"/>
  <c r="H19" i="23"/>
  <c r="G9" i="31"/>
  <c r="J144" i="29"/>
  <c r="H144" i="30"/>
  <c r="H143" i="30"/>
  <c r="J143" i="29"/>
  <c r="J151" i="43"/>
  <c r="H151" i="31"/>
  <c r="J151" i="31" s="1"/>
  <c r="H147" i="30"/>
  <c r="J147" i="29"/>
  <c r="H146" i="30"/>
  <c r="J146" i="29"/>
  <c r="J148" i="29"/>
  <c r="H148" i="30"/>
  <c r="H150" i="30"/>
  <c r="J150" i="29"/>
  <c r="J149" i="29"/>
  <c r="H149" i="30"/>
  <c r="H145" i="30"/>
  <c r="J145" i="29"/>
  <c r="H131" i="30"/>
  <c r="J131" i="29"/>
  <c r="H132" i="30"/>
  <c r="J132" i="29"/>
  <c r="H133" i="30"/>
  <c r="J133" i="29"/>
  <c r="H129" i="30"/>
  <c r="J129" i="29"/>
  <c r="H128" i="30"/>
  <c r="J128" i="29"/>
  <c r="H130" i="30"/>
  <c r="J130" i="29"/>
  <c r="H179" i="30"/>
  <c r="J179" i="29"/>
  <c r="H176" i="28"/>
  <c r="J176" i="27"/>
  <c r="H173" i="30"/>
  <c r="J173" i="29"/>
  <c r="H185" i="30"/>
  <c r="J185" i="29"/>
  <c r="H184" i="30"/>
  <c r="J184" i="29"/>
  <c r="H183" i="30"/>
  <c r="J183" i="29"/>
  <c r="H186" i="29"/>
  <c r="J186" i="28"/>
  <c r="H178" i="30"/>
  <c r="J178" i="29"/>
  <c r="H175" i="29"/>
  <c r="J175" i="28"/>
  <c r="H174" i="30"/>
  <c r="J174" i="29"/>
  <c r="H180" i="30"/>
  <c r="J180" i="29"/>
  <c r="H181" i="29"/>
  <c r="J181" i="28"/>
  <c r="H161" i="30"/>
  <c r="J161" i="29"/>
  <c r="H188" i="28"/>
  <c r="J188" i="27"/>
  <c r="H163" i="29"/>
  <c r="J163" i="28"/>
  <c r="H165" i="30"/>
  <c r="J165" i="29"/>
  <c r="H162" i="30"/>
  <c r="J162" i="29"/>
  <c r="H164" i="30"/>
  <c r="J164" i="29"/>
  <c r="H142" i="30"/>
  <c r="J142" i="29"/>
  <c r="H138" i="30"/>
  <c r="J138" i="29"/>
  <c r="H139" i="30"/>
  <c r="J139" i="29"/>
  <c r="H140" i="30"/>
  <c r="J140" i="29"/>
  <c r="H141" i="30"/>
  <c r="J141" i="29"/>
  <c r="H112" i="30"/>
  <c r="J112" i="29"/>
  <c r="H117" i="30"/>
  <c r="J117" i="29"/>
  <c r="H118" i="30"/>
  <c r="J118" i="29"/>
  <c r="H113" i="29"/>
  <c r="J113" i="28"/>
  <c r="H120" i="30"/>
  <c r="J120" i="29"/>
  <c r="H116" i="30"/>
  <c r="J116" i="29"/>
  <c r="H123" i="30"/>
  <c r="J123" i="29"/>
  <c r="H114" i="30"/>
  <c r="J114" i="29"/>
  <c r="H121" i="30"/>
  <c r="J121" i="29"/>
  <c r="H122" i="30"/>
  <c r="J122" i="29"/>
  <c r="H119" i="30"/>
  <c r="J119" i="29"/>
  <c r="H115" i="30"/>
  <c r="J115" i="29"/>
  <c r="AC33" i="44"/>
  <c r="AB30" i="49" s="1"/>
  <c r="Z28" i="49"/>
  <c r="AC28" i="44"/>
  <c r="Z25" i="49"/>
  <c r="AB7" i="49"/>
  <c r="AB9" i="49"/>
  <c r="Z30" i="49"/>
  <c r="G101" i="28" l="1"/>
  <c r="H101" i="28" s="1"/>
  <c r="H101" i="29" s="1"/>
  <c r="H101" i="30" s="1"/>
  <c r="G105" i="28"/>
  <c r="H105" i="28" s="1"/>
  <c r="H105" i="29" s="1"/>
  <c r="H105" i="30" s="1"/>
  <c r="G99" i="28"/>
  <c r="H99" i="28" s="1"/>
  <c r="H99" i="29" s="1"/>
  <c r="H99" i="30" s="1"/>
  <c r="G103" i="28"/>
  <c r="H103" i="28" s="1"/>
  <c r="H103" i="29" s="1"/>
  <c r="H103" i="30" s="1"/>
  <c r="G95" i="28"/>
  <c r="H95" i="28" s="1"/>
  <c r="H95" i="29" s="1"/>
  <c r="H95" i="30" s="1"/>
  <c r="G97" i="28"/>
  <c r="H97" i="28" s="1"/>
  <c r="H97" i="29" s="1"/>
  <c r="H97" i="30" s="1"/>
  <c r="I59" i="28"/>
  <c r="O9" i="28"/>
  <c r="H7" i="28"/>
  <c r="H7" i="29" s="1"/>
  <c r="H7" i="30" s="1"/>
  <c r="H27" i="43"/>
  <c r="G8" i="31"/>
  <c r="H32" i="23"/>
  <c r="H9" i="31"/>
  <c r="J9" i="31" s="1"/>
  <c r="H30" i="23"/>
  <c r="G19" i="24"/>
  <c r="AB25" i="49"/>
  <c r="G7" i="31"/>
  <c r="G7" i="43"/>
  <c r="G7" i="50"/>
  <c r="G11" i="50" s="1"/>
  <c r="H147" i="43"/>
  <c r="J147" i="30"/>
  <c r="J150" i="30"/>
  <c r="H150" i="43"/>
  <c r="H148" i="43"/>
  <c r="J148" i="30"/>
  <c r="H149" i="43"/>
  <c r="J149" i="30"/>
  <c r="H143" i="43"/>
  <c r="J143" i="30"/>
  <c r="H144" i="43"/>
  <c r="J144" i="30"/>
  <c r="H145" i="43"/>
  <c r="J145" i="30"/>
  <c r="H146" i="43"/>
  <c r="J146" i="30"/>
  <c r="H133" i="43"/>
  <c r="J133" i="30"/>
  <c r="H131" i="43"/>
  <c r="J131" i="30"/>
  <c r="H130" i="43"/>
  <c r="J130" i="30"/>
  <c r="H129" i="43"/>
  <c r="J129" i="30"/>
  <c r="H132" i="43"/>
  <c r="J132" i="30"/>
  <c r="H128" i="43"/>
  <c r="J128" i="30"/>
  <c r="H180" i="43"/>
  <c r="J180" i="30"/>
  <c r="H175" i="30"/>
  <c r="J175" i="29"/>
  <c r="H186" i="30"/>
  <c r="J186" i="29"/>
  <c r="H184" i="43"/>
  <c r="J184" i="30"/>
  <c r="H173" i="43"/>
  <c r="J173" i="30"/>
  <c r="H179" i="43"/>
  <c r="J179" i="30"/>
  <c r="H181" i="30"/>
  <c r="J181" i="29"/>
  <c r="H174" i="43"/>
  <c r="J174" i="30"/>
  <c r="H178" i="43"/>
  <c r="J178" i="30"/>
  <c r="H183" i="43"/>
  <c r="J183" i="30"/>
  <c r="H185" i="43"/>
  <c r="J185" i="30"/>
  <c r="H176" i="29"/>
  <c r="J176" i="28"/>
  <c r="H164" i="43"/>
  <c r="J164" i="30"/>
  <c r="H165" i="43"/>
  <c r="H165" i="31" s="1"/>
  <c r="J165" i="30"/>
  <c r="H161" i="43"/>
  <c r="J161" i="30"/>
  <c r="H162" i="43"/>
  <c r="J162" i="30"/>
  <c r="H163" i="30"/>
  <c r="J163" i="29"/>
  <c r="H188" i="29"/>
  <c r="J188" i="28"/>
  <c r="H141" i="43"/>
  <c r="J141" i="30"/>
  <c r="H140" i="43"/>
  <c r="J140" i="30"/>
  <c r="H139" i="43"/>
  <c r="J139" i="30"/>
  <c r="H138" i="43"/>
  <c r="J138" i="30"/>
  <c r="H142" i="43"/>
  <c r="J142" i="30"/>
  <c r="H119" i="43"/>
  <c r="J119" i="30"/>
  <c r="H121" i="43"/>
  <c r="J121" i="30"/>
  <c r="H123" i="43"/>
  <c r="J123" i="30"/>
  <c r="H120" i="43"/>
  <c r="J120" i="30"/>
  <c r="H118" i="43"/>
  <c r="J118" i="30"/>
  <c r="H112" i="43"/>
  <c r="J112" i="30"/>
  <c r="H115" i="43"/>
  <c r="J115" i="30"/>
  <c r="H122" i="43"/>
  <c r="J122" i="30"/>
  <c r="H114" i="43"/>
  <c r="J114" i="30"/>
  <c r="H116" i="43"/>
  <c r="J116" i="30"/>
  <c r="H113" i="30"/>
  <c r="J113" i="29"/>
  <c r="H117" i="43"/>
  <c r="J117" i="30"/>
  <c r="AC27" i="44"/>
  <c r="AB24" i="49" s="1"/>
  <c r="Z24" i="49"/>
  <c r="AB8" i="49"/>
  <c r="AA32" i="49"/>
  <c r="AB10" i="49"/>
  <c r="AB5" i="49"/>
  <c r="AA24" i="49"/>
  <c r="AA25" i="49"/>
  <c r="Z11" i="49"/>
  <c r="Z10" i="49"/>
  <c r="Z9" i="49"/>
  <c r="Z8" i="49"/>
  <c r="Z7" i="49"/>
  <c r="AA6" i="49"/>
  <c r="AB6" i="49"/>
  <c r="Z6" i="49"/>
  <c r="AA5" i="49"/>
  <c r="Z5" i="49"/>
  <c r="Z4" i="49"/>
  <c r="AB4" i="49"/>
  <c r="AA4" i="49"/>
  <c r="Z31" i="49"/>
  <c r="Z29" i="49"/>
  <c r="Z27" i="49"/>
  <c r="Z26" i="49"/>
  <c r="Z23" i="49"/>
  <c r="Z22" i="49"/>
  <c r="Z21" i="49"/>
  <c r="Z20" i="49"/>
  <c r="Z19" i="49"/>
  <c r="Z18" i="49"/>
  <c r="Z17" i="49"/>
  <c r="Z16" i="49"/>
  <c r="Z15" i="49"/>
  <c r="Z14" i="49"/>
  <c r="Z13" i="49"/>
  <c r="Z12" i="49"/>
  <c r="AA7" i="49"/>
  <c r="AC25" i="44"/>
  <c r="AB22" i="49" s="1"/>
  <c r="AA13" i="49"/>
  <c r="AA23" i="49"/>
  <c r="AA12" i="49"/>
  <c r="AA22" i="49"/>
  <c r="AC21" i="44"/>
  <c r="AB18" i="49" s="1"/>
  <c r="AC17" i="44"/>
  <c r="AB14" i="49" s="1"/>
  <c r="AA31" i="49"/>
  <c r="AA11" i="49"/>
  <c r="AA20" i="49"/>
  <c r="AB11" i="49"/>
  <c r="AC20" i="44"/>
  <c r="AB17" i="49" s="1"/>
  <c r="AA26" i="49"/>
  <c r="AC31" i="44"/>
  <c r="AB28" i="49" s="1"/>
  <c r="AA29" i="49"/>
  <c r="Z32" i="49"/>
  <c r="AA18" i="49"/>
  <c r="AC15" i="44"/>
  <c r="AC16" i="44"/>
  <c r="AB13" i="49" s="1"/>
  <c r="AA16" i="49"/>
  <c r="AC22" i="44"/>
  <c r="AB19" i="49" s="1"/>
  <c r="AC24" i="44"/>
  <c r="AB21" i="49" s="1"/>
  <c r="AC32" i="44"/>
  <c r="AB29" i="49" s="1"/>
  <c r="AC34" i="44"/>
  <c r="AB31" i="49" s="1"/>
  <c r="AC29" i="44"/>
  <c r="AB26" i="49" s="1"/>
  <c r="AA14" i="49"/>
  <c r="AA10" i="49"/>
  <c r="AA27" i="49"/>
  <c r="AA15" i="49"/>
  <c r="AA30" i="49"/>
  <c r="AA21" i="49"/>
  <c r="AA17" i="49"/>
  <c r="AC19" i="44"/>
  <c r="AB16" i="49" s="1"/>
  <c r="AC18" i="44"/>
  <c r="AB15" i="49" s="1"/>
  <c r="AA19" i="49"/>
  <c r="AA8" i="49"/>
  <c r="AA9" i="49"/>
  <c r="AC30" i="44"/>
  <c r="AB27" i="49" s="1"/>
  <c r="AC26" i="44"/>
  <c r="AB23" i="49" s="1"/>
  <c r="AC23" i="44"/>
  <c r="AB20" i="49" s="1"/>
  <c r="AA28" i="49"/>
  <c r="G27" i="31" l="1"/>
  <c r="H27" i="31" s="1"/>
  <c r="E19" i="25"/>
  <c r="G19" i="25" s="1"/>
  <c r="E30" i="24"/>
  <c r="G30" i="24" s="1"/>
  <c r="G32" i="24" s="1"/>
  <c r="H32" i="24" s="1"/>
  <c r="G187" i="24"/>
  <c r="H187" i="24" s="1"/>
  <c r="J187" i="24" s="1"/>
  <c r="G20" i="24"/>
  <c r="H20" i="24" s="1"/>
  <c r="H19" i="24"/>
  <c r="AC36" i="44"/>
  <c r="AC37" i="44"/>
  <c r="G104" i="50"/>
  <c r="G98" i="50"/>
  <c r="G100" i="50"/>
  <c r="G106" i="50"/>
  <c r="G96" i="50"/>
  <c r="G102" i="50"/>
  <c r="I60" i="50"/>
  <c r="G97" i="43"/>
  <c r="H97" i="43" s="1"/>
  <c r="J97" i="43" s="1"/>
  <c r="G99" i="43"/>
  <c r="H99" i="43" s="1"/>
  <c r="J99" i="43" s="1"/>
  <c r="G103" i="43"/>
  <c r="H103" i="43" s="1"/>
  <c r="J103" i="43" s="1"/>
  <c r="G101" i="43"/>
  <c r="H101" i="43" s="1"/>
  <c r="J101" i="43" s="1"/>
  <c r="G95" i="43"/>
  <c r="H95" i="43" s="1"/>
  <c r="G105" i="43"/>
  <c r="H105" i="43" s="1"/>
  <c r="I59" i="43"/>
  <c r="H7" i="43"/>
  <c r="G103" i="31"/>
  <c r="G95" i="31"/>
  <c r="G97" i="31"/>
  <c r="G101" i="31"/>
  <c r="G105" i="31"/>
  <c r="G99" i="31"/>
  <c r="I59" i="31"/>
  <c r="AB12" i="49"/>
  <c r="J146" i="43"/>
  <c r="H146" i="31"/>
  <c r="J146" i="31" s="1"/>
  <c r="H149" i="31"/>
  <c r="J149" i="31" s="1"/>
  <c r="J149" i="43"/>
  <c r="J145" i="43"/>
  <c r="H145" i="31"/>
  <c r="J145" i="31" s="1"/>
  <c r="H148" i="31"/>
  <c r="J148" i="31" s="1"/>
  <c r="J148" i="43"/>
  <c r="J150" i="43"/>
  <c r="H150" i="31"/>
  <c r="J150" i="31" s="1"/>
  <c r="J144" i="43"/>
  <c r="H144" i="31"/>
  <c r="J144" i="31" s="1"/>
  <c r="J143" i="43"/>
  <c r="H143" i="31"/>
  <c r="J143" i="31" s="1"/>
  <c r="H147" i="31"/>
  <c r="J147" i="31" s="1"/>
  <c r="J147" i="43"/>
  <c r="H130" i="31"/>
  <c r="J130" i="31" s="1"/>
  <c r="J130" i="43"/>
  <c r="H132" i="31"/>
  <c r="J132" i="31" s="1"/>
  <c r="J132" i="43"/>
  <c r="H128" i="31"/>
  <c r="J128" i="31" s="1"/>
  <c r="J128" i="43"/>
  <c r="J129" i="43"/>
  <c r="H129" i="31"/>
  <c r="J129" i="31" s="1"/>
  <c r="H80" i="50"/>
  <c r="H131" i="31"/>
  <c r="J131" i="31" s="1"/>
  <c r="J131" i="43"/>
  <c r="H82" i="31"/>
  <c r="J82" i="31" s="1"/>
  <c r="H133" i="31"/>
  <c r="J133" i="31" s="1"/>
  <c r="J133" i="43"/>
  <c r="J185" i="43"/>
  <c r="H185" i="31"/>
  <c r="J185" i="31" s="1"/>
  <c r="H129" i="50"/>
  <c r="J129" i="50" s="1"/>
  <c r="H178" i="31"/>
  <c r="J178" i="31" s="1"/>
  <c r="J178" i="43"/>
  <c r="H122" i="50"/>
  <c r="J122" i="50" s="1"/>
  <c r="H181" i="43"/>
  <c r="J181" i="30"/>
  <c r="H173" i="31"/>
  <c r="J173" i="31" s="1"/>
  <c r="J173" i="43"/>
  <c r="H117" i="50"/>
  <c r="J117" i="50" s="1"/>
  <c r="H186" i="43"/>
  <c r="J186" i="30"/>
  <c r="J180" i="43"/>
  <c r="H180" i="31"/>
  <c r="J180" i="31" s="1"/>
  <c r="H124" i="50"/>
  <c r="J124" i="50" s="1"/>
  <c r="H176" i="30"/>
  <c r="J176" i="29"/>
  <c r="J183" i="43"/>
  <c r="H183" i="31"/>
  <c r="J183" i="31" s="1"/>
  <c r="J174" i="43"/>
  <c r="H174" i="31"/>
  <c r="J174" i="31" s="1"/>
  <c r="H118" i="50"/>
  <c r="J118" i="50" s="1"/>
  <c r="J179" i="43"/>
  <c r="H179" i="31"/>
  <c r="J179" i="31" s="1"/>
  <c r="H123" i="50"/>
  <c r="J123" i="50" s="1"/>
  <c r="J184" i="43"/>
  <c r="H184" i="31"/>
  <c r="J184" i="31" s="1"/>
  <c r="H128" i="50"/>
  <c r="J128" i="50" s="1"/>
  <c r="H175" i="43"/>
  <c r="J175" i="30"/>
  <c r="H188" i="30"/>
  <c r="J188" i="29"/>
  <c r="J162" i="43"/>
  <c r="H162" i="31"/>
  <c r="J162" i="31" s="1"/>
  <c r="J164" i="43"/>
  <c r="H164" i="31"/>
  <c r="H163" i="43"/>
  <c r="J163" i="30"/>
  <c r="H161" i="31"/>
  <c r="J161" i="31" s="1"/>
  <c r="J161" i="43"/>
  <c r="J165" i="31"/>
  <c r="J165" i="43"/>
  <c r="J142" i="43"/>
  <c r="H142" i="31"/>
  <c r="J142" i="31" s="1"/>
  <c r="J140" i="43"/>
  <c r="H140" i="31"/>
  <c r="J140" i="31" s="1"/>
  <c r="H139" i="31"/>
  <c r="J139" i="31" s="1"/>
  <c r="J139" i="43"/>
  <c r="H141" i="31"/>
  <c r="J141" i="31" s="1"/>
  <c r="J141" i="43"/>
  <c r="H138" i="31"/>
  <c r="J138" i="31" s="1"/>
  <c r="J138" i="43"/>
  <c r="H113" i="43"/>
  <c r="J113" i="30"/>
  <c r="J114" i="43"/>
  <c r="H114" i="31"/>
  <c r="J114" i="31" s="1"/>
  <c r="H115" i="31"/>
  <c r="J115" i="31" s="1"/>
  <c r="J115" i="43"/>
  <c r="J118" i="43"/>
  <c r="H118" i="31"/>
  <c r="J118" i="31" s="1"/>
  <c r="H123" i="31"/>
  <c r="J123" i="31" s="1"/>
  <c r="J123" i="43"/>
  <c r="H119" i="31"/>
  <c r="J119" i="31" s="1"/>
  <c r="J119" i="43"/>
  <c r="H117" i="31"/>
  <c r="J117" i="31" s="1"/>
  <c r="J117" i="43"/>
  <c r="H116" i="31"/>
  <c r="J116" i="31" s="1"/>
  <c r="J116" i="43"/>
  <c r="H122" i="31"/>
  <c r="J122" i="31" s="1"/>
  <c r="J122" i="43"/>
  <c r="J112" i="43"/>
  <c r="H112" i="31"/>
  <c r="J112" i="31" s="1"/>
  <c r="J120" i="43"/>
  <c r="H120" i="31"/>
  <c r="J120" i="31" s="1"/>
  <c r="H121" i="31"/>
  <c r="J121" i="31" s="1"/>
  <c r="J121" i="43"/>
  <c r="Z3" i="49"/>
  <c r="AB3" i="49"/>
  <c r="AA3" i="49"/>
  <c r="Z2" i="49"/>
  <c r="AB2" i="49"/>
  <c r="AA2" i="49"/>
  <c r="H30" i="24" l="1"/>
  <c r="H19" i="25"/>
  <c r="E30" i="25"/>
  <c r="G30" i="25" s="1"/>
  <c r="G187" i="25"/>
  <c r="H187" i="25" s="1"/>
  <c r="J187" i="25" s="1"/>
  <c r="G20" i="25"/>
  <c r="H20" i="25" s="1"/>
  <c r="E19" i="40"/>
  <c r="H101" i="31"/>
  <c r="J101" i="31" s="1"/>
  <c r="H99" i="31"/>
  <c r="J99" i="31" s="1"/>
  <c r="H103" i="31"/>
  <c r="J103" i="31" s="1"/>
  <c r="H105" i="31"/>
  <c r="J105" i="31" s="1"/>
  <c r="J105" i="43"/>
  <c r="H95" i="31"/>
  <c r="J95" i="31" s="1"/>
  <c r="J95" i="43"/>
  <c r="AU35" i="44"/>
  <c r="H97" i="31"/>
  <c r="J97" i="31" s="1"/>
  <c r="J164" i="31"/>
  <c r="H176" i="43"/>
  <c r="J176" i="30"/>
  <c r="J175" i="43"/>
  <c r="H175" i="31"/>
  <c r="J175" i="31" s="1"/>
  <c r="H119" i="50"/>
  <c r="J119" i="50" s="1"/>
  <c r="H181" i="31"/>
  <c r="J181" i="31" s="1"/>
  <c r="J181" i="43"/>
  <c r="J186" i="43"/>
  <c r="H186" i="31"/>
  <c r="J186" i="31" s="1"/>
  <c r="H130" i="50"/>
  <c r="J130" i="50" s="1"/>
  <c r="H163" i="31"/>
  <c r="J163" i="31" s="1"/>
  <c r="J163" i="43"/>
  <c r="H188" i="43"/>
  <c r="J188" i="30"/>
  <c r="J113" i="43"/>
  <c r="H113" i="31"/>
  <c r="J113" i="31" s="1"/>
  <c r="AN10" i="49"/>
  <c r="AE10" i="49"/>
  <c r="Y13" i="44"/>
  <c r="X10" i="49" s="1"/>
  <c r="AD10" i="49"/>
  <c r="G32" i="25" l="1"/>
  <c r="H32" i="25" s="1"/>
  <c r="G19" i="40"/>
  <c r="G20" i="40" s="1"/>
  <c r="H30" i="25"/>
  <c r="AD36" i="44"/>
  <c r="AD37" i="44"/>
  <c r="AU36" i="44"/>
  <c r="AU37" i="44"/>
  <c r="AC32" i="49"/>
  <c r="H176" i="31"/>
  <c r="J176" i="31" s="1"/>
  <c r="J176" i="43"/>
  <c r="H120" i="50"/>
  <c r="J120" i="50" s="1"/>
  <c r="H188" i="31"/>
  <c r="J188" i="31" s="1"/>
  <c r="J188" i="43"/>
  <c r="H132" i="50"/>
  <c r="J132" i="50" s="1"/>
  <c r="I13" i="44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G187" i="40" l="1"/>
  <c r="H187" i="40" s="1"/>
  <c r="J187" i="40" s="1"/>
  <c r="H20" i="40"/>
  <c r="E30" i="40"/>
  <c r="G30" i="40" s="1"/>
  <c r="G32" i="40" s="1"/>
  <c r="H32" i="40" s="1"/>
  <c r="H19" i="40"/>
  <c r="E19" i="27"/>
  <c r="AT10" i="49"/>
  <c r="BB10" i="49"/>
  <c r="AS10" i="49"/>
  <c r="BA10" i="49"/>
  <c r="H30" i="40" l="1"/>
  <c r="G19" i="27"/>
  <c r="C9" i="44"/>
  <c r="J6" i="48" s="1"/>
  <c r="H8" i="1"/>
  <c r="J8" i="1" s="1"/>
  <c r="C10" i="44"/>
  <c r="H9" i="1"/>
  <c r="J9" i="1" s="1"/>
  <c r="AN32" i="49"/>
  <c r="BA34" i="1"/>
  <c r="BC34" i="1"/>
  <c r="BD34" i="1"/>
  <c r="BE34" i="1"/>
  <c r="BG34" i="1"/>
  <c r="Y35" i="44"/>
  <c r="AZ34" i="1"/>
  <c r="AR34" i="1"/>
  <c r="AU34" i="1"/>
  <c r="AV34" i="1"/>
  <c r="AW34" i="1"/>
  <c r="D35" i="44"/>
  <c r="BF34" i="1"/>
  <c r="AX34" i="1"/>
  <c r="AT34" i="1"/>
  <c r="H19" i="27" l="1"/>
  <c r="G187" i="27"/>
  <c r="G20" i="27"/>
  <c r="H20" i="27" s="1"/>
  <c r="E30" i="27"/>
  <c r="G30" i="27" s="1"/>
  <c r="H187" i="27"/>
  <c r="J187" i="27" s="1"/>
  <c r="J7" i="48"/>
  <c r="AP34" i="1"/>
  <c r="M35" i="44"/>
  <c r="L32" i="49" s="1"/>
  <c r="AY34" i="1"/>
  <c r="I35" i="44"/>
  <c r="H32" i="49" s="1"/>
  <c r="AS34" i="1"/>
  <c r="H35" i="44"/>
  <c r="G32" i="49" s="1"/>
  <c r="BB34" i="1"/>
  <c r="L35" i="44"/>
  <c r="K32" i="49" s="1"/>
  <c r="BH34" i="1"/>
  <c r="G35" i="44"/>
  <c r="F32" i="49" s="1"/>
  <c r="AQ34" i="1"/>
  <c r="AN35" i="44"/>
  <c r="L34" i="1"/>
  <c r="F35" i="44"/>
  <c r="E32" i="49" s="1"/>
  <c r="J35" i="44"/>
  <c r="I32" i="49" s="1"/>
  <c r="K35" i="44"/>
  <c r="J32" i="49" s="1"/>
  <c r="AD32" i="49"/>
  <c r="AE32" i="49"/>
  <c r="X32" i="49"/>
  <c r="G19" i="28" l="1"/>
  <c r="G32" i="27"/>
  <c r="H32" i="27" s="1"/>
  <c r="H30" i="27"/>
  <c r="N34" i="1"/>
  <c r="G32" i="47"/>
  <c r="AT35" i="44"/>
  <c r="AT32" i="49"/>
  <c r="BB32" i="49"/>
  <c r="AS32" i="49"/>
  <c r="BA32" i="49"/>
  <c r="E19" i="29" l="1"/>
  <c r="E30" i="28"/>
  <c r="G30" i="28" s="1"/>
  <c r="G32" i="28" s="1"/>
  <c r="H32" i="28" s="1"/>
  <c r="G187" i="28"/>
  <c r="H187" i="28" s="1"/>
  <c r="J187" i="28" s="1"/>
  <c r="G20" i="28"/>
  <c r="H20" i="28" s="1"/>
  <c r="H19" i="28"/>
  <c r="AI25" i="45"/>
  <c r="AI27" i="45"/>
  <c r="H30" i="28" l="1"/>
  <c r="E19" i="30"/>
  <c r="G19" i="29"/>
  <c r="AD20" i="49"/>
  <c r="G187" i="29" l="1"/>
  <c r="H187" i="29" s="1"/>
  <c r="J187" i="29" s="1"/>
  <c r="E30" i="29"/>
  <c r="G30" i="29" s="1"/>
  <c r="G32" i="29" s="1"/>
  <c r="H32" i="29" s="1"/>
  <c r="G20" i="29"/>
  <c r="H20" i="29" s="1"/>
  <c r="H19" i="29"/>
  <c r="G19" i="30"/>
  <c r="E19" i="43"/>
  <c r="L15" i="44"/>
  <c r="K12" i="49" s="1"/>
  <c r="Y15" i="44"/>
  <c r="X12" i="49" s="1"/>
  <c r="H19" i="30" l="1"/>
  <c r="G20" i="30"/>
  <c r="H20" i="30" s="1"/>
  <c r="E30" i="30"/>
  <c r="G30" i="30" s="1"/>
  <c r="G32" i="30" s="1"/>
  <c r="H32" i="30" s="1"/>
  <c r="G187" i="30"/>
  <c r="H187" i="30" s="1"/>
  <c r="J187" i="30" s="1"/>
  <c r="H30" i="29"/>
  <c r="AX7" i="49"/>
  <c r="AW7" i="49"/>
  <c r="AV9" i="49"/>
  <c r="AZ10" i="49"/>
  <c r="AY10" i="49"/>
  <c r="AX10" i="49"/>
  <c r="AW10" i="49"/>
  <c r="AV10" i="49"/>
  <c r="AU10" i="49"/>
  <c r="AZ14" i="49"/>
  <c r="AY14" i="49"/>
  <c r="AX14" i="49"/>
  <c r="AW14" i="49"/>
  <c r="AV14" i="49"/>
  <c r="AU14" i="49"/>
  <c r="AZ15" i="49"/>
  <c r="AY15" i="49"/>
  <c r="AX15" i="49"/>
  <c r="AW15" i="49"/>
  <c r="AV15" i="49"/>
  <c r="AU15" i="49"/>
  <c r="AZ16" i="49"/>
  <c r="AY16" i="49"/>
  <c r="AX16" i="49"/>
  <c r="AW16" i="49"/>
  <c r="AV16" i="49"/>
  <c r="AU16" i="49"/>
  <c r="AZ18" i="49"/>
  <c r="AY18" i="49"/>
  <c r="AX18" i="49"/>
  <c r="AW18" i="49"/>
  <c r="AV18" i="49"/>
  <c r="AU18" i="49"/>
  <c r="AZ19" i="49"/>
  <c r="AY19" i="49"/>
  <c r="AX19" i="49"/>
  <c r="AW19" i="49"/>
  <c r="AV19" i="49"/>
  <c r="AU19" i="49"/>
  <c r="AZ24" i="49"/>
  <c r="AY24" i="49"/>
  <c r="AX24" i="49"/>
  <c r="AW24" i="49"/>
  <c r="AV24" i="49"/>
  <c r="AU24" i="49"/>
  <c r="AZ25" i="49"/>
  <c r="AY25" i="49"/>
  <c r="AX25" i="49"/>
  <c r="AW25" i="49"/>
  <c r="AV25" i="49"/>
  <c r="AU25" i="49"/>
  <c r="AZ26" i="49"/>
  <c r="AY26" i="49"/>
  <c r="AX26" i="49"/>
  <c r="AW26" i="49"/>
  <c r="AV26" i="49"/>
  <c r="AU26" i="49"/>
  <c r="AZ27" i="49"/>
  <c r="AY27" i="49"/>
  <c r="AX27" i="49"/>
  <c r="AW27" i="49"/>
  <c r="AV27" i="49"/>
  <c r="AU27" i="49"/>
  <c r="AZ28" i="49"/>
  <c r="AY28" i="49"/>
  <c r="AX28" i="49"/>
  <c r="AW28" i="49"/>
  <c r="AV28" i="49"/>
  <c r="AU28" i="49"/>
  <c r="AZ29" i="49"/>
  <c r="AY29" i="49"/>
  <c r="AX29" i="49"/>
  <c r="AW29" i="49"/>
  <c r="AV29" i="49"/>
  <c r="AU29" i="49"/>
  <c r="AZ32" i="49"/>
  <c r="AY32" i="49"/>
  <c r="AX32" i="49"/>
  <c r="AW32" i="49"/>
  <c r="AV32" i="49"/>
  <c r="AU32" i="49"/>
  <c r="H30" i="30" l="1"/>
  <c r="G19" i="43"/>
  <c r="E20" i="50"/>
  <c r="G20" i="50" s="1"/>
  <c r="G19" i="31"/>
  <c r="AT26" i="49"/>
  <c r="BB26" i="49"/>
  <c r="AT25" i="49"/>
  <c r="BB25" i="49"/>
  <c r="AT24" i="49"/>
  <c r="BB24" i="49"/>
  <c r="AS24" i="49"/>
  <c r="BA24" i="49"/>
  <c r="AT19" i="49"/>
  <c r="BB19" i="49"/>
  <c r="AS19" i="49"/>
  <c r="BA19" i="49"/>
  <c r="AT18" i="49"/>
  <c r="BB18" i="49"/>
  <c r="AT16" i="49"/>
  <c r="BB16" i="49"/>
  <c r="AS16" i="49"/>
  <c r="BA16" i="49"/>
  <c r="AT15" i="49"/>
  <c r="BB15" i="49"/>
  <c r="AS15" i="49"/>
  <c r="BA15" i="49"/>
  <c r="AT14" i="49"/>
  <c r="BB14" i="49"/>
  <c r="AS12" i="49"/>
  <c r="BA12" i="49"/>
  <c r="AU31" i="49"/>
  <c r="BB31" i="49"/>
  <c r="BA31" i="49"/>
  <c r="AZ31" i="49"/>
  <c r="AY31" i="49"/>
  <c r="AX31" i="49"/>
  <c r="AW31" i="49"/>
  <c r="AV31" i="49"/>
  <c r="AT29" i="49"/>
  <c r="BB29" i="49"/>
  <c r="AT27" i="49"/>
  <c r="BB27" i="49"/>
  <c r="AT28" i="49"/>
  <c r="BB28" i="49"/>
  <c r="AS27" i="49"/>
  <c r="BA27" i="49"/>
  <c r="AX21" i="49"/>
  <c r="AY22" i="49"/>
  <c r="AW21" i="49"/>
  <c r="AU20" i="49"/>
  <c r="AX22" i="49"/>
  <c r="AV21" i="49"/>
  <c r="AW22" i="49"/>
  <c r="AU21" i="49"/>
  <c r="AY21" i="49"/>
  <c r="AV22" i="49"/>
  <c r="AZ20" i="49"/>
  <c r="AW20" i="49"/>
  <c r="AV20" i="49"/>
  <c r="AU22" i="49"/>
  <c r="AY20" i="49"/>
  <c r="AZ22" i="49"/>
  <c r="AZ21" i="49"/>
  <c r="AX20" i="49"/>
  <c r="AT17" i="49"/>
  <c r="AY3" i="49"/>
  <c r="AW5" i="49"/>
  <c r="AU9" i="49"/>
  <c r="AY9" i="49"/>
  <c r="AW8" i="49"/>
  <c r="AU7" i="49"/>
  <c r="AZ7" i="49"/>
  <c r="AX6" i="49"/>
  <c r="AZ5" i="49"/>
  <c r="AU3" i="49"/>
  <c r="AY4" i="49"/>
  <c r="AZ9" i="49"/>
  <c r="AX8" i="49"/>
  <c r="AU6" i="49"/>
  <c r="AX3" i="49"/>
  <c r="AX4" i="49"/>
  <c r="AW3" i="49"/>
  <c r="AW4" i="49"/>
  <c r="AX9" i="49"/>
  <c r="AV8" i="49"/>
  <c r="AZ8" i="49"/>
  <c r="AW6" i="49"/>
  <c r="AU5" i="49"/>
  <c r="AY5" i="49"/>
  <c r="AU4" i="49"/>
  <c r="AY6" i="49"/>
  <c r="AV3" i="49"/>
  <c r="AZ3" i="49"/>
  <c r="AV4" i="49"/>
  <c r="AZ4" i="49"/>
  <c r="AU8" i="49"/>
  <c r="AY8" i="49"/>
  <c r="AV6" i="49"/>
  <c r="AZ6" i="49"/>
  <c r="AX5" i="49"/>
  <c r="AZ11" i="49"/>
  <c r="AY11" i="49"/>
  <c r="AW11" i="49"/>
  <c r="AV11" i="49"/>
  <c r="AZ23" i="49"/>
  <c r="AU23" i="49"/>
  <c r="AY23" i="49"/>
  <c r="AW23" i="49"/>
  <c r="AV23" i="49"/>
  <c r="AV2" i="49"/>
  <c r="AZ2" i="49"/>
  <c r="AU2" i="49"/>
  <c r="AW2" i="49"/>
  <c r="AX30" i="49"/>
  <c r="AW30" i="49"/>
  <c r="AV30" i="49"/>
  <c r="AZ30" i="49"/>
  <c r="AU30" i="49"/>
  <c r="AY30" i="49"/>
  <c r="AU13" i="49"/>
  <c r="AX13" i="49"/>
  <c r="AY13" i="49"/>
  <c r="AW13" i="49"/>
  <c r="AV13" i="49"/>
  <c r="AZ13" i="49"/>
  <c r="AX12" i="49"/>
  <c r="AW12" i="49"/>
  <c r="AV12" i="49"/>
  <c r="AZ12" i="49"/>
  <c r="AU12" i="49"/>
  <c r="AY12" i="49"/>
  <c r="AU11" i="49"/>
  <c r="AX11" i="49"/>
  <c r="AY7" i="49"/>
  <c r="AW9" i="49"/>
  <c r="AV7" i="49"/>
  <c r="AV5" i="49"/>
  <c r="AX23" i="49"/>
  <c r="G187" i="31" l="1"/>
  <c r="G20" i="31"/>
  <c r="G30" i="31"/>
  <c r="G32" i="31" s="1"/>
  <c r="G21" i="50"/>
  <c r="E31" i="50"/>
  <c r="G31" i="50" s="1"/>
  <c r="G33" i="50" s="1"/>
  <c r="G20" i="43"/>
  <c r="H20" i="43" s="1"/>
  <c r="G187" i="43"/>
  <c r="H187" i="43" s="1"/>
  <c r="E30" i="43"/>
  <c r="G30" i="43" s="1"/>
  <c r="H19" i="43"/>
  <c r="H19" i="31" s="1"/>
  <c r="AU17" i="49"/>
  <c r="AS17" i="49"/>
  <c r="BB17" i="49"/>
  <c r="AZ17" i="49"/>
  <c r="AS26" i="49"/>
  <c r="BA26" i="49"/>
  <c r="AS25" i="49"/>
  <c r="BA25" i="49"/>
  <c r="AT23" i="49"/>
  <c r="BB23" i="49"/>
  <c r="AS23" i="49"/>
  <c r="BA23" i="49"/>
  <c r="AT22" i="49"/>
  <c r="BB22" i="49"/>
  <c r="AS22" i="49"/>
  <c r="BA22" i="49"/>
  <c r="AT21" i="49"/>
  <c r="BB21" i="49"/>
  <c r="AS21" i="49"/>
  <c r="BA21" i="49"/>
  <c r="AT20" i="49"/>
  <c r="BB20" i="49"/>
  <c r="AS20" i="49"/>
  <c r="BA20" i="49"/>
  <c r="AS18" i="49"/>
  <c r="BA18" i="49"/>
  <c r="AS14" i="49"/>
  <c r="BA14" i="49"/>
  <c r="AT13" i="49"/>
  <c r="BB13" i="49"/>
  <c r="AS13" i="49"/>
  <c r="BA13" i="49"/>
  <c r="AT12" i="49"/>
  <c r="BB12" i="49"/>
  <c r="AT11" i="49"/>
  <c r="BB11" i="49"/>
  <c r="AS11" i="49"/>
  <c r="BA11" i="49"/>
  <c r="AT9" i="49"/>
  <c r="BB9" i="49"/>
  <c r="AS9" i="49"/>
  <c r="BA9" i="49"/>
  <c r="AT8" i="49"/>
  <c r="BB8" i="49"/>
  <c r="AS8" i="49"/>
  <c r="BA8" i="49"/>
  <c r="AT7" i="49"/>
  <c r="BB7" i="49"/>
  <c r="AS7" i="49"/>
  <c r="BA7" i="49"/>
  <c r="AS6" i="49"/>
  <c r="BA6" i="49"/>
  <c r="AS3" i="49"/>
  <c r="BA3" i="49"/>
  <c r="AT4" i="49"/>
  <c r="BB4" i="49"/>
  <c r="AT3" i="49"/>
  <c r="BB3" i="49"/>
  <c r="AT5" i="49"/>
  <c r="BB5" i="49"/>
  <c r="AT6" i="49"/>
  <c r="BB6" i="49"/>
  <c r="AS5" i="49"/>
  <c r="BA5" i="49"/>
  <c r="AS4" i="49"/>
  <c r="BA4" i="49"/>
  <c r="AS2" i="49"/>
  <c r="BA2" i="49"/>
  <c r="BA17" i="49"/>
  <c r="AX2" i="49"/>
  <c r="AX17" i="49"/>
  <c r="AY17" i="49"/>
  <c r="AY2" i="49"/>
  <c r="AT2" i="49"/>
  <c r="BB2" i="49"/>
  <c r="AV17" i="49"/>
  <c r="AT31" i="49"/>
  <c r="AS31" i="49"/>
  <c r="AT30" i="49"/>
  <c r="BB30" i="49"/>
  <c r="AS30" i="49"/>
  <c r="BA30" i="49"/>
  <c r="AS29" i="49"/>
  <c r="BA29" i="49"/>
  <c r="AS28" i="49"/>
  <c r="BA28" i="49"/>
  <c r="AW17" i="49"/>
  <c r="H20" i="31" l="1"/>
  <c r="J187" i="43"/>
  <c r="H131" i="50"/>
  <c r="J131" i="50" s="1"/>
  <c r="G32" i="43"/>
  <c r="H32" i="43" s="1"/>
  <c r="H32" i="31" s="1"/>
  <c r="H30" i="43"/>
  <c r="H30" i="31" s="1"/>
  <c r="H187" i="31"/>
  <c r="J187" i="31" s="1"/>
  <c r="H11" i="1"/>
  <c r="J11" i="1" s="1"/>
  <c r="C11" i="44" l="1"/>
  <c r="H10" i="1"/>
  <c r="J10" i="1" s="1"/>
  <c r="H12" i="1"/>
  <c r="J12" i="1" s="1"/>
  <c r="C12" i="44"/>
  <c r="J9" i="48" s="1"/>
  <c r="J8" i="48" l="1"/>
  <c r="C13" i="44"/>
  <c r="BB13" i="44" l="1"/>
  <c r="J10" i="48"/>
  <c r="H14" i="1"/>
  <c r="J14" i="1" s="1"/>
  <c r="C15" i="44"/>
  <c r="J12" i="48" s="1"/>
  <c r="H13" i="1"/>
  <c r="J13" i="1" s="1"/>
  <c r="C14" i="44"/>
  <c r="J11" i="48" s="1"/>
  <c r="H15" i="1" l="1"/>
  <c r="J15" i="1" s="1"/>
  <c r="C16" i="44"/>
  <c r="J13" i="48" s="1"/>
  <c r="C17" i="44" l="1"/>
  <c r="J14" i="48" s="1"/>
  <c r="H16" i="1"/>
  <c r="J16" i="1" s="1"/>
  <c r="H17" i="1" l="1"/>
  <c r="J17" i="1" s="1"/>
  <c r="C18" i="44"/>
  <c r="J15" i="48" s="1"/>
  <c r="W5" i="45"/>
  <c r="H18" i="1" l="1"/>
  <c r="J18" i="1" s="1"/>
  <c r="C19" i="44"/>
  <c r="J16" i="48" s="1"/>
  <c r="H19" i="1" l="1"/>
  <c r="J19" i="1" s="1"/>
  <c r="C20" i="44"/>
  <c r="J17" i="48" s="1"/>
  <c r="H20" i="1" l="1"/>
  <c r="J20" i="1" s="1"/>
  <c r="C21" i="44"/>
  <c r="J18" i="48" s="1"/>
  <c r="H21" i="1" l="1"/>
  <c r="J21" i="1" s="1"/>
  <c r="C22" i="44"/>
  <c r="J19" i="48" s="1"/>
  <c r="H22" i="1" l="1"/>
  <c r="J22" i="1" s="1"/>
  <c r="C23" i="44"/>
  <c r="J20" i="48" s="1"/>
  <c r="H23" i="1" l="1"/>
  <c r="J23" i="1" s="1"/>
  <c r="C24" i="44"/>
  <c r="J21" i="48" s="1"/>
  <c r="C25" i="44" l="1"/>
  <c r="J22" i="48" s="1"/>
  <c r="H24" i="1"/>
  <c r="J24" i="1" s="1"/>
  <c r="Y25" i="49"/>
  <c r="H25" i="1" l="1"/>
  <c r="J25" i="1" s="1"/>
  <c r="C26" i="44"/>
  <c r="J23" i="48" s="1"/>
  <c r="L28" i="44"/>
  <c r="K25" i="49" l="1"/>
  <c r="C27" i="44"/>
  <c r="J24" i="48" s="1"/>
  <c r="H26" i="1"/>
  <c r="J26" i="1" s="1"/>
  <c r="BL25" i="49"/>
  <c r="BK25" i="49"/>
  <c r="BJ25" i="49"/>
  <c r="BI25" i="49"/>
  <c r="BH25" i="49"/>
  <c r="BC25" i="49"/>
  <c r="AQ25" i="49"/>
  <c r="AN25" i="49"/>
  <c r="AL25" i="49"/>
  <c r="W25" i="49"/>
  <c r="V25" i="49"/>
  <c r="U25" i="49"/>
  <c r="T25" i="49"/>
  <c r="S25" i="49"/>
  <c r="R25" i="49"/>
  <c r="Q25" i="49"/>
  <c r="P25" i="49"/>
  <c r="O25" i="49"/>
  <c r="N25" i="49"/>
  <c r="M25" i="49"/>
  <c r="AK25" i="49"/>
  <c r="AJ25" i="49"/>
  <c r="AI25" i="49"/>
  <c r="AH25" i="49"/>
  <c r="AG25" i="49"/>
  <c r="AF25" i="49"/>
  <c r="AE25" i="49"/>
  <c r="AD25" i="49"/>
  <c r="Y28" i="44"/>
  <c r="X25" i="49" l="1"/>
  <c r="H27" i="1"/>
  <c r="J27" i="1" s="1"/>
  <c r="C28" i="44"/>
  <c r="AA27" i="45"/>
  <c r="BF25" i="49" s="1"/>
  <c r="AR25" i="49"/>
  <c r="AP25" i="49"/>
  <c r="AM25" i="49"/>
  <c r="AA29" i="45"/>
  <c r="AO25" i="49"/>
  <c r="M28" i="44"/>
  <c r="K28" i="44"/>
  <c r="I28" i="44"/>
  <c r="J28" i="44"/>
  <c r="G28" i="44"/>
  <c r="F28" i="44"/>
  <c r="H28" i="44"/>
  <c r="AA30" i="45"/>
  <c r="AA5" i="45"/>
  <c r="AY28" i="44"/>
  <c r="AA25" i="45"/>
  <c r="BE25" i="49" s="1"/>
  <c r="J25" i="49" l="1"/>
  <c r="I25" i="49"/>
  <c r="H25" i="49"/>
  <c r="G25" i="49"/>
  <c r="F25" i="49"/>
  <c r="L25" i="49"/>
  <c r="E25" i="49"/>
  <c r="J25" i="48"/>
  <c r="BB28" i="44"/>
  <c r="C29" i="44"/>
  <c r="J26" i="48" s="1"/>
  <c r="H28" i="1"/>
  <c r="J28" i="1" s="1"/>
  <c r="AA31" i="45"/>
  <c r="C30" i="44" l="1"/>
  <c r="J27" i="48" s="1"/>
  <c r="H29" i="1"/>
  <c r="J29" i="1" s="1"/>
  <c r="C31" i="44" l="1"/>
  <c r="H30" i="1"/>
  <c r="J30" i="1" s="1"/>
  <c r="J28" i="48" l="1"/>
  <c r="H31" i="1"/>
  <c r="J31" i="1" s="1"/>
  <c r="C32" i="44"/>
  <c r="AV9" i="1"/>
  <c r="BI32" i="49"/>
  <c r="BJ32" i="49"/>
  <c r="BK32" i="49"/>
  <c r="BL32" i="49"/>
  <c r="AQ32" i="49"/>
  <c r="BC32" i="49"/>
  <c r="N32" i="49"/>
  <c r="Q32" i="49"/>
  <c r="R32" i="49"/>
  <c r="S32" i="49"/>
  <c r="T32" i="49"/>
  <c r="U32" i="49"/>
  <c r="V32" i="49"/>
  <c r="W32" i="49"/>
  <c r="Y32" i="49"/>
  <c r="M32" i="49"/>
  <c r="AF32" i="49"/>
  <c r="AG32" i="49"/>
  <c r="AH32" i="49"/>
  <c r="AI32" i="49"/>
  <c r="AJ32" i="49"/>
  <c r="AK32" i="49"/>
  <c r="BJ31" i="49"/>
  <c r="BK31" i="49"/>
  <c r="BL31" i="49"/>
  <c r="AN31" i="49"/>
  <c r="N31" i="49"/>
  <c r="O31" i="49"/>
  <c r="P31" i="49"/>
  <c r="Q31" i="49"/>
  <c r="R31" i="49"/>
  <c r="S31" i="49"/>
  <c r="T31" i="49"/>
  <c r="U31" i="49"/>
  <c r="V31" i="49"/>
  <c r="W31" i="49"/>
  <c r="Y31" i="49"/>
  <c r="M31" i="49"/>
  <c r="AL10" i="49"/>
  <c r="BB20" i="1"/>
  <c r="BD20" i="1"/>
  <c r="BG5" i="1"/>
  <c r="BF5" i="1"/>
  <c r="BE5" i="1"/>
  <c r="BD5" i="1"/>
  <c r="BC5" i="1"/>
  <c r="BA5" i="1"/>
  <c r="AZ5" i="1"/>
  <c r="AV13" i="1"/>
  <c r="BI10" i="49"/>
  <c r="BJ10" i="49"/>
  <c r="BK10" i="49"/>
  <c r="BL10" i="49"/>
  <c r="N10" i="49"/>
  <c r="O10" i="49"/>
  <c r="P10" i="49"/>
  <c r="Q10" i="49"/>
  <c r="R10" i="49"/>
  <c r="S10" i="49"/>
  <c r="T10" i="49"/>
  <c r="U10" i="49"/>
  <c r="V10" i="49"/>
  <c r="W10" i="49"/>
  <c r="Y10" i="49"/>
  <c r="AY27" i="1"/>
  <c r="AQ27" i="1"/>
  <c r="AR27" i="1"/>
  <c r="AV27" i="1"/>
  <c r="AX27" i="1"/>
  <c r="BL20" i="49"/>
  <c r="BK20" i="49"/>
  <c r="BJ20" i="49"/>
  <c r="BC20" i="49"/>
  <c r="BC14" i="1"/>
  <c r="BD14" i="1"/>
  <c r="BE14" i="1"/>
  <c r="BF14" i="1"/>
  <c r="BG14" i="1"/>
  <c r="BC11" i="49"/>
  <c r="AN11" i="49"/>
  <c r="N11" i="49"/>
  <c r="O11" i="49"/>
  <c r="P11" i="49"/>
  <c r="Q11" i="49"/>
  <c r="R11" i="49"/>
  <c r="S11" i="49"/>
  <c r="T11" i="49"/>
  <c r="U11" i="49"/>
  <c r="V11" i="49"/>
  <c r="W11" i="49"/>
  <c r="Y11" i="49"/>
  <c r="AL11" i="49"/>
  <c r="BB13" i="1"/>
  <c r="BC13" i="1"/>
  <c r="BD13" i="1"/>
  <c r="BE13" i="1"/>
  <c r="BF13" i="1"/>
  <c r="BG13" i="1"/>
  <c r="Y14" i="44"/>
  <c r="X11" i="49" s="1"/>
  <c r="AV10" i="1"/>
  <c r="AZ10" i="1"/>
  <c r="BA10" i="1"/>
  <c r="BB10" i="1"/>
  <c r="BC10" i="1"/>
  <c r="BD10" i="1"/>
  <c r="BE10" i="1"/>
  <c r="BG10" i="1"/>
  <c r="Y11" i="44"/>
  <c r="X8" i="49" s="1"/>
  <c r="AD8" i="49"/>
  <c r="AE8" i="49"/>
  <c r="AF8" i="49"/>
  <c r="AG8" i="49"/>
  <c r="AH8" i="49"/>
  <c r="AI8" i="49"/>
  <c r="AJ8" i="49"/>
  <c r="N8" i="49"/>
  <c r="O8" i="49"/>
  <c r="P8" i="49"/>
  <c r="Q8" i="49"/>
  <c r="R8" i="49"/>
  <c r="S8" i="49"/>
  <c r="T8" i="49"/>
  <c r="U8" i="49"/>
  <c r="V8" i="49"/>
  <c r="W8" i="49"/>
  <c r="Y8" i="49"/>
  <c r="AN8" i="49"/>
  <c r="BC8" i="49"/>
  <c r="BI8" i="49"/>
  <c r="BJ8" i="49"/>
  <c r="BK8" i="49"/>
  <c r="BL8" i="49"/>
  <c r="BC4" i="49"/>
  <c r="AT6" i="1"/>
  <c r="BA6" i="1"/>
  <c r="BC6" i="1"/>
  <c r="BG6" i="1"/>
  <c r="Y7" i="44"/>
  <c r="X4" i="49" s="1"/>
  <c r="AH4" i="49"/>
  <c r="M4" i="49"/>
  <c r="N4" i="49"/>
  <c r="O4" i="49"/>
  <c r="P4" i="49"/>
  <c r="Q4" i="49"/>
  <c r="R4" i="49"/>
  <c r="S4" i="49"/>
  <c r="T4" i="49"/>
  <c r="U4" i="49"/>
  <c r="V4" i="49"/>
  <c r="W4" i="49"/>
  <c r="Y4" i="49"/>
  <c r="AL4" i="49"/>
  <c r="BI4" i="49"/>
  <c r="BJ4" i="49"/>
  <c r="BK4" i="49"/>
  <c r="BL4" i="49"/>
  <c r="J16" i="35"/>
  <c r="AF9" i="49"/>
  <c r="N22" i="49"/>
  <c r="O22" i="49"/>
  <c r="P22" i="49"/>
  <c r="Q22" i="49"/>
  <c r="R22" i="49"/>
  <c r="S22" i="49"/>
  <c r="T22" i="49"/>
  <c r="U22" i="49"/>
  <c r="V22" i="49"/>
  <c r="W22" i="49"/>
  <c r="Y22" i="49"/>
  <c r="BA19" i="1"/>
  <c r="BD19" i="1"/>
  <c r="BE19" i="1"/>
  <c r="BF19" i="1"/>
  <c r="BG19" i="1"/>
  <c r="Y20" i="44"/>
  <c r="X17" i="49" s="1"/>
  <c r="AV19" i="1"/>
  <c r="AN13" i="49"/>
  <c r="Y14" i="49"/>
  <c r="W14" i="49"/>
  <c r="V14" i="49"/>
  <c r="U14" i="49"/>
  <c r="T14" i="49"/>
  <c r="S14" i="49"/>
  <c r="R14" i="49"/>
  <c r="Q14" i="49"/>
  <c r="P14" i="49"/>
  <c r="O14" i="49"/>
  <c r="N14" i="49"/>
  <c r="M10" i="49"/>
  <c r="Y9" i="49"/>
  <c r="W9" i="49"/>
  <c r="V9" i="49"/>
  <c r="U9" i="49"/>
  <c r="T9" i="49"/>
  <c r="S9" i="49"/>
  <c r="R9" i="49"/>
  <c r="Q9" i="49"/>
  <c r="P9" i="49"/>
  <c r="O9" i="49"/>
  <c r="N9" i="49"/>
  <c r="M9" i="49"/>
  <c r="Y7" i="49"/>
  <c r="W7" i="49"/>
  <c r="V7" i="49"/>
  <c r="U7" i="49"/>
  <c r="T7" i="49"/>
  <c r="S7" i="49"/>
  <c r="R7" i="49"/>
  <c r="Q7" i="49"/>
  <c r="P7" i="49"/>
  <c r="O7" i="49"/>
  <c r="N7" i="49"/>
  <c r="M7" i="49"/>
  <c r="Y6" i="49"/>
  <c r="W6" i="49"/>
  <c r="V6" i="49"/>
  <c r="U6" i="49"/>
  <c r="T6" i="49"/>
  <c r="S6" i="49"/>
  <c r="R6" i="49"/>
  <c r="Q6" i="49"/>
  <c r="P6" i="49"/>
  <c r="O6" i="49"/>
  <c r="N6" i="49"/>
  <c r="M6" i="49"/>
  <c r="AL5" i="49"/>
  <c r="Y5" i="49"/>
  <c r="W5" i="49"/>
  <c r="V5" i="49"/>
  <c r="U5" i="49"/>
  <c r="T5" i="49"/>
  <c r="S5" i="49"/>
  <c r="R5" i="49"/>
  <c r="Q5" i="49"/>
  <c r="N5" i="49"/>
  <c r="M5" i="49"/>
  <c r="BI11" i="49"/>
  <c r="BJ11" i="49"/>
  <c r="BK11" i="49"/>
  <c r="BL11" i="49"/>
  <c r="BI9" i="49"/>
  <c r="BJ9" i="49"/>
  <c r="BK9" i="49"/>
  <c r="BL9" i="49"/>
  <c r="D32" i="1"/>
  <c r="D31" i="1"/>
  <c r="D30" i="1"/>
  <c r="D29" i="1"/>
  <c r="D28" i="1"/>
  <c r="D27" i="1"/>
  <c r="D26" i="1"/>
  <c r="D25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4" i="1"/>
  <c r="AE30" i="49"/>
  <c r="L33" i="44"/>
  <c r="K30" i="49" s="1"/>
  <c r="M33" i="44"/>
  <c r="L30" i="49" s="1"/>
  <c r="BL29" i="49"/>
  <c r="BK29" i="49"/>
  <c r="BJ29" i="49"/>
  <c r="BI29" i="49"/>
  <c r="BH29" i="49"/>
  <c r="BC29" i="49"/>
  <c r="AN29" i="49"/>
  <c r="AL29" i="49"/>
  <c r="Y29" i="49"/>
  <c r="W29" i="49"/>
  <c r="V29" i="49"/>
  <c r="U29" i="49"/>
  <c r="T29" i="49"/>
  <c r="S29" i="49"/>
  <c r="R29" i="49"/>
  <c r="Q29" i="49"/>
  <c r="P29" i="49"/>
  <c r="O29" i="49"/>
  <c r="N29" i="49"/>
  <c r="M29" i="49"/>
  <c r="AK29" i="49"/>
  <c r="AJ29" i="49"/>
  <c r="AI29" i="49"/>
  <c r="AH29" i="49"/>
  <c r="AG29" i="49"/>
  <c r="AF29" i="49"/>
  <c r="AE29" i="49"/>
  <c r="Y32" i="44"/>
  <c r="X29" i="49" s="1"/>
  <c r="BG31" i="1"/>
  <c r="BF31" i="1"/>
  <c r="BD31" i="1"/>
  <c r="BA31" i="1"/>
  <c r="AZ31" i="1"/>
  <c r="AV31" i="1"/>
  <c r="BL28" i="49"/>
  <c r="BK28" i="49"/>
  <c r="BJ28" i="49"/>
  <c r="BI28" i="49"/>
  <c r="BC28" i="49"/>
  <c r="AN28" i="49"/>
  <c r="Y28" i="49"/>
  <c r="W28" i="49"/>
  <c r="V28" i="49"/>
  <c r="U28" i="49"/>
  <c r="T28" i="49"/>
  <c r="S28" i="49"/>
  <c r="R28" i="49"/>
  <c r="Q28" i="49"/>
  <c r="P28" i="49"/>
  <c r="O28" i="49"/>
  <c r="N28" i="49"/>
  <c r="M28" i="49"/>
  <c r="BF30" i="1"/>
  <c r="BD30" i="1"/>
  <c r="AP30" i="1"/>
  <c r="BL27" i="49"/>
  <c r="BK27" i="49"/>
  <c r="BJ27" i="49"/>
  <c r="BI27" i="49"/>
  <c r="BC27" i="49"/>
  <c r="AN27" i="49"/>
  <c r="Y27" i="49"/>
  <c r="W27" i="49"/>
  <c r="V27" i="49"/>
  <c r="U27" i="49"/>
  <c r="T27" i="49"/>
  <c r="S27" i="49"/>
  <c r="R27" i="49"/>
  <c r="Q27" i="49"/>
  <c r="P27" i="49"/>
  <c r="O27" i="49"/>
  <c r="N27" i="49"/>
  <c r="M27" i="49"/>
  <c r="BF29" i="1"/>
  <c r="BD29" i="1"/>
  <c r="BC29" i="1"/>
  <c r="BA29" i="1"/>
  <c r="AZ29" i="1"/>
  <c r="BL26" i="49"/>
  <c r="BK26" i="49"/>
  <c r="BJ26" i="49"/>
  <c r="BI26" i="49"/>
  <c r="BC26" i="49"/>
  <c r="AN26" i="49"/>
  <c r="Y26" i="49"/>
  <c r="W26" i="49"/>
  <c r="V26" i="49"/>
  <c r="U26" i="49"/>
  <c r="T26" i="49"/>
  <c r="S26" i="49"/>
  <c r="R26" i="49"/>
  <c r="Q26" i="49"/>
  <c r="P26" i="49"/>
  <c r="O26" i="49"/>
  <c r="N26" i="49"/>
  <c r="M26" i="49"/>
  <c r="BG28" i="1"/>
  <c r="BF28" i="1"/>
  <c r="BE28" i="1"/>
  <c r="BC28" i="1"/>
  <c r="BB28" i="1"/>
  <c r="BA28" i="1"/>
  <c r="BG27" i="1"/>
  <c r="BF27" i="1"/>
  <c r="BE27" i="1"/>
  <c r="BC27" i="1"/>
  <c r="BA27" i="1"/>
  <c r="BH27" i="1"/>
  <c r="AZ27" i="1"/>
  <c r="AP27" i="1"/>
  <c r="BL24" i="49"/>
  <c r="BK24" i="49"/>
  <c r="BJ24" i="49"/>
  <c r="BI24" i="49"/>
  <c r="BC24" i="49"/>
  <c r="AN24" i="49"/>
  <c r="Y24" i="49"/>
  <c r="W24" i="49"/>
  <c r="V24" i="49"/>
  <c r="U24" i="49"/>
  <c r="T24" i="49"/>
  <c r="S24" i="49"/>
  <c r="R24" i="49"/>
  <c r="Q24" i="49"/>
  <c r="P24" i="49"/>
  <c r="O24" i="49"/>
  <c r="N24" i="49"/>
  <c r="Y27" i="44"/>
  <c r="X24" i="49" s="1"/>
  <c r="BG26" i="1"/>
  <c r="BF26" i="1"/>
  <c r="BE26" i="1"/>
  <c r="BD26" i="1"/>
  <c r="BC26" i="1"/>
  <c r="BB26" i="1"/>
  <c r="BA26" i="1"/>
  <c r="AZ26" i="1"/>
  <c r="AV26" i="1"/>
  <c r="AN23" i="49"/>
  <c r="BL22" i="49"/>
  <c r="BK22" i="49"/>
  <c r="BJ22" i="49"/>
  <c r="BI22" i="49"/>
  <c r="BC22" i="49"/>
  <c r="AN22" i="49"/>
  <c r="M22" i="49"/>
  <c r="BL21" i="49"/>
  <c r="BK21" i="49"/>
  <c r="BJ21" i="49"/>
  <c r="BI21" i="49"/>
  <c r="BC21" i="49"/>
  <c r="AN21" i="49"/>
  <c r="Y21" i="49"/>
  <c r="W21" i="49"/>
  <c r="V21" i="49"/>
  <c r="U21" i="49"/>
  <c r="T21" i="49"/>
  <c r="S21" i="49"/>
  <c r="R21" i="49"/>
  <c r="P21" i="49"/>
  <c r="O21" i="49"/>
  <c r="N21" i="49"/>
  <c r="M21" i="49"/>
  <c r="BI20" i="49"/>
  <c r="AN20" i="49"/>
  <c r="Y20" i="49"/>
  <c r="W20" i="49"/>
  <c r="V20" i="49"/>
  <c r="U20" i="49"/>
  <c r="T20" i="49"/>
  <c r="S20" i="49"/>
  <c r="R20" i="49"/>
  <c r="P20" i="49"/>
  <c r="O20" i="49"/>
  <c r="N20" i="49"/>
  <c r="M20" i="49"/>
  <c r="BG22" i="1"/>
  <c r="BF22" i="1"/>
  <c r="BE22" i="1"/>
  <c r="BD22" i="1"/>
  <c r="BC22" i="1"/>
  <c r="BA22" i="1"/>
  <c r="AZ22" i="1"/>
  <c r="BL19" i="49"/>
  <c r="BK19" i="49"/>
  <c r="BJ19" i="49"/>
  <c r="BI19" i="49"/>
  <c r="BC19" i="49"/>
  <c r="AN19" i="49"/>
  <c r="Y19" i="49"/>
  <c r="W19" i="49"/>
  <c r="V19" i="49"/>
  <c r="U19" i="49"/>
  <c r="T19" i="49"/>
  <c r="S19" i="49"/>
  <c r="R19" i="49"/>
  <c r="Q19" i="49"/>
  <c r="P19" i="49"/>
  <c r="O19" i="49"/>
  <c r="N19" i="49"/>
  <c r="BL18" i="49"/>
  <c r="BK18" i="49"/>
  <c r="BJ18" i="49"/>
  <c r="BI18" i="49"/>
  <c r="BC18" i="49"/>
  <c r="AO18" i="49"/>
  <c r="AN18" i="49"/>
  <c r="Y18" i="49"/>
  <c r="W18" i="49"/>
  <c r="V18" i="49"/>
  <c r="U18" i="49"/>
  <c r="T18" i="49"/>
  <c r="S18" i="49"/>
  <c r="R18" i="49"/>
  <c r="Q18" i="49"/>
  <c r="P18" i="49"/>
  <c r="O18" i="49"/>
  <c r="N18" i="49"/>
  <c r="Y21" i="44"/>
  <c r="X18" i="49" s="1"/>
  <c r="BE20" i="1"/>
  <c r="BC20" i="1"/>
  <c r="BA20" i="1"/>
  <c r="L21" i="44"/>
  <c r="K18" i="49" s="1"/>
  <c r="M21" i="44"/>
  <c r="L18" i="49" s="1"/>
  <c r="BL17" i="49"/>
  <c r="BK17" i="49"/>
  <c r="BJ17" i="49"/>
  <c r="BI17" i="49"/>
  <c r="AN17" i="49"/>
  <c r="Y17" i="49"/>
  <c r="W17" i="49"/>
  <c r="V17" i="49"/>
  <c r="U17" i="49"/>
  <c r="T17" i="49"/>
  <c r="S17" i="49"/>
  <c r="R17" i="49"/>
  <c r="Q17" i="49"/>
  <c r="P17" i="49"/>
  <c r="O17" i="49"/>
  <c r="N17" i="49"/>
  <c r="M17" i="49"/>
  <c r="AK17" i="49"/>
  <c r="AJ17" i="49"/>
  <c r="AI17" i="49"/>
  <c r="AH17" i="49"/>
  <c r="AG17" i="49"/>
  <c r="AE17" i="49"/>
  <c r="AD17" i="49"/>
  <c r="BL16" i="49"/>
  <c r="BK16" i="49"/>
  <c r="BJ16" i="49"/>
  <c r="BI16" i="49"/>
  <c r="BC16" i="49"/>
  <c r="AN16" i="49"/>
  <c r="Y16" i="49"/>
  <c r="W16" i="49"/>
  <c r="V16" i="49"/>
  <c r="U16" i="49"/>
  <c r="T16" i="49"/>
  <c r="S16" i="49"/>
  <c r="R16" i="49"/>
  <c r="Q16" i="49"/>
  <c r="P16" i="49"/>
  <c r="O16" i="49"/>
  <c r="M16" i="49"/>
  <c r="AJ16" i="49"/>
  <c r="AI16" i="49"/>
  <c r="AH16" i="49"/>
  <c r="AG16" i="49"/>
  <c r="AF16" i="49"/>
  <c r="AE16" i="49"/>
  <c r="AD16" i="49"/>
  <c r="Y19" i="44"/>
  <c r="X16" i="49" s="1"/>
  <c r="BG18" i="1"/>
  <c r="BF18" i="1"/>
  <c r="BE18" i="1"/>
  <c r="BD18" i="1"/>
  <c r="BC18" i="1"/>
  <c r="BA18" i="1"/>
  <c r="BL15" i="49"/>
  <c r="BK15" i="49"/>
  <c r="BJ15" i="49"/>
  <c r="BC15" i="49"/>
  <c r="AN15" i="49"/>
  <c r="BG17" i="1"/>
  <c r="BE17" i="1"/>
  <c r="BD17" i="1"/>
  <c r="BC17" i="1"/>
  <c r="BA17" i="1"/>
  <c r="BL14" i="49"/>
  <c r="BK14" i="49"/>
  <c r="BJ14" i="49"/>
  <c r="BI14" i="49"/>
  <c r="BC14" i="49"/>
  <c r="AQ14" i="49"/>
  <c r="AN14" i="49"/>
  <c r="BG16" i="1"/>
  <c r="BF16" i="1"/>
  <c r="BE16" i="1"/>
  <c r="BD16" i="1"/>
  <c r="BC16" i="1"/>
  <c r="BA16" i="1"/>
  <c r="AZ16" i="1"/>
  <c r="AZ14" i="1"/>
  <c r="BH11" i="49"/>
  <c r="AZ13" i="1"/>
  <c r="BC10" i="49"/>
  <c r="AJ10" i="49"/>
  <c r="AI10" i="49"/>
  <c r="AH10" i="49"/>
  <c r="AG10" i="49"/>
  <c r="AF10" i="49"/>
  <c r="BG12" i="1"/>
  <c r="BF12" i="1"/>
  <c r="BE12" i="1"/>
  <c r="BD12" i="1"/>
  <c r="BB12" i="1"/>
  <c r="BA12" i="1"/>
  <c r="AZ12" i="1"/>
  <c r="AV12" i="1"/>
  <c r="BC9" i="49"/>
  <c r="AJ9" i="49"/>
  <c r="AI9" i="49"/>
  <c r="AH9" i="49"/>
  <c r="AG9" i="49"/>
  <c r="AE9" i="49"/>
  <c r="AD9" i="49"/>
  <c r="Y12" i="44"/>
  <c r="X9" i="49" s="1"/>
  <c r="BG11" i="1"/>
  <c r="BF11" i="1"/>
  <c r="BE11" i="1"/>
  <c r="BD11" i="1"/>
  <c r="BC11" i="1"/>
  <c r="BA11" i="1"/>
  <c r="AV11" i="1"/>
  <c r="BL7" i="49"/>
  <c r="BK7" i="49"/>
  <c r="BJ7" i="49"/>
  <c r="BI7" i="49"/>
  <c r="BC7" i="49"/>
  <c r="AN7" i="49"/>
  <c r="Y10" i="44"/>
  <c r="BG9" i="1"/>
  <c r="BF9" i="1"/>
  <c r="BE9" i="1"/>
  <c r="BD9" i="1"/>
  <c r="BC9" i="1"/>
  <c r="BB9" i="1"/>
  <c r="AZ9" i="1"/>
  <c r="BI6" i="49"/>
  <c r="BJ6" i="49"/>
  <c r="BK6" i="49"/>
  <c r="BL6" i="49"/>
  <c r="BC6" i="49"/>
  <c r="AN6" i="49"/>
  <c r="BA8" i="1"/>
  <c r="BB8" i="1"/>
  <c r="BC8" i="1"/>
  <c r="BD8" i="1"/>
  <c r="BE8" i="1"/>
  <c r="BF8" i="1"/>
  <c r="BG8" i="1"/>
  <c r="Y9" i="44"/>
  <c r="X6" i="49" s="1"/>
  <c r="AZ8" i="1"/>
  <c r="AV8" i="1"/>
  <c r="BI5" i="49"/>
  <c r="BJ5" i="49"/>
  <c r="BK5" i="49"/>
  <c r="BL5" i="49"/>
  <c r="BC5" i="49"/>
  <c r="BB7" i="1"/>
  <c r="BD7" i="1"/>
  <c r="BE7" i="1"/>
  <c r="BG7" i="1"/>
  <c r="Y8" i="44"/>
  <c r="X5" i="49" s="1"/>
  <c r="AV7" i="1"/>
  <c r="AT27" i="1"/>
  <c r="AF17" i="49"/>
  <c r="BC3" i="49"/>
  <c r="AO3" i="49"/>
  <c r="BC2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M5" i="44"/>
  <c r="S25" i="1"/>
  <c r="S22" i="1"/>
  <c r="S7" i="1"/>
  <c r="S9" i="1"/>
  <c r="S12" i="1"/>
  <c r="S13" i="1"/>
  <c r="S14" i="1"/>
  <c r="S21" i="1"/>
  <c r="S15" i="1"/>
  <c r="S16" i="1"/>
  <c r="S18" i="1"/>
  <c r="S20" i="1"/>
  <c r="S24" i="1"/>
  <c r="S31" i="1"/>
  <c r="S27" i="1"/>
  <c r="S19" i="1"/>
  <c r="S10" i="1"/>
  <c r="S8" i="1"/>
  <c r="S17" i="1"/>
  <c r="S26" i="1"/>
  <c r="S28" i="1"/>
  <c r="S29" i="1"/>
  <c r="S30" i="1"/>
  <c r="S32" i="1"/>
  <c r="S23" i="1"/>
  <c r="S6" i="1"/>
  <c r="S5" i="1"/>
  <c r="F18" i="35"/>
  <c r="D18" i="35"/>
  <c r="F17" i="35"/>
  <c r="D17" i="35"/>
  <c r="F16" i="35"/>
  <c r="D16" i="35"/>
  <c r="F15" i="35"/>
  <c r="D15" i="35"/>
  <c r="F14" i="35"/>
  <c r="D14" i="35"/>
  <c r="F13" i="35"/>
  <c r="D13" i="35"/>
  <c r="F12" i="35"/>
  <c r="D12" i="35"/>
  <c r="F11" i="35"/>
  <c r="D11" i="35"/>
  <c r="F10" i="35"/>
  <c r="D10" i="35"/>
  <c r="F9" i="35"/>
  <c r="D9" i="35"/>
  <c r="F8" i="35"/>
  <c r="D8" i="35"/>
  <c r="F7" i="35"/>
  <c r="D7" i="35"/>
  <c r="F6" i="35"/>
  <c r="D6" i="35"/>
  <c r="F5" i="35"/>
  <c r="D5" i="35"/>
  <c r="F4" i="35"/>
  <c r="D4" i="35"/>
  <c r="L12" i="35"/>
  <c r="J12" i="35"/>
  <c r="L4" i="35"/>
  <c r="J4" i="35"/>
  <c r="AM36" i="1"/>
  <c r="C36" i="1"/>
  <c r="B36" i="1"/>
  <c r="J13" i="35"/>
  <c r="L13" i="35"/>
  <c r="H8" i="35"/>
  <c r="J8" i="35"/>
  <c r="M8" i="35"/>
  <c r="I8" i="35"/>
  <c r="L8" i="35"/>
  <c r="L7" i="35"/>
  <c r="J7" i="35"/>
  <c r="J9" i="35"/>
  <c r="L9" i="35"/>
  <c r="L5" i="35"/>
  <c r="J6" i="35"/>
  <c r="J10" i="35"/>
  <c r="J11" i="35"/>
  <c r="J5" i="35"/>
  <c r="L6" i="35"/>
  <c r="E8" i="35"/>
  <c r="L10" i="35"/>
  <c r="L11" i="35"/>
  <c r="L14" i="35"/>
  <c r="L15" i="35"/>
  <c r="L16" i="35"/>
  <c r="J18" i="35"/>
  <c r="J14" i="35"/>
  <c r="J15" i="35"/>
  <c r="J17" i="35"/>
  <c r="J29" i="48" l="1"/>
  <c r="X7" i="49"/>
  <c r="BK3" i="49"/>
  <c r="S3" i="49"/>
  <c r="BJ3" i="49"/>
  <c r="R3" i="49"/>
  <c r="BI3" i="49"/>
  <c r="Q3" i="49"/>
  <c r="P3" i="49"/>
  <c r="Y3" i="49"/>
  <c r="O3" i="49"/>
  <c r="W3" i="49"/>
  <c r="N3" i="49"/>
  <c r="V3" i="49"/>
  <c r="AD3" i="49"/>
  <c r="M3" i="49"/>
  <c r="U3" i="49"/>
  <c r="BL3" i="49"/>
  <c r="T3" i="49"/>
  <c r="BC21" i="1"/>
  <c r="AZ17" i="1"/>
  <c r="AV21" i="1"/>
  <c r="BI15" i="49"/>
  <c r="AT21" i="1"/>
  <c r="BA21" i="1"/>
  <c r="Y22" i="44"/>
  <c r="X19" i="49" s="1"/>
  <c r="BG21" i="1"/>
  <c r="BF21" i="1"/>
  <c r="J33" i="44"/>
  <c r="I30" i="49" s="1"/>
  <c r="C33" i="44"/>
  <c r="H32" i="1"/>
  <c r="J32" i="1" s="1"/>
  <c r="AD29" i="1"/>
  <c r="BE33" i="1"/>
  <c r="AN34" i="1"/>
  <c r="AX33" i="1"/>
  <c r="AJ34" i="1"/>
  <c r="AT33" i="1"/>
  <c r="BF33" i="1"/>
  <c r="BC31" i="49"/>
  <c r="BD33" i="1"/>
  <c r="AU33" i="1"/>
  <c r="BG33" i="1"/>
  <c r="BI31" i="49"/>
  <c r="AV33" i="1"/>
  <c r="AY35" i="44"/>
  <c r="BA35" i="44" s="1"/>
  <c r="AS33" i="1"/>
  <c r="I34" i="44"/>
  <c r="H31" i="49" s="1"/>
  <c r="I33" i="44"/>
  <c r="H30" i="49" s="1"/>
  <c r="AN9" i="49"/>
  <c r="AR33" i="1"/>
  <c r="H34" i="44"/>
  <c r="G31" i="49" s="1"/>
  <c r="AP33" i="1"/>
  <c r="F34" i="44"/>
  <c r="E31" i="49" s="1"/>
  <c r="L2" i="49"/>
  <c r="AQ33" i="1"/>
  <c r="G34" i="44"/>
  <c r="AW33" i="1"/>
  <c r="K34" i="44"/>
  <c r="J31" i="49" s="1"/>
  <c r="BA33" i="1"/>
  <c r="BB33" i="1"/>
  <c r="AL31" i="49"/>
  <c r="BC33" i="1"/>
  <c r="L34" i="44"/>
  <c r="K31" i="49" s="1"/>
  <c r="BH33" i="1"/>
  <c r="AZ33" i="1"/>
  <c r="M34" i="44"/>
  <c r="L31" i="49" s="1"/>
  <c r="AY33" i="1"/>
  <c r="AZ28" i="1"/>
  <c r="AN12" i="49"/>
  <c r="AN30" i="49"/>
  <c r="I29" i="45"/>
  <c r="AO7" i="49"/>
  <c r="P27" i="45"/>
  <c r="BF14" i="49" s="1"/>
  <c r="AR14" i="49"/>
  <c r="AE29" i="45"/>
  <c r="AO29" i="49"/>
  <c r="AP32" i="49"/>
  <c r="AM16" i="49"/>
  <c r="AM19" i="49"/>
  <c r="X29" i="45"/>
  <c r="AO22" i="49"/>
  <c r="Z29" i="45"/>
  <c r="AO24" i="49"/>
  <c r="AP28" i="49"/>
  <c r="AM8" i="49"/>
  <c r="AH27" i="45"/>
  <c r="BF32" i="49" s="1"/>
  <c r="AR32" i="49"/>
  <c r="R29" i="45"/>
  <c r="AO16" i="49"/>
  <c r="W29" i="45"/>
  <c r="AO21" i="49"/>
  <c r="AD27" i="45"/>
  <c r="BF28" i="49" s="1"/>
  <c r="AM6" i="49"/>
  <c r="AM3" i="49"/>
  <c r="AM7" i="49"/>
  <c r="AM9" i="49"/>
  <c r="P29" i="45"/>
  <c r="AO14" i="49"/>
  <c r="AM21" i="49"/>
  <c r="AM26" i="49"/>
  <c r="AM27" i="49"/>
  <c r="AD29" i="45"/>
  <c r="AO28" i="49"/>
  <c r="AM29" i="49"/>
  <c r="F27" i="45"/>
  <c r="BF4" i="49" s="1"/>
  <c r="AR4" i="49"/>
  <c r="AP11" i="49"/>
  <c r="AM31" i="49"/>
  <c r="AH29" i="45"/>
  <c r="AO32" i="49"/>
  <c r="K29" i="45"/>
  <c r="AO9" i="49"/>
  <c r="E29" i="45"/>
  <c r="H27" i="45"/>
  <c r="BF6" i="49" s="1"/>
  <c r="AR6" i="49"/>
  <c r="AM18" i="49"/>
  <c r="U27" i="45"/>
  <c r="BF19" i="49" s="1"/>
  <c r="AR19" i="49"/>
  <c r="F29" i="45"/>
  <c r="AO4" i="49"/>
  <c r="AM32" i="49"/>
  <c r="J27" i="45"/>
  <c r="BF8" i="49" s="1"/>
  <c r="AR8" i="49"/>
  <c r="E27" i="45"/>
  <c r="BF3" i="49" s="1"/>
  <c r="AR3" i="49"/>
  <c r="L29" i="45"/>
  <c r="AO10" i="49"/>
  <c r="S27" i="45"/>
  <c r="AM10" i="49"/>
  <c r="Q29" i="45"/>
  <c r="AO15" i="49"/>
  <c r="I27" i="45"/>
  <c r="BF7" i="49" s="1"/>
  <c r="AR7" i="49"/>
  <c r="K27" i="45"/>
  <c r="BF9" i="49" s="1"/>
  <c r="AR9" i="49"/>
  <c r="AM15" i="49"/>
  <c r="R27" i="45"/>
  <c r="BF16" i="49" s="1"/>
  <c r="AR16" i="49"/>
  <c r="AM17" i="49"/>
  <c r="W27" i="45"/>
  <c r="BF21" i="49" s="1"/>
  <c r="AR21" i="49"/>
  <c r="AM22" i="49"/>
  <c r="AM24" i="49"/>
  <c r="AC27" i="45"/>
  <c r="BF27" i="49" s="1"/>
  <c r="AR27" i="49"/>
  <c r="AE27" i="45"/>
  <c r="BF29" i="49" s="1"/>
  <c r="AR29" i="49"/>
  <c r="J29" i="45"/>
  <c r="AO8" i="49"/>
  <c r="M27" i="45"/>
  <c r="BF11" i="49" s="1"/>
  <c r="AR11" i="49"/>
  <c r="V29" i="45"/>
  <c r="AO20" i="49"/>
  <c r="AM5" i="49"/>
  <c r="L27" i="45"/>
  <c r="BF10" i="49" s="1"/>
  <c r="AR10" i="49"/>
  <c r="V27" i="45"/>
  <c r="BF20" i="49" s="1"/>
  <c r="AR20" i="49"/>
  <c r="AB29" i="45"/>
  <c r="AO26" i="49"/>
  <c r="S29" i="45"/>
  <c r="AO17" i="49"/>
  <c r="G29" i="45"/>
  <c r="AO5" i="49"/>
  <c r="AM14" i="49"/>
  <c r="T27" i="45"/>
  <c r="BF18" i="49" s="1"/>
  <c r="AR18" i="49"/>
  <c r="AB27" i="45"/>
  <c r="BF26" i="49" s="1"/>
  <c r="AR26" i="49"/>
  <c r="AM28" i="49"/>
  <c r="AC29" i="45"/>
  <c r="AO27" i="49"/>
  <c r="AM4" i="49"/>
  <c r="G27" i="45"/>
  <c r="BF5" i="49" s="1"/>
  <c r="AR5" i="49"/>
  <c r="H29" i="45"/>
  <c r="AO6" i="49"/>
  <c r="AP7" i="49"/>
  <c r="AP9" i="49"/>
  <c r="Q27" i="45"/>
  <c r="BF15" i="49" s="1"/>
  <c r="AR15" i="49"/>
  <c r="U29" i="45"/>
  <c r="AO19" i="49"/>
  <c r="AM20" i="49"/>
  <c r="X27" i="45"/>
  <c r="BF22" i="49" s="1"/>
  <c r="AR22" i="49"/>
  <c r="Z27" i="45"/>
  <c r="BF24" i="49" s="1"/>
  <c r="AR24" i="49"/>
  <c r="G33" i="44"/>
  <c r="F30" i="49" s="1"/>
  <c r="Q20" i="49"/>
  <c r="AA36" i="1"/>
  <c r="I8" i="44"/>
  <c r="H5" i="49" s="1"/>
  <c r="K10" i="44"/>
  <c r="G25" i="44"/>
  <c r="F22" i="49" s="1"/>
  <c r="F8" i="44"/>
  <c r="H8" i="44"/>
  <c r="G5" i="49" s="1"/>
  <c r="BC7" i="1"/>
  <c r="K9" i="44"/>
  <c r="J6" i="49" s="1"/>
  <c r="L12" i="44"/>
  <c r="K9" i="49" s="1"/>
  <c r="F18" i="44"/>
  <c r="K18" i="44"/>
  <c r="J15" i="49" s="1"/>
  <c r="F19" i="44"/>
  <c r="M24" i="44"/>
  <c r="L21" i="49" s="1"/>
  <c r="H27" i="44"/>
  <c r="G24" i="49" s="1"/>
  <c r="L31" i="44"/>
  <c r="K28" i="49" s="1"/>
  <c r="F32" i="44"/>
  <c r="E29" i="49" s="1"/>
  <c r="K20" i="44"/>
  <c r="J17" i="49" s="1"/>
  <c r="G15" i="44"/>
  <c r="F12" i="49" s="1"/>
  <c r="I25" i="44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M30" i="44"/>
  <c r="L27" i="49" s="1"/>
  <c r="I19" i="44"/>
  <c r="H16" i="49" s="1"/>
  <c r="M9" i="44"/>
  <c r="L6" i="49" s="1"/>
  <c r="I10" i="44"/>
  <c r="L10" i="44"/>
  <c r="I12" i="44"/>
  <c r="H9" i="49" s="1"/>
  <c r="I23" i="44"/>
  <c r="H20" i="49" s="1"/>
  <c r="F24" i="44"/>
  <c r="K24" i="44"/>
  <c r="J21" i="49" s="1"/>
  <c r="G27" i="44"/>
  <c r="F24" i="49" s="1"/>
  <c r="I31" i="44"/>
  <c r="H28" i="49" s="1"/>
  <c r="F31" i="44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F29" i="44"/>
  <c r="F30" i="44"/>
  <c r="L9" i="44"/>
  <c r="K6" i="49" s="1"/>
  <c r="F16" i="44"/>
  <c r="F20" i="44"/>
  <c r="G9" i="44"/>
  <c r="F6" i="49" s="1"/>
  <c r="H10" i="44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M16" i="44"/>
  <c r="L13" i="49" s="1"/>
  <c r="J8" i="44"/>
  <c r="I5" i="49" s="1"/>
  <c r="H9" i="44"/>
  <c r="G6" i="49" s="1"/>
  <c r="G10" i="44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M6" i="44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I9" i="44"/>
  <c r="H6" i="49" s="1"/>
  <c r="M10" i="44"/>
  <c r="M12" i="44"/>
  <c r="L9" i="49" s="1"/>
  <c r="F15" i="44"/>
  <c r="I18" i="44"/>
  <c r="H15" i="49" s="1"/>
  <c r="M23" i="44"/>
  <c r="L20" i="49" s="1"/>
  <c r="L24" i="44"/>
  <c r="K21" i="49" s="1"/>
  <c r="L29" i="44"/>
  <c r="L30" i="44"/>
  <c r="K27" i="49" s="1"/>
  <c r="M31" i="44"/>
  <c r="L28" i="49" s="1"/>
  <c r="L32" i="44"/>
  <c r="K29" i="49" s="1"/>
  <c r="L25" i="44"/>
  <c r="K22" i="49" s="1"/>
  <c r="L14" i="44"/>
  <c r="K11" i="49" s="1"/>
  <c r="J15" i="44"/>
  <c r="I12" i="49" s="1"/>
  <c r="H6" i="44"/>
  <c r="H24" i="44"/>
  <c r="G21" i="49" s="1"/>
  <c r="L27" i="44"/>
  <c r="K24" i="49" s="1"/>
  <c r="M18" i="44"/>
  <c r="L15" i="49" s="1"/>
  <c r="L8" i="44"/>
  <c r="K5" i="49" s="1"/>
  <c r="F10" i="44"/>
  <c r="F12" i="44"/>
  <c r="K12" i="44"/>
  <c r="J9" i="49" s="1"/>
  <c r="L16" i="44"/>
  <c r="K13" i="49" s="1"/>
  <c r="L17" i="44"/>
  <c r="K14" i="49" s="1"/>
  <c r="H18" i="44"/>
  <c r="G15" i="49" s="1"/>
  <c r="F23" i="44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M29" i="44"/>
  <c r="J5" i="44"/>
  <c r="H19" i="44"/>
  <c r="G16" i="49" s="1"/>
  <c r="BH18" i="1"/>
  <c r="L19" i="44"/>
  <c r="K16" i="49" s="1"/>
  <c r="M22" i="44"/>
  <c r="L19" i="49" s="1"/>
  <c r="F26" i="44"/>
  <c r="BC19" i="1"/>
  <c r="I20" i="44"/>
  <c r="H17" i="49" s="1"/>
  <c r="K11" i="44"/>
  <c r="J8" i="49" s="1"/>
  <c r="F11" i="44"/>
  <c r="K16" i="44"/>
  <c r="J13" i="49" s="1"/>
  <c r="K5" i="44"/>
  <c r="F14" i="44"/>
  <c r="F25" i="44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G26" i="44"/>
  <c r="F23" i="49" s="1"/>
  <c r="L22" i="44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J22" i="44"/>
  <c r="I19" i="49" s="1"/>
  <c r="I26" i="44"/>
  <c r="H23" i="49" s="1"/>
  <c r="L26" i="44"/>
  <c r="K23" i="49" s="1"/>
  <c r="AN28" i="1"/>
  <c r="J25" i="44"/>
  <c r="I22" i="49" s="1"/>
  <c r="I11" i="44"/>
  <c r="H8" i="49" s="1"/>
  <c r="H16" i="44"/>
  <c r="G13" i="49" s="1"/>
  <c r="J6" i="44"/>
  <c r="H30" i="44"/>
  <c r="G27" i="49" s="1"/>
  <c r="H5" i="44"/>
  <c r="F5" i="44"/>
  <c r="I17" i="44"/>
  <c r="H14" i="49" s="1"/>
  <c r="K8" i="44"/>
  <c r="J5" i="49" s="1"/>
  <c r="K7" i="44"/>
  <c r="J4" i="49" s="1"/>
  <c r="F7" i="44"/>
  <c r="H11" i="44"/>
  <c r="G8" i="49" s="1"/>
  <c r="G16" i="44"/>
  <c r="F13" i="49" s="1"/>
  <c r="K14" i="44"/>
  <c r="J11" i="49" s="1"/>
  <c r="G30" i="44"/>
  <c r="F27" i="49" s="1"/>
  <c r="I29" i="44"/>
  <c r="I5" i="44"/>
  <c r="L5" i="44"/>
  <c r="J10" i="44"/>
  <c r="J12" i="44"/>
  <c r="I9" i="49" s="1"/>
  <c r="F17" i="44"/>
  <c r="AY18" i="1"/>
  <c r="M19" i="44"/>
  <c r="L16" i="49" s="1"/>
  <c r="G21" i="44"/>
  <c r="F18" i="49" s="1"/>
  <c r="K22" i="44"/>
  <c r="J19" i="49" s="1"/>
  <c r="G24" i="44"/>
  <c r="F21" i="49" s="1"/>
  <c r="J26" i="44"/>
  <c r="I23" i="49" s="1"/>
  <c r="I27" i="44"/>
  <c r="H24" i="49" s="1"/>
  <c r="J31" i="44"/>
  <c r="I28" i="49" s="1"/>
  <c r="H33" i="44"/>
  <c r="G30" i="49" s="1"/>
  <c r="H17" i="44"/>
  <c r="G14" i="49" s="1"/>
  <c r="G8" i="44"/>
  <c r="F5" i="49" s="1"/>
  <c r="G11" i="44"/>
  <c r="F8" i="49" s="1"/>
  <c r="H29" i="44"/>
  <c r="J34" i="44"/>
  <c r="I31" i="49" s="1"/>
  <c r="G32" i="44"/>
  <c r="F29" i="49" s="1"/>
  <c r="G17" i="44"/>
  <c r="F14" i="49" s="1"/>
  <c r="J14" i="44"/>
  <c r="I11" i="49" s="1"/>
  <c r="F6" i="44"/>
  <c r="K30" i="44"/>
  <c r="J27" i="49" s="1"/>
  <c r="G29" i="44"/>
  <c r="AD5" i="49"/>
  <c r="AH5" i="49"/>
  <c r="AJ6" i="49"/>
  <c r="AF6" i="49"/>
  <c r="AD7" i="49"/>
  <c r="AH7" i="49"/>
  <c r="AG4" i="49"/>
  <c r="AI5" i="49"/>
  <c r="AE5" i="49"/>
  <c r="AK6" i="49"/>
  <c r="AG6" i="49"/>
  <c r="AG7" i="49"/>
  <c r="AK7" i="49"/>
  <c r="AD4" i="49"/>
  <c r="AJ5" i="49"/>
  <c r="AF5" i="49"/>
  <c r="AD6" i="49"/>
  <c r="AH6" i="49"/>
  <c r="AF7" i="49"/>
  <c r="AJ7" i="49"/>
  <c r="AI4" i="49"/>
  <c r="AE4" i="49"/>
  <c r="AK5" i="49"/>
  <c r="AG5" i="49"/>
  <c r="AI6" i="49"/>
  <c r="AE6" i="49"/>
  <c r="AE7" i="49"/>
  <c r="AI7" i="49"/>
  <c r="AJ4" i="49"/>
  <c r="AF4" i="49"/>
  <c r="D35" i="1"/>
  <c r="F35" i="1"/>
  <c r="F38" i="1" s="1"/>
  <c r="AH30" i="45"/>
  <c r="M24" i="49"/>
  <c r="G8" i="1"/>
  <c r="Y30" i="44"/>
  <c r="X27" i="49" s="1"/>
  <c r="Y31" i="44"/>
  <c r="X28" i="49" s="1"/>
  <c r="AV30" i="1"/>
  <c r="Y29" i="44"/>
  <c r="Y17" i="44"/>
  <c r="X14" i="49" s="1"/>
  <c r="Y18" i="44"/>
  <c r="X15" i="49" s="1"/>
  <c r="BB17" i="1"/>
  <c r="BB16" i="1"/>
  <c r="AV17" i="1"/>
  <c r="AV16" i="1"/>
  <c r="Y6" i="44"/>
  <c r="AV5" i="1"/>
  <c r="AE15" i="49"/>
  <c r="F21" i="44"/>
  <c r="AD18" i="49"/>
  <c r="T29" i="45"/>
  <c r="AF19" i="49"/>
  <c r="AV22" i="1"/>
  <c r="BA23" i="1"/>
  <c r="AD21" i="49"/>
  <c r="BF25" i="1"/>
  <c r="BK23" i="49"/>
  <c r="BA24" i="1"/>
  <c r="AE22" i="49"/>
  <c r="AE11" i="49"/>
  <c r="AD11" i="49"/>
  <c r="AV20" i="1"/>
  <c r="AD19" i="49"/>
  <c r="AI19" i="49"/>
  <c r="BD23" i="1"/>
  <c r="BA25" i="1"/>
  <c r="BE25" i="1"/>
  <c r="AD30" i="49"/>
  <c r="BF24" i="1"/>
  <c r="AD31" i="49"/>
  <c r="AH19" i="49"/>
  <c r="BG23" i="1"/>
  <c r="BD25" i="1"/>
  <c r="BI23" i="49"/>
  <c r="AE14" i="49"/>
  <c r="AE19" i="49"/>
  <c r="BG24" i="1"/>
  <c r="AV6" i="1"/>
  <c r="AE31" i="49"/>
  <c r="AD13" i="49"/>
  <c r="AD14" i="49"/>
  <c r="AE18" i="49"/>
  <c r="AG19" i="49"/>
  <c r="BF23" i="1"/>
  <c r="AE21" i="49"/>
  <c r="AD22" i="49"/>
  <c r="BG25" i="1"/>
  <c r="BL23" i="49"/>
  <c r="AE13" i="49"/>
  <c r="AZ19" i="1"/>
  <c r="BJ23" i="49"/>
  <c r="BC23" i="49"/>
  <c r="Y23" i="49"/>
  <c r="W23" i="49"/>
  <c r="V23" i="49"/>
  <c r="U23" i="49"/>
  <c r="T23" i="49"/>
  <c r="S23" i="49"/>
  <c r="R23" i="49"/>
  <c r="Q23" i="49"/>
  <c r="P23" i="49"/>
  <c r="O23" i="49"/>
  <c r="N23" i="49"/>
  <c r="M23" i="49"/>
  <c r="Y26" i="44"/>
  <c r="X23" i="49" s="1"/>
  <c r="BC25" i="1"/>
  <c r="BB25" i="1"/>
  <c r="AZ25" i="1"/>
  <c r="Y25" i="44"/>
  <c r="X22" i="49" s="1"/>
  <c r="BC24" i="1"/>
  <c r="BB24" i="1"/>
  <c r="AZ24" i="1"/>
  <c r="AV24" i="1"/>
  <c r="Y23" i="44"/>
  <c r="X20" i="49" s="1"/>
  <c r="Y24" i="44"/>
  <c r="X21" i="49" s="1"/>
  <c r="BB23" i="1"/>
  <c r="AZ23" i="1"/>
  <c r="AV23" i="1"/>
  <c r="AK19" i="49"/>
  <c r="Y16" i="44"/>
  <c r="X13" i="49" s="1"/>
  <c r="AK11" i="49"/>
  <c r="AJ11" i="49"/>
  <c r="AI11" i="49"/>
  <c r="AH11" i="49"/>
  <c r="AG11" i="49"/>
  <c r="AF11" i="49"/>
  <c r="BG4" i="1"/>
  <c r="AX4" i="1"/>
  <c r="BH4" i="1"/>
  <c r="BF4" i="1"/>
  <c r="AW4" i="1"/>
  <c r="Y5" i="44"/>
  <c r="AY4" i="1"/>
  <c r="AK31" i="49"/>
  <c r="AJ31" i="49"/>
  <c r="AI31" i="49"/>
  <c r="AH31" i="49"/>
  <c r="AG31" i="49"/>
  <c r="AF31" i="49"/>
  <c r="Y34" i="44"/>
  <c r="X31" i="49" s="1"/>
  <c r="Y33" i="44"/>
  <c r="X30" i="49" s="1"/>
  <c r="AD29" i="49"/>
  <c r="BC31" i="1"/>
  <c r="AV29" i="1"/>
  <c r="AD28" i="49"/>
  <c r="AH28" i="49"/>
  <c r="AG28" i="49"/>
  <c r="AK28" i="49"/>
  <c r="AF28" i="49"/>
  <c r="AJ28" i="49"/>
  <c r="AE28" i="49"/>
  <c r="AI28" i="49"/>
  <c r="AE27" i="49"/>
  <c r="AI27" i="49"/>
  <c r="AD27" i="49"/>
  <c r="AH27" i="49"/>
  <c r="AG27" i="49"/>
  <c r="AK27" i="49"/>
  <c r="AF27" i="49"/>
  <c r="AJ27" i="49"/>
  <c r="AE26" i="49"/>
  <c r="AI26" i="49"/>
  <c r="AD26" i="49"/>
  <c r="AH26" i="49"/>
  <c r="AG26" i="49"/>
  <c r="AK26" i="49"/>
  <c r="AF26" i="49"/>
  <c r="AJ26" i="49"/>
  <c r="AG24" i="49"/>
  <c r="AK24" i="49"/>
  <c r="AF24" i="49"/>
  <c r="AJ24" i="49"/>
  <c r="AE24" i="49"/>
  <c r="AI24" i="49"/>
  <c r="AD24" i="49"/>
  <c r="AH24" i="49"/>
  <c r="AK22" i="49"/>
  <c r="AJ22" i="49"/>
  <c r="AI22" i="49"/>
  <c r="AH22" i="49"/>
  <c r="AG22" i="49"/>
  <c r="AF22" i="49"/>
  <c r="AK21" i="49"/>
  <c r="AJ21" i="49"/>
  <c r="AI21" i="49"/>
  <c r="AH21" i="49"/>
  <c r="AG21" i="49"/>
  <c r="AF21" i="49"/>
  <c r="AE20" i="49"/>
  <c r="AK20" i="49"/>
  <c r="AJ20" i="49"/>
  <c r="AI20" i="49"/>
  <c r="AH20" i="49"/>
  <c r="AG20" i="49"/>
  <c r="AF20" i="49"/>
  <c r="AJ19" i="49"/>
  <c r="AK18" i="49"/>
  <c r="AJ18" i="49"/>
  <c r="AI18" i="49"/>
  <c r="AH18" i="49"/>
  <c r="AG18" i="49"/>
  <c r="AF18" i="49"/>
  <c r="I17" i="35"/>
  <c r="AJ15" i="49"/>
  <c r="AI15" i="49"/>
  <c r="AH15" i="49"/>
  <c r="AG15" i="49"/>
  <c r="AF15" i="49"/>
  <c r="AD15" i="49"/>
  <c r="I16" i="35"/>
  <c r="AJ14" i="49"/>
  <c r="AI14" i="49"/>
  <c r="AH14" i="49"/>
  <c r="AG14" i="49"/>
  <c r="AF14" i="49"/>
  <c r="AJ13" i="49"/>
  <c r="AH13" i="49"/>
  <c r="AG13" i="49"/>
  <c r="AF13" i="49"/>
  <c r="BG32" i="1"/>
  <c r="AF30" i="49"/>
  <c r="AJ30" i="49"/>
  <c r="BC30" i="49"/>
  <c r="BI30" i="49"/>
  <c r="U30" i="49"/>
  <c r="Q30" i="49"/>
  <c r="AV32" i="1"/>
  <c r="BF32" i="1"/>
  <c r="AI30" i="49"/>
  <c r="AQ30" i="49"/>
  <c r="BL30" i="49"/>
  <c r="V30" i="49"/>
  <c r="R30" i="49"/>
  <c r="N30" i="49"/>
  <c r="D5" i="45"/>
  <c r="BA32" i="1"/>
  <c r="AH30" i="49"/>
  <c r="M30" i="49"/>
  <c r="BK30" i="49"/>
  <c r="W30" i="49"/>
  <c r="S30" i="49"/>
  <c r="O30" i="49"/>
  <c r="BG36" i="1"/>
  <c r="AG30" i="49"/>
  <c r="AK30" i="49"/>
  <c r="BJ30" i="49"/>
  <c r="Y30" i="49"/>
  <c r="T30" i="49"/>
  <c r="P30" i="49"/>
  <c r="U13" i="49"/>
  <c r="Q13" i="49"/>
  <c r="BJ13" i="49"/>
  <c r="AT24" i="1"/>
  <c r="AZ15" i="1"/>
  <c r="BC15" i="1"/>
  <c r="BG15" i="1"/>
  <c r="V13" i="49"/>
  <c r="R13" i="49"/>
  <c r="N13" i="49"/>
  <c r="BK13" i="49"/>
  <c r="BD15" i="1"/>
  <c r="BC13" i="49"/>
  <c r="W13" i="49"/>
  <c r="S13" i="49"/>
  <c r="O13" i="49"/>
  <c r="BL13" i="49"/>
  <c r="AV15" i="1"/>
  <c r="BI13" i="49"/>
  <c r="Y13" i="49"/>
  <c r="T13" i="49"/>
  <c r="P13" i="49"/>
  <c r="BE15" i="1"/>
  <c r="N12" i="49"/>
  <c r="V12" i="49"/>
  <c r="BC12" i="49"/>
  <c r="BI12" i="49"/>
  <c r="Q12" i="49"/>
  <c r="U12" i="49"/>
  <c r="BL12" i="49"/>
  <c r="P12" i="49"/>
  <c r="T12" i="49"/>
  <c r="Y12" i="49"/>
  <c r="AV14" i="1"/>
  <c r="BJ12" i="49"/>
  <c r="R12" i="49"/>
  <c r="BK12" i="49"/>
  <c r="O12" i="49"/>
  <c r="S12" i="49"/>
  <c r="W12" i="49"/>
  <c r="T5" i="45"/>
  <c r="AQ19" i="49"/>
  <c r="G5" i="45"/>
  <c r="M5" i="45"/>
  <c r="AD5" i="45"/>
  <c r="AQ6" i="49"/>
  <c r="BE21" i="1"/>
  <c r="L5" i="45"/>
  <c r="U5" i="45"/>
  <c r="X5" i="45"/>
  <c r="AC5" i="45"/>
  <c r="AY10" i="44"/>
  <c r="K25" i="45"/>
  <c r="AQ15" i="49"/>
  <c r="AY24" i="44"/>
  <c r="AQ13" i="49"/>
  <c r="AE12" i="49"/>
  <c r="P5" i="45"/>
  <c r="AD12" i="49"/>
  <c r="K5" i="45"/>
  <c r="O5" i="45"/>
  <c r="R5" i="45"/>
  <c r="S5" i="45"/>
  <c r="V5" i="45"/>
  <c r="AB5" i="45"/>
  <c r="AE5" i="45"/>
  <c r="AQ10" i="49"/>
  <c r="AQ12" i="49"/>
  <c r="AV18" i="1"/>
  <c r="AQ16" i="49"/>
  <c r="AQ18" i="49"/>
  <c r="BE24" i="1"/>
  <c r="AQ8" i="49"/>
  <c r="H5" i="45"/>
  <c r="I5" i="45"/>
  <c r="N5" i="45"/>
  <c r="Q5" i="45"/>
  <c r="BE6" i="1"/>
  <c r="J5" i="45"/>
  <c r="BF6" i="1"/>
  <c r="BF7" i="1"/>
  <c r="AY8" i="44"/>
  <c r="G6" i="45"/>
  <c r="AQ5" i="49"/>
  <c r="F6" i="45"/>
  <c r="AY7" i="44"/>
  <c r="AQ4" i="49"/>
  <c r="AH5" i="45"/>
  <c r="AG5" i="45"/>
  <c r="AH25" i="45"/>
  <c r="BE32" i="49" s="1"/>
  <c r="AF5" i="45"/>
  <c r="AQ31" i="49"/>
  <c r="AQ29" i="49"/>
  <c r="BE31" i="1"/>
  <c r="BE30" i="1"/>
  <c r="BE29" i="1"/>
  <c r="BB30" i="1"/>
  <c r="AQ27" i="49"/>
  <c r="AY29" i="44"/>
  <c r="AQ26" i="49"/>
  <c r="Y5" i="45"/>
  <c r="Z5" i="45"/>
  <c r="AQ24" i="49"/>
  <c r="AQ23" i="49"/>
  <c r="AQ22" i="49"/>
  <c r="AQ21" i="49"/>
  <c r="AQ20" i="49"/>
  <c r="AQ2" i="49"/>
  <c r="D6" i="45"/>
  <c r="AQ3" i="49"/>
  <c r="E5" i="45"/>
  <c r="E6" i="45"/>
  <c r="E11" i="35"/>
  <c r="G11" i="35" s="1"/>
  <c r="E17" i="35"/>
  <c r="G17" i="35" s="1"/>
  <c r="E15" i="35"/>
  <c r="G15" i="35" s="1"/>
  <c r="E16" i="35"/>
  <c r="G16" i="35" s="1"/>
  <c r="E12" i="35"/>
  <c r="G12" i="35" s="1"/>
  <c r="E10" i="35"/>
  <c r="G10" i="35" s="1"/>
  <c r="E13" i="35"/>
  <c r="G13" i="35" s="1"/>
  <c r="BH31" i="49"/>
  <c r="AD9" i="1"/>
  <c r="I4" i="35"/>
  <c r="AS18" i="1"/>
  <c r="AP7" i="1"/>
  <c r="AR7" i="1"/>
  <c r="AP8" i="1"/>
  <c r="AW8" i="1"/>
  <c r="AS9" i="1"/>
  <c r="AX9" i="1"/>
  <c r="BH9" i="1"/>
  <c r="AR11" i="1"/>
  <c r="AY12" i="1"/>
  <c r="AT12" i="1"/>
  <c r="AX12" i="1"/>
  <c r="BH12" i="1"/>
  <c r="I12" i="35"/>
  <c r="AK10" i="49"/>
  <c r="AU17" i="1"/>
  <c r="AU18" i="1"/>
  <c r="AT20" i="1"/>
  <c r="AX20" i="1"/>
  <c r="BH20" i="1"/>
  <c r="AP22" i="1"/>
  <c r="AS22" i="1"/>
  <c r="AW22" i="1"/>
  <c r="AU23" i="1"/>
  <c r="AT25" i="1"/>
  <c r="AX25" i="1"/>
  <c r="BH25" i="1"/>
  <c r="AT26" i="1"/>
  <c r="AX26" i="1"/>
  <c r="BH26" i="1"/>
  <c r="AT30" i="1"/>
  <c r="AX30" i="1"/>
  <c r="BH30" i="1"/>
  <c r="AP31" i="1"/>
  <c r="AX32" i="1"/>
  <c r="AX16" i="1"/>
  <c r="AT16" i="1"/>
  <c r="AY16" i="1"/>
  <c r="AX19" i="1"/>
  <c r="AS19" i="1"/>
  <c r="BH19" i="1"/>
  <c r="AU24" i="1"/>
  <c r="AY24" i="1"/>
  <c r="AN8" i="44"/>
  <c r="BG5" i="49" s="1"/>
  <c r="I7" i="35"/>
  <c r="AK4" i="49"/>
  <c r="BD6" i="1"/>
  <c r="BH6" i="1"/>
  <c r="AX6" i="1"/>
  <c r="I10" i="35"/>
  <c r="AK8" i="49"/>
  <c r="BH10" i="1"/>
  <c r="AX10" i="1"/>
  <c r="AT10" i="1"/>
  <c r="BH13" i="1"/>
  <c r="AX14" i="1"/>
  <c r="AT14" i="1"/>
  <c r="AR15" i="1"/>
  <c r="AW13" i="1"/>
  <c r="AR5" i="1"/>
  <c r="AQ29" i="1"/>
  <c r="AU28" i="1"/>
  <c r="BI28" i="1" s="1"/>
  <c r="AQ28" i="1"/>
  <c r="AX7" i="1"/>
  <c r="BH7" i="1"/>
  <c r="AX8" i="1"/>
  <c r="AT8" i="1"/>
  <c r="AY8" i="1"/>
  <c r="AR9" i="1"/>
  <c r="AW9" i="1"/>
  <c r="AP12" i="1"/>
  <c r="AS12" i="1"/>
  <c r="AY17" i="1"/>
  <c r="AT17" i="1"/>
  <c r="AX17" i="1"/>
  <c r="AT18" i="1"/>
  <c r="AX18" i="1"/>
  <c r="I18" i="35"/>
  <c r="AK16" i="49"/>
  <c r="AP20" i="1"/>
  <c r="AW20" i="1"/>
  <c r="AY21" i="1"/>
  <c r="AU21" i="1"/>
  <c r="AR22" i="1"/>
  <c r="AY23" i="1"/>
  <c r="AT23" i="1"/>
  <c r="AX23" i="1"/>
  <c r="BH23" i="1"/>
  <c r="AP24" i="1"/>
  <c r="AP25" i="1"/>
  <c r="AS25" i="1"/>
  <c r="AW25" i="1"/>
  <c r="AP26" i="1"/>
  <c r="AW26" i="1"/>
  <c r="AS30" i="1"/>
  <c r="AZ30" i="1"/>
  <c r="AR31" i="1"/>
  <c r="AP32" i="1"/>
  <c r="AS32" i="1"/>
  <c r="AU16" i="1"/>
  <c r="AQ16" i="1"/>
  <c r="AU19" i="1"/>
  <c r="BI19" i="1" s="1"/>
  <c r="AY19" i="1"/>
  <c r="AQ24" i="1"/>
  <c r="AQ6" i="1"/>
  <c r="AU10" i="1"/>
  <c r="AQ10" i="1"/>
  <c r="AU14" i="1"/>
  <c r="AQ14" i="1"/>
  <c r="AW15" i="1"/>
  <c r="AS15" i="1"/>
  <c r="AX13" i="1"/>
  <c r="AT13" i="1"/>
  <c r="BH5" i="1"/>
  <c r="AR29" i="1"/>
  <c r="I5" i="35"/>
  <c r="AT7" i="1"/>
  <c r="AU8" i="1"/>
  <c r="BI8" i="1" s="1"/>
  <c r="AQ9" i="1"/>
  <c r="AY11" i="1"/>
  <c r="AT11" i="1"/>
  <c r="AX11" i="1"/>
  <c r="BH11" i="1"/>
  <c r="AP17" i="1"/>
  <c r="AS17" i="1"/>
  <c r="AW17" i="1"/>
  <c r="AR18" i="1"/>
  <c r="AW18" i="1"/>
  <c r="AX21" i="1"/>
  <c r="BH21" i="1"/>
  <c r="BD21" i="1"/>
  <c r="AU22" i="1"/>
  <c r="BH22" i="1"/>
  <c r="AS23" i="1"/>
  <c r="AW23" i="1"/>
  <c r="AR25" i="1"/>
  <c r="BH28" i="1"/>
  <c r="AR30" i="1"/>
  <c r="AU31" i="1"/>
  <c r="AR32" i="1"/>
  <c r="AQ19" i="1"/>
  <c r="AW24" i="1"/>
  <c r="AR24" i="1"/>
  <c r="AQ7" i="1"/>
  <c r="AR6" i="1"/>
  <c r="AN7" i="44"/>
  <c r="BG4" i="49" s="1"/>
  <c r="AR10" i="1"/>
  <c r="AR14" i="1"/>
  <c r="AX15" i="1"/>
  <c r="AT15" i="1"/>
  <c r="AY15" i="1"/>
  <c r="AU13" i="1"/>
  <c r="BI13" i="1" s="1"/>
  <c r="AQ13" i="1"/>
  <c r="AP5" i="1"/>
  <c r="AT5" i="1"/>
  <c r="AX5" i="1"/>
  <c r="AW29" i="1"/>
  <c r="AT19" i="1"/>
  <c r="AW28" i="1"/>
  <c r="AS28" i="1"/>
  <c r="BG32" i="49"/>
  <c r="AR8" i="1"/>
  <c r="BH8" i="1"/>
  <c r="AT9" i="1"/>
  <c r="AS11" i="1"/>
  <c r="AW11" i="1"/>
  <c r="I11" i="35"/>
  <c r="AK9" i="49"/>
  <c r="AP13" i="1"/>
  <c r="AP15" i="1"/>
  <c r="AR17" i="1"/>
  <c r="AQ20" i="1"/>
  <c r="AU20" i="1"/>
  <c r="AR21" i="1"/>
  <c r="AW21" i="1"/>
  <c r="AT22" i="1"/>
  <c r="AX22" i="1"/>
  <c r="AQ25" i="1"/>
  <c r="AU25" i="1"/>
  <c r="AQ26" i="1"/>
  <c r="AU26" i="1"/>
  <c r="BI26" i="1" s="1"/>
  <c r="AP29" i="1"/>
  <c r="AQ30" i="1"/>
  <c r="AY31" i="1"/>
  <c r="AT31" i="1"/>
  <c r="AX31" i="1"/>
  <c r="BH31" i="1"/>
  <c r="AQ32" i="1"/>
  <c r="AW16" i="1"/>
  <c r="AS16" i="1"/>
  <c r="AW19" i="1"/>
  <c r="AR19" i="1"/>
  <c r="AX24" i="1"/>
  <c r="BD24" i="1"/>
  <c r="BH24" i="1"/>
  <c r="AW7" i="1"/>
  <c r="AP6" i="1"/>
  <c r="AW10" i="1"/>
  <c r="AP10" i="1"/>
  <c r="AW14" i="1"/>
  <c r="AS14" i="1"/>
  <c r="BH14" i="1"/>
  <c r="AU15" i="1"/>
  <c r="AQ15" i="1"/>
  <c r="AX29" i="1"/>
  <c r="AT29" i="1"/>
  <c r="AY29" i="1"/>
  <c r="AX28" i="1"/>
  <c r="AT28" i="1"/>
  <c r="AW30" i="1"/>
  <c r="AW31" i="1"/>
  <c r="BH10" i="49"/>
  <c r="H18" i="35"/>
  <c r="AL17" i="49"/>
  <c r="M18" i="49"/>
  <c r="M19" i="49"/>
  <c r="AL19" i="49"/>
  <c r="AL23" i="49"/>
  <c r="AL24" i="49"/>
  <c r="M16" i="35"/>
  <c r="O16" i="35" s="1"/>
  <c r="M14" i="49"/>
  <c r="AL14" i="49"/>
  <c r="AL13" i="49"/>
  <c r="O15" i="49"/>
  <c r="AL30" i="49"/>
  <c r="O32" i="49"/>
  <c r="P32" i="49"/>
  <c r="BG20" i="1"/>
  <c r="BH18" i="49"/>
  <c r="AL21" i="49"/>
  <c r="BH22" i="49"/>
  <c r="BH26" i="49"/>
  <c r="AL27" i="49"/>
  <c r="BH28" i="49"/>
  <c r="AL9" i="49"/>
  <c r="M15" i="35"/>
  <c r="O15" i="35" s="1"/>
  <c r="M13" i="49"/>
  <c r="AL8" i="49"/>
  <c r="M10" i="35"/>
  <c r="O10" i="35" s="1"/>
  <c r="M8" i="49"/>
  <c r="P15" i="49"/>
  <c r="H11" i="35"/>
  <c r="BH14" i="49"/>
  <c r="BH17" i="49"/>
  <c r="BH19" i="49"/>
  <c r="AL20" i="49"/>
  <c r="BH20" i="49"/>
  <c r="BH23" i="49"/>
  <c r="BH24" i="49"/>
  <c r="AL26" i="49"/>
  <c r="BH30" i="49"/>
  <c r="AL7" i="49"/>
  <c r="M14" i="35"/>
  <c r="O14" i="35" s="1"/>
  <c r="M12" i="49"/>
  <c r="AL12" i="49"/>
  <c r="AL32" i="49"/>
  <c r="BH32" i="49"/>
  <c r="AN5" i="44"/>
  <c r="H12" i="35"/>
  <c r="BH12" i="49"/>
  <c r="AL18" i="49"/>
  <c r="BH21" i="49"/>
  <c r="BH27" i="49"/>
  <c r="AL28" i="49"/>
  <c r="BH9" i="49"/>
  <c r="O5" i="49"/>
  <c r="P5" i="49"/>
  <c r="AL6" i="49"/>
  <c r="M13" i="35"/>
  <c r="O13" i="35" s="1"/>
  <c r="M11" i="49"/>
  <c r="AL22" i="49"/>
  <c r="H7" i="35"/>
  <c r="H10" i="35"/>
  <c r="M15" i="49"/>
  <c r="BH15" i="49"/>
  <c r="BH16" i="49"/>
  <c r="AL16" i="49"/>
  <c r="AL15" i="49"/>
  <c r="Y15" i="49"/>
  <c r="W15" i="49"/>
  <c r="V15" i="49"/>
  <c r="U15" i="49"/>
  <c r="T15" i="49"/>
  <c r="S15" i="49"/>
  <c r="R15" i="49"/>
  <c r="Q15" i="49"/>
  <c r="M18" i="35"/>
  <c r="N16" i="49"/>
  <c r="M17" i="35"/>
  <c r="N15" i="49"/>
  <c r="L4" i="1"/>
  <c r="G2" i="47" s="1"/>
  <c r="H23" i="44"/>
  <c r="G20" i="49" s="1"/>
  <c r="G8" i="35"/>
  <c r="P36" i="1"/>
  <c r="U30" i="1"/>
  <c r="U21" i="1"/>
  <c r="U9" i="1"/>
  <c r="U8" i="1"/>
  <c r="AS4" i="1"/>
  <c r="BA36" i="1"/>
  <c r="BE36" i="1"/>
  <c r="U31" i="1"/>
  <c r="U28" i="1"/>
  <c r="U7" i="1"/>
  <c r="BB32" i="1"/>
  <c r="U6" i="1"/>
  <c r="AR23" i="1"/>
  <c r="E36" i="1"/>
  <c r="BC36" i="1"/>
  <c r="E18" i="35"/>
  <c r="G18" i="35" s="1"/>
  <c r="BB19" i="1"/>
  <c r="Z36" i="1"/>
  <c r="T36" i="1"/>
  <c r="AS27" i="1"/>
  <c r="BF17" i="1"/>
  <c r="AY26" i="1"/>
  <c r="BG30" i="1"/>
  <c r="AD13" i="1"/>
  <c r="BB27" i="1"/>
  <c r="U26" i="1"/>
  <c r="E9" i="35"/>
  <c r="G9" i="35" s="1"/>
  <c r="U25" i="1"/>
  <c r="U29" i="1"/>
  <c r="U18" i="1"/>
  <c r="U14" i="1"/>
  <c r="U32" i="1"/>
  <c r="BD36" i="1"/>
  <c r="D36" i="1"/>
  <c r="I36" i="1"/>
  <c r="AY28" i="1"/>
  <c r="BG29" i="1"/>
  <c r="AD16" i="1"/>
  <c r="BB15" i="1"/>
  <c r="U13" i="1"/>
  <c r="AN12" i="1"/>
  <c r="AU12" i="1"/>
  <c r="M11" i="35"/>
  <c r="O11" i="35" s="1"/>
  <c r="BB11" i="1"/>
  <c r="BF10" i="1"/>
  <c r="BA14" i="1"/>
  <c r="AY30" i="1"/>
  <c r="AQ5" i="1"/>
  <c r="AY13" i="1"/>
  <c r="L17" i="35"/>
  <c r="AP4" i="1"/>
  <c r="AD17" i="1"/>
  <c r="AY14" i="1"/>
  <c r="AR16" i="1"/>
  <c r="AD22" i="1"/>
  <c r="AQ18" i="1"/>
  <c r="AY20" i="1"/>
  <c r="BA13" i="1"/>
  <c r="AR13" i="1"/>
  <c r="AQ23" i="1"/>
  <c r="AR26" i="1"/>
  <c r="AP28" i="1"/>
  <c r="AU27" i="1"/>
  <c r="AQ31" i="1"/>
  <c r="AN27" i="1"/>
  <c r="BC4" i="1"/>
  <c r="U20" i="1"/>
  <c r="BA30" i="1"/>
  <c r="U12" i="1"/>
  <c r="AZ11" i="1"/>
  <c r="AW12" i="1"/>
  <c r="AP19" i="1"/>
  <c r="BH29" i="1"/>
  <c r="AD12" i="1"/>
  <c r="AS10" i="1"/>
  <c r="AU29" i="1"/>
  <c r="AU30" i="1"/>
  <c r="BF15" i="1"/>
  <c r="AP23" i="1"/>
  <c r="BE23" i="1"/>
  <c r="AS26" i="1"/>
  <c r="BC30" i="1"/>
  <c r="M12" i="35"/>
  <c r="O12" i="35" s="1"/>
  <c r="E5" i="47"/>
  <c r="AY10" i="1"/>
  <c r="AS29" i="1"/>
  <c r="AR4" i="1"/>
  <c r="BB18" i="1"/>
  <c r="AY22" i="1"/>
  <c r="U27" i="1"/>
  <c r="AD26" i="1"/>
  <c r="O8" i="35"/>
  <c r="U10" i="1"/>
  <c r="F36" i="1"/>
  <c r="U5" i="1"/>
  <c r="AD11" i="1"/>
  <c r="U24" i="1"/>
  <c r="U15" i="1"/>
  <c r="U22" i="1"/>
  <c r="AD19" i="1"/>
  <c r="M36" i="1"/>
  <c r="AC36" i="1"/>
  <c r="BA9" i="1"/>
  <c r="M9" i="35"/>
  <c r="O9" i="35" s="1"/>
  <c r="AP9" i="1"/>
  <c r="AD8" i="1"/>
  <c r="AS8" i="1"/>
  <c r="AR12" i="1"/>
  <c r="S36" i="1"/>
  <c r="U17" i="1"/>
  <c r="AP11" i="1"/>
  <c r="AQ17" i="1"/>
  <c r="E14" i="35"/>
  <c r="G14" i="35" s="1"/>
  <c r="BH15" i="1"/>
  <c r="AY25" i="1"/>
  <c r="BD28" i="1"/>
  <c r="BD27" i="1"/>
  <c r="Y27" i="1"/>
  <c r="BB29" i="1"/>
  <c r="AD30" i="1"/>
  <c r="BB14" i="1"/>
  <c r="AS24" i="1"/>
  <c r="AW27" i="1"/>
  <c r="AP18" i="1"/>
  <c r="L18" i="35"/>
  <c r="U19" i="1"/>
  <c r="AD27" i="1"/>
  <c r="AD28" i="1"/>
  <c r="AY9" i="1"/>
  <c r="BA15" i="1"/>
  <c r="K8" i="35"/>
  <c r="U16" i="1"/>
  <c r="H4" i="35"/>
  <c r="AQ11" i="1"/>
  <c r="AP21" i="1"/>
  <c r="BB21" i="1"/>
  <c r="AR28" i="1"/>
  <c r="AU11" i="1"/>
  <c r="BI11" i="1" s="1"/>
  <c r="AP14" i="1"/>
  <c r="AZ18" i="1"/>
  <c r="AV25" i="1"/>
  <c r="AQ8" i="1"/>
  <c r="BC12" i="1"/>
  <c r="AR20" i="1"/>
  <c r="AQ22" i="1"/>
  <c r="AS13" i="1"/>
  <c r="AD24" i="1"/>
  <c r="U23" i="1"/>
  <c r="AU9" i="1"/>
  <c r="BI9" i="1" s="1"/>
  <c r="AQ12" i="1"/>
  <c r="AP16" i="1"/>
  <c r="BH16" i="1"/>
  <c r="BH17" i="1"/>
  <c r="E12" i="47"/>
  <c r="E7" i="35"/>
  <c r="G7" i="35" s="1"/>
  <c r="M6" i="35"/>
  <c r="O6" i="35" s="1"/>
  <c r="BA7" i="1"/>
  <c r="AZ7" i="1"/>
  <c r="AU7" i="1"/>
  <c r="AS7" i="1"/>
  <c r="AY7" i="1"/>
  <c r="L7" i="1"/>
  <c r="G5" i="47" s="1"/>
  <c r="E6" i="35"/>
  <c r="G6" i="35" s="1"/>
  <c r="M7" i="35"/>
  <c r="O7" i="35" s="1"/>
  <c r="BB6" i="1"/>
  <c r="AZ6" i="1"/>
  <c r="AW6" i="1"/>
  <c r="AU6" i="1"/>
  <c r="AS6" i="1"/>
  <c r="AY6" i="1"/>
  <c r="L6" i="1"/>
  <c r="G4" i="47" s="1"/>
  <c r="E4" i="47"/>
  <c r="E5" i="35"/>
  <c r="G5" i="35" s="1"/>
  <c r="M5" i="35"/>
  <c r="O5" i="35" s="1"/>
  <c r="BB5" i="1"/>
  <c r="BA4" i="1"/>
  <c r="AW5" i="1"/>
  <c r="AU5" i="1"/>
  <c r="AS5" i="1"/>
  <c r="AY5" i="1"/>
  <c r="E3" i="47"/>
  <c r="AZ4" i="1"/>
  <c r="AT4" i="1"/>
  <c r="AQ4" i="1"/>
  <c r="E4" i="35"/>
  <c r="G4" i="35" s="1"/>
  <c r="M4" i="35"/>
  <c r="O4" i="35" s="1"/>
  <c r="BE4" i="1"/>
  <c r="BD4" i="1"/>
  <c r="BB4" i="1"/>
  <c r="AV4" i="1"/>
  <c r="AU4" i="1"/>
  <c r="E2" i="47"/>
  <c r="AD31" i="1"/>
  <c r="BE32" i="1"/>
  <c r="BD32" i="1"/>
  <c r="BC32" i="1"/>
  <c r="BB31" i="1"/>
  <c r="BH32" i="1"/>
  <c r="AZ32" i="1"/>
  <c r="AW32" i="1"/>
  <c r="AU32" i="1"/>
  <c r="AT32" i="1"/>
  <c r="AS31" i="1"/>
  <c r="AY32" i="1"/>
  <c r="X26" i="49" l="1"/>
  <c r="Y36" i="44"/>
  <c r="Y37" i="44"/>
  <c r="K26" i="49"/>
  <c r="L37" i="44"/>
  <c r="L36" i="44"/>
  <c r="J26" i="49"/>
  <c r="I26" i="49"/>
  <c r="H26" i="49"/>
  <c r="G26" i="49"/>
  <c r="H37" i="44"/>
  <c r="H36" i="44"/>
  <c r="F26" i="49"/>
  <c r="L26" i="49"/>
  <c r="M37" i="44"/>
  <c r="M36" i="44"/>
  <c r="J30" i="48"/>
  <c r="K7" i="49"/>
  <c r="J7" i="49"/>
  <c r="I7" i="49"/>
  <c r="H7" i="49"/>
  <c r="G7" i="49"/>
  <c r="F7" i="49"/>
  <c r="L7" i="49"/>
  <c r="BB33" i="44"/>
  <c r="BB32" i="44"/>
  <c r="E28" i="49"/>
  <c r="BB31" i="44"/>
  <c r="E27" i="49"/>
  <c r="BB30" i="44"/>
  <c r="E26" i="49"/>
  <c r="BB29" i="44"/>
  <c r="E24" i="49"/>
  <c r="BB27" i="44"/>
  <c r="E23" i="49"/>
  <c r="BB26" i="44"/>
  <c r="E22" i="49"/>
  <c r="BB25" i="44"/>
  <c r="E21" i="49"/>
  <c r="BB24" i="44"/>
  <c r="E20" i="49"/>
  <c r="E18" i="49"/>
  <c r="E17" i="49"/>
  <c r="BB20" i="44"/>
  <c r="E16" i="49"/>
  <c r="BB19" i="44"/>
  <c r="E15" i="49"/>
  <c r="BB18" i="44"/>
  <c r="E14" i="49"/>
  <c r="BB17" i="44"/>
  <c r="BH13" i="49"/>
  <c r="E13" i="49"/>
  <c r="BB16" i="44"/>
  <c r="E12" i="49"/>
  <c r="BB15" i="44"/>
  <c r="E11" i="49"/>
  <c r="BB14" i="44"/>
  <c r="E9" i="49"/>
  <c r="BB12" i="44"/>
  <c r="E8" i="49"/>
  <c r="BB11" i="44"/>
  <c r="E7" i="49"/>
  <c r="BB10" i="44"/>
  <c r="E6" i="49"/>
  <c r="BB9" i="44"/>
  <c r="E5" i="49"/>
  <c r="BB8" i="44"/>
  <c r="BC8" i="44" s="1"/>
  <c r="E4" i="49"/>
  <c r="BB6" i="44"/>
  <c r="BC6" i="44" s="1"/>
  <c r="AZ9" i="44"/>
  <c r="E3" i="49"/>
  <c r="AI3" i="49"/>
  <c r="AK3" i="49"/>
  <c r="AY6" i="44"/>
  <c r="AH3" i="49"/>
  <c r="J2" i="49"/>
  <c r="G3" i="49"/>
  <c r="J3" i="49"/>
  <c r="X3" i="49"/>
  <c r="AF3" i="49"/>
  <c r="H3" i="49"/>
  <c r="AJ3" i="49"/>
  <c r="AE3" i="49"/>
  <c r="I3" i="49"/>
  <c r="L3" i="49"/>
  <c r="K3" i="49"/>
  <c r="AL3" i="49"/>
  <c r="AG3" i="49"/>
  <c r="G2" i="49"/>
  <c r="BH8" i="49"/>
  <c r="BH7" i="49"/>
  <c r="AZ10" i="44"/>
  <c r="E2" i="49"/>
  <c r="F3" i="49"/>
  <c r="AZ36" i="1"/>
  <c r="AZ21" i="1"/>
  <c r="H33" i="1"/>
  <c r="J33" i="1" s="1"/>
  <c r="C34" i="44"/>
  <c r="BH6" i="49"/>
  <c r="BH3" i="49"/>
  <c r="AZ6" i="44"/>
  <c r="BH5" i="49"/>
  <c r="AZ8" i="44"/>
  <c r="BH4" i="49"/>
  <c r="AZ7" i="44"/>
  <c r="E14" i="47"/>
  <c r="AG27" i="45"/>
  <c r="BF31" i="49" s="1"/>
  <c r="AN33" i="1"/>
  <c r="Y33" i="1"/>
  <c r="AR31" i="49"/>
  <c r="BI33" i="1"/>
  <c r="AH31" i="45"/>
  <c r="AE33" i="1"/>
  <c r="AD33" i="1"/>
  <c r="AD34" i="1"/>
  <c r="Y34" i="1"/>
  <c r="AJ33" i="1"/>
  <c r="BI34" i="1"/>
  <c r="AE34" i="1"/>
  <c r="BO34" i="1"/>
  <c r="AN18" i="1"/>
  <c r="AN23" i="1"/>
  <c r="BO33" i="1"/>
  <c r="E24" i="45"/>
  <c r="BD3" i="49" s="1"/>
  <c r="F24" i="45"/>
  <c r="BD4" i="49" s="1"/>
  <c r="G24" i="45"/>
  <c r="BD5" i="49" s="1"/>
  <c r="S2" i="49"/>
  <c r="BJ2" i="49"/>
  <c r="T2" i="49"/>
  <c r="AE2" i="49"/>
  <c r="AF2" i="49"/>
  <c r="B9" i="44"/>
  <c r="K2" i="49"/>
  <c r="Y2" i="49"/>
  <c r="AJ2" i="49"/>
  <c r="H2" i="49"/>
  <c r="V2" i="49"/>
  <c r="U2" i="49"/>
  <c r="BL2" i="49"/>
  <c r="O2" i="49"/>
  <c r="P2" i="49"/>
  <c r="N2" i="49"/>
  <c r="AK2" i="49"/>
  <c r="AL2" i="49"/>
  <c r="X2" i="49"/>
  <c r="AG2" i="49"/>
  <c r="W2" i="49"/>
  <c r="Q2" i="49"/>
  <c r="I2" i="49"/>
  <c r="R2" i="49"/>
  <c r="BK2" i="49"/>
  <c r="M2" i="49"/>
  <c r="AQ17" i="49"/>
  <c r="AH2" i="49"/>
  <c r="AI2" i="49"/>
  <c r="F31" i="49"/>
  <c r="BG2" i="49"/>
  <c r="BI2" i="49"/>
  <c r="BH2" i="49"/>
  <c r="AD2" i="49"/>
  <c r="AK36" i="1"/>
  <c r="D24" i="45"/>
  <c r="BD2" i="49" s="1"/>
  <c r="BC2" i="49"/>
  <c r="BC17" i="49"/>
  <c r="D25" i="45"/>
  <c r="AR28" i="49"/>
  <c r="AN31" i="1"/>
  <c r="AR17" i="49"/>
  <c r="D27" i="45"/>
  <c r="AP3" i="49"/>
  <c r="AP18" i="49"/>
  <c r="BE9" i="49"/>
  <c r="AQ9" i="49"/>
  <c r="Y27" i="45"/>
  <c r="BF23" i="49" s="1"/>
  <c r="AR23" i="49"/>
  <c r="AP4" i="49"/>
  <c r="AP31" i="49"/>
  <c r="AP6" i="49"/>
  <c r="O27" i="45"/>
  <c r="BF13" i="49" s="1"/>
  <c r="AR13" i="49"/>
  <c r="AM23" i="49"/>
  <c r="AP21" i="49"/>
  <c r="AP22" i="49"/>
  <c r="AP5" i="49"/>
  <c r="AP16" i="49"/>
  <c r="AP12" i="49"/>
  <c r="AF27" i="45"/>
  <c r="BF30" i="49" s="1"/>
  <c r="AR30" i="49"/>
  <c r="AN24" i="1"/>
  <c r="D29" i="45"/>
  <c r="AO2" i="49"/>
  <c r="AM13" i="49"/>
  <c r="AP17" i="49"/>
  <c r="N29" i="45"/>
  <c r="AO12" i="49"/>
  <c r="N27" i="45"/>
  <c r="BF12" i="49" s="1"/>
  <c r="AR12" i="49"/>
  <c r="M29" i="45"/>
  <c r="AO11" i="49"/>
  <c r="AN17" i="1"/>
  <c r="AP10" i="49"/>
  <c r="I30" i="45"/>
  <c r="I31" i="45" s="1"/>
  <c r="AQ7" i="49"/>
  <c r="AP20" i="49"/>
  <c r="AP23" i="49"/>
  <c r="AP26" i="49"/>
  <c r="AP29" i="49"/>
  <c r="AP2" i="49"/>
  <c r="AP30" i="49"/>
  <c r="M30" i="45"/>
  <c r="AQ11" i="49"/>
  <c r="AP27" i="49"/>
  <c r="AP14" i="49"/>
  <c r="AP15" i="49"/>
  <c r="AF29" i="45"/>
  <c r="AO30" i="49"/>
  <c r="O29" i="45"/>
  <c r="AO13" i="49"/>
  <c r="AM11" i="49"/>
  <c r="AN6" i="1"/>
  <c r="AP8" i="49"/>
  <c r="AP13" i="49"/>
  <c r="Y29" i="45"/>
  <c r="AO23" i="49"/>
  <c r="AP24" i="49"/>
  <c r="AD25" i="45"/>
  <c r="BE28" i="49" s="1"/>
  <c r="AQ28" i="49"/>
  <c r="AG29" i="45"/>
  <c r="AO31" i="49"/>
  <c r="AR2" i="49"/>
  <c r="AM2" i="49"/>
  <c r="AP19" i="49"/>
  <c r="AM12" i="49"/>
  <c r="AM30" i="49"/>
  <c r="AZ20" i="1"/>
  <c r="AN11" i="1"/>
  <c r="AD23" i="1"/>
  <c r="AN9" i="1"/>
  <c r="AN19" i="1"/>
  <c r="G39" i="44"/>
  <c r="AN22" i="1"/>
  <c r="AN16" i="1"/>
  <c r="H9" i="35"/>
  <c r="BI5" i="1"/>
  <c r="I9" i="35"/>
  <c r="AL36" i="1"/>
  <c r="J39" i="44"/>
  <c r="I39" i="44"/>
  <c r="I22" i="44"/>
  <c r="H19" i="49" s="1"/>
  <c r="G22" i="44"/>
  <c r="F19" i="49" s="1"/>
  <c r="AN30" i="1"/>
  <c r="H39" i="44"/>
  <c r="I21" i="44"/>
  <c r="H18" i="49" s="1"/>
  <c r="F39" i="44"/>
  <c r="K39" i="44"/>
  <c r="AN29" i="1"/>
  <c r="F22" i="44"/>
  <c r="F37" i="44" s="1"/>
  <c r="J23" i="44"/>
  <c r="I20" i="49" s="1"/>
  <c r="AN20" i="1"/>
  <c r="AN10" i="1"/>
  <c r="AN13" i="1"/>
  <c r="J7" i="44"/>
  <c r="I4" i="49" s="1"/>
  <c r="K21" i="44"/>
  <c r="J18" i="49" s="1"/>
  <c r="J21" i="44"/>
  <c r="I18" i="49" s="1"/>
  <c r="S11" i="1"/>
  <c r="U11" i="1" s="1"/>
  <c r="AJ21" i="1"/>
  <c r="T30" i="45"/>
  <c r="T31" i="45" s="1"/>
  <c r="BI14" i="1"/>
  <c r="E6" i="47"/>
  <c r="I6" i="35"/>
  <c r="H6" i="35"/>
  <c r="AN7" i="1"/>
  <c r="AG35" i="1"/>
  <c r="H5" i="35"/>
  <c r="K5" i="35" s="1"/>
  <c r="AJ23" i="1"/>
  <c r="H17" i="35"/>
  <c r="K17" i="35" s="1"/>
  <c r="L30" i="45"/>
  <c r="L31" i="45" s="1"/>
  <c r="BA35" i="1"/>
  <c r="F37" i="1"/>
  <c r="AN25" i="1"/>
  <c r="AN8" i="1"/>
  <c r="AU35" i="1"/>
  <c r="BE35" i="1"/>
  <c r="BD35" i="1"/>
  <c r="AT35" i="1"/>
  <c r="AR35" i="1"/>
  <c r="AC35" i="1"/>
  <c r="AN14" i="1"/>
  <c r="AW35" i="1"/>
  <c r="AV35" i="1"/>
  <c r="AB35" i="1"/>
  <c r="AH35" i="1"/>
  <c r="BC35" i="1"/>
  <c r="AP35" i="1"/>
  <c r="W35" i="1"/>
  <c r="V35" i="1"/>
  <c r="X35" i="1"/>
  <c r="BJ35" i="1"/>
  <c r="AO35" i="1"/>
  <c r="AX35" i="1"/>
  <c r="AY35" i="1"/>
  <c r="BH35" i="1"/>
  <c r="N4" i="1"/>
  <c r="U30" i="45"/>
  <c r="U31" i="45" s="1"/>
  <c r="N7" i="1"/>
  <c r="N6" i="1"/>
  <c r="N30" i="45"/>
  <c r="I25" i="45"/>
  <c r="BE7" i="49" s="1"/>
  <c r="AR36" i="1"/>
  <c r="BI16" i="1"/>
  <c r="H30" i="45"/>
  <c r="H31" i="45" s="1"/>
  <c r="I13" i="35"/>
  <c r="AN15" i="1"/>
  <c r="AD14" i="1"/>
  <c r="BI22" i="1"/>
  <c r="AV36" i="1"/>
  <c r="AI36" i="1"/>
  <c r="Q30" i="45"/>
  <c r="Q31" i="45" s="1"/>
  <c r="R30" i="45"/>
  <c r="R31" i="45" s="1"/>
  <c r="BB36" i="1"/>
  <c r="AK14" i="49"/>
  <c r="AK13" i="49"/>
  <c r="Y14" i="1"/>
  <c r="AN5" i="1"/>
  <c r="BK4" i="1"/>
  <c r="AD21" i="1"/>
  <c r="E25" i="45"/>
  <c r="BE3" i="49" s="1"/>
  <c r="E30" i="45"/>
  <c r="E31" i="45" s="1"/>
  <c r="W25" i="45"/>
  <c r="BE21" i="49" s="1"/>
  <c r="W30" i="45"/>
  <c r="W31" i="45" s="1"/>
  <c r="AD20" i="1"/>
  <c r="Z30" i="45"/>
  <c r="Z31" i="45" s="1"/>
  <c r="O30" i="45"/>
  <c r="P25" i="45"/>
  <c r="BE14" i="49" s="1"/>
  <c r="P30" i="45"/>
  <c r="P31" i="45" s="1"/>
  <c r="AD23" i="49"/>
  <c r="J30" i="45"/>
  <c r="J31" i="45" s="1"/>
  <c r="K30" i="45"/>
  <c r="K31" i="45" s="1"/>
  <c r="T25" i="45"/>
  <c r="BE18" i="49" s="1"/>
  <c r="V25" i="45"/>
  <c r="BE20" i="49" s="1"/>
  <c r="V30" i="45"/>
  <c r="V31" i="45" s="1"/>
  <c r="S25" i="45"/>
  <c r="S30" i="45"/>
  <c r="S31" i="45" s="1"/>
  <c r="BO4" i="1"/>
  <c r="BM4" i="1"/>
  <c r="D30" i="45"/>
  <c r="G30" i="45"/>
  <c r="G31" i="45" s="1"/>
  <c r="AE23" i="49"/>
  <c r="F30" i="45"/>
  <c r="F31" i="45" s="1"/>
  <c r="AG30" i="45"/>
  <c r="AE30" i="45"/>
  <c r="AE31" i="45" s="1"/>
  <c r="AF30" i="45"/>
  <c r="AD30" i="45"/>
  <c r="AD31" i="45" s="1"/>
  <c r="AC30" i="45"/>
  <c r="AC31" i="45" s="1"/>
  <c r="AB30" i="45"/>
  <c r="AB31" i="45" s="1"/>
  <c r="AN26" i="1"/>
  <c r="Y30" i="45"/>
  <c r="AD25" i="1"/>
  <c r="X30" i="45"/>
  <c r="X31" i="45" s="1"/>
  <c r="AK23" i="49"/>
  <c r="AJ23" i="49"/>
  <c r="AI23" i="49"/>
  <c r="AH23" i="49"/>
  <c r="AG23" i="49"/>
  <c r="AF23" i="49"/>
  <c r="BI24" i="1"/>
  <c r="AT5" i="44"/>
  <c r="Y21" i="1"/>
  <c r="X36" i="1"/>
  <c r="M25" i="45"/>
  <c r="BE11" i="49" s="1"/>
  <c r="I14" i="35"/>
  <c r="AK12" i="49"/>
  <c r="H13" i="35"/>
  <c r="AH36" i="1"/>
  <c r="AN4" i="1"/>
  <c r="Y7" i="1"/>
  <c r="BI29" i="1"/>
  <c r="AY32" i="44"/>
  <c r="U25" i="45"/>
  <c r="BE19" i="49" s="1"/>
  <c r="Y22" i="1"/>
  <c r="BI21" i="1"/>
  <c r="AY22" i="44"/>
  <c r="Y20" i="1"/>
  <c r="AJ17" i="1"/>
  <c r="Y18" i="1"/>
  <c r="AK15" i="49"/>
  <c r="O25" i="45"/>
  <c r="BE13" i="49" s="1"/>
  <c r="H16" i="35"/>
  <c r="K16" i="35" s="1"/>
  <c r="AD15" i="1"/>
  <c r="I15" i="35"/>
  <c r="H15" i="35"/>
  <c r="AI13" i="49"/>
  <c r="AY12" i="44"/>
  <c r="AJ8" i="1"/>
  <c r="AY26" i="44"/>
  <c r="AY21" i="44"/>
  <c r="R25" i="45"/>
  <c r="BE16" i="49" s="1"/>
  <c r="AG36" i="1"/>
  <c r="AJ26" i="1"/>
  <c r="AF25" i="45"/>
  <c r="BE30" i="49" s="1"/>
  <c r="AY33" i="44"/>
  <c r="L5" i="1"/>
  <c r="BI6" i="1"/>
  <c r="Y6" i="1"/>
  <c r="BI18" i="1"/>
  <c r="Y25" i="45"/>
  <c r="BE23" i="49" s="1"/>
  <c r="W36" i="1"/>
  <c r="AJ20" i="1"/>
  <c r="Q25" i="45"/>
  <c r="BE15" i="49" s="1"/>
  <c r="Y5" i="1"/>
  <c r="K11" i="35"/>
  <c r="AN6" i="44"/>
  <c r="AY5" i="44"/>
  <c r="AJ18" i="1"/>
  <c r="Y17" i="1"/>
  <c r="AY18" i="44"/>
  <c r="AY17" i="44"/>
  <c r="AJ11" i="1"/>
  <c r="AH12" i="49"/>
  <c r="AJ12" i="49"/>
  <c r="AI12" i="49"/>
  <c r="AG12" i="49"/>
  <c r="AF12" i="49"/>
  <c r="Z25" i="45"/>
  <c r="BE24" i="49" s="1"/>
  <c r="AJ15" i="1"/>
  <c r="AY16" i="44"/>
  <c r="N25" i="45"/>
  <c r="BE12" i="49" s="1"/>
  <c r="AJ14" i="1"/>
  <c r="AJ13" i="1"/>
  <c r="AJ12" i="1"/>
  <c r="Y12" i="1"/>
  <c r="L25" i="45"/>
  <c r="BE10" i="49" s="1"/>
  <c r="AJ9" i="1"/>
  <c r="J25" i="45"/>
  <c r="BE8" i="49" s="1"/>
  <c r="H25" i="45"/>
  <c r="BE6" i="49" s="1"/>
  <c r="AJ22" i="1"/>
  <c r="X25" i="45"/>
  <c r="BE22" i="49" s="1"/>
  <c r="AY11" i="44"/>
  <c r="AT8" i="44"/>
  <c r="AY9" i="44"/>
  <c r="E13" i="47"/>
  <c r="H14" i="35"/>
  <c r="Y29" i="1"/>
  <c r="AJ29" i="1"/>
  <c r="AG25" i="45"/>
  <c r="BE31" i="49" s="1"/>
  <c r="AY25" i="44"/>
  <c r="AY23" i="44"/>
  <c r="AY19" i="44"/>
  <c r="Y9" i="1"/>
  <c r="Y15" i="1"/>
  <c r="Y10" i="1"/>
  <c r="AE25" i="45"/>
  <c r="BE29" i="49" s="1"/>
  <c r="AY20" i="44"/>
  <c r="AJ16" i="1"/>
  <c r="AJ24" i="1"/>
  <c r="AJ25" i="1"/>
  <c r="AJ10" i="1"/>
  <c r="Y8" i="1"/>
  <c r="AY13" i="44"/>
  <c r="AY27" i="44"/>
  <c r="AY15" i="44"/>
  <c r="AY14" i="44"/>
  <c r="AJ7" i="1"/>
  <c r="F25" i="45"/>
  <c r="BE4" i="49" s="1"/>
  <c r="G25" i="45"/>
  <c r="BE5" i="49" s="1"/>
  <c r="S4" i="1"/>
  <c r="Y4" i="1"/>
  <c r="AY34" i="44"/>
  <c r="AJ31" i="1"/>
  <c r="Y31" i="1"/>
  <c r="BO31" i="1"/>
  <c r="BP31" i="1" s="1"/>
  <c r="BI31" i="1"/>
  <c r="BI41" i="1" s="1"/>
  <c r="AJ30" i="1"/>
  <c r="AY31" i="44"/>
  <c r="AC25" i="45"/>
  <c r="BE27" i="49" s="1"/>
  <c r="AY30" i="44"/>
  <c r="AB25" i="45"/>
  <c r="BE26" i="49" s="1"/>
  <c r="Y28" i="1"/>
  <c r="Y26" i="1"/>
  <c r="AE25" i="1"/>
  <c r="Y25" i="1"/>
  <c r="AE24" i="1"/>
  <c r="AF24" i="1" s="1"/>
  <c r="Y24" i="1"/>
  <c r="Y23" i="1"/>
  <c r="AE18" i="1"/>
  <c r="AE21" i="1"/>
  <c r="BF20" i="1"/>
  <c r="Y19" i="1"/>
  <c r="AJ5" i="1"/>
  <c r="BO24" i="1"/>
  <c r="BP24" i="1" s="1"/>
  <c r="AU36" i="1"/>
  <c r="AE28" i="1"/>
  <c r="AF28" i="1" s="1"/>
  <c r="BO28" i="1"/>
  <c r="BP28" i="1" s="1"/>
  <c r="AW36" i="1"/>
  <c r="K18" i="35"/>
  <c r="BO21" i="1"/>
  <c r="BO23" i="1"/>
  <c r="AJ6" i="1"/>
  <c r="AE19" i="1"/>
  <c r="AF19" i="1" s="1"/>
  <c r="AE15" i="1"/>
  <c r="Y30" i="1"/>
  <c r="AT36" i="1"/>
  <c r="K12" i="35"/>
  <c r="AS36" i="1"/>
  <c r="O17" i="35"/>
  <c r="BO13" i="1"/>
  <c r="BP13" i="1" s="1"/>
  <c r="BO14" i="1"/>
  <c r="AT7" i="44"/>
  <c r="K7" i="35"/>
  <c r="AE16" i="1"/>
  <c r="AF16" i="1" s="1"/>
  <c r="BI32" i="1"/>
  <c r="BO26" i="1"/>
  <c r="BP26" i="1" s="1"/>
  <c r="AE14" i="1"/>
  <c r="AE31" i="1"/>
  <c r="AF31" i="1" s="1"/>
  <c r="BO16" i="1"/>
  <c r="BP16" i="1" s="1"/>
  <c r="BO22" i="1"/>
  <c r="BP22" i="1" s="1"/>
  <c r="AE26" i="1"/>
  <c r="AF26" i="1" s="1"/>
  <c r="AE22" i="1"/>
  <c r="AF22" i="1" s="1"/>
  <c r="BM32" i="49"/>
  <c r="AE13" i="1"/>
  <c r="AF13" i="1" s="1"/>
  <c r="K10" i="35"/>
  <c r="BO10" i="1"/>
  <c r="AE8" i="1"/>
  <c r="AF8" i="1" s="1"/>
  <c r="BO8" i="1"/>
  <c r="BP8" i="1" s="1"/>
  <c r="K4" i="35"/>
  <c r="BO18" i="1"/>
  <c r="BO17" i="1"/>
  <c r="BP17" i="1" s="1"/>
  <c r="BO19" i="1"/>
  <c r="BP19" i="1" s="1"/>
  <c r="BI4" i="1"/>
  <c r="AE7" i="1"/>
  <c r="BI7" i="1"/>
  <c r="AQ21" i="1"/>
  <c r="AQ35" i="1" s="1"/>
  <c r="BI25" i="1"/>
  <c r="BI10" i="1"/>
  <c r="AE27" i="1"/>
  <c r="AF27" i="1" s="1"/>
  <c r="BI27" i="1"/>
  <c r="AE12" i="1"/>
  <c r="AF12" i="1" s="1"/>
  <c r="BI12" i="1"/>
  <c r="AS21" i="1"/>
  <c r="BI23" i="1"/>
  <c r="BI17" i="1"/>
  <c r="AS20" i="1"/>
  <c r="BI15" i="1"/>
  <c r="AE30" i="1"/>
  <c r="AF30" i="1" s="1"/>
  <c r="BI30" i="1"/>
  <c r="O4" i="1"/>
  <c r="I2" i="47" s="1"/>
  <c r="O18" i="35"/>
  <c r="BB22" i="1"/>
  <c r="BM14" i="1"/>
  <c r="BM6" i="1"/>
  <c r="BM5" i="1"/>
  <c r="BL5" i="1"/>
  <c r="BK5" i="1"/>
  <c r="BL4" i="1"/>
  <c r="BK14" i="1"/>
  <c r="BL14" i="1"/>
  <c r="BK7" i="1"/>
  <c r="BL7" i="1"/>
  <c r="BK6" i="1"/>
  <c r="BL6" i="1"/>
  <c r="BM7" i="1"/>
  <c r="Y13" i="1"/>
  <c r="BO7" i="1"/>
  <c r="O6" i="1"/>
  <c r="I4" i="47" s="1"/>
  <c r="AJ4" i="1"/>
  <c r="BO27" i="1"/>
  <c r="BP27" i="1" s="1"/>
  <c r="Y16" i="1"/>
  <c r="BO30" i="1"/>
  <c r="BP30" i="1" s="1"/>
  <c r="Y11" i="1"/>
  <c r="AB36" i="1"/>
  <c r="AQ36" i="1"/>
  <c r="BF36" i="1"/>
  <c r="AJ28" i="1"/>
  <c r="U36" i="1"/>
  <c r="AE17" i="1"/>
  <c r="AF17" i="1" s="1"/>
  <c r="BO15" i="1"/>
  <c r="BO12" i="1"/>
  <c r="BP12" i="1" s="1"/>
  <c r="AD10" i="1"/>
  <c r="AE10" i="1"/>
  <c r="V36" i="1"/>
  <c r="AE29" i="1"/>
  <c r="AF29" i="1" s="1"/>
  <c r="BO29" i="1"/>
  <c r="BP29" i="1" s="1"/>
  <c r="AE23" i="1"/>
  <c r="AJ27" i="1"/>
  <c r="K7" i="1"/>
  <c r="AP36" i="1"/>
  <c r="AE11" i="1"/>
  <c r="AF11" i="1" s="1"/>
  <c r="BO11" i="1"/>
  <c r="BP11" i="1" s="1"/>
  <c r="K14" i="1"/>
  <c r="K16" i="1"/>
  <c r="O7" i="1"/>
  <c r="I5" i="47" s="1"/>
  <c r="O5" i="1"/>
  <c r="I3" i="47" s="1"/>
  <c r="AD18" i="1"/>
  <c r="AD36" i="1" s="1"/>
  <c r="AE9" i="1"/>
  <c r="AF9" i="1" s="1"/>
  <c r="BO9" i="1"/>
  <c r="BP9" i="1" s="1"/>
  <c r="BO25" i="1"/>
  <c r="AD7" i="1"/>
  <c r="AD6" i="1"/>
  <c r="BO6" i="1"/>
  <c r="AE6" i="1"/>
  <c r="K6" i="1"/>
  <c r="AD5" i="1"/>
  <c r="AE5" i="1"/>
  <c r="BO5" i="1"/>
  <c r="K5" i="1"/>
  <c r="AD4" i="1"/>
  <c r="AE4" i="1"/>
  <c r="K4" i="1"/>
  <c r="AN32" i="1"/>
  <c r="AD32" i="1"/>
  <c r="Y32" i="1"/>
  <c r="AJ32" i="1"/>
  <c r="AE32" i="1"/>
  <c r="BO32" i="1"/>
  <c r="BM5" i="49" l="1"/>
  <c r="BA8" i="44"/>
  <c r="BA5" i="44"/>
  <c r="BM4" i="49"/>
  <c r="BA7" i="44"/>
  <c r="AY37" i="44"/>
  <c r="I36" i="44"/>
  <c r="J37" i="44"/>
  <c r="J36" i="44"/>
  <c r="F36" i="44"/>
  <c r="K37" i="44"/>
  <c r="K36" i="44"/>
  <c r="AY36" i="44"/>
  <c r="AZ36" i="44"/>
  <c r="AZ37" i="44"/>
  <c r="I37" i="44"/>
  <c r="BB34" i="44"/>
  <c r="J31" i="48"/>
  <c r="BB23" i="44"/>
  <c r="E19" i="49"/>
  <c r="BB22" i="44"/>
  <c r="BB21" i="44"/>
  <c r="BC9" i="44"/>
  <c r="BB7" i="44"/>
  <c r="BC7" i="44" s="1"/>
  <c r="AA35" i="1"/>
  <c r="BG3" i="49"/>
  <c r="H6" i="45"/>
  <c r="H24" i="45" s="1"/>
  <c r="BD6" i="49" s="1"/>
  <c r="AZ35" i="1"/>
  <c r="BP4" i="1"/>
  <c r="H34" i="1"/>
  <c r="C35" i="44"/>
  <c r="C36" i="44" s="1"/>
  <c r="G9" i="1"/>
  <c r="BM16" i="1"/>
  <c r="BL16" i="1"/>
  <c r="BK16" i="1"/>
  <c r="D9" i="44"/>
  <c r="AN9" i="44"/>
  <c r="L8" i="1"/>
  <c r="B10" i="44"/>
  <c r="BP33" i="1"/>
  <c r="AF33" i="1"/>
  <c r="Z35" i="1"/>
  <c r="AF34" i="1"/>
  <c r="BP34" i="1"/>
  <c r="O31" i="45"/>
  <c r="AN36" i="1"/>
  <c r="K8" i="1"/>
  <c r="Y31" i="45"/>
  <c r="BL8" i="1"/>
  <c r="BK8" i="1"/>
  <c r="N31" i="45"/>
  <c r="BM8" i="1"/>
  <c r="BP23" i="1"/>
  <c r="AG31" i="45"/>
  <c r="BM2" i="49"/>
  <c r="AF31" i="45"/>
  <c r="D31" i="45"/>
  <c r="BF17" i="49"/>
  <c r="BF2" i="49"/>
  <c r="BE17" i="49"/>
  <c r="BE2" i="49"/>
  <c r="M31" i="45"/>
  <c r="G3" i="47"/>
  <c r="K9" i="35"/>
  <c r="K13" i="35"/>
  <c r="AF23" i="1"/>
  <c r="AK35" i="1"/>
  <c r="AT6" i="44"/>
  <c r="BA6" i="44" s="1"/>
  <c r="AN21" i="1"/>
  <c r="AN35" i="1" s="1"/>
  <c r="AI35" i="1"/>
  <c r="K6" i="35"/>
  <c r="AJ19" i="1"/>
  <c r="AJ35" i="1" s="1"/>
  <c r="AF14" i="1"/>
  <c r="BP14" i="1"/>
  <c r="U4" i="1"/>
  <c r="U35" i="1" s="1"/>
  <c r="S35" i="1"/>
  <c r="AL35" i="1"/>
  <c r="BB35" i="1"/>
  <c r="BQ4" i="1"/>
  <c r="AD35" i="1"/>
  <c r="BF35" i="1"/>
  <c r="AS35" i="1"/>
  <c r="Y35" i="1"/>
  <c r="R7" i="1"/>
  <c r="M5" i="47"/>
  <c r="R6" i="1"/>
  <c r="M4" i="47"/>
  <c r="R5" i="1"/>
  <c r="R4" i="1"/>
  <c r="M2" i="47"/>
  <c r="N5" i="1"/>
  <c r="BK15" i="1"/>
  <c r="AF21" i="1"/>
  <c r="BP21" i="1"/>
  <c r="Y36" i="1"/>
  <c r="AJ36" i="1"/>
  <c r="K14" i="35"/>
  <c r="BP5" i="1"/>
  <c r="BP32" i="1"/>
  <c r="BP25" i="1"/>
  <c r="AF25" i="1"/>
  <c r="BP18" i="1"/>
  <c r="BP15" i="1"/>
  <c r="AF15" i="1"/>
  <c r="BP10" i="1"/>
  <c r="BP6" i="1"/>
  <c r="BP7" i="1"/>
  <c r="K15" i="1"/>
  <c r="K15" i="35"/>
  <c r="Q4" i="1"/>
  <c r="AE20" i="1"/>
  <c r="AF20" i="1" s="1"/>
  <c r="BL15" i="1"/>
  <c r="BM15" i="1"/>
  <c r="BO20" i="1"/>
  <c r="BP20" i="1" s="1"/>
  <c r="BI20" i="1"/>
  <c r="BI35" i="1" s="1"/>
  <c r="BO36" i="1"/>
  <c r="AF7" i="1"/>
  <c r="Q6" i="1"/>
  <c r="BN6" i="1" s="1"/>
  <c r="AE36" i="1"/>
  <c r="AF18" i="1"/>
  <c r="AF36" i="1" s="1"/>
  <c r="AF10" i="1"/>
  <c r="Q5" i="1"/>
  <c r="Q7" i="1"/>
  <c r="BN7" i="1" s="1"/>
  <c r="AF6" i="1"/>
  <c r="AF5" i="1"/>
  <c r="AF4" i="1"/>
  <c r="AF32" i="1"/>
  <c r="C37" i="44" l="1"/>
  <c r="BC10" i="44"/>
  <c r="BB35" i="44"/>
  <c r="J32" i="48"/>
  <c r="BM3" i="49"/>
  <c r="I6" i="45"/>
  <c r="I24" i="45" s="1"/>
  <c r="BD7" i="49" s="1"/>
  <c r="E10" i="44"/>
  <c r="J6" i="45"/>
  <c r="J24" i="45" s="1"/>
  <c r="BD8" i="49" s="1"/>
  <c r="E9" i="44"/>
  <c r="O8" i="1"/>
  <c r="I6" i="47" s="1"/>
  <c r="J34" i="1"/>
  <c r="K34" i="1"/>
  <c r="E32" i="47"/>
  <c r="BM34" i="1"/>
  <c r="BK34" i="1"/>
  <c r="BL34" i="1"/>
  <c r="G10" i="1"/>
  <c r="B11" i="44"/>
  <c r="BC11" i="44" s="1"/>
  <c r="K10" i="1"/>
  <c r="G6" i="47"/>
  <c r="N8" i="1"/>
  <c r="BG6" i="49"/>
  <c r="AT9" i="44"/>
  <c r="E7" i="47"/>
  <c r="K9" i="1"/>
  <c r="BM9" i="1"/>
  <c r="BL9" i="1"/>
  <c r="BK9" i="1"/>
  <c r="D11" i="44"/>
  <c r="AN11" i="44"/>
  <c r="L10" i="1"/>
  <c r="D10" i="44"/>
  <c r="AN10" i="44"/>
  <c r="L9" i="1"/>
  <c r="BN5" i="1"/>
  <c r="AF35" i="1"/>
  <c r="AE35" i="1"/>
  <c r="BN4" i="1"/>
  <c r="M3" i="47"/>
  <c r="BM6" i="49" l="1"/>
  <c r="BA9" i="44"/>
  <c r="O9" i="1"/>
  <c r="M6" i="47"/>
  <c r="Q8" i="1"/>
  <c r="BN8" i="1" s="1"/>
  <c r="R8" i="1"/>
  <c r="E11" i="44"/>
  <c r="O10" i="1"/>
  <c r="I8" i="47" s="1"/>
  <c r="B12" i="44"/>
  <c r="G11" i="1"/>
  <c r="K17" i="1"/>
  <c r="BK10" i="1"/>
  <c r="BM10" i="1"/>
  <c r="BL10" i="1"/>
  <c r="E8" i="47"/>
  <c r="BG7" i="49"/>
  <c r="AT10" i="44"/>
  <c r="BA10" i="44" s="1"/>
  <c r="BG8" i="49"/>
  <c r="AT11" i="44"/>
  <c r="G7" i="47"/>
  <c r="N9" i="1"/>
  <c r="G8" i="47"/>
  <c r="N10" i="1"/>
  <c r="E9" i="47"/>
  <c r="K11" i="1"/>
  <c r="BK11" i="1"/>
  <c r="BM11" i="1"/>
  <c r="BL11" i="1"/>
  <c r="G12" i="1"/>
  <c r="BM8" i="49" l="1"/>
  <c r="BA11" i="44"/>
  <c r="BC12" i="44"/>
  <c r="Q9" i="1"/>
  <c r="BN9" i="1" s="1"/>
  <c r="I7" i="47"/>
  <c r="M7" i="47" s="1"/>
  <c r="R9" i="1"/>
  <c r="G13" i="1"/>
  <c r="M8" i="47"/>
  <c r="R10" i="1"/>
  <c r="Q10" i="1"/>
  <c r="BN10" i="1" s="1"/>
  <c r="K6" i="45"/>
  <c r="K24" i="45" s="1"/>
  <c r="BD9" i="49" s="1"/>
  <c r="L6" i="45"/>
  <c r="L24" i="45" s="1"/>
  <c r="BD10" i="49" s="1"/>
  <c r="B15" i="44"/>
  <c r="BC15" i="44" s="1"/>
  <c r="G14" i="1"/>
  <c r="J36" i="1"/>
  <c r="BK17" i="1"/>
  <c r="BL17" i="1"/>
  <c r="BM17" i="1"/>
  <c r="E15" i="47"/>
  <c r="AN13" i="44"/>
  <c r="L11" i="1"/>
  <c r="N11" i="1" s="1"/>
  <c r="AN12" i="44"/>
  <c r="D12" i="44"/>
  <c r="BM7" i="49"/>
  <c r="B13" i="44"/>
  <c r="BC13" i="44" l="1"/>
  <c r="AT12" i="44"/>
  <c r="BA12" i="44" s="1"/>
  <c r="B14" i="44"/>
  <c r="BC14" i="44" s="1"/>
  <c r="E12" i="44"/>
  <c r="O11" i="1"/>
  <c r="I9" i="47" s="1"/>
  <c r="E13" i="44"/>
  <c r="O12" i="1"/>
  <c r="I10" i="47" s="1"/>
  <c r="L12" i="1"/>
  <c r="N12" i="1" s="1"/>
  <c r="D13" i="44"/>
  <c r="G9" i="47"/>
  <c r="BG9" i="49"/>
  <c r="BG10" i="49"/>
  <c r="AT13" i="44"/>
  <c r="E11" i="47"/>
  <c r="BL13" i="1"/>
  <c r="K13" i="1"/>
  <c r="BM13" i="1"/>
  <c r="BK13" i="1"/>
  <c r="E16" i="47"/>
  <c r="BL18" i="1"/>
  <c r="BL36" i="1" s="1"/>
  <c r="BM18" i="1"/>
  <c r="K18" i="1"/>
  <c r="K36" i="1" s="1"/>
  <c r="BK18" i="1"/>
  <c r="BK36" i="1" s="1"/>
  <c r="H36" i="1"/>
  <c r="E10" i="47"/>
  <c r="BK12" i="1"/>
  <c r="K12" i="1"/>
  <c r="BL12" i="1"/>
  <c r="BM12" i="1"/>
  <c r="E17" i="47"/>
  <c r="BL19" i="1"/>
  <c r="BK19" i="1"/>
  <c r="K19" i="1"/>
  <c r="BM19" i="1"/>
  <c r="BM10" i="49" l="1"/>
  <c r="BA13" i="44"/>
  <c r="BM9" i="49"/>
  <c r="O13" i="1"/>
  <c r="I11" i="47" s="1"/>
  <c r="M6" i="45"/>
  <c r="M24" i="45" s="1"/>
  <c r="BD11" i="49" s="1"/>
  <c r="G16" i="1"/>
  <c r="M9" i="47"/>
  <c r="R11" i="1"/>
  <c r="Q11" i="1"/>
  <c r="R12" i="1"/>
  <c r="Q12" i="1"/>
  <c r="BN12" i="1" s="1"/>
  <c r="G15" i="1"/>
  <c r="B16" i="44"/>
  <c r="BC16" i="44" s="1"/>
  <c r="G10" i="47"/>
  <c r="D14" i="44"/>
  <c r="AN14" i="44"/>
  <c r="L13" i="1"/>
  <c r="N13" i="1" s="1"/>
  <c r="D15" i="44"/>
  <c r="E18" i="47"/>
  <c r="K20" i="1"/>
  <c r="BM20" i="1"/>
  <c r="BL20" i="1"/>
  <c r="BK20" i="1"/>
  <c r="BG11" i="49" l="1"/>
  <c r="N6" i="45"/>
  <c r="N24" i="45" s="1"/>
  <c r="BD12" i="49" s="1"/>
  <c r="E14" i="44"/>
  <c r="E15" i="44"/>
  <c r="B17" i="44"/>
  <c r="BC17" i="44" s="1"/>
  <c r="M10" i="47"/>
  <c r="Q13" i="1"/>
  <c r="BN13" i="1" s="1"/>
  <c r="R13" i="1"/>
  <c r="BN11" i="1"/>
  <c r="D16" i="44"/>
  <c r="B18" i="44"/>
  <c r="BC18" i="44" s="1"/>
  <c r="G17" i="1"/>
  <c r="AT14" i="44"/>
  <c r="BA14" i="44" s="1"/>
  <c r="G11" i="47"/>
  <c r="AN15" i="44"/>
  <c r="AT15" i="44" s="1"/>
  <c r="L14" i="1"/>
  <c r="G12" i="47" s="1"/>
  <c r="E19" i="47"/>
  <c r="BM21" i="1"/>
  <c r="K21" i="1"/>
  <c r="BL21" i="1"/>
  <c r="BK21" i="1"/>
  <c r="BM12" i="49" l="1"/>
  <c r="BA15" i="44"/>
  <c r="BM11" i="49"/>
  <c r="O14" i="1"/>
  <c r="M11" i="47"/>
  <c r="O6" i="45"/>
  <c r="O24" i="45" s="1"/>
  <c r="BD13" i="49" s="1"/>
  <c r="O15" i="1"/>
  <c r="I13" i="47" s="1"/>
  <c r="P6" i="45"/>
  <c r="P24" i="45" s="1"/>
  <c r="BD14" i="49" s="1"/>
  <c r="L15" i="1"/>
  <c r="AN16" i="44"/>
  <c r="G18" i="1"/>
  <c r="B19" i="44"/>
  <c r="BC19" i="44" s="1"/>
  <c r="D17" i="44"/>
  <c r="L16" i="1"/>
  <c r="AN17" i="44"/>
  <c r="N14" i="1"/>
  <c r="BG12" i="49"/>
  <c r="E20" i="47"/>
  <c r="K22" i="1"/>
  <c r="BL22" i="1"/>
  <c r="BK22" i="1"/>
  <c r="BM22" i="1"/>
  <c r="I12" i="47" l="1"/>
  <c r="M12" i="47" s="1"/>
  <c r="Q14" i="1"/>
  <c r="BN14" i="1" s="1"/>
  <c r="R14" i="1"/>
  <c r="E16" i="44"/>
  <c r="O16" i="1"/>
  <c r="I14" i="47" s="1"/>
  <c r="Q6" i="45"/>
  <c r="Q24" i="45" s="1"/>
  <c r="BD15" i="49" s="1"/>
  <c r="Q15" i="1"/>
  <c r="R15" i="1"/>
  <c r="N15" i="1"/>
  <c r="G13" i="47"/>
  <c r="BG13" i="49"/>
  <c r="AT16" i="44"/>
  <c r="BA16" i="44" s="1"/>
  <c r="G19" i="1"/>
  <c r="B20" i="44"/>
  <c r="BC20" i="44" s="1"/>
  <c r="G14" i="47"/>
  <c r="N16" i="1"/>
  <c r="BG14" i="49"/>
  <c r="AT17" i="44"/>
  <c r="BA17" i="44" s="1"/>
  <c r="AN18" i="44"/>
  <c r="L17" i="1"/>
  <c r="D18" i="44"/>
  <c r="BM13" i="49" l="1"/>
  <c r="BN15" i="1"/>
  <c r="E17" i="44"/>
  <c r="O17" i="1"/>
  <c r="I15" i="47" s="1"/>
  <c r="M13" i="47"/>
  <c r="M14" i="47"/>
  <c r="Q16" i="1"/>
  <c r="BN16" i="1" s="1"/>
  <c r="R16" i="1"/>
  <c r="BM14" i="49"/>
  <c r="AT18" i="44"/>
  <c r="BA18" i="44" s="1"/>
  <c r="BG15" i="49"/>
  <c r="N17" i="1"/>
  <c r="G15" i="47"/>
  <c r="E22" i="47"/>
  <c r="E21" i="47"/>
  <c r="BL23" i="1"/>
  <c r="K23" i="1"/>
  <c r="BK23" i="1"/>
  <c r="BM23" i="1"/>
  <c r="E18" i="44" l="1"/>
  <c r="G20" i="1"/>
  <c r="B21" i="44"/>
  <c r="M15" i="47"/>
  <c r="Q17" i="1"/>
  <c r="BN17" i="1" s="1"/>
  <c r="R17" i="1"/>
  <c r="R6" i="45"/>
  <c r="R24" i="45" s="1"/>
  <c r="BD16" i="49" s="1"/>
  <c r="D19" i="44"/>
  <c r="AN19" i="44"/>
  <c r="AT19" i="44" s="1"/>
  <c r="BA19" i="44" s="1"/>
  <c r="G21" i="1"/>
  <c r="B22" i="44"/>
  <c r="BC22" i="44" s="1"/>
  <c r="L18" i="1"/>
  <c r="G16" i="47" s="1"/>
  <c r="BM15" i="49"/>
  <c r="AN20" i="44"/>
  <c r="L19" i="1"/>
  <c r="D20" i="44"/>
  <c r="K24" i="1"/>
  <c r="BM24" i="1"/>
  <c r="BK24" i="1"/>
  <c r="BL24" i="1"/>
  <c r="E23" i="47"/>
  <c r="BM25" i="1"/>
  <c r="BK25" i="1"/>
  <c r="BL25" i="1"/>
  <c r="K25" i="1"/>
  <c r="BC21" i="44" l="1"/>
  <c r="BG16" i="49"/>
  <c r="S6" i="45"/>
  <c r="S24" i="45" s="1"/>
  <c r="BD17" i="49" s="1"/>
  <c r="O18" i="1"/>
  <c r="I16" i="47" s="1"/>
  <c r="E19" i="44"/>
  <c r="G22" i="1"/>
  <c r="B23" i="44"/>
  <c r="BC23" i="44" s="1"/>
  <c r="N18" i="1"/>
  <c r="L36" i="1"/>
  <c r="AT20" i="44"/>
  <c r="BA20" i="44" s="1"/>
  <c r="BG17" i="49"/>
  <c r="N19" i="1"/>
  <c r="G17" i="47"/>
  <c r="BM16" i="49"/>
  <c r="E24" i="47"/>
  <c r="K26" i="1"/>
  <c r="BM26" i="1"/>
  <c r="BL26" i="1"/>
  <c r="BK26" i="1"/>
  <c r="O20" i="1" l="1"/>
  <c r="I18" i="47" s="1"/>
  <c r="T6" i="45"/>
  <c r="T24" i="45" s="1"/>
  <c r="BD18" i="49" s="1"/>
  <c r="U6" i="45"/>
  <c r="U24" i="45" s="1"/>
  <c r="BD19" i="49" s="1"/>
  <c r="M16" i="47"/>
  <c r="R18" i="1"/>
  <c r="R36" i="1" s="1"/>
  <c r="O36" i="1"/>
  <c r="Q18" i="1"/>
  <c r="Q36" i="1" s="1"/>
  <c r="E20" i="44"/>
  <c r="O19" i="1"/>
  <c r="I17" i="47" s="1"/>
  <c r="N36" i="1"/>
  <c r="G23" i="1"/>
  <c r="B24" i="44"/>
  <c r="BC24" i="44" s="1"/>
  <c r="BM17" i="49"/>
  <c r="D21" i="44"/>
  <c r="AN21" i="44"/>
  <c r="L20" i="1"/>
  <c r="E25" i="47"/>
  <c r="E21" i="44" l="1"/>
  <c r="O21" i="1"/>
  <c r="I19" i="47" s="1"/>
  <c r="M17" i="47"/>
  <c r="R19" i="1"/>
  <c r="Q19" i="1"/>
  <c r="BN19" i="1" s="1"/>
  <c r="R20" i="1"/>
  <c r="Q20" i="1"/>
  <c r="BN18" i="1"/>
  <c r="BN36" i="1" s="1"/>
  <c r="G24" i="1"/>
  <c r="B25" i="44"/>
  <c r="BC25" i="44" s="1"/>
  <c r="D22" i="44"/>
  <c r="L21" i="1"/>
  <c r="AN22" i="44"/>
  <c r="BG18" i="49"/>
  <c r="AT21" i="44"/>
  <c r="BA21" i="44" s="1"/>
  <c r="N20" i="1"/>
  <c r="G18" i="47"/>
  <c r="BK27" i="1"/>
  <c r="BM27" i="1"/>
  <c r="K27" i="1"/>
  <c r="BL27" i="1"/>
  <c r="E26" i="47"/>
  <c r="BM28" i="1"/>
  <c r="BK28" i="1"/>
  <c r="BL28" i="1"/>
  <c r="K28" i="1"/>
  <c r="E22" i="44" l="1"/>
  <c r="Q21" i="1"/>
  <c r="R21" i="1"/>
  <c r="V6" i="45"/>
  <c r="V24" i="45" s="1"/>
  <c r="BD20" i="49" s="1"/>
  <c r="BN20" i="1"/>
  <c r="M18" i="47"/>
  <c r="G25" i="1"/>
  <c r="B26" i="44"/>
  <c r="BC26" i="44" s="1"/>
  <c r="L22" i="1"/>
  <c r="AN23" i="44"/>
  <c r="D23" i="44"/>
  <c r="BM18" i="49"/>
  <c r="N21" i="1"/>
  <c r="G19" i="47"/>
  <c r="BG19" i="49"/>
  <c r="AT22" i="44"/>
  <c r="BA22" i="44" s="1"/>
  <c r="E27" i="47"/>
  <c r="BK29" i="1"/>
  <c r="BL29" i="1"/>
  <c r="BM29" i="1"/>
  <c r="K29" i="1"/>
  <c r="O23" i="1" l="1"/>
  <c r="I21" i="47" s="1"/>
  <c r="BN21" i="1"/>
  <c r="M19" i="47"/>
  <c r="W6" i="45"/>
  <c r="W24" i="45" s="1"/>
  <c r="BD21" i="49" s="1"/>
  <c r="E23" i="44"/>
  <c r="O22" i="1"/>
  <c r="I20" i="47" s="1"/>
  <c r="G26" i="1"/>
  <c r="B27" i="44"/>
  <c r="BC27" i="44" s="1"/>
  <c r="N22" i="1"/>
  <c r="G20" i="47"/>
  <c r="AN24" i="44"/>
  <c r="D24" i="44"/>
  <c r="L23" i="1"/>
  <c r="AT23" i="44"/>
  <c r="BA23" i="44" s="1"/>
  <c r="BG20" i="49"/>
  <c r="BM19" i="49"/>
  <c r="E28" i="47"/>
  <c r="BL30" i="1"/>
  <c r="K30" i="1"/>
  <c r="BM30" i="1"/>
  <c r="BK30" i="1"/>
  <c r="E24" i="44" l="1"/>
  <c r="X6" i="45"/>
  <c r="X24" i="45" s="1"/>
  <c r="BD22" i="49" s="1"/>
  <c r="O24" i="1"/>
  <c r="I22" i="47" s="1"/>
  <c r="Q23" i="1"/>
  <c r="R23" i="1"/>
  <c r="M20" i="47"/>
  <c r="Q22" i="1"/>
  <c r="BN22" i="1" s="1"/>
  <c r="R22" i="1"/>
  <c r="B28" i="44"/>
  <c r="BC28" i="44" s="1"/>
  <c r="G27" i="1"/>
  <c r="AT24" i="44"/>
  <c r="BA24" i="44" s="1"/>
  <c r="BG21" i="49"/>
  <c r="BM20" i="49"/>
  <c r="N23" i="1"/>
  <c r="G21" i="47"/>
  <c r="L24" i="1"/>
  <c r="D25" i="44"/>
  <c r="AN25" i="44"/>
  <c r="BK31" i="1"/>
  <c r="E29" i="47"/>
  <c r="Y6" i="45" l="1"/>
  <c r="Y24" i="45" s="1"/>
  <c r="BD23" i="49" s="1"/>
  <c r="E25" i="44"/>
  <c r="BN23" i="1"/>
  <c r="Z6" i="45"/>
  <c r="Z24" i="45" s="1"/>
  <c r="BD24" i="49" s="1"/>
  <c r="Q24" i="1"/>
  <c r="R24" i="1"/>
  <c r="M21" i="47"/>
  <c r="E26" i="44"/>
  <c r="O25" i="1"/>
  <c r="I23" i="47" s="1"/>
  <c r="G28" i="1"/>
  <c r="B29" i="44"/>
  <c r="BC29" i="44" s="1"/>
  <c r="N24" i="1"/>
  <c r="G22" i="47"/>
  <c r="BM21" i="49"/>
  <c r="BG22" i="49"/>
  <c r="AT25" i="44"/>
  <c r="BA25" i="44" s="1"/>
  <c r="L25" i="1"/>
  <c r="D26" i="44"/>
  <c r="AN26" i="44"/>
  <c r="K31" i="1"/>
  <c r="BM31" i="1"/>
  <c r="BL31" i="1"/>
  <c r="E30" i="47"/>
  <c r="BL32" i="1"/>
  <c r="BK32" i="1"/>
  <c r="BM32" i="1"/>
  <c r="K32" i="1"/>
  <c r="BN24" i="1" l="1"/>
  <c r="AA6" i="45"/>
  <c r="E27" i="44"/>
  <c r="O26" i="1"/>
  <c r="I24" i="47" s="1"/>
  <c r="R25" i="1"/>
  <c r="Q25" i="1"/>
  <c r="M22" i="47"/>
  <c r="B30" i="44"/>
  <c r="BC30" i="44" s="1"/>
  <c r="G29" i="1"/>
  <c r="AN27" i="44"/>
  <c r="D27" i="44"/>
  <c r="L26" i="1"/>
  <c r="N25" i="1"/>
  <c r="G23" i="47"/>
  <c r="AT26" i="44"/>
  <c r="BA26" i="44" s="1"/>
  <c r="BG23" i="49"/>
  <c r="BM22" i="49"/>
  <c r="AA24" i="45" l="1"/>
  <c r="BD25" i="49" s="1"/>
  <c r="BN25" i="1"/>
  <c r="M23" i="47"/>
  <c r="E28" i="44"/>
  <c r="O27" i="1"/>
  <c r="I25" i="47" s="1"/>
  <c r="R26" i="1"/>
  <c r="Q26" i="1"/>
  <c r="B31" i="44"/>
  <c r="BC31" i="44" s="1"/>
  <c r="G30" i="1"/>
  <c r="BM23" i="49"/>
  <c r="BG24" i="49"/>
  <c r="AT27" i="44"/>
  <c r="BA27" i="44" s="1"/>
  <c r="N26" i="1"/>
  <c r="G24" i="47"/>
  <c r="L27" i="1"/>
  <c r="AN28" i="44"/>
  <c r="D28" i="44"/>
  <c r="O28" i="1" l="1"/>
  <c r="I26" i="47" s="1"/>
  <c r="AB6" i="45"/>
  <c r="AB24" i="45" s="1"/>
  <c r="BD26" i="49" s="1"/>
  <c r="BN26" i="1"/>
  <c r="M24" i="47"/>
  <c r="R27" i="1"/>
  <c r="Q27" i="1"/>
  <c r="B32" i="44"/>
  <c r="BC32" i="44" s="1"/>
  <c r="G31" i="1"/>
  <c r="AN29" i="44"/>
  <c r="L28" i="1"/>
  <c r="D29" i="44"/>
  <c r="N27" i="1"/>
  <c r="G25" i="47"/>
  <c r="BM24" i="49"/>
  <c r="BG25" i="49"/>
  <c r="AT28" i="44"/>
  <c r="BA28" i="44" s="1"/>
  <c r="AC6" i="45" l="1"/>
  <c r="AC24" i="45" s="1"/>
  <c r="BD27" i="49" s="1"/>
  <c r="M25" i="47"/>
  <c r="E29" i="44"/>
  <c r="Q28" i="1"/>
  <c r="R28" i="1"/>
  <c r="E30" i="44"/>
  <c r="O29" i="1"/>
  <c r="I27" i="47" s="1"/>
  <c r="G32" i="1"/>
  <c r="B33" i="44"/>
  <c r="BC33" i="44" s="1"/>
  <c r="AT29" i="44"/>
  <c r="BA29" i="44" s="1"/>
  <c r="BG26" i="49"/>
  <c r="G26" i="47"/>
  <c r="N28" i="1"/>
  <c r="BM25" i="49"/>
  <c r="BN27" i="1"/>
  <c r="AN30" i="44"/>
  <c r="L29" i="1"/>
  <c r="D30" i="44"/>
  <c r="E31" i="44" l="1"/>
  <c r="AD6" i="45"/>
  <c r="AD24" i="45" s="1"/>
  <c r="BD28" i="49" s="1"/>
  <c r="BN28" i="1"/>
  <c r="M26" i="47"/>
  <c r="R29" i="1"/>
  <c r="Q29" i="1"/>
  <c r="AN31" i="44"/>
  <c r="L30" i="1"/>
  <c r="D31" i="44"/>
  <c r="BG27" i="49"/>
  <c r="AT30" i="44"/>
  <c r="BA30" i="44" s="1"/>
  <c r="N29" i="1"/>
  <c r="G27" i="47"/>
  <c r="BM26" i="49"/>
  <c r="O30" i="1" l="1"/>
  <c r="M27" i="47"/>
  <c r="E32" i="44"/>
  <c r="AE6" i="45"/>
  <c r="AE24" i="45" s="1"/>
  <c r="BD29" i="49" s="1"/>
  <c r="AF6" i="45"/>
  <c r="AF24" i="45" s="1"/>
  <c r="BD30" i="49" s="1"/>
  <c r="G34" i="1"/>
  <c r="B35" i="44"/>
  <c r="BM27" i="49"/>
  <c r="AT31" i="44"/>
  <c r="BA31" i="44" s="1"/>
  <c r="BG28" i="49"/>
  <c r="BN29" i="1"/>
  <c r="N30" i="1"/>
  <c r="G28" i="47"/>
  <c r="D32" i="44"/>
  <c r="L31" i="1"/>
  <c r="AN32" i="44"/>
  <c r="BC35" i="44" l="1"/>
  <c r="R30" i="1"/>
  <c r="I28" i="47"/>
  <c r="M28" i="47" s="1"/>
  <c r="J85" i="29"/>
  <c r="J85" i="30"/>
  <c r="J85" i="27"/>
  <c r="J85" i="28"/>
  <c r="J85" i="25"/>
  <c r="J85" i="40"/>
  <c r="J85" i="23"/>
  <c r="J85" i="24"/>
  <c r="J85" i="21"/>
  <c r="J85" i="19"/>
  <c r="J85" i="20"/>
  <c r="J85" i="17"/>
  <c r="J85" i="18"/>
  <c r="J85" i="15"/>
  <c r="J85" i="16"/>
  <c r="J85" i="13"/>
  <c r="J85" i="14"/>
  <c r="J85" i="11"/>
  <c r="J85" i="12"/>
  <c r="J85" i="9"/>
  <c r="J85" i="10"/>
  <c r="J85" i="7"/>
  <c r="J85" i="8"/>
  <c r="J85" i="5"/>
  <c r="J85" i="33"/>
  <c r="J85" i="3"/>
  <c r="J85" i="4"/>
  <c r="H86" i="50"/>
  <c r="J86" i="50" s="1"/>
  <c r="Q30" i="1"/>
  <c r="BN30" i="1" s="1"/>
  <c r="O31" i="1"/>
  <c r="E33" i="44"/>
  <c r="O32" i="1"/>
  <c r="I30" i="47" s="1"/>
  <c r="AT32" i="44"/>
  <c r="BA32" i="44" s="1"/>
  <c r="BG29" i="49"/>
  <c r="L32" i="1"/>
  <c r="D33" i="44"/>
  <c r="AN33" i="44"/>
  <c r="BM28" i="49"/>
  <c r="N31" i="1"/>
  <c r="G29" i="47"/>
  <c r="R31" i="1" l="1"/>
  <c r="I29" i="47"/>
  <c r="M29" i="47" s="1"/>
  <c r="J85" i="22"/>
  <c r="J85" i="2"/>
  <c r="Q31" i="1"/>
  <c r="BN31" i="1" s="1"/>
  <c r="R32" i="1"/>
  <c r="Q32" i="1"/>
  <c r="AG6" i="45"/>
  <c r="AG24" i="45" s="1"/>
  <c r="BD31" i="49" s="1"/>
  <c r="BM29" i="49"/>
  <c r="D34" i="44"/>
  <c r="D36" i="44" s="1"/>
  <c r="L33" i="1"/>
  <c r="AN34" i="44"/>
  <c r="AN37" i="44" s="1"/>
  <c r="N32" i="1"/>
  <c r="G30" i="47"/>
  <c r="BG30" i="49"/>
  <c r="AT33" i="44"/>
  <c r="BA33" i="44" s="1"/>
  <c r="D37" i="44" l="1"/>
  <c r="AN36" i="44"/>
  <c r="J83" i="29"/>
  <c r="J83" i="30"/>
  <c r="J92" i="29"/>
  <c r="J92" i="30"/>
  <c r="J90" i="29"/>
  <c r="J92" i="27"/>
  <c r="J92" i="28"/>
  <c r="AC27" i="49"/>
  <c r="J83" i="27"/>
  <c r="J83" i="28"/>
  <c r="J90" i="27"/>
  <c r="AC25" i="49"/>
  <c r="J83" i="25"/>
  <c r="J83" i="40"/>
  <c r="J92" i="25"/>
  <c r="J92" i="40"/>
  <c r="H91" i="50"/>
  <c r="J91" i="50" s="1"/>
  <c r="J90" i="9"/>
  <c r="J90" i="33"/>
  <c r="J90" i="8"/>
  <c r="J90" i="3"/>
  <c r="J90" i="5"/>
  <c r="J90" i="7"/>
  <c r="J90" i="4"/>
  <c r="J90" i="2"/>
  <c r="J83" i="23"/>
  <c r="J83" i="24"/>
  <c r="J92" i="23"/>
  <c r="J92" i="24"/>
  <c r="J92" i="21"/>
  <c r="J92" i="22"/>
  <c r="J83" i="21"/>
  <c r="J83" i="19"/>
  <c r="J83" i="20"/>
  <c r="J92" i="19"/>
  <c r="J92" i="20"/>
  <c r="J83" i="17"/>
  <c r="J83" i="18"/>
  <c r="J92" i="17"/>
  <c r="J92" i="18"/>
  <c r="J83" i="15"/>
  <c r="J83" i="16"/>
  <c r="J92" i="15"/>
  <c r="J92" i="16"/>
  <c r="J83" i="13"/>
  <c r="J83" i="14"/>
  <c r="J92" i="13"/>
  <c r="J92" i="14"/>
  <c r="J92" i="11"/>
  <c r="J92" i="12"/>
  <c r="J83" i="11"/>
  <c r="J83" i="12"/>
  <c r="J83" i="9"/>
  <c r="J83" i="10"/>
  <c r="J92" i="9"/>
  <c r="J92" i="10"/>
  <c r="J83" i="7"/>
  <c r="J83" i="8"/>
  <c r="J92" i="7"/>
  <c r="J92" i="8"/>
  <c r="J83" i="5"/>
  <c r="J83" i="33"/>
  <c r="J92" i="5"/>
  <c r="J92" i="33"/>
  <c r="J83" i="3"/>
  <c r="J83" i="4"/>
  <c r="J92" i="3"/>
  <c r="J92" i="4"/>
  <c r="H93" i="50"/>
  <c r="J93" i="50" s="1"/>
  <c r="J92" i="2"/>
  <c r="H84" i="50"/>
  <c r="J84" i="50" s="1"/>
  <c r="BN32" i="1"/>
  <c r="M30" i="47"/>
  <c r="O33" i="1"/>
  <c r="I31" i="47" s="1"/>
  <c r="E34" i="44"/>
  <c r="N33" i="1"/>
  <c r="N35" i="1" s="1"/>
  <c r="G31" i="47"/>
  <c r="L35" i="1"/>
  <c r="BM30" i="49"/>
  <c r="AT34" i="44"/>
  <c r="BG31" i="49"/>
  <c r="BG35" i="1"/>
  <c r="BO35" i="1" s="1"/>
  <c r="BP35" i="1" s="1"/>
  <c r="AT36" i="44" l="1"/>
  <c r="BA34" i="44"/>
  <c r="BA36" i="44" s="1"/>
  <c r="AT37" i="44"/>
  <c r="AC29" i="49"/>
  <c r="J96" i="29"/>
  <c r="J96" i="30"/>
  <c r="J88" i="29"/>
  <c r="J102" i="29"/>
  <c r="J102" i="30"/>
  <c r="J77" i="29"/>
  <c r="J77" i="30"/>
  <c r="J87" i="29"/>
  <c r="J90" i="30"/>
  <c r="AC30" i="49"/>
  <c r="J75" i="29"/>
  <c r="J75" i="30"/>
  <c r="J84" i="29"/>
  <c r="J84" i="30"/>
  <c r="J62" i="29"/>
  <c r="J62" i="30"/>
  <c r="J89" i="29"/>
  <c r="J94" i="29"/>
  <c r="J94" i="30"/>
  <c r="J74" i="29"/>
  <c r="J74" i="30"/>
  <c r="J76" i="29"/>
  <c r="J76" i="30"/>
  <c r="J82" i="29"/>
  <c r="J82" i="30"/>
  <c r="J78" i="29"/>
  <c r="J78" i="30"/>
  <c r="J94" i="27"/>
  <c r="J94" i="28"/>
  <c r="J74" i="27"/>
  <c r="J74" i="28"/>
  <c r="J76" i="27"/>
  <c r="J76" i="28"/>
  <c r="J88" i="27"/>
  <c r="J88" i="28"/>
  <c r="J89" i="27"/>
  <c r="J89" i="28"/>
  <c r="J78" i="27"/>
  <c r="J78" i="28"/>
  <c r="J84" i="27"/>
  <c r="J84" i="28"/>
  <c r="J102" i="27"/>
  <c r="J102" i="28"/>
  <c r="J75" i="27"/>
  <c r="J75" i="28"/>
  <c r="J87" i="27"/>
  <c r="J87" i="28"/>
  <c r="J82" i="27"/>
  <c r="J82" i="28"/>
  <c r="J96" i="27"/>
  <c r="J96" i="28"/>
  <c r="J77" i="27"/>
  <c r="J77" i="28"/>
  <c r="J62" i="27"/>
  <c r="J62" i="28"/>
  <c r="J90" i="28"/>
  <c r="AC28" i="49"/>
  <c r="J102" i="25"/>
  <c r="J102" i="40"/>
  <c r="J75" i="25"/>
  <c r="J75" i="40"/>
  <c r="J87" i="25"/>
  <c r="J87" i="40"/>
  <c r="J82" i="25"/>
  <c r="J82" i="40"/>
  <c r="J77" i="25"/>
  <c r="J77" i="40"/>
  <c r="J62" i="25"/>
  <c r="J62" i="40"/>
  <c r="J90" i="40"/>
  <c r="AC26" i="49"/>
  <c r="J96" i="25"/>
  <c r="J96" i="40"/>
  <c r="J94" i="25"/>
  <c r="J94" i="40"/>
  <c r="J74" i="25"/>
  <c r="J74" i="40"/>
  <c r="J76" i="25"/>
  <c r="J76" i="40"/>
  <c r="J88" i="25"/>
  <c r="J88" i="40"/>
  <c r="J89" i="25"/>
  <c r="J89" i="40"/>
  <c r="J90" i="25"/>
  <c r="J78" i="25"/>
  <c r="J78" i="40"/>
  <c r="J84" i="25"/>
  <c r="J84" i="40"/>
  <c r="J96" i="23"/>
  <c r="J96" i="24"/>
  <c r="J94" i="23"/>
  <c r="J94" i="24"/>
  <c r="J102" i="23"/>
  <c r="J102" i="24"/>
  <c r="J75" i="23"/>
  <c r="J75" i="24"/>
  <c r="H88" i="50"/>
  <c r="J88" i="50" s="1"/>
  <c r="J87" i="14"/>
  <c r="J87" i="18"/>
  <c r="J87" i="9"/>
  <c r="J87" i="11"/>
  <c r="J87" i="21"/>
  <c r="J87" i="24"/>
  <c r="J87" i="10"/>
  <c r="J87" i="19"/>
  <c r="J87" i="20"/>
  <c r="J87" i="13"/>
  <c r="J87" i="23"/>
  <c r="J87" i="17"/>
  <c r="J87" i="22"/>
  <c r="J87" i="15"/>
  <c r="J87" i="12"/>
  <c r="J87" i="16"/>
  <c r="J87" i="4"/>
  <c r="J87" i="2"/>
  <c r="J87" i="33"/>
  <c r="J87" i="5"/>
  <c r="J87" i="8"/>
  <c r="J87" i="3"/>
  <c r="J87" i="7"/>
  <c r="J82" i="23"/>
  <c r="J82" i="24"/>
  <c r="J90" i="21"/>
  <c r="AC21" i="49"/>
  <c r="J90" i="17"/>
  <c r="AC17" i="49"/>
  <c r="J90" i="13"/>
  <c r="AC13" i="49"/>
  <c r="J90" i="19"/>
  <c r="AC19" i="49"/>
  <c r="J77" i="23"/>
  <c r="J77" i="24"/>
  <c r="J62" i="23"/>
  <c r="J62" i="24"/>
  <c r="J90" i="12"/>
  <c r="AC12" i="49"/>
  <c r="J90" i="10"/>
  <c r="J90" i="23"/>
  <c r="AC23" i="49"/>
  <c r="J90" i="14"/>
  <c r="AC14" i="49"/>
  <c r="J74" i="23"/>
  <c r="J74" i="24"/>
  <c r="J76" i="23"/>
  <c r="J76" i="24"/>
  <c r="J88" i="23"/>
  <c r="J88" i="24"/>
  <c r="H90" i="50"/>
  <c r="J90" i="50" s="1"/>
  <c r="J89" i="14"/>
  <c r="J89" i="18"/>
  <c r="J89" i="17"/>
  <c r="J89" i="13"/>
  <c r="J89" i="16"/>
  <c r="J89" i="15"/>
  <c r="J89" i="11"/>
  <c r="J89" i="23"/>
  <c r="J89" i="22"/>
  <c r="J89" i="9"/>
  <c r="J89" i="24"/>
  <c r="J89" i="21"/>
  <c r="J89" i="20"/>
  <c r="J89" i="19"/>
  <c r="J89" i="12"/>
  <c r="J89" i="10"/>
  <c r="J89" i="8"/>
  <c r="J89" i="7"/>
  <c r="J89" i="3"/>
  <c r="J89" i="33"/>
  <c r="J89" i="5"/>
  <c r="J89" i="4"/>
  <c r="J89" i="2"/>
  <c r="J90" i="16"/>
  <c r="AC16" i="49"/>
  <c r="J90" i="11"/>
  <c r="AC11" i="49"/>
  <c r="J90" i="18"/>
  <c r="AC18" i="49"/>
  <c r="J78" i="23"/>
  <c r="J78" i="24"/>
  <c r="J84" i="23"/>
  <c r="J84" i="24"/>
  <c r="J90" i="22"/>
  <c r="AC22" i="49"/>
  <c r="J90" i="15"/>
  <c r="AC15" i="49"/>
  <c r="J90" i="20"/>
  <c r="AC20" i="49"/>
  <c r="J90" i="24"/>
  <c r="AC24" i="49"/>
  <c r="J83" i="22"/>
  <c r="J102" i="21"/>
  <c r="J82" i="21"/>
  <c r="J96" i="21"/>
  <c r="J94" i="21"/>
  <c r="J88" i="21"/>
  <c r="J84" i="21"/>
  <c r="J75" i="20"/>
  <c r="J75" i="21"/>
  <c r="J77" i="20"/>
  <c r="J77" i="21"/>
  <c r="J62" i="20"/>
  <c r="J62" i="21"/>
  <c r="J74" i="20"/>
  <c r="J74" i="21"/>
  <c r="J76" i="20"/>
  <c r="J76" i="21"/>
  <c r="J78" i="20"/>
  <c r="J78" i="21"/>
  <c r="J96" i="19"/>
  <c r="J96" i="20"/>
  <c r="J94" i="19"/>
  <c r="J94" i="20"/>
  <c r="J88" i="20"/>
  <c r="J84" i="19"/>
  <c r="J84" i="20"/>
  <c r="J102" i="19"/>
  <c r="J102" i="20"/>
  <c r="J82" i="19"/>
  <c r="J82" i="20"/>
  <c r="J74" i="18"/>
  <c r="J74" i="19"/>
  <c r="J76" i="18"/>
  <c r="J76" i="19"/>
  <c r="J88" i="19"/>
  <c r="J78" i="18"/>
  <c r="J78" i="19"/>
  <c r="J75" i="18"/>
  <c r="J75" i="19"/>
  <c r="J77" i="18"/>
  <c r="J77" i="19"/>
  <c r="J62" i="18"/>
  <c r="J62" i="19"/>
  <c r="J94" i="17"/>
  <c r="J94" i="18"/>
  <c r="J88" i="17"/>
  <c r="J88" i="18"/>
  <c r="J84" i="17"/>
  <c r="J84" i="18"/>
  <c r="J102" i="17"/>
  <c r="J102" i="18"/>
  <c r="J82" i="17"/>
  <c r="J82" i="18"/>
  <c r="J96" i="17"/>
  <c r="J96" i="18"/>
  <c r="J74" i="16"/>
  <c r="J74" i="17"/>
  <c r="J76" i="16"/>
  <c r="J76" i="17"/>
  <c r="J77" i="16"/>
  <c r="J77" i="17"/>
  <c r="J78" i="16"/>
  <c r="J78" i="17"/>
  <c r="J62" i="16"/>
  <c r="J62" i="17"/>
  <c r="J75" i="16"/>
  <c r="J75" i="17"/>
  <c r="J96" i="15"/>
  <c r="J96" i="16"/>
  <c r="J94" i="15"/>
  <c r="J94" i="16"/>
  <c r="J88" i="15"/>
  <c r="J88" i="16"/>
  <c r="J84" i="15"/>
  <c r="J84" i="16"/>
  <c r="J102" i="15"/>
  <c r="J102" i="16"/>
  <c r="J82" i="15"/>
  <c r="J82" i="16"/>
  <c r="J77" i="14"/>
  <c r="J77" i="15"/>
  <c r="J74" i="14"/>
  <c r="J74" i="15"/>
  <c r="J76" i="14"/>
  <c r="J76" i="15"/>
  <c r="J78" i="14"/>
  <c r="J78" i="15"/>
  <c r="J75" i="14"/>
  <c r="J75" i="15"/>
  <c r="J62" i="14"/>
  <c r="J62" i="15"/>
  <c r="J102" i="13"/>
  <c r="J102" i="14"/>
  <c r="J88" i="13"/>
  <c r="J88" i="14"/>
  <c r="J84" i="13"/>
  <c r="J84" i="14"/>
  <c r="J96" i="13"/>
  <c r="J96" i="14"/>
  <c r="J94" i="13"/>
  <c r="J94" i="14"/>
  <c r="J82" i="13"/>
  <c r="J82" i="14"/>
  <c r="J77" i="12"/>
  <c r="J77" i="13"/>
  <c r="J74" i="12"/>
  <c r="J74" i="13"/>
  <c r="J76" i="12"/>
  <c r="J76" i="13"/>
  <c r="J78" i="12"/>
  <c r="J78" i="13"/>
  <c r="J75" i="12"/>
  <c r="J75" i="13"/>
  <c r="J62" i="12"/>
  <c r="J62" i="13"/>
  <c r="J96" i="11"/>
  <c r="J96" i="12"/>
  <c r="J88" i="11"/>
  <c r="J88" i="12"/>
  <c r="J94" i="11"/>
  <c r="J94" i="12"/>
  <c r="J84" i="11"/>
  <c r="J84" i="12"/>
  <c r="J82" i="11"/>
  <c r="J82" i="12"/>
  <c r="J102" i="11"/>
  <c r="J102" i="12"/>
  <c r="J77" i="10"/>
  <c r="J77" i="11"/>
  <c r="J74" i="10"/>
  <c r="J74" i="11"/>
  <c r="J76" i="10"/>
  <c r="J76" i="11"/>
  <c r="J78" i="10"/>
  <c r="J78" i="11"/>
  <c r="J75" i="10"/>
  <c r="J75" i="11"/>
  <c r="J62" i="10"/>
  <c r="J62" i="11"/>
  <c r="J96" i="9"/>
  <c r="J96" i="10"/>
  <c r="J88" i="10"/>
  <c r="J94" i="9"/>
  <c r="J94" i="10"/>
  <c r="J84" i="9"/>
  <c r="J84" i="10"/>
  <c r="J82" i="9"/>
  <c r="J82" i="10"/>
  <c r="J102" i="9"/>
  <c r="J102" i="10"/>
  <c r="J77" i="8"/>
  <c r="J77" i="9"/>
  <c r="J88" i="9"/>
  <c r="J74" i="8"/>
  <c r="J74" i="9"/>
  <c r="J76" i="8"/>
  <c r="J76" i="9"/>
  <c r="J78" i="8"/>
  <c r="J78" i="9"/>
  <c r="J75" i="8"/>
  <c r="J75" i="9"/>
  <c r="J62" i="8"/>
  <c r="J62" i="9"/>
  <c r="J102" i="7"/>
  <c r="J102" i="8"/>
  <c r="J96" i="7"/>
  <c r="J96" i="8"/>
  <c r="J88" i="7"/>
  <c r="J88" i="8"/>
  <c r="J94" i="7"/>
  <c r="J94" i="8"/>
  <c r="J84" i="7"/>
  <c r="J84" i="8"/>
  <c r="J82" i="7"/>
  <c r="J82" i="8"/>
  <c r="J77" i="33"/>
  <c r="J77" i="7"/>
  <c r="J74" i="33"/>
  <c r="J74" i="7"/>
  <c r="J76" i="33"/>
  <c r="J76" i="7"/>
  <c r="J78" i="33"/>
  <c r="J78" i="7"/>
  <c r="J75" i="33"/>
  <c r="J75" i="7"/>
  <c r="J62" i="33"/>
  <c r="J62" i="7"/>
  <c r="J96" i="5"/>
  <c r="J96" i="33"/>
  <c r="J88" i="5"/>
  <c r="J88" i="33"/>
  <c r="J94" i="5"/>
  <c r="J94" i="33"/>
  <c r="J84" i="5"/>
  <c r="J84" i="33"/>
  <c r="J82" i="5"/>
  <c r="J82" i="33"/>
  <c r="J102" i="5"/>
  <c r="J102" i="33"/>
  <c r="J75" i="4"/>
  <c r="J75" i="5"/>
  <c r="J77" i="4"/>
  <c r="J77" i="5"/>
  <c r="J62" i="4"/>
  <c r="J74" i="4"/>
  <c r="J74" i="5"/>
  <c r="J76" i="4"/>
  <c r="J76" i="5"/>
  <c r="J78" i="4"/>
  <c r="J78" i="5"/>
  <c r="J102" i="3"/>
  <c r="J102" i="4"/>
  <c r="J82" i="3"/>
  <c r="J82" i="4"/>
  <c r="J96" i="3"/>
  <c r="J96" i="4"/>
  <c r="J88" i="3"/>
  <c r="J88" i="4"/>
  <c r="J94" i="3"/>
  <c r="J94" i="4"/>
  <c r="J84" i="3"/>
  <c r="J84" i="4"/>
  <c r="J78" i="2"/>
  <c r="J78" i="3"/>
  <c r="J75" i="2"/>
  <c r="J75" i="3"/>
  <c r="J77" i="2"/>
  <c r="J77" i="3"/>
  <c r="J62" i="2"/>
  <c r="J62" i="3"/>
  <c r="J74" i="3"/>
  <c r="J76" i="2"/>
  <c r="J76" i="3"/>
  <c r="H103" i="50"/>
  <c r="J103" i="50" s="1"/>
  <c r="H95" i="50"/>
  <c r="J95" i="50" s="1"/>
  <c r="J74" i="2"/>
  <c r="H89" i="50"/>
  <c r="J89" i="50" s="1"/>
  <c r="H85" i="50"/>
  <c r="J85" i="50" s="1"/>
  <c r="J83" i="2"/>
  <c r="H97" i="50"/>
  <c r="J97" i="50" s="1"/>
  <c r="H83" i="50"/>
  <c r="J83" i="50" s="1"/>
  <c r="H78" i="50"/>
  <c r="J78" i="50" s="1"/>
  <c r="H79" i="50"/>
  <c r="J79" i="50" s="1"/>
  <c r="H75" i="50"/>
  <c r="J75" i="50" s="1"/>
  <c r="H77" i="50"/>
  <c r="J77" i="50" s="1"/>
  <c r="H63" i="50"/>
  <c r="J63" i="50" s="1"/>
  <c r="H76" i="50"/>
  <c r="J76" i="50" s="1"/>
  <c r="AH6" i="45"/>
  <c r="AH24" i="45" s="1"/>
  <c r="BD32" i="49" s="1"/>
  <c r="R33" i="1"/>
  <c r="Q33" i="1"/>
  <c r="BM31" i="49"/>
  <c r="BA37" i="44" l="1"/>
  <c r="J86" i="29"/>
  <c r="J89" i="30"/>
  <c r="J98" i="29"/>
  <c r="J98" i="30"/>
  <c r="J91" i="29"/>
  <c r="J87" i="30"/>
  <c r="J100" i="29"/>
  <c r="J100" i="30"/>
  <c r="J104" i="29"/>
  <c r="J104" i="30"/>
  <c r="AC31" i="49"/>
  <c r="J88" i="30"/>
  <c r="J98" i="27"/>
  <c r="J98" i="28"/>
  <c r="J100" i="27"/>
  <c r="J100" i="28"/>
  <c r="J104" i="27"/>
  <c r="J104" i="28"/>
  <c r="J86" i="27"/>
  <c r="J86" i="28"/>
  <c r="J91" i="27"/>
  <c r="J91" i="28"/>
  <c r="J86" i="25"/>
  <c r="J86" i="40"/>
  <c r="J91" i="25"/>
  <c r="J91" i="40"/>
  <c r="J98" i="25"/>
  <c r="J98" i="40"/>
  <c r="J100" i="25"/>
  <c r="J100" i="40"/>
  <c r="J104" i="25"/>
  <c r="J104" i="40"/>
  <c r="J98" i="23"/>
  <c r="J98" i="24"/>
  <c r="J100" i="23"/>
  <c r="J100" i="24"/>
  <c r="J104" i="23"/>
  <c r="J104" i="24"/>
  <c r="AC10" i="49"/>
  <c r="J86" i="14"/>
  <c r="J86" i="18"/>
  <c r="J86" i="24"/>
  <c r="J86" i="13"/>
  <c r="J86" i="15"/>
  <c r="J86" i="23"/>
  <c r="J86" i="22"/>
  <c r="J86" i="20"/>
  <c r="J86" i="12"/>
  <c r="J86" i="11"/>
  <c r="J86" i="21"/>
  <c r="J86" i="19"/>
  <c r="J86" i="10"/>
  <c r="J86" i="17"/>
  <c r="J86" i="9"/>
  <c r="J86" i="16"/>
  <c r="J86" i="3"/>
  <c r="J86" i="2"/>
  <c r="J86" i="5"/>
  <c r="J86" i="8"/>
  <c r="J86" i="7"/>
  <c r="J86" i="33"/>
  <c r="J86" i="4"/>
  <c r="J91" i="23"/>
  <c r="J91" i="24"/>
  <c r="J62" i="22"/>
  <c r="J88" i="22"/>
  <c r="J96" i="22"/>
  <c r="J102" i="22"/>
  <c r="J74" i="22"/>
  <c r="J76" i="22"/>
  <c r="J75" i="22"/>
  <c r="J84" i="22"/>
  <c r="J94" i="22"/>
  <c r="J82" i="22"/>
  <c r="J78" i="22"/>
  <c r="J77" i="22"/>
  <c r="J104" i="22"/>
  <c r="J91" i="21"/>
  <c r="J98" i="21"/>
  <c r="J100" i="21"/>
  <c r="J104" i="20"/>
  <c r="J104" i="21"/>
  <c r="J91" i="19"/>
  <c r="J98" i="19"/>
  <c r="J98" i="20"/>
  <c r="J100" i="19"/>
  <c r="J100" i="20"/>
  <c r="J104" i="18"/>
  <c r="J104" i="19"/>
  <c r="J100" i="17"/>
  <c r="J100" i="18"/>
  <c r="J91" i="17"/>
  <c r="J91" i="18"/>
  <c r="J98" i="17"/>
  <c r="J98" i="18"/>
  <c r="J104" i="16"/>
  <c r="J104" i="17"/>
  <c r="J91" i="15"/>
  <c r="J91" i="16"/>
  <c r="J98" i="15"/>
  <c r="J98" i="16"/>
  <c r="J100" i="15"/>
  <c r="J100" i="16"/>
  <c r="J104" i="14"/>
  <c r="J104" i="15"/>
  <c r="J100" i="13"/>
  <c r="J100" i="14"/>
  <c r="J98" i="13"/>
  <c r="J98" i="14"/>
  <c r="J91" i="13"/>
  <c r="J91" i="14"/>
  <c r="J104" i="12"/>
  <c r="J104" i="13"/>
  <c r="J91" i="11"/>
  <c r="J91" i="12"/>
  <c r="J100" i="11"/>
  <c r="J100" i="12"/>
  <c r="J98" i="11"/>
  <c r="J98" i="12"/>
  <c r="J104" i="10"/>
  <c r="J104" i="11"/>
  <c r="J100" i="9"/>
  <c r="J100" i="10"/>
  <c r="J98" i="9"/>
  <c r="J98" i="10"/>
  <c r="J91" i="9"/>
  <c r="J91" i="10"/>
  <c r="J104" i="8"/>
  <c r="J104" i="9"/>
  <c r="J100" i="7"/>
  <c r="J100" i="8"/>
  <c r="J98" i="7"/>
  <c r="J98" i="8"/>
  <c r="J91" i="7"/>
  <c r="J91" i="8"/>
  <c r="J104" i="33"/>
  <c r="J104" i="7"/>
  <c r="J98" i="5"/>
  <c r="J98" i="33"/>
  <c r="J91" i="5"/>
  <c r="J100" i="5"/>
  <c r="J100" i="33"/>
  <c r="J62" i="5"/>
  <c r="J104" i="4"/>
  <c r="J104" i="5"/>
  <c r="J91" i="3"/>
  <c r="J100" i="3"/>
  <c r="J100" i="4"/>
  <c r="J98" i="3"/>
  <c r="J98" i="4"/>
  <c r="J104" i="2"/>
  <c r="J104" i="3"/>
  <c r="J82" i="2"/>
  <c r="J84" i="2"/>
  <c r="J88" i="2"/>
  <c r="J102" i="2"/>
  <c r="J96" i="2"/>
  <c r="H92" i="50"/>
  <c r="J92" i="50" s="1"/>
  <c r="H99" i="50"/>
  <c r="J99" i="50" s="1"/>
  <c r="H101" i="50"/>
  <c r="J101" i="50" s="1"/>
  <c r="J94" i="2"/>
  <c r="H105" i="50"/>
  <c r="J105" i="50" s="1"/>
  <c r="H87" i="50"/>
  <c r="J87" i="50" s="1"/>
  <c r="O34" i="1"/>
  <c r="I32" i="47" s="1"/>
  <c r="E35" i="44"/>
  <c r="E37" i="44" l="1"/>
  <c r="E36" i="44"/>
  <c r="J86" i="30"/>
  <c r="J91" i="30"/>
  <c r="J98" i="22"/>
  <c r="J100" i="22"/>
  <c r="J91" i="22"/>
  <c r="J91" i="20"/>
  <c r="J91" i="33"/>
  <c r="J91" i="4"/>
  <c r="J98" i="2"/>
  <c r="J91" i="2"/>
  <c r="J100" i="2"/>
  <c r="Q34" i="1"/>
  <c r="R34" i="1"/>
  <c r="R35" i="1" s="1"/>
  <c r="O35" i="1"/>
  <c r="Q35" i="1" l="1"/>
  <c r="BN34" i="1"/>
  <c r="J71" i="29" l="1"/>
  <c r="J71" i="30"/>
  <c r="J63" i="29"/>
  <c r="J63" i="30"/>
  <c r="J65" i="29"/>
  <c r="J65" i="30"/>
  <c r="J65" i="27"/>
  <c r="J65" i="28"/>
  <c r="J71" i="27"/>
  <c r="J71" i="28"/>
  <c r="J63" i="27"/>
  <c r="J63" i="28"/>
  <c r="J65" i="25"/>
  <c r="J65" i="40"/>
  <c r="J71" i="25"/>
  <c r="J71" i="40"/>
  <c r="J63" i="25"/>
  <c r="J63" i="40"/>
  <c r="J65" i="23"/>
  <c r="J65" i="24"/>
  <c r="J71" i="23"/>
  <c r="J71" i="24"/>
  <c r="J63" i="23"/>
  <c r="J63" i="24"/>
  <c r="J63" i="21"/>
  <c r="J71" i="21"/>
  <c r="J71" i="22"/>
  <c r="J65" i="21"/>
  <c r="J65" i="19"/>
  <c r="J65" i="20"/>
  <c r="J71" i="19"/>
  <c r="J71" i="20"/>
  <c r="J63" i="19"/>
  <c r="J63" i="20"/>
  <c r="J65" i="17"/>
  <c r="J65" i="18"/>
  <c r="J71" i="17"/>
  <c r="J71" i="18"/>
  <c r="J63" i="17"/>
  <c r="J63" i="18"/>
  <c r="J65" i="15"/>
  <c r="J65" i="16"/>
  <c r="J71" i="15"/>
  <c r="J71" i="16"/>
  <c r="J63" i="15"/>
  <c r="J63" i="16"/>
  <c r="J65" i="13"/>
  <c r="J65" i="14"/>
  <c r="J71" i="13"/>
  <c r="J71" i="14"/>
  <c r="J63" i="13"/>
  <c r="J63" i="14"/>
  <c r="J65" i="11"/>
  <c r="J65" i="12"/>
  <c r="J71" i="11"/>
  <c r="J71" i="12"/>
  <c r="J63" i="11"/>
  <c r="J63" i="12"/>
  <c r="J63" i="9"/>
  <c r="J63" i="10"/>
  <c r="J65" i="9"/>
  <c r="J65" i="10"/>
  <c r="J71" i="9"/>
  <c r="J71" i="10"/>
  <c r="J65" i="7"/>
  <c r="J65" i="8"/>
  <c r="J71" i="7"/>
  <c r="J71" i="8"/>
  <c r="J63" i="7"/>
  <c r="J63" i="8"/>
  <c r="J65" i="5"/>
  <c r="J65" i="33"/>
  <c r="J71" i="5"/>
  <c r="J71" i="33"/>
  <c r="J63" i="5"/>
  <c r="J63" i="33"/>
  <c r="J65" i="3"/>
  <c r="J65" i="4"/>
  <c r="J71" i="3"/>
  <c r="J71" i="4"/>
  <c r="J63" i="3"/>
  <c r="J63" i="4"/>
  <c r="H64" i="50"/>
  <c r="J64" i="50" s="1"/>
  <c r="J71" i="2"/>
  <c r="H72" i="50"/>
  <c r="J72" i="50" s="1"/>
  <c r="H66" i="50"/>
  <c r="J66" i="50" s="1"/>
  <c r="J67" i="29" l="1"/>
  <c r="J67" i="30"/>
  <c r="J69" i="29"/>
  <c r="J69" i="30"/>
  <c r="J67" i="27"/>
  <c r="J67" i="28"/>
  <c r="J69" i="27"/>
  <c r="J69" i="28"/>
  <c r="J67" i="25"/>
  <c r="J67" i="40"/>
  <c r="J69" i="25"/>
  <c r="J69" i="40"/>
  <c r="J67" i="23"/>
  <c r="J67" i="24"/>
  <c r="J69" i="23"/>
  <c r="J69" i="24"/>
  <c r="J65" i="22"/>
  <c r="J63" i="22"/>
  <c r="J67" i="21"/>
  <c r="J69" i="21"/>
  <c r="J67" i="19"/>
  <c r="J67" i="20"/>
  <c r="J69" i="19"/>
  <c r="J69" i="20"/>
  <c r="J67" i="17"/>
  <c r="J67" i="18"/>
  <c r="J69" i="17"/>
  <c r="J69" i="18"/>
  <c r="J67" i="15"/>
  <c r="J67" i="16"/>
  <c r="J69" i="15"/>
  <c r="J69" i="16"/>
  <c r="J69" i="13"/>
  <c r="J69" i="14"/>
  <c r="J67" i="13"/>
  <c r="J67" i="14"/>
  <c r="J69" i="11"/>
  <c r="J69" i="12"/>
  <c r="J67" i="11"/>
  <c r="J67" i="12"/>
  <c r="J67" i="9"/>
  <c r="J67" i="10"/>
  <c r="J69" i="9"/>
  <c r="J69" i="10"/>
  <c r="J67" i="7"/>
  <c r="J67" i="8"/>
  <c r="J69" i="7"/>
  <c r="J69" i="8"/>
  <c r="J69" i="5"/>
  <c r="J69" i="33"/>
  <c r="J67" i="5"/>
  <c r="J67" i="33"/>
  <c r="J67" i="3"/>
  <c r="J67" i="4"/>
  <c r="J69" i="3"/>
  <c r="J69" i="4"/>
  <c r="J63" i="2"/>
  <c r="J65" i="2"/>
  <c r="H68" i="50"/>
  <c r="J68" i="50" s="1"/>
  <c r="H70" i="50"/>
  <c r="J70" i="50" s="1"/>
  <c r="G33" i="1"/>
  <c r="J67" i="22" l="1"/>
  <c r="J69" i="22"/>
  <c r="J69" i="2"/>
  <c r="J67" i="2"/>
  <c r="G35" i="1"/>
  <c r="K33" i="1"/>
  <c r="BK33" i="1"/>
  <c r="BM33" i="1"/>
  <c r="BL33" i="1"/>
  <c r="B34" i="44"/>
  <c r="B37" i="44" s="1"/>
  <c r="E31" i="47"/>
  <c r="B36" i="44" l="1"/>
  <c r="BC34" i="44"/>
  <c r="J97" i="29"/>
  <c r="J97" i="30"/>
  <c r="J99" i="29"/>
  <c r="J99" i="30"/>
  <c r="J95" i="29"/>
  <c r="J95" i="30"/>
  <c r="J103" i="29"/>
  <c r="J103" i="30"/>
  <c r="J105" i="29"/>
  <c r="J101" i="29"/>
  <c r="J101" i="30"/>
  <c r="J103" i="27"/>
  <c r="J103" i="28"/>
  <c r="J105" i="27"/>
  <c r="J105" i="28"/>
  <c r="J95" i="27"/>
  <c r="J95" i="28"/>
  <c r="J101" i="27"/>
  <c r="J101" i="28"/>
  <c r="J97" i="27"/>
  <c r="J97" i="28"/>
  <c r="J99" i="27"/>
  <c r="J99" i="28"/>
  <c r="J103" i="25"/>
  <c r="J103" i="40"/>
  <c r="J99" i="25"/>
  <c r="J99" i="40"/>
  <c r="J97" i="25"/>
  <c r="J97" i="40"/>
  <c r="J95" i="25"/>
  <c r="J95" i="40"/>
  <c r="J105" i="25"/>
  <c r="J105" i="40"/>
  <c r="J101" i="25"/>
  <c r="J101" i="40"/>
  <c r="J95" i="23"/>
  <c r="J95" i="24"/>
  <c r="J103" i="23"/>
  <c r="J103" i="24"/>
  <c r="J105" i="23"/>
  <c r="J105" i="24"/>
  <c r="J101" i="23"/>
  <c r="J101" i="24"/>
  <c r="J97" i="23"/>
  <c r="J97" i="24"/>
  <c r="J99" i="23"/>
  <c r="J99" i="24"/>
  <c r="J105" i="22"/>
  <c r="J103" i="22"/>
  <c r="J95" i="20"/>
  <c r="J95" i="21"/>
  <c r="J105" i="20"/>
  <c r="J105" i="21"/>
  <c r="J101" i="20"/>
  <c r="J101" i="21"/>
  <c r="J97" i="20"/>
  <c r="J97" i="21"/>
  <c r="J99" i="20"/>
  <c r="J99" i="21"/>
  <c r="J103" i="20"/>
  <c r="J103" i="21"/>
  <c r="J105" i="18"/>
  <c r="J101" i="18"/>
  <c r="J101" i="19"/>
  <c r="J99" i="18"/>
  <c r="J99" i="19"/>
  <c r="J97" i="18"/>
  <c r="J97" i="19"/>
  <c r="J95" i="18"/>
  <c r="J95" i="19"/>
  <c r="J103" i="18"/>
  <c r="J103" i="19"/>
  <c r="J105" i="16"/>
  <c r="J105" i="17"/>
  <c r="J101" i="16"/>
  <c r="J101" i="17"/>
  <c r="J97" i="16"/>
  <c r="J97" i="17"/>
  <c r="J99" i="16"/>
  <c r="J99" i="17"/>
  <c r="J95" i="16"/>
  <c r="J95" i="17"/>
  <c r="J103" i="16"/>
  <c r="J103" i="17"/>
  <c r="J105" i="14"/>
  <c r="J105" i="15"/>
  <c r="J101" i="14"/>
  <c r="J101" i="15"/>
  <c r="J97" i="14"/>
  <c r="J97" i="15"/>
  <c r="J95" i="14"/>
  <c r="J95" i="15"/>
  <c r="J103" i="14"/>
  <c r="J103" i="15"/>
  <c r="J99" i="14"/>
  <c r="J99" i="15"/>
  <c r="J105" i="12"/>
  <c r="J105" i="13"/>
  <c r="J101" i="12"/>
  <c r="J101" i="13"/>
  <c r="J97" i="12"/>
  <c r="J97" i="13"/>
  <c r="J99" i="12"/>
  <c r="J99" i="13"/>
  <c r="J95" i="12"/>
  <c r="J95" i="13"/>
  <c r="J103" i="12"/>
  <c r="J103" i="13"/>
  <c r="J105" i="10"/>
  <c r="J105" i="11"/>
  <c r="J101" i="10"/>
  <c r="J101" i="11"/>
  <c r="J99" i="10"/>
  <c r="J99" i="11"/>
  <c r="J97" i="10"/>
  <c r="J97" i="11"/>
  <c r="J103" i="10"/>
  <c r="J103" i="11"/>
  <c r="J95" i="10"/>
  <c r="J95" i="11"/>
  <c r="J105" i="8"/>
  <c r="J105" i="9"/>
  <c r="J101" i="8"/>
  <c r="J101" i="9"/>
  <c r="J97" i="8"/>
  <c r="J97" i="9"/>
  <c r="J99" i="8"/>
  <c r="J99" i="9"/>
  <c r="J95" i="8"/>
  <c r="J95" i="9"/>
  <c r="J103" i="8"/>
  <c r="J103" i="9"/>
  <c r="J105" i="33"/>
  <c r="J105" i="7"/>
  <c r="J101" i="33"/>
  <c r="J101" i="7"/>
  <c r="J97" i="33"/>
  <c r="J97" i="7"/>
  <c r="J99" i="33"/>
  <c r="J99" i="7"/>
  <c r="J95" i="33"/>
  <c r="J95" i="7"/>
  <c r="J103" i="33"/>
  <c r="J103" i="7"/>
  <c r="J101" i="4"/>
  <c r="J101" i="5"/>
  <c r="J97" i="4"/>
  <c r="J97" i="5"/>
  <c r="J99" i="4"/>
  <c r="J99" i="5"/>
  <c r="J105" i="4"/>
  <c r="J105" i="5"/>
  <c r="J95" i="4"/>
  <c r="J95" i="5"/>
  <c r="J103" i="4"/>
  <c r="J103" i="5"/>
  <c r="J95" i="3"/>
  <c r="J103" i="2"/>
  <c r="J103" i="3"/>
  <c r="J105" i="2"/>
  <c r="J105" i="3"/>
  <c r="J101" i="2"/>
  <c r="J101" i="3"/>
  <c r="J97" i="2"/>
  <c r="J97" i="3"/>
  <c r="J99" i="2"/>
  <c r="J99" i="3"/>
  <c r="J95" i="2"/>
  <c r="H102" i="50"/>
  <c r="J102" i="50" s="1"/>
  <c r="H96" i="50"/>
  <c r="J96" i="50" s="1"/>
  <c r="H106" i="50"/>
  <c r="J106" i="50" s="1"/>
  <c r="H98" i="50"/>
  <c r="J98" i="50" s="1"/>
  <c r="H104" i="50"/>
  <c r="J104" i="50" s="1"/>
  <c r="H100" i="50"/>
  <c r="J100" i="50" s="1"/>
  <c r="J35" i="1"/>
  <c r="BN33" i="1"/>
  <c r="BN35" i="1" s="1"/>
  <c r="M31" i="47"/>
  <c r="H35" i="1"/>
  <c r="H37" i="1" s="1"/>
  <c r="K35" i="1"/>
  <c r="BM35" i="1"/>
  <c r="BL35" i="1"/>
  <c r="BK35" i="1"/>
  <c r="J105" i="30" l="1"/>
  <c r="J95" i="22"/>
  <c r="J101" i="22"/>
  <c r="J97" i="22"/>
  <c r="J99" i="22"/>
  <c r="J105" i="19"/>
  <c r="J70" i="29" l="1"/>
  <c r="J70" i="30"/>
  <c r="J66" i="29"/>
  <c r="J66" i="30"/>
  <c r="J68" i="29"/>
  <c r="J68" i="30"/>
  <c r="J64" i="29"/>
  <c r="J64" i="30"/>
  <c r="J66" i="27"/>
  <c r="J66" i="28"/>
  <c r="J68" i="27"/>
  <c r="J68" i="28"/>
  <c r="J64" i="27"/>
  <c r="J64" i="28"/>
  <c r="J70" i="27"/>
  <c r="J70" i="28"/>
  <c r="J64" i="25"/>
  <c r="J64" i="40"/>
  <c r="J70" i="25"/>
  <c r="J68" i="25"/>
  <c r="J68" i="40"/>
  <c r="J66" i="25"/>
  <c r="J66" i="40"/>
  <c r="J64" i="23"/>
  <c r="J64" i="24"/>
  <c r="J70" i="23"/>
  <c r="J70" i="24"/>
  <c r="J68" i="23"/>
  <c r="J68" i="24"/>
  <c r="J66" i="23"/>
  <c r="J66" i="24"/>
  <c r="J64" i="21"/>
  <c r="J70" i="21"/>
  <c r="J68" i="21"/>
  <c r="J66" i="21"/>
  <c r="J68" i="19"/>
  <c r="J68" i="20"/>
  <c r="J66" i="19"/>
  <c r="J66" i="20"/>
  <c r="J64" i="19"/>
  <c r="J64" i="20"/>
  <c r="J70" i="19"/>
  <c r="J70" i="20"/>
  <c r="J64" i="17"/>
  <c r="J64" i="18"/>
  <c r="J70" i="17"/>
  <c r="J70" i="18"/>
  <c r="J68" i="17"/>
  <c r="J68" i="18"/>
  <c r="J66" i="17"/>
  <c r="J66" i="18"/>
  <c r="J66" i="15"/>
  <c r="J66" i="16"/>
  <c r="J64" i="15"/>
  <c r="J64" i="16"/>
  <c r="J68" i="15"/>
  <c r="J68" i="16"/>
  <c r="J70" i="15"/>
  <c r="J70" i="16"/>
  <c r="J70" i="13"/>
  <c r="J70" i="14"/>
  <c r="J64" i="13"/>
  <c r="J64" i="14"/>
  <c r="J68" i="13"/>
  <c r="J68" i="14"/>
  <c r="J66" i="13"/>
  <c r="J66" i="14"/>
  <c r="J64" i="11"/>
  <c r="J64" i="12"/>
  <c r="J70" i="11"/>
  <c r="J70" i="12"/>
  <c r="J68" i="11"/>
  <c r="J68" i="12"/>
  <c r="J66" i="11"/>
  <c r="J66" i="12"/>
  <c r="J68" i="9"/>
  <c r="J68" i="10"/>
  <c r="J64" i="9"/>
  <c r="J64" i="10"/>
  <c r="J66" i="9"/>
  <c r="J66" i="10"/>
  <c r="J70" i="9"/>
  <c r="J70" i="10"/>
  <c r="J64" i="7"/>
  <c r="J64" i="8"/>
  <c r="J70" i="7"/>
  <c r="J70" i="8"/>
  <c r="J68" i="7"/>
  <c r="J68" i="8"/>
  <c r="J66" i="7"/>
  <c r="J66" i="8"/>
  <c r="J68" i="5"/>
  <c r="J68" i="33"/>
  <c r="J66" i="5"/>
  <c r="J66" i="33"/>
  <c r="J64" i="5"/>
  <c r="J64" i="33"/>
  <c r="J70" i="5"/>
  <c r="J70" i="33"/>
  <c r="J64" i="3"/>
  <c r="J64" i="4"/>
  <c r="J70" i="3"/>
  <c r="J70" i="4"/>
  <c r="J68" i="3"/>
  <c r="J68" i="4"/>
  <c r="J66" i="3"/>
  <c r="J66" i="4"/>
  <c r="H65" i="50"/>
  <c r="J65" i="50" s="1"/>
  <c r="J70" i="2"/>
  <c r="H71" i="50"/>
  <c r="J71" i="50" s="1"/>
  <c r="H69" i="50"/>
  <c r="J69" i="50" s="1"/>
  <c r="H67" i="50"/>
  <c r="J67" i="50" s="1"/>
  <c r="J68" i="22" l="1"/>
  <c r="J64" i="22"/>
  <c r="J66" i="22"/>
  <c r="J70" i="22"/>
  <c r="J66" i="2"/>
  <c r="J64" i="2"/>
  <c r="J68" i="2"/>
  <c r="I60" i="3"/>
  <c r="I60" i="2"/>
  <c r="I18" i="17"/>
  <c r="I7" i="31"/>
  <c r="I15" i="29"/>
  <c r="I15" i="25"/>
  <c r="I18" i="15"/>
  <c r="I15" i="27"/>
  <c r="I18" i="24"/>
  <c r="I18" i="23"/>
  <c r="I15" i="31"/>
  <c r="I18" i="28"/>
  <c r="I18" i="33"/>
  <c r="I15" i="30"/>
  <c r="I18" i="43"/>
  <c r="I18" i="8"/>
  <c r="I15" i="40"/>
  <c r="I18" i="31"/>
  <c r="I15" i="24"/>
  <c r="I7" i="43"/>
  <c r="I7" i="29"/>
  <c r="I15" i="15"/>
  <c r="I7" i="17"/>
  <c r="I15" i="23"/>
  <c r="I7" i="40"/>
  <c r="I15" i="20"/>
  <c r="I15" i="9"/>
  <c r="I18" i="40"/>
  <c r="I15" i="17"/>
  <c r="I16" i="50"/>
  <c r="I7" i="27"/>
  <c r="I18" i="30"/>
  <c r="I15" i="28"/>
  <c r="I7" i="13"/>
  <c r="I15" i="33"/>
  <c r="I15" i="11"/>
  <c r="I18" i="11"/>
  <c r="I7" i="9"/>
  <c r="I7" i="20"/>
  <c r="I18" i="19"/>
  <c r="I18" i="16"/>
  <c r="I7" i="8"/>
  <c r="I18" i="7"/>
  <c r="I15" i="19"/>
  <c r="I18" i="12"/>
  <c r="I7" i="24"/>
  <c r="I18" i="14"/>
  <c r="I18" i="21"/>
  <c r="I15" i="21"/>
  <c r="I18" i="13"/>
  <c r="I7" i="14"/>
  <c r="I18" i="25"/>
  <c r="I7" i="18"/>
  <c r="I7" i="12"/>
  <c r="I15" i="12"/>
  <c r="I7" i="23"/>
  <c r="I7" i="16"/>
  <c r="I7" i="25"/>
  <c r="I7" i="10"/>
  <c r="I18" i="18"/>
  <c r="I7" i="19"/>
  <c r="I18" i="10"/>
  <c r="I15" i="13"/>
  <c r="I15" i="4"/>
  <c r="I15" i="43"/>
  <c r="I18" i="5"/>
  <c r="I15" i="8"/>
  <c r="I15" i="5"/>
  <c r="I15" i="18"/>
  <c r="I7" i="28"/>
  <c r="I18" i="9"/>
  <c r="I18" i="4"/>
  <c r="I18" i="27"/>
  <c r="I18" i="20"/>
  <c r="I18" i="29"/>
  <c r="I15" i="10"/>
  <c r="I7" i="11"/>
  <c r="I7" i="15"/>
  <c r="I7" i="22"/>
  <c r="I19" i="50"/>
  <c r="I15" i="7"/>
  <c r="I7" i="4"/>
  <c r="I7" i="50"/>
  <c r="I15" i="14"/>
  <c r="I7" i="7"/>
  <c r="I15" i="22"/>
  <c r="I18" i="22"/>
  <c r="I15" i="16"/>
  <c r="I7" i="5"/>
  <c r="I7" i="33"/>
  <c r="J27" i="2"/>
  <c r="J30" i="2"/>
  <c r="J31" i="2"/>
  <c r="J28" i="2"/>
  <c r="J29" i="2"/>
  <c r="J32" i="2"/>
  <c r="J38" i="2"/>
  <c r="J37" i="2"/>
  <c r="J42" i="2"/>
  <c r="J43" i="2"/>
  <c r="J45" i="2"/>
  <c r="J44" i="2"/>
  <c r="J39" i="2"/>
  <c r="J41" i="2"/>
  <c r="J40" i="2"/>
  <c r="J36" i="2"/>
  <c r="J47" i="2"/>
  <c r="J35" i="2"/>
  <c r="J46" i="2"/>
  <c r="J50" i="2"/>
  <c r="J58" i="2"/>
  <c r="J57" i="2"/>
  <c r="J56" i="2"/>
  <c r="J60" i="2"/>
  <c r="J59" i="2"/>
  <c r="J53" i="2"/>
  <c r="J51" i="2"/>
  <c r="J54" i="2"/>
  <c r="J52" i="2"/>
  <c r="G5" i="44"/>
  <c r="J55" i="2"/>
  <c r="J49" i="2"/>
  <c r="G36" i="44" l="1"/>
  <c r="G37" i="44"/>
  <c r="BB5" i="44"/>
  <c r="F2" i="49"/>
  <c r="J29" i="3"/>
  <c r="J27" i="3"/>
  <c r="J28" i="3"/>
  <c r="J30" i="3"/>
  <c r="J32" i="3"/>
  <c r="J31" i="3"/>
  <c r="J46" i="3"/>
  <c r="J37" i="3"/>
  <c r="J45" i="3"/>
  <c r="J41" i="3"/>
  <c r="J38" i="3"/>
  <c r="J47" i="3"/>
  <c r="J39" i="3"/>
  <c r="J40" i="3"/>
  <c r="J36" i="3"/>
  <c r="J42" i="3"/>
  <c r="J35" i="3"/>
  <c r="J44" i="3"/>
  <c r="J43" i="3"/>
  <c r="J56" i="3"/>
  <c r="J49" i="3"/>
  <c r="J58" i="3"/>
  <c r="J51" i="3"/>
  <c r="J52" i="3"/>
  <c r="J57" i="3"/>
  <c r="J60" i="3"/>
  <c r="J59" i="3"/>
  <c r="J50" i="3"/>
  <c r="J53" i="3"/>
  <c r="J55" i="3"/>
  <c r="J54" i="3"/>
  <c r="G12" i="4"/>
  <c r="H12" i="4" s="1"/>
  <c r="G11" i="4"/>
  <c r="H11" i="4" s="1"/>
  <c r="BB37" i="44" l="1"/>
  <c r="BB36" i="44"/>
  <c r="BC5" i="44"/>
  <c r="G13" i="4"/>
  <c r="H13" i="4" l="1"/>
  <c r="O12" i="4"/>
  <c r="BC37" i="44"/>
  <c r="BC36" i="44"/>
  <c r="I60" i="4"/>
  <c r="I13" i="4"/>
  <c r="J7" i="4"/>
  <c r="I9" i="4" s="1"/>
  <c r="J12" i="4"/>
  <c r="J10" i="4"/>
  <c r="J8" i="4"/>
  <c r="J11" i="4"/>
  <c r="J9" i="4"/>
  <c r="J13" i="4"/>
  <c r="J15" i="4"/>
  <c r="I16" i="4" s="1"/>
  <c r="J19" i="4"/>
  <c r="J18" i="4"/>
  <c r="J20" i="4"/>
  <c r="I20" i="4" s="1"/>
  <c r="J22" i="4"/>
  <c r="J24" i="4"/>
  <c r="J23" i="4"/>
  <c r="J28" i="4"/>
  <c r="J27" i="4"/>
  <c r="J32" i="4"/>
  <c r="J29" i="4"/>
  <c r="J30" i="4"/>
  <c r="J31" i="4"/>
  <c r="J43" i="4"/>
  <c r="J45" i="4"/>
  <c r="J47" i="4"/>
  <c r="J41" i="4"/>
  <c r="J39" i="4"/>
  <c r="J37" i="4"/>
  <c r="J35" i="4"/>
  <c r="J42" i="4"/>
  <c r="J44" i="4"/>
  <c r="J38" i="4"/>
  <c r="J36" i="4"/>
  <c r="J46" i="4"/>
  <c r="J40" i="4"/>
  <c r="J58" i="4"/>
  <c r="J56" i="4"/>
  <c r="J52" i="4"/>
  <c r="J60" i="4"/>
  <c r="J57" i="4"/>
  <c r="J49" i="4"/>
  <c r="J55" i="4"/>
  <c r="J54" i="4"/>
  <c r="J51" i="4"/>
  <c r="J59" i="4"/>
  <c r="J53" i="4"/>
  <c r="J50" i="4"/>
  <c r="G12" i="5"/>
  <c r="H12" i="5" s="1"/>
  <c r="G11" i="5"/>
  <c r="G13" i="5" l="1"/>
  <c r="H11" i="5"/>
  <c r="J7" i="5"/>
  <c r="I9" i="5" s="1"/>
  <c r="J8" i="5"/>
  <c r="J12" i="5"/>
  <c r="J9" i="5"/>
  <c r="J10" i="5"/>
  <c r="J15" i="5"/>
  <c r="I16" i="5" s="1"/>
  <c r="J19" i="5"/>
  <c r="J20" i="5"/>
  <c r="I20" i="5" s="1"/>
  <c r="J18" i="5"/>
  <c r="J24" i="5"/>
  <c r="J23" i="5"/>
  <c r="J22" i="5"/>
  <c r="J27" i="5"/>
  <c r="J31" i="5"/>
  <c r="J32" i="5"/>
  <c r="J30" i="5"/>
  <c r="J28" i="5"/>
  <c r="J29" i="5"/>
  <c r="J36" i="5"/>
  <c r="J46" i="5"/>
  <c r="J44" i="5"/>
  <c r="J37" i="5"/>
  <c r="J43" i="5"/>
  <c r="J41" i="5"/>
  <c r="J47" i="5"/>
  <c r="J42" i="5"/>
  <c r="J39" i="5"/>
  <c r="J38" i="5"/>
  <c r="J35" i="5"/>
  <c r="J40" i="5"/>
  <c r="J45" i="5"/>
  <c r="J59" i="5"/>
  <c r="J55" i="5"/>
  <c r="J56" i="5"/>
  <c r="J50" i="5"/>
  <c r="J49" i="5"/>
  <c r="J54" i="5"/>
  <c r="J57" i="5"/>
  <c r="J52" i="5"/>
  <c r="J53" i="5"/>
  <c r="J60" i="5"/>
  <c r="J58" i="5"/>
  <c r="J51" i="5"/>
  <c r="G11" i="9"/>
  <c r="G11" i="21"/>
  <c r="G11" i="33"/>
  <c r="G11" i="27"/>
  <c r="G12" i="10"/>
  <c r="G12" i="16"/>
  <c r="G11" i="16"/>
  <c r="G12" i="31"/>
  <c r="G12" i="8"/>
  <c r="G11" i="40"/>
  <c r="G11" i="10"/>
  <c r="G11" i="18"/>
  <c r="G12" i="25"/>
  <c r="G11" i="28"/>
  <c r="G12" i="11"/>
  <c r="G11" i="13"/>
  <c r="G12" i="21"/>
  <c r="G12" i="23"/>
  <c r="G12" i="22"/>
  <c r="G12" i="19"/>
  <c r="G13" i="19" s="1"/>
  <c r="G12" i="17"/>
  <c r="G11" i="31"/>
  <c r="G11" i="29"/>
  <c r="G12" i="29"/>
  <c r="G12" i="28"/>
  <c r="G11" i="25"/>
  <c r="G12" i="20"/>
  <c r="G11" i="15"/>
  <c r="G12" i="27"/>
  <c r="G12" i="30"/>
  <c r="G11" i="17"/>
  <c r="G11" i="12"/>
  <c r="G11" i="11"/>
  <c r="G11" i="43"/>
  <c r="G12" i="18"/>
  <c r="G11" i="14"/>
  <c r="G11" i="8"/>
  <c r="G12" i="12"/>
  <c r="G12" i="13"/>
  <c r="G11" i="23"/>
  <c r="G11" i="24"/>
  <c r="G11" i="30"/>
  <c r="G12" i="43"/>
  <c r="G12" i="33"/>
  <c r="H12" i="33" s="1"/>
  <c r="G11" i="20"/>
  <c r="G12" i="15"/>
  <c r="G11" i="22"/>
  <c r="G12" i="40"/>
  <c r="G11" i="7"/>
  <c r="G12" i="9"/>
  <c r="G12" i="14"/>
  <c r="G12" i="7"/>
  <c r="G13" i="33" l="1"/>
  <c r="P12" i="33" s="1"/>
  <c r="H13" i="5"/>
  <c r="O10" i="5"/>
  <c r="G13" i="16"/>
  <c r="G13" i="20"/>
  <c r="G13" i="22"/>
  <c r="I60" i="22" s="1"/>
  <c r="H12" i="7"/>
  <c r="H12" i="8" s="1"/>
  <c r="H12" i="9" s="1"/>
  <c r="H12" i="10" s="1"/>
  <c r="H12" i="11" s="1"/>
  <c r="H12" i="12" s="1"/>
  <c r="H12" i="13" s="1"/>
  <c r="H12" i="14" s="1"/>
  <c r="H12" i="15" s="1"/>
  <c r="H12" i="16" s="1"/>
  <c r="H12" i="17" s="1"/>
  <c r="H12" i="18" s="1"/>
  <c r="H12" i="19" s="1"/>
  <c r="H12" i="20" s="1"/>
  <c r="H12" i="21" s="1"/>
  <c r="H12" i="22" s="1"/>
  <c r="H12" i="23" s="1"/>
  <c r="H12" i="24" s="1"/>
  <c r="H12" i="25" s="1"/>
  <c r="H12" i="40" s="1"/>
  <c r="H12" i="27" s="1"/>
  <c r="H12" i="28" s="1"/>
  <c r="H12" i="29" s="1"/>
  <c r="H12" i="30" s="1"/>
  <c r="H12" i="43" s="1"/>
  <c r="H11" i="33"/>
  <c r="H11" i="7" s="1"/>
  <c r="H11" i="8" s="1"/>
  <c r="H11" i="9" s="1"/>
  <c r="H11" i="10" s="1"/>
  <c r="H11" i="11" s="1"/>
  <c r="H11" i="12" s="1"/>
  <c r="H11" i="13" s="1"/>
  <c r="H11" i="14" s="1"/>
  <c r="H11" i="15" s="1"/>
  <c r="H11" i="16" s="1"/>
  <c r="H11" i="17" s="1"/>
  <c r="H11" i="18" s="1"/>
  <c r="J13" i="5"/>
  <c r="J11" i="5"/>
  <c r="I13" i="5"/>
  <c r="I60" i="5"/>
  <c r="G13" i="31"/>
  <c r="G13" i="23"/>
  <c r="I60" i="23" s="1"/>
  <c r="G13" i="17"/>
  <c r="I60" i="17" s="1"/>
  <c r="G13" i="14"/>
  <c r="G13" i="11"/>
  <c r="G13" i="7"/>
  <c r="G13" i="8"/>
  <c r="G13" i="15"/>
  <c r="G13" i="24"/>
  <c r="G13" i="25"/>
  <c r="G13" i="30"/>
  <c r="G13" i="12"/>
  <c r="G13" i="13"/>
  <c r="G13" i="40"/>
  <c r="G13" i="18"/>
  <c r="G14" i="50"/>
  <c r="G13" i="29"/>
  <c r="G13" i="43"/>
  <c r="G13" i="10"/>
  <c r="G13" i="28"/>
  <c r="G13" i="9"/>
  <c r="G13" i="21"/>
  <c r="G13" i="27"/>
  <c r="H13" i="33"/>
  <c r="H12" i="31" l="1"/>
  <c r="J12" i="31" s="1"/>
  <c r="H12" i="50"/>
  <c r="H11" i="19"/>
  <c r="H11" i="20" s="1"/>
  <c r="H13" i="7"/>
  <c r="H13" i="8" s="1"/>
  <c r="H13" i="9" s="1"/>
  <c r="H13" i="10" s="1"/>
  <c r="H13" i="11" s="1"/>
  <c r="H13" i="12" s="1"/>
  <c r="H13" i="13" s="1"/>
  <c r="H13" i="14" s="1"/>
  <c r="H13" i="15" s="1"/>
  <c r="H13" i="16" s="1"/>
  <c r="H13" i="17" s="1"/>
  <c r="H13" i="18" s="1"/>
  <c r="H13" i="19" s="1"/>
  <c r="H13" i="20" s="1"/>
  <c r="H13" i="21" s="1"/>
  <c r="H13" i="22" s="1"/>
  <c r="H13" i="23" s="1"/>
  <c r="H13" i="24" s="1"/>
  <c r="H13" i="25" s="1"/>
  <c r="H13" i="40" s="1"/>
  <c r="H13" i="27" s="1"/>
  <c r="I13" i="23"/>
  <c r="I13" i="22"/>
  <c r="I60" i="31"/>
  <c r="I13" i="31"/>
  <c r="I13" i="17"/>
  <c r="I60" i="10"/>
  <c r="I13" i="10"/>
  <c r="I60" i="30"/>
  <c r="I13" i="30"/>
  <c r="I13" i="7"/>
  <c r="I60" i="7"/>
  <c r="I60" i="14"/>
  <c r="I13" i="14"/>
  <c r="I60" i="27"/>
  <c r="I13" i="27"/>
  <c r="I13" i="28"/>
  <c r="I60" i="28"/>
  <c r="I13" i="19"/>
  <c r="I60" i="19"/>
  <c r="I13" i="16"/>
  <c r="I60" i="16"/>
  <c r="I60" i="43"/>
  <c r="I13" i="43"/>
  <c r="I13" i="13"/>
  <c r="I60" i="13"/>
  <c r="I60" i="20"/>
  <c r="I13" i="20"/>
  <c r="I13" i="25"/>
  <c r="I60" i="25"/>
  <c r="I60" i="21"/>
  <c r="I13" i="21"/>
  <c r="I60" i="15"/>
  <c r="I13" i="15"/>
  <c r="I60" i="8"/>
  <c r="I13" i="8"/>
  <c r="I13" i="11"/>
  <c r="I60" i="11"/>
  <c r="I60" i="12"/>
  <c r="I13" i="12"/>
  <c r="I60" i="33"/>
  <c r="I13" i="33"/>
  <c r="I14" i="50"/>
  <c r="I61" i="50"/>
  <c r="I13" i="40"/>
  <c r="I60" i="40"/>
  <c r="I13" i="9"/>
  <c r="I60" i="9"/>
  <c r="I13" i="29"/>
  <c r="I60" i="29"/>
  <c r="I13" i="18"/>
  <c r="I60" i="18"/>
  <c r="I13" i="24"/>
  <c r="I60" i="24"/>
  <c r="J7" i="33"/>
  <c r="I9" i="33" s="1"/>
  <c r="J9" i="33"/>
  <c r="J8" i="33"/>
  <c r="J12" i="33"/>
  <c r="J13" i="33"/>
  <c r="J11" i="33"/>
  <c r="J10" i="33"/>
  <c r="J15" i="33"/>
  <c r="I16" i="33" s="1"/>
  <c r="J18" i="33"/>
  <c r="J19" i="33"/>
  <c r="J20" i="33"/>
  <c r="I20" i="33" s="1"/>
  <c r="J24" i="33"/>
  <c r="J22" i="33"/>
  <c r="J23" i="33"/>
  <c r="J29" i="33"/>
  <c r="J31" i="33"/>
  <c r="J30" i="33"/>
  <c r="J28" i="33"/>
  <c r="J27" i="33"/>
  <c r="J32" i="33"/>
  <c r="J43" i="33"/>
  <c r="J39" i="33"/>
  <c r="J42" i="33"/>
  <c r="J45" i="33"/>
  <c r="J46" i="33"/>
  <c r="J37" i="33"/>
  <c r="J36" i="33"/>
  <c r="J35" i="33"/>
  <c r="J40" i="33"/>
  <c r="J38" i="33"/>
  <c r="J47" i="33"/>
  <c r="J41" i="33"/>
  <c r="J44" i="33"/>
  <c r="J50" i="33"/>
  <c r="J57" i="33"/>
  <c r="J58" i="33"/>
  <c r="J54" i="33"/>
  <c r="J56" i="33"/>
  <c r="J55" i="33"/>
  <c r="J59" i="33"/>
  <c r="J53" i="33"/>
  <c r="J49" i="33"/>
  <c r="J51" i="33"/>
  <c r="J60" i="33"/>
  <c r="J52" i="33"/>
  <c r="J7" i="7"/>
  <c r="I9" i="7" s="1"/>
  <c r="J10" i="7"/>
  <c r="J9" i="7"/>
  <c r="J12" i="7"/>
  <c r="J8" i="7"/>
  <c r="J11" i="7"/>
  <c r="J15" i="7"/>
  <c r="I16" i="7" s="1"/>
  <c r="J18" i="7"/>
  <c r="J19" i="7"/>
  <c r="J20" i="7"/>
  <c r="I20" i="7" s="1"/>
  <c r="J24" i="7"/>
  <c r="J22" i="7"/>
  <c r="J23" i="7"/>
  <c r="J30" i="7"/>
  <c r="J32" i="7"/>
  <c r="J27" i="7"/>
  <c r="J28" i="7"/>
  <c r="J31" i="7"/>
  <c r="J29" i="7"/>
  <c r="J37" i="7"/>
  <c r="J46" i="7"/>
  <c r="J47" i="7"/>
  <c r="J38" i="7"/>
  <c r="J44" i="7"/>
  <c r="J42" i="7"/>
  <c r="J35" i="7"/>
  <c r="J45" i="7"/>
  <c r="J41" i="7"/>
  <c r="J40" i="7"/>
  <c r="J36" i="7"/>
  <c r="J39" i="7"/>
  <c r="J43" i="7"/>
  <c r="J52" i="7"/>
  <c r="J58" i="7"/>
  <c r="J60" i="7"/>
  <c r="J57" i="7"/>
  <c r="J53" i="7"/>
  <c r="J49" i="7"/>
  <c r="J55" i="7"/>
  <c r="J56" i="7"/>
  <c r="J59" i="7"/>
  <c r="J54" i="7"/>
  <c r="J50" i="7"/>
  <c r="J51" i="7"/>
  <c r="J7" i="8"/>
  <c r="I9" i="8" s="1"/>
  <c r="J12" i="8"/>
  <c r="J9" i="8"/>
  <c r="J11" i="8"/>
  <c r="J10" i="8"/>
  <c r="J8" i="8"/>
  <c r="J15" i="8"/>
  <c r="I16" i="8" s="1"/>
  <c r="J19" i="8"/>
  <c r="J18" i="8"/>
  <c r="J20" i="8"/>
  <c r="I20" i="8" s="1"/>
  <c r="J22" i="8"/>
  <c r="J24" i="8"/>
  <c r="J23" i="8"/>
  <c r="J27" i="8"/>
  <c r="J30" i="8"/>
  <c r="J32" i="8"/>
  <c r="J29" i="8"/>
  <c r="J28" i="8"/>
  <c r="J31" i="8"/>
  <c r="J38" i="8"/>
  <c r="J36" i="8"/>
  <c r="J41" i="8"/>
  <c r="J35" i="8"/>
  <c r="J42" i="8"/>
  <c r="J37" i="8"/>
  <c r="J44" i="8"/>
  <c r="J46" i="8"/>
  <c r="J39" i="8"/>
  <c r="J40" i="8"/>
  <c r="J47" i="8"/>
  <c r="J45" i="8"/>
  <c r="J43" i="8"/>
  <c r="J52" i="8"/>
  <c r="J57" i="8"/>
  <c r="J60" i="8"/>
  <c r="J50" i="8"/>
  <c r="J55" i="8"/>
  <c r="J58" i="8"/>
  <c r="J51" i="8"/>
  <c r="J59" i="8"/>
  <c r="J53" i="8"/>
  <c r="J49" i="8"/>
  <c r="J56" i="8"/>
  <c r="J54" i="8"/>
  <c r="J7" i="9"/>
  <c r="I9" i="9" s="1"/>
  <c r="J8" i="9"/>
  <c r="J10" i="9"/>
  <c r="J12" i="9"/>
  <c r="J9" i="9"/>
  <c r="J11" i="9"/>
  <c r="J15" i="9"/>
  <c r="I16" i="9" s="1"/>
  <c r="J18" i="9"/>
  <c r="J19" i="9"/>
  <c r="J20" i="9"/>
  <c r="I20" i="9" s="1"/>
  <c r="J22" i="9"/>
  <c r="J24" i="9"/>
  <c r="J23" i="9"/>
  <c r="J29" i="9"/>
  <c r="J31" i="9"/>
  <c r="J30" i="9"/>
  <c r="J28" i="9"/>
  <c r="J32" i="9"/>
  <c r="J27" i="9"/>
  <c r="J40" i="9"/>
  <c r="J39" i="9"/>
  <c r="J36" i="9"/>
  <c r="J37" i="9"/>
  <c r="J42" i="9"/>
  <c r="J44" i="9"/>
  <c r="J46" i="9"/>
  <c r="J41" i="9"/>
  <c r="J47" i="9"/>
  <c r="J43" i="9"/>
  <c r="J38" i="9"/>
  <c r="J35" i="9"/>
  <c r="J45" i="9"/>
  <c r="J54" i="9"/>
  <c r="J59" i="9"/>
  <c r="J49" i="9"/>
  <c r="J57" i="9"/>
  <c r="J50" i="9"/>
  <c r="J53" i="9"/>
  <c r="J51" i="9"/>
  <c r="J55" i="9"/>
  <c r="J58" i="9"/>
  <c r="J52" i="9"/>
  <c r="J60" i="9"/>
  <c r="J56" i="9"/>
  <c r="J7" i="10"/>
  <c r="I9" i="10" s="1"/>
  <c r="J12" i="10"/>
  <c r="J8" i="10"/>
  <c r="J9" i="10"/>
  <c r="J11" i="10"/>
  <c r="J10" i="10"/>
  <c r="J15" i="10"/>
  <c r="I16" i="10" s="1"/>
  <c r="J19" i="10"/>
  <c r="J18" i="10"/>
  <c r="J20" i="10"/>
  <c r="I20" i="10" s="1"/>
  <c r="J24" i="10"/>
  <c r="J22" i="10"/>
  <c r="J23" i="10"/>
  <c r="J27" i="10"/>
  <c r="J31" i="10"/>
  <c r="J29" i="10"/>
  <c r="J28" i="10"/>
  <c r="J30" i="10"/>
  <c r="J32" i="10"/>
  <c r="J45" i="10"/>
  <c r="J37" i="10"/>
  <c r="J42" i="10"/>
  <c r="J36" i="10"/>
  <c r="J43" i="10"/>
  <c r="J38" i="10"/>
  <c r="J40" i="10"/>
  <c r="J39" i="10"/>
  <c r="J35" i="10"/>
  <c r="J47" i="10"/>
  <c r="J41" i="10"/>
  <c r="J44" i="10"/>
  <c r="J46" i="10"/>
  <c r="J55" i="10"/>
  <c r="J60" i="10"/>
  <c r="J57" i="10"/>
  <c r="J56" i="10"/>
  <c r="J50" i="10"/>
  <c r="J52" i="10"/>
  <c r="J51" i="10"/>
  <c r="J53" i="10"/>
  <c r="J58" i="10"/>
  <c r="J59" i="10"/>
  <c r="J49" i="10"/>
  <c r="J54" i="10"/>
  <c r="J7" i="11"/>
  <c r="I9" i="11" s="1"/>
  <c r="J12" i="11"/>
  <c r="J9" i="11"/>
  <c r="J11" i="11"/>
  <c r="J10" i="11"/>
  <c r="J8" i="11"/>
  <c r="J15" i="11"/>
  <c r="I16" i="11" s="1"/>
  <c r="J19" i="11"/>
  <c r="J20" i="11"/>
  <c r="I20" i="11" s="1"/>
  <c r="J18" i="11"/>
  <c r="J23" i="11"/>
  <c r="J24" i="11"/>
  <c r="J22" i="11"/>
  <c r="J29" i="11"/>
  <c r="J27" i="11"/>
  <c r="J31" i="11"/>
  <c r="J32" i="11"/>
  <c r="J30" i="11"/>
  <c r="J28" i="11"/>
  <c r="J45" i="11"/>
  <c r="J38" i="11"/>
  <c r="J43" i="11"/>
  <c r="J37" i="11"/>
  <c r="J35" i="11"/>
  <c r="J39" i="11"/>
  <c r="J36" i="11"/>
  <c r="J40" i="11"/>
  <c r="J41" i="11"/>
  <c r="J46" i="11"/>
  <c r="J47" i="11"/>
  <c r="J44" i="11"/>
  <c r="J42" i="11"/>
  <c r="J60" i="11"/>
  <c r="J53" i="11"/>
  <c r="J56" i="11"/>
  <c r="J52" i="11"/>
  <c r="J59" i="11"/>
  <c r="J58" i="11"/>
  <c r="J50" i="11"/>
  <c r="J49" i="11"/>
  <c r="J55" i="11"/>
  <c r="J54" i="11"/>
  <c r="J57" i="11"/>
  <c r="J51" i="11"/>
  <c r="J7" i="12"/>
  <c r="I9" i="12" s="1"/>
  <c r="J10" i="12"/>
  <c r="J12" i="12"/>
  <c r="J11" i="12"/>
  <c r="J9" i="12"/>
  <c r="J15" i="12"/>
  <c r="I16" i="12" s="1"/>
  <c r="J19" i="12"/>
  <c r="J18" i="12"/>
  <c r="J20" i="12"/>
  <c r="I20" i="12" s="1"/>
  <c r="J22" i="12"/>
  <c r="J24" i="12"/>
  <c r="J23" i="12"/>
  <c r="J28" i="12"/>
  <c r="J30" i="12"/>
  <c r="J32" i="12"/>
  <c r="J29" i="12"/>
  <c r="J27" i="12"/>
  <c r="J31" i="12"/>
  <c r="J45" i="12"/>
  <c r="J38" i="12"/>
  <c r="J42" i="12"/>
  <c r="J44" i="12"/>
  <c r="J35" i="12"/>
  <c r="J43" i="12"/>
  <c r="J40" i="12"/>
  <c r="J41" i="12"/>
  <c r="J46" i="12"/>
  <c r="J36" i="12"/>
  <c r="J37" i="12"/>
  <c r="J47" i="12"/>
  <c r="J39" i="12"/>
  <c r="J56" i="12"/>
  <c r="J49" i="12"/>
  <c r="J59" i="12"/>
  <c r="J54" i="12"/>
  <c r="J50" i="12"/>
  <c r="J51" i="12"/>
  <c r="J55" i="12"/>
  <c r="J58" i="12"/>
  <c r="J53" i="12"/>
  <c r="J57" i="12"/>
  <c r="J60" i="12"/>
  <c r="J52" i="12"/>
  <c r="J7" i="13"/>
  <c r="I9" i="13" s="1"/>
  <c r="J12" i="13"/>
  <c r="J11" i="13"/>
  <c r="J9" i="13"/>
  <c r="J10" i="13"/>
  <c r="J15" i="13"/>
  <c r="I16" i="13" s="1"/>
  <c r="J20" i="13"/>
  <c r="I20" i="13" s="1"/>
  <c r="J19" i="13"/>
  <c r="J18" i="13"/>
  <c r="J23" i="13"/>
  <c r="J24" i="13"/>
  <c r="J22" i="13"/>
  <c r="J30" i="13"/>
  <c r="J29" i="13"/>
  <c r="J31" i="13"/>
  <c r="J32" i="13"/>
  <c r="J27" i="13"/>
  <c r="J28" i="13"/>
  <c r="J44" i="13"/>
  <c r="J38" i="13"/>
  <c r="J42" i="13"/>
  <c r="J37" i="13"/>
  <c r="J45" i="13"/>
  <c r="J46" i="13"/>
  <c r="J40" i="13"/>
  <c r="J43" i="13"/>
  <c r="J36" i="13"/>
  <c r="J41" i="13"/>
  <c r="J47" i="13"/>
  <c r="J39" i="13"/>
  <c r="J35" i="13"/>
  <c r="J60" i="13"/>
  <c r="J54" i="13"/>
  <c r="J53" i="13"/>
  <c r="J56" i="13"/>
  <c r="J50" i="13"/>
  <c r="J49" i="13"/>
  <c r="J55" i="13"/>
  <c r="J59" i="13"/>
  <c r="J52" i="13"/>
  <c r="J57" i="13"/>
  <c r="J51" i="13"/>
  <c r="J58" i="13"/>
  <c r="J7" i="14"/>
  <c r="I9" i="14" s="1"/>
  <c r="J10" i="14"/>
  <c r="J12" i="14"/>
  <c r="J11" i="14"/>
  <c r="J9" i="14"/>
  <c r="J15" i="14"/>
  <c r="I16" i="14" s="1"/>
  <c r="J19" i="14"/>
  <c r="J18" i="14"/>
  <c r="J20" i="14"/>
  <c r="I20" i="14" s="1"/>
  <c r="J24" i="14"/>
  <c r="J22" i="14"/>
  <c r="J23" i="14"/>
  <c r="J30" i="14"/>
  <c r="J27" i="14"/>
  <c r="J29" i="14"/>
  <c r="J32" i="14"/>
  <c r="J28" i="14"/>
  <c r="J31" i="14"/>
  <c r="J44" i="14"/>
  <c r="J36" i="14"/>
  <c r="J42" i="14"/>
  <c r="J39" i="14"/>
  <c r="J37" i="14"/>
  <c r="J43" i="14"/>
  <c r="J41" i="14"/>
  <c r="J35" i="14"/>
  <c r="J45" i="14"/>
  <c r="J40" i="14"/>
  <c r="J47" i="14"/>
  <c r="J38" i="14"/>
  <c r="J46" i="14"/>
  <c r="J54" i="14"/>
  <c r="J55" i="14"/>
  <c r="J60" i="14"/>
  <c r="J53" i="14"/>
  <c r="J51" i="14"/>
  <c r="J56" i="14"/>
  <c r="J57" i="14"/>
  <c r="J58" i="14"/>
  <c r="J49" i="14"/>
  <c r="J59" i="14"/>
  <c r="J52" i="14"/>
  <c r="J50" i="14"/>
  <c r="J7" i="15"/>
  <c r="I9" i="15" s="1"/>
  <c r="J12" i="15"/>
  <c r="J11" i="15"/>
  <c r="J9" i="15"/>
  <c r="J10" i="15"/>
  <c r="J15" i="15"/>
  <c r="I16" i="15" s="1"/>
  <c r="J19" i="15"/>
  <c r="J20" i="15"/>
  <c r="I20" i="15" s="1"/>
  <c r="J18" i="15"/>
  <c r="J22" i="15"/>
  <c r="J23" i="15"/>
  <c r="J24" i="15"/>
  <c r="J32" i="15"/>
  <c r="J29" i="15"/>
  <c r="J31" i="15"/>
  <c r="J27" i="15"/>
  <c r="J30" i="15"/>
  <c r="J28" i="15"/>
  <c r="J46" i="15"/>
  <c r="J47" i="15"/>
  <c r="J36" i="15"/>
  <c r="J35" i="15"/>
  <c r="J45" i="15"/>
  <c r="J41" i="15"/>
  <c r="J38" i="15"/>
  <c r="J44" i="15"/>
  <c r="J37" i="15"/>
  <c r="J39" i="15"/>
  <c r="J40" i="15"/>
  <c r="J43" i="15"/>
  <c r="J42" i="15"/>
  <c r="J55" i="15"/>
  <c r="J53" i="15"/>
  <c r="J58" i="15"/>
  <c r="J60" i="15"/>
  <c r="J59" i="15"/>
  <c r="J57" i="15"/>
  <c r="J54" i="15"/>
  <c r="J49" i="15"/>
  <c r="J50" i="15"/>
  <c r="J56" i="15"/>
  <c r="J51" i="15"/>
  <c r="J52" i="15"/>
  <c r="J7" i="16"/>
  <c r="I9" i="16" s="1"/>
  <c r="J12" i="16"/>
  <c r="J10" i="16"/>
  <c r="J9" i="16"/>
  <c r="J11" i="16"/>
  <c r="J15" i="16"/>
  <c r="I16" i="16" s="1"/>
  <c r="J18" i="16"/>
  <c r="J19" i="16"/>
  <c r="J20" i="16"/>
  <c r="I20" i="16" s="1"/>
  <c r="J23" i="16"/>
  <c r="J24" i="16"/>
  <c r="J22" i="16"/>
  <c r="J27" i="16"/>
  <c r="J31" i="16"/>
  <c r="J29" i="16"/>
  <c r="J30" i="16"/>
  <c r="J32" i="16"/>
  <c r="J28" i="16"/>
  <c r="J40" i="16"/>
  <c r="J46" i="16"/>
  <c r="J41" i="16"/>
  <c r="J44" i="16"/>
  <c r="J36" i="16"/>
  <c r="J42" i="16"/>
  <c r="J39" i="16"/>
  <c r="J35" i="16"/>
  <c r="J47" i="16"/>
  <c r="J45" i="16"/>
  <c r="J43" i="16"/>
  <c r="J37" i="16"/>
  <c r="J38" i="16"/>
  <c r="J58" i="16"/>
  <c r="J51" i="16"/>
  <c r="J59" i="16"/>
  <c r="J54" i="16"/>
  <c r="J57" i="16"/>
  <c r="J56" i="16"/>
  <c r="J50" i="16"/>
  <c r="J52" i="16"/>
  <c r="J49" i="16"/>
  <c r="J55" i="16"/>
  <c r="J60" i="16"/>
  <c r="J53" i="16"/>
  <c r="J7" i="17"/>
  <c r="I9" i="17" s="1"/>
  <c r="J10" i="17"/>
  <c r="J9" i="17"/>
  <c r="J11" i="17"/>
  <c r="J12" i="17"/>
  <c r="J15" i="17"/>
  <c r="I16" i="17" s="1"/>
  <c r="J18" i="17"/>
  <c r="J19" i="17"/>
  <c r="J20" i="17"/>
  <c r="I20" i="17" s="1"/>
  <c r="J24" i="17"/>
  <c r="J22" i="17"/>
  <c r="J23" i="17"/>
  <c r="J32" i="17"/>
  <c r="J30" i="17"/>
  <c r="J28" i="17"/>
  <c r="J27" i="17"/>
  <c r="J29" i="17"/>
  <c r="J31" i="17"/>
  <c r="J36" i="17"/>
  <c r="J43" i="17"/>
  <c r="J37" i="17"/>
  <c r="J41" i="17"/>
  <c r="J46" i="17"/>
  <c r="J38" i="17"/>
  <c r="J42" i="17"/>
  <c r="J40" i="17"/>
  <c r="J47" i="17"/>
  <c r="J45" i="17"/>
  <c r="J39" i="17"/>
  <c r="J35" i="17"/>
  <c r="J44" i="17"/>
  <c r="J52" i="17"/>
  <c r="J60" i="17"/>
  <c r="J56" i="17"/>
  <c r="J57" i="17"/>
  <c r="J55" i="17"/>
  <c r="J53" i="17"/>
  <c r="J54" i="17"/>
  <c r="J50" i="17"/>
  <c r="J58" i="17"/>
  <c r="J49" i="17"/>
  <c r="J59" i="17"/>
  <c r="J51" i="17"/>
  <c r="J7" i="18"/>
  <c r="I9" i="18" s="1"/>
  <c r="J9" i="18"/>
  <c r="J12" i="18"/>
  <c r="J11" i="18"/>
  <c r="J10" i="18"/>
  <c r="J15" i="18"/>
  <c r="I16" i="18" s="1"/>
  <c r="J20" i="18"/>
  <c r="I20" i="18" s="1"/>
  <c r="J19" i="18"/>
  <c r="J18" i="18"/>
  <c r="J24" i="18"/>
  <c r="J22" i="18"/>
  <c r="J23" i="18"/>
  <c r="J29" i="18"/>
  <c r="J27" i="18"/>
  <c r="J30" i="18"/>
  <c r="J32" i="18"/>
  <c r="J31" i="18"/>
  <c r="J28" i="18"/>
  <c r="J40" i="18"/>
  <c r="J38" i="18"/>
  <c r="J45" i="18"/>
  <c r="J47" i="18"/>
  <c r="J35" i="18"/>
  <c r="J46" i="18"/>
  <c r="J39" i="18"/>
  <c r="J44" i="18"/>
  <c r="J43" i="18"/>
  <c r="J36" i="18"/>
  <c r="J41" i="18"/>
  <c r="J37" i="18"/>
  <c r="J42" i="18"/>
  <c r="J57" i="18"/>
  <c r="J60" i="18"/>
  <c r="J54" i="18"/>
  <c r="J53" i="18"/>
  <c r="J55" i="18"/>
  <c r="J49" i="18"/>
  <c r="J58" i="18"/>
  <c r="J51" i="18"/>
  <c r="J52" i="18"/>
  <c r="J59" i="18"/>
  <c r="J50" i="18"/>
  <c r="J56" i="18"/>
  <c r="J7" i="19"/>
  <c r="I9" i="19" s="1"/>
  <c r="J10" i="19"/>
  <c r="J12" i="19"/>
  <c r="J9" i="19"/>
  <c r="J15" i="19"/>
  <c r="I16" i="19" s="1"/>
  <c r="J19" i="19"/>
  <c r="J18" i="19"/>
  <c r="J20" i="19"/>
  <c r="I20" i="19" s="1"/>
  <c r="J24" i="19"/>
  <c r="J23" i="19"/>
  <c r="J22" i="19"/>
  <c r="J30" i="19"/>
  <c r="J27" i="19"/>
  <c r="J31" i="19"/>
  <c r="J29" i="19"/>
  <c r="J28" i="19"/>
  <c r="J32" i="19"/>
  <c r="J35" i="19"/>
  <c r="J40" i="19"/>
  <c r="J46" i="19"/>
  <c r="J38" i="19"/>
  <c r="J45" i="19"/>
  <c r="J43" i="19"/>
  <c r="J37" i="19"/>
  <c r="J36" i="19"/>
  <c r="J41" i="19"/>
  <c r="J39" i="19"/>
  <c r="J42" i="19"/>
  <c r="J44" i="19"/>
  <c r="J47" i="19"/>
  <c r="J52" i="19"/>
  <c r="J59" i="19"/>
  <c r="J53" i="19"/>
  <c r="J51" i="19"/>
  <c r="J49" i="19"/>
  <c r="J57" i="19"/>
  <c r="J56" i="19"/>
  <c r="J50" i="19"/>
  <c r="J60" i="19"/>
  <c r="J58" i="19"/>
  <c r="J55" i="19"/>
  <c r="J54" i="19"/>
  <c r="J7" i="20"/>
  <c r="I9" i="20" s="1"/>
  <c r="J9" i="20"/>
  <c r="J10" i="20"/>
  <c r="J12" i="20"/>
  <c r="J15" i="20"/>
  <c r="I16" i="20" s="1"/>
  <c r="J18" i="20"/>
  <c r="J19" i="20"/>
  <c r="J20" i="20"/>
  <c r="I20" i="20" s="1"/>
  <c r="J22" i="20"/>
  <c r="J23" i="20"/>
  <c r="J24" i="20"/>
  <c r="J32" i="20"/>
  <c r="J27" i="20"/>
  <c r="J28" i="20"/>
  <c r="J29" i="20"/>
  <c r="J30" i="20"/>
  <c r="J31" i="20"/>
  <c r="J41" i="20"/>
  <c r="J39" i="20"/>
  <c r="J36" i="20"/>
  <c r="J42" i="20"/>
  <c r="J47" i="20"/>
  <c r="J43" i="20"/>
  <c r="J46" i="20"/>
  <c r="J35" i="20"/>
  <c r="J38" i="20"/>
  <c r="J37" i="20"/>
  <c r="J40" i="20"/>
  <c r="J44" i="20"/>
  <c r="J45" i="20"/>
  <c r="J57" i="20"/>
  <c r="J58" i="20"/>
  <c r="J54" i="20"/>
  <c r="J53" i="20"/>
  <c r="J49" i="20"/>
  <c r="J51" i="20"/>
  <c r="J60" i="20"/>
  <c r="J52" i="20"/>
  <c r="J55" i="20"/>
  <c r="J56" i="20"/>
  <c r="J59" i="20"/>
  <c r="J50" i="20"/>
  <c r="J7" i="21"/>
  <c r="I9" i="21" s="1"/>
  <c r="J12" i="21"/>
  <c r="J10" i="21"/>
  <c r="J9" i="21"/>
  <c r="J15" i="21"/>
  <c r="I16" i="21" s="1"/>
  <c r="J19" i="21"/>
  <c r="J18" i="21"/>
  <c r="J20" i="21"/>
  <c r="I20" i="21" s="1"/>
  <c r="J23" i="21"/>
  <c r="J22" i="21"/>
  <c r="J24" i="21"/>
  <c r="J31" i="21"/>
  <c r="J28" i="21"/>
  <c r="J29" i="21"/>
  <c r="J27" i="21"/>
  <c r="J32" i="21"/>
  <c r="J30" i="21"/>
  <c r="J44" i="21"/>
  <c r="J45" i="21"/>
  <c r="J35" i="21"/>
  <c r="J37" i="21"/>
  <c r="J41" i="21"/>
  <c r="J47" i="21"/>
  <c r="J46" i="21"/>
  <c r="J42" i="21"/>
  <c r="J39" i="21"/>
  <c r="J38" i="21"/>
  <c r="J40" i="21"/>
  <c r="J43" i="21"/>
  <c r="J36" i="21"/>
  <c r="J58" i="21"/>
  <c r="J56" i="21"/>
  <c r="J53" i="21"/>
  <c r="J52" i="21"/>
  <c r="J54" i="21"/>
  <c r="J59" i="21"/>
  <c r="J49" i="21"/>
  <c r="J50" i="21"/>
  <c r="J51" i="21"/>
  <c r="J60" i="21"/>
  <c r="J57" i="21"/>
  <c r="J55" i="21"/>
  <c r="J7" i="22"/>
  <c r="I9" i="22" s="1"/>
  <c r="J10" i="22"/>
  <c r="J12" i="22"/>
  <c r="J9" i="22"/>
  <c r="J15" i="22"/>
  <c r="I16" i="22" s="1"/>
  <c r="J18" i="22"/>
  <c r="J19" i="22"/>
  <c r="J20" i="22"/>
  <c r="I20" i="22" s="1"/>
  <c r="J24" i="22"/>
  <c r="J23" i="22"/>
  <c r="J22" i="22"/>
  <c r="J28" i="22"/>
  <c r="J30" i="22"/>
  <c r="J32" i="22"/>
  <c r="J29" i="22"/>
  <c r="J31" i="22"/>
  <c r="J27" i="22"/>
  <c r="J35" i="22"/>
  <c r="J36" i="22"/>
  <c r="J37" i="22"/>
  <c r="J47" i="22"/>
  <c r="J38" i="22"/>
  <c r="J45" i="22"/>
  <c r="J40" i="22"/>
  <c r="J39" i="22"/>
  <c r="J46" i="22"/>
  <c r="J41" i="22"/>
  <c r="J44" i="22"/>
  <c r="J42" i="22"/>
  <c r="J43" i="22"/>
  <c r="J50" i="22"/>
  <c r="J59" i="22"/>
  <c r="J49" i="22"/>
  <c r="J54" i="22"/>
  <c r="J52" i="22"/>
  <c r="J57" i="22"/>
  <c r="J55" i="22"/>
  <c r="J53" i="22"/>
  <c r="J58" i="22"/>
  <c r="J51" i="22"/>
  <c r="J56" i="22"/>
  <c r="J60" i="22"/>
  <c r="J7" i="23"/>
  <c r="I9" i="23" s="1"/>
  <c r="J9" i="23"/>
  <c r="J10" i="23"/>
  <c r="J12" i="23"/>
  <c r="J15" i="23"/>
  <c r="I16" i="23" s="1"/>
  <c r="J19" i="23"/>
  <c r="J18" i="23"/>
  <c r="J20" i="23"/>
  <c r="I20" i="23" s="1"/>
  <c r="J24" i="23"/>
  <c r="J22" i="23"/>
  <c r="J23" i="23"/>
  <c r="J29" i="23"/>
  <c r="J31" i="23"/>
  <c r="J30" i="23"/>
  <c r="J28" i="23"/>
  <c r="J27" i="23"/>
  <c r="J32" i="23"/>
  <c r="J38" i="23"/>
  <c r="J46" i="23"/>
  <c r="J47" i="23"/>
  <c r="J35" i="23"/>
  <c r="J41" i="23"/>
  <c r="J39" i="23"/>
  <c r="J36" i="23"/>
  <c r="J40" i="23"/>
  <c r="J43" i="23"/>
  <c r="J37" i="23"/>
  <c r="J45" i="23"/>
  <c r="J42" i="23"/>
  <c r="J44" i="23"/>
  <c r="J57" i="23"/>
  <c r="J60" i="23"/>
  <c r="J49" i="23"/>
  <c r="J50" i="23"/>
  <c r="J54" i="23"/>
  <c r="J55" i="23"/>
  <c r="J58" i="23"/>
  <c r="J51" i="23"/>
  <c r="J56" i="23"/>
  <c r="J53" i="23"/>
  <c r="J59" i="23"/>
  <c r="J52" i="23"/>
  <c r="J7" i="24"/>
  <c r="I9" i="24" s="1"/>
  <c r="J9" i="24"/>
  <c r="J12" i="24"/>
  <c r="J10" i="24"/>
  <c r="J15" i="24"/>
  <c r="I16" i="24" s="1"/>
  <c r="J19" i="24"/>
  <c r="J18" i="24"/>
  <c r="J20" i="24"/>
  <c r="I20" i="24" s="1"/>
  <c r="J23" i="24"/>
  <c r="J24" i="24"/>
  <c r="J22" i="24"/>
  <c r="J31" i="24"/>
  <c r="J30" i="24"/>
  <c r="J27" i="24"/>
  <c r="J28" i="24"/>
  <c r="J32" i="24"/>
  <c r="J29" i="24"/>
  <c r="J46" i="24"/>
  <c r="J43" i="24"/>
  <c r="J47" i="24"/>
  <c r="J44" i="24"/>
  <c r="J38" i="24"/>
  <c r="J40" i="24"/>
  <c r="J37" i="24"/>
  <c r="J42" i="24"/>
  <c r="J45" i="24"/>
  <c r="J36" i="24"/>
  <c r="J35" i="24"/>
  <c r="J39" i="24"/>
  <c r="J41" i="24"/>
  <c r="J52" i="24"/>
  <c r="J59" i="24"/>
  <c r="J50" i="24"/>
  <c r="J49" i="24"/>
  <c r="J55" i="24"/>
  <c r="J51" i="24"/>
  <c r="J54" i="24"/>
  <c r="J57" i="24"/>
  <c r="J56" i="24"/>
  <c r="J58" i="24"/>
  <c r="J53" i="24"/>
  <c r="J60" i="24"/>
  <c r="J7" i="25"/>
  <c r="I9" i="25" s="1"/>
  <c r="J9" i="25"/>
  <c r="J12" i="25"/>
  <c r="J10" i="25"/>
  <c r="J15" i="25"/>
  <c r="I16" i="25" s="1"/>
  <c r="J19" i="25"/>
  <c r="J20" i="25"/>
  <c r="I20" i="25" s="1"/>
  <c r="J18" i="25"/>
  <c r="J22" i="25"/>
  <c r="J24" i="25"/>
  <c r="J23" i="25"/>
  <c r="J27" i="25"/>
  <c r="J29" i="25"/>
  <c r="J32" i="25"/>
  <c r="J28" i="25"/>
  <c r="J31" i="25"/>
  <c r="J30" i="25"/>
  <c r="J35" i="25"/>
  <c r="J45" i="25"/>
  <c r="J39" i="25"/>
  <c r="J46" i="25"/>
  <c r="J36" i="25"/>
  <c r="J43" i="25"/>
  <c r="J47" i="25"/>
  <c r="J40" i="25"/>
  <c r="J38" i="25"/>
  <c r="J42" i="25"/>
  <c r="J44" i="25"/>
  <c r="J37" i="25"/>
  <c r="J41" i="25"/>
  <c r="J56" i="25"/>
  <c r="J54" i="25"/>
  <c r="J58" i="25"/>
  <c r="J53" i="25"/>
  <c r="J60" i="25"/>
  <c r="J59" i="25"/>
  <c r="J50" i="25"/>
  <c r="J51" i="25"/>
  <c r="J49" i="25"/>
  <c r="J55" i="25"/>
  <c r="J52" i="25"/>
  <c r="J57" i="25"/>
  <c r="J7" i="40"/>
  <c r="I9" i="40" s="1"/>
  <c r="J10" i="40"/>
  <c r="J9" i="40"/>
  <c r="J12" i="40"/>
  <c r="J15" i="40"/>
  <c r="I16" i="40" s="1"/>
  <c r="J19" i="40"/>
  <c r="J18" i="40"/>
  <c r="J20" i="40"/>
  <c r="I20" i="40" s="1"/>
  <c r="J24" i="40"/>
  <c r="J23" i="40"/>
  <c r="J22" i="40"/>
  <c r="J38" i="40"/>
  <c r="J47" i="40"/>
  <c r="J35" i="40"/>
  <c r="J37" i="40"/>
  <c r="J44" i="40"/>
  <c r="J41" i="40"/>
  <c r="J42" i="40"/>
  <c r="J46" i="40"/>
  <c r="J40" i="40"/>
  <c r="J43" i="40"/>
  <c r="J45" i="40"/>
  <c r="J36" i="40"/>
  <c r="J39" i="40"/>
  <c r="J32" i="40"/>
  <c r="J27" i="40"/>
  <c r="J29" i="40"/>
  <c r="J28" i="40"/>
  <c r="J31" i="40"/>
  <c r="J30" i="40"/>
  <c r="J49" i="40"/>
  <c r="J55" i="40"/>
  <c r="J54" i="40"/>
  <c r="J59" i="40"/>
  <c r="J57" i="40"/>
  <c r="J60" i="40"/>
  <c r="J53" i="40"/>
  <c r="J50" i="40"/>
  <c r="J51" i="40"/>
  <c r="J52" i="40"/>
  <c r="J56" i="40"/>
  <c r="J58" i="40"/>
  <c r="J7" i="27"/>
  <c r="I9" i="27" s="1"/>
  <c r="J9" i="27"/>
  <c r="J12" i="27"/>
  <c r="J10" i="27"/>
  <c r="J15" i="27"/>
  <c r="I16" i="27" s="1"/>
  <c r="J20" i="27"/>
  <c r="I20" i="27" s="1"/>
  <c r="J18" i="27"/>
  <c r="J19" i="27"/>
  <c r="J23" i="27"/>
  <c r="J22" i="27"/>
  <c r="J24" i="27"/>
  <c r="J30" i="27"/>
  <c r="J28" i="27"/>
  <c r="J31" i="27"/>
  <c r="J29" i="27"/>
  <c r="J27" i="27"/>
  <c r="J32" i="27"/>
  <c r="J37" i="27"/>
  <c r="J35" i="27"/>
  <c r="J41" i="27"/>
  <c r="J45" i="27"/>
  <c r="J47" i="27"/>
  <c r="J40" i="27"/>
  <c r="J36" i="27"/>
  <c r="J43" i="27"/>
  <c r="J46" i="27"/>
  <c r="J38" i="27"/>
  <c r="J42" i="27"/>
  <c r="J39" i="27"/>
  <c r="J44" i="27"/>
  <c r="J56" i="27"/>
  <c r="J57" i="27"/>
  <c r="J51" i="27"/>
  <c r="J49" i="27"/>
  <c r="J55" i="27"/>
  <c r="J59" i="27"/>
  <c r="J53" i="27"/>
  <c r="J52" i="27"/>
  <c r="J54" i="27"/>
  <c r="J50" i="27"/>
  <c r="J58" i="27"/>
  <c r="J60" i="27"/>
  <c r="J7" i="28"/>
  <c r="I9" i="28" s="1"/>
  <c r="J12" i="28"/>
  <c r="J9" i="28"/>
  <c r="J10" i="28"/>
  <c r="J15" i="28"/>
  <c r="I16" i="28" s="1"/>
  <c r="J18" i="28"/>
  <c r="J19" i="28"/>
  <c r="J20" i="28"/>
  <c r="I20" i="28" s="1"/>
  <c r="J22" i="28"/>
  <c r="J24" i="28"/>
  <c r="J23" i="28"/>
  <c r="J32" i="28"/>
  <c r="J30" i="28"/>
  <c r="J28" i="28"/>
  <c r="J29" i="28"/>
  <c r="J27" i="28"/>
  <c r="J31" i="28"/>
  <c r="J37" i="28"/>
  <c r="J40" i="28"/>
  <c r="J46" i="28"/>
  <c r="J47" i="28"/>
  <c r="J44" i="28"/>
  <c r="J36" i="28"/>
  <c r="J41" i="28"/>
  <c r="J39" i="28"/>
  <c r="J38" i="28"/>
  <c r="J42" i="28"/>
  <c r="J35" i="28"/>
  <c r="J43" i="28"/>
  <c r="J45" i="28"/>
  <c r="J59" i="28"/>
  <c r="J54" i="28"/>
  <c r="J57" i="28"/>
  <c r="J53" i="28"/>
  <c r="J60" i="28"/>
  <c r="J56" i="28"/>
  <c r="J52" i="28"/>
  <c r="J51" i="28"/>
  <c r="J55" i="28"/>
  <c r="J58" i="28"/>
  <c r="J50" i="28"/>
  <c r="J49" i="28"/>
  <c r="J7" i="29"/>
  <c r="I9" i="29" s="1"/>
  <c r="J12" i="29"/>
  <c r="J10" i="29"/>
  <c r="J9" i="29"/>
  <c r="J15" i="29"/>
  <c r="I16" i="29" s="1"/>
  <c r="J19" i="29"/>
  <c r="J20" i="29"/>
  <c r="I20" i="29" s="1"/>
  <c r="J18" i="29"/>
  <c r="J24" i="29"/>
  <c r="J22" i="29"/>
  <c r="J23" i="29"/>
  <c r="J31" i="29"/>
  <c r="J28" i="29"/>
  <c r="J30" i="29"/>
  <c r="J27" i="29"/>
  <c r="J29" i="29"/>
  <c r="J32" i="29"/>
  <c r="J44" i="29"/>
  <c r="J46" i="29"/>
  <c r="J36" i="29"/>
  <c r="J38" i="29"/>
  <c r="J47" i="29"/>
  <c r="J35" i="29"/>
  <c r="J39" i="29"/>
  <c r="J42" i="29"/>
  <c r="J41" i="29"/>
  <c r="J37" i="29"/>
  <c r="J43" i="29"/>
  <c r="J45" i="29"/>
  <c r="J40" i="29"/>
  <c r="J60" i="29"/>
  <c r="J49" i="29"/>
  <c r="J58" i="29"/>
  <c r="J50" i="29"/>
  <c r="J52" i="29"/>
  <c r="J53" i="29"/>
  <c r="J55" i="29"/>
  <c r="J59" i="29"/>
  <c r="J56" i="29"/>
  <c r="J54" i="29"/>
  <c r="J57" i="29"/>
  <c r="J51" i="29"/>
  <c r="J7" i="30"/>
  <c r="I9" i="30" s="1"/>
  <c r="J12" i="30"/>
  <c r="J10" i="30"/>
  <c r="J9" i="30"/>
  <c r="J15" i="30"/>
  <c r="I16" i="30" s="1"/>
  <c r="J20" i="30"/>
  <c r="I20" i="30" s="1"/>
  <c r="J19" i="30"/>
  <c r="J18" i="30"/>
  <c r="J24" i="30"/>
  <c r="J23" i="30"/>
  <c r="J22" i="30"/>
  <c r="J31" i="30"/>
  <c r="J29" i="30"/>
  <c r="J28" i="30"/>
  <c r="J27" i="30"/>
  <c r="J30" i="30"/>
  <c r="J32" i="30"/>
  <c r="J44" i="30"/>
  <c r="J39" i="30"/>
  <c r="J43" i="30"/>
  <c r="J36" i="30"/>
  <c r="J41" i="30"/>
  <c r="J47" i="30"/>
  <c r="J40" i="30"/>
  <c r="J38" i="30"/>
  <c r="J35" i="30"/>
  <c r="J42" i="30"/>
  <c r="J45" i="30"/>
  <c r="J37" i="30"/>
  <c r="J46" i="30"/>
  <c r="J49" i="30"/>
  <c r="J54" i="30"/>
  <c r="J56" i="30"/>
  <c r="J59" i="30"/>
  <c r="J50" i="30"/>
  <c r="J53" i="30"/>
  <c r="J60" i="30"/>
  <c r="J58" i="30"/>
  <c r="J57" i="30"/>
  <c r="J52" i="30"/>
  <c r="J55" i="30"/>
  <c r="J51" i="30"/>
  <c r="J7" i="43"/>
  <c r="I9" i="43" s="1"/>
  <c r="H7" i="31"/>
  <c r="H7" i="50"/>
  <c r="J7" i="50" s="1"/>
  <c r="J12" i="43"/>
  <c r="J9" i="43"/>
  <c r="J10" i="43"/>
  <c r="J15" i="43"/>
  <c r="I16" i="43" s="1"/>
  <c r="H16" i="50"/>
  <c r="J16" i="50" s="1"/>
  <c r="I17" i="50" s="1"/>
  <c r="J18" i="31"/>
  <c r="J18" i="43"/>
  <c r="J20" i="43"/>
  <c r="I20" i="43" s="1"/>
  <c r="H19" i="50"/>
  <c r="J19" i="50" s="1"/>
  <c r="J19" i="43"/>
  <c r="H20" i="50"/>
  <c r="J20" i="50" s="1"/>
  <c r="J19" i="31"/>
  <c r="H21" i="50"/>
  <c r="J21" i="50" s="1"/>
  <c r="I21" i="50" s="1"/>
  <c r="J20" i="31"/>
  <c r="I20" i="31" s="1"/>
  <c r="J22" i="43"/>
  <c r="J24" i="43"/>
  <c r="H24" i="50"/>
  <c r="J24" i="50" s="1"/>
  <c r="J23" i="43"/>
  <c r="J24" i="31"/>
  <c r="H23" i="50"/>
  <c r="J23" i="50" s="1"/>
  <c r="J22" i="31"/>
  <c r="J23" i="31"/>
  <c r="H25" i="50"/>
  <c r="J25" i="50" s="1"/>
  <c r="J27" i="43"/>
  <c r="J28" i="43"/>
  <c r="H29" i="50"/>
  <c r="J29" i="50" s="1"/>
  <c r="J32" i="31"/>
  <c r="J32" i="43"/>
  <c r="J31" i="43"/>
  <c r="J30" i="43"/>
  <c r="J30" i="31"/>
  <c r="J31" i="31"/>
  <c r="H31" i="50"/>
  <c r="J31" i="50" s="1"/>
  <c r="J29" i="43"/>
  <c r="J29" i="31"/>
  <c r="H30" i="50"/>
  <c r="J30" i="50" s="1"/>
  <c r="H28" i="50"/>
  <c r="J28" i="50" s="1"/>
  <c r="J27" i="31"/>
  <c r="H33" i="50"/>
  <c r="J33" i="50" s="1"/>
  <c r="H32" i="50"/>
  <c r="J32" i="50" s="1"/>
  <c r="J28" i="31"/>
  <c r="J42" i="43"/>
  <c r="J41" i="43"/>
  <c r="J35" i="43"/>
  <c r="J40" i="43"/>
  <c r="J43" i="43"/>
  <c r="J41" i="31"/>
  <c r="J44" i="43"/>
  <c r="H41" i="50"/>
  <c r="J41" i="50" s="1"/>
  <c r="J45" i="43"/>
  <c r="J39" i="43"/>
  <c r="J36" i="43"/>
  <c r="J38" i="43"/>
  <c r="J47" i="31"/>
  <c r="J47" i="43"/>
  <c r="H37" i="50"/>
  <c r="J37" i="50" s="1"/>
  <c r="J42" i="31"/>
  <c r="J45" i="31"/>
  <c r="H36" i="50"/>
  <c r="J36" i="50" s="1"/>
  <c r="H46" i="50"/>
  <c r="J46" i="50" s="1"/>
  <c r="J46" i="31"/>
  <c r="J46" i="43"/>
  <c r="H39" i="50"/>
  <c r="J39" i="50" s="1"/>
  <c r="H38" i="50"/>
  <c r="J38" i="50" s="1"/>
  <c r="J37" i="43"/>
  <c r="J37" i="31"/>
  <c r="H47" i="50"/>
  <c r="J47" i="50" s="1"/>
  <c r="J40" i="31"/>
  <c r="J39" i="31"/>
  <c r="H48" i="50"/>
  <c r="J48" i="50" s="1"/>
  <c r="H44" i="50"/>
  <c r="J44" i="50" s="1"/>
  <c r="J35" i="31"/>
  <c r="J44" i="31"/>
  <c r="H42" i="50"/>
  <c r="J42" i="50" s="1"/>
  <c r="J43" i="31"/>
  <c r="H40" i="50"/>
  <c r="J40" i="50" s="1"/>
  <c r="J38" i="31"/>
  <c r="H43" i="50"/>
  <c r="J43" i="50" s="1"/>
  <c r="H45" i="50"/>
  <c r="J45" i="50" s="1"/>
  <c r="J36" i="31"/>
  <c r="J58" i="43"/>
  <c r="J59" i="43"/>
  <c r="H60" i="50"/>
  <c r="J60" i="50" s="1"/>
  <c r="J49" i="43"/>
  <c r="J54" i="43"/>
  <c r="H50" i="50"/>
  <c r="J50" i="50" s="1"/>
  <c r="H59" i="50"/>
  <c r="J59" i="50" s="1"/>
  <c r="J50" i="43"/>
  <c r="J49" i="31"/>
  <c r="H57" i="50"/>
  <c r="J57" i="50" s="1"/>
  <c r="J56" i="43"/>
  <c r="J60" i="43"/>
  <c r="H51" i="50"/>
  <c r="J51" i="50" s="1"/>
  <c r="J53" i="43"/>
  <c r="H54" i="50"/>
  <c r="J54" i="50" s="1"/>
  <c r="J55" i="43"/>
  <c r="J57" i="43"/>
  <c r="H55" i="50"/>
  <c r="J55" i="50" s="1"/>
  <c r="J56" i="31"/>
  <c r="J54" i="31"/>
  <c r="J52" i="43"/>
  <c r="J53" i="31"/>
  <c r="H56" i="50"/>
  <c r="J56" i="50" s="1"/>
  <c r="J51" i="31"/>
  <c r="J51" i="43"/>
  <c r="H53" i="50"/>
  <c r="J53" i="50" s="1"/>
  <c r="J50" i="31"/>
  <c r="J52" i="31"/>
  <c r="H61" i="50"/>
  <c r="J61" i="50" s="1"/>
  <c r="H58" i="50"/>
  <c r="J58" i="50" s="1"/>
  <c r="J57" i="31"/>
  <c r="H52" i="50"/>
  <c r="J52" i="50" s="1"/>
  <c r="J58" i="31"/>
  <c r="J55" i="31"/>
  <c r="J60" i="31"/>
  <c r="J59" i="31"/>
  <c r="J8" i="12"/>
  <c r="H8" i="13"/>
  <c r="H8" i="14" s="1"/>
  <c r="J7" i="31" l="1"/>
  <c r="I9" i="31" s="1"/>
  <c r="J11" i="19"/>
  <c r="H11" i="21"/>
  <c r="J11" i="20"/>
  <c r="H13" i="28"/>
  <c r="H13" i="29" s="1"/>
  <c r="H13" i="30" s="1"/>
  <c r="H13" i="43" s="1"/>
  <c r="J13" i="43" s="1"/>
  <c r="J13" i="27"/>
  <c r="J13" i="7"/>
  <c r="J13" i="25"/>
  <c r="J13" i="24"/>
  <c r="J13" i="23"/>
  <c r="J13" i="21"/>
  <c r="J13" i="20"/>
  <c r="J13" i="19"/>
  <c r="J13" i="9"/>
  <c r="J13" i="17"/>
  <c r="J13" i="15"/>
  <c r="J13" i="14"/>
  <c r="J13" i="13"/>
  <c r="J13" i="8"/>
  <c r="J13" i="18"/>
  <c r="J13" i="12"/>
  <c r="J13" i="40"/>
  <c r="J13" i="22"/>
  <c r="J13" i="16"/>
  <c r="J13" i="11"/>
  <c r="J13" i="10"/>
  <c r="J8" i="13"/>
  <c r="J8" i="14"/>
  <c r="H8" i="15"/>
  <c r="H11" i="22" l="1"/>
  <c r="J11" i="21"/>
  <c r="H13" i="31"/>
  <c r="J13" i="31" s="1"/>
  <c r="H14" i="50"/>
  <c r="J14" i="50" s="1"/>
  <c r="J13" i="29"/>
  <c r="J13" i="28"/>
  <c r="J13" i="30"/>
  <c r="H8" i="16"/>
  <c r="J8" i="15"/>
  <c r="H11" i="23" l="1"/>
  <c r="J11" i="22"/>
  <c r="J8" i="16"/>
  <c r="H8" i="17"/>
  <c r="H11" i="24" l="1"/>
  <c r="J11" i="23"/>
  <c r="J8" i="17"/>
  <c r="H8" i="18"/>
  <c r="H11" i="25" l="1"/>
  <c r="J11" i="24"/>
  <c r="H8" i="19"/>
  <c r="J8" i="18"/>
  <c r="H11" i="40" l="1"/>
  <c r="J11" i="25"/>
  <c r="J8" i="19"/>
  <c r="H8" i="20"/>
  <c r="H11" i="27" l="1"/>
  <c r="J11" i="40"/>
  <c r="H8" i="21"/>
  <c r="J8" i="20"/>
  <c r="H11" i="28" l="1"/>
  <c r="J11" i="27"/>
  <c r="H8" i="22"/>
  <c r="J8" i="21"/>
  <c r="H11" i="29" l="1"/>
  <c r="J11" i="28"/>
  <c r="H8" i="23"/>
  <c r="J8" i="22"/>
  <c r="H11" i="30" l="1"/>
  <c r="J11" i="29"/>
  <c r="J8" i="23"/>
  <c r="H8" i="24"/>
  <c r="H11" i="43" l="1"/>
  <c r="H11" i="50" s="1"/>
  <c r="J11" i="30"/>
  <c r="J8" i="24"/>
  <c r="H8" i="25"/>
  <c r="H11" i="31" l="1"/>
  <c r="J11" i="31" s="1"/>
  <c r="J11" i="43"/>
  <c r="J8" i="25"/>
  <c r="H8" i="40"/>
  <c r="H8" i="27" l="1"/>
  <c r="J8" i="40"/>
  <c r="H8" i="28" l="1"/>
  <c r="J8" i="27"/>
  <c r="J8" i="28" l="1"/>
  <c r="H8" i="29"/>
  <c r="J8" i="29" l="1"/>
  <c r="H8" i="30"/>
  <c r="J8" i="30" l="1"/>
  <c r="H8" i="43"/>
  <c r="J8" i="43" l="1"/>
  <c r="H8" i="50"/>
  <c r="J8" i="50" s="1"/>
  <c r="H8" i="31"/>
  <c r="J8" i="31" s="1"/>
  <c r="J135" i="29"/>
</calcChain>
</file>

<file path=xl/sharedStrings.xml><?xml version="1.0" encoding="utf-8"?>
<sst xmlns="http://schemas.openxmlformats.org/spreadsheetml/2006/main" count="10750" uniqueCount="380">
  <si>
    <t>Date</t>
  </si>
  <si>
    <t>Min.Tem          (Degee)</t>
  </si>
  <si>
    <t>Avg.Temp     (Degree)</t>
  </si>
  <si>
    <t>Hum %</t>
  </si>
  <si>
    <t>Occu.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</si>
  <si>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</si>
  <si>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</si>
  <si>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</si>
  <si>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</si>
  <si>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</si>
  <si>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</si>
  <si>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</si>
  <si>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</si>
  <si>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</si>
  <si>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</si>
  <si>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</si>
  <si>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</si>
  <si>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</si>
  <si>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</si>
  <si>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</si>
  <si>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</si>
  <si>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</si>
  <si>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</si>
  <si>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</si>
  <si>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</si>
  <si>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</si>
  <si>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</si>
  <si>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</si>
  <si>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</si>
  <si>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</si>
  <si>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</si>
  <si>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</si>
  <si>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</si>
  <si>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</si>
  <si>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</si>
  <si>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</si>
  <si>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</si>
  <si>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</si>
  <si>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</si>
  <si>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</si>
  <si>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</si>
  <si>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</si>
  <si>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</si>
  <si>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</si>
  <si>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</si>
  <si>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</si>
  <si>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</si>
  <si>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</si>
  <si>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</si>
  <si>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</si>
  <si>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</si>
  <si>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</si>
  <si>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</si>
  <si>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</si>
  <si>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</si>
  <si>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</si>
  <si>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</si>
  <si>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</si>
  <si>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</si>
  <si>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</si>
  <si>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</si>
  <si>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</si>
  <si>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</si>
  <si>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</si>
  <si>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</si>
  <si>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</si>
  <si>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</si>
  <si>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</si>
  <si>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</si>
  <si>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</si>
  <si>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</si>
  <si>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</si>
  <si>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</si>
  <si>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</si>
  <si>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</si>
  <si>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</si>
  <si>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</si>
  <si>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</si>
  <si>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</si>
  <si>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</si>
  <si>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</si>
  <si>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</si>
  <si>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</si>
  <si>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</si>
  <si>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</si>
  <si>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</si>
  <si>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</si>
  <si>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</si>
  <si>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</si>
  <si>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</si>
  <si>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</si>
  <si>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</si>
  <si>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</si>
  <si>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</si>
  <si>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</si>
  <si>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</si>
  <si>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</si>
  <si>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</si>
  <si>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</si>
  <si>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</si>
  <si>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</si>
  <si>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</si>
  <si>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</si>
  <si>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</si>
  <si>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</si>
  <si>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</si>
  <si>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</si>
  <si>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</si>
  <si>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</si>
  <si>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</si>
  <si>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</si>
  <si>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</si>
  <si>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</si>
  <si>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</si>
  <si>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</si>
  <si>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</si>
  <si>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</si>
  <si>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</si>
  <si>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</si>
  <si>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</si>
  <si>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</si>
  <si>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</si>
  <si>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</si>
  <si>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</si>
  <si>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</si>
  <si>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</si>
  <si>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</si>
  <si>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</si>
  <si>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</si>
  <si>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</si>
  <si>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</si>
  <si>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</si>
  <si>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</si>
  <si>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</si>
  <si>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</si>
  <si>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</si>
  <si>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</si>
  <si>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</si>
  <si>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</si>
  <si>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</si>
  <si>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</si>
  <si>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</si>
  <si>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</si>
  <si>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</si>
  <si>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</si>
  <si>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</si>
  <si>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</si>
  <si>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</si>
  <si>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</si>
  <si>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</si>
  <si>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</si>
  <si>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</si>
  <si>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</si>
  <si>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</si>
  <si>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</si>
  <si>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</si>
  <si>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</si>
  <si>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</si>
  <si>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</si>
  <si>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</si>
  <si>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</si>
  <si>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</si>
  <si>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</si>
  <si>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</si>
  <si>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</si>
  <si>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</si>
  <si>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</si>
  <si>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</si>
  <si>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</si>
  <si>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</si>
  <si>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</si>
  <si>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</si>
  <si>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</si>
  <si>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</si>
  <si>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</si>
  <si>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</si>
  <si>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</si>
  <si>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</si>
  <si>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</si>
  <si>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</si>
  <si>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</si>
  <si>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</si>
  <si>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</si>
  <si>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>KWh</t>
  </si>
  <si>
    <t xml:space="preserve">5th floor spa 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</si>
  <si>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</si>
  <si>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</si>
  <si>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</si>
  <si>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</si>
  <si>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</si>
  <si>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</si>
  <si>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</si>
  <si>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</si>
  <si>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</si>
  <si>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</si>
  <si>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</si>
  <si>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</si>
  <si>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Lighting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</si>
  <si>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</si>
  <si>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</si>
  <si>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</si>
  <si>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</si>
  <si>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</si>
  <si>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</si>
  <si>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</si>
  <si>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</si>
  <si>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</si>
  <si>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</si>
  <si>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</si>
  <si>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</si>
  <si>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</si>
  <si>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</si>
  <si>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</si>
  <si>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</si>
  <si>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</si>
  <si>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</si>
  <si>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</si>
  <si>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</si>
  <si>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</si>
  <si>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</si>
  <si>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</si>
  <si>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</si>
  <si>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</si>
  <si>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</si>
  <si>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</si>
  <si>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</si>
  <si>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</si>
  <si>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</si>
  <si>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</si>
  <si>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</si>
  <si>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</si>
  <si>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</si>
  <si>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</si>
  <si>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</si>
  <si>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</si>
  <si>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</si>
  <si>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</si>
  <si>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</si>
  <si>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</si>
  <si>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</si>
  <si>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</si>
  <si>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</si>
  <si>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</si>
  <si>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</si>
  <si>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</si>
  <si>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</si>
  <si>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</si>
  <si>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</si>
  <si>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</si>
  <si>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</si>
  <si>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</si>
  <si>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</si>
  <si>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</si>
  <si>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</si>
  <si>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</si>
  <si>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</si>
  <si>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HWG3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</si>
  <si>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</si>
  <si>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</si>
  <si>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</si>
  <si>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</si>
  <si>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</si>
  <si>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</si>
  <si>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</si>
  <si>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</si>
  <si>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</si>
  <si>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</si>
  <si>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</si>
  <si>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</si>
  <si>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</si>
  <si>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</si>
  <si>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</si>
  <si>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</si>
  <si>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</si>
  <si>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</si>
  <si>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>Total Room Nights</t>
  </si>
  <si>
    <t>Boiler3 (400Kg)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</si>
  <si>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</si>
  <si>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</si>
  <si>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</si>
  <si>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</si>
  <si>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</si>
  <si>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</si>
  <si>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</si>
  <si>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</si>
  <si>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</si>
  <si>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</si>
  <si>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</si>
  <si>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</si>
  <si>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</si>
  <si>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</si>
  <si>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</si>
  <si>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</si>
  <si>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</si>
  <si>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</si>
  <si>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</si>
  <si>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</si>
  <si>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</si>
  <si>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</si>
  <si>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</si>
  <si>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</si>
  <si>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</si>
  <si>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</si>
  <si>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</si>
  <si>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</si>
  <si>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</si>
  <si>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</si>
  <si>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</si>
  <si>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</si>
  <si>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20th Floor Project office</t>
  </si>
  <si>
    <t>Paid occ %</t>
  </si>
  <si>
    <t xml:space="preserve">10th floor energy meter reading </t>
  </si>
  <si>
    <t xml:space="preserve">25th floor energy meter reading </t>
  </si>
  <si>
    <t>Hotel Paid Occupancy Occ%</t>
  </si>
  <si>
    <t>Units (Kvah)</t>
  </si>
  <si>
    <t>KwH</t>
  </si>
  <si>
    <t>Average</t>
  </si>
  <si>
    <t>MAIN HVAC PANNEL SUB METER</t>
  </si>
  <si>
    <t xml:space="preserve">B1 HVAC Panel </t>
  </si>
  <si>
    <t xml:space="preserve">B2 HVAC Panel </t>
  </si>
  <si>
    <t xml:space="preserve">Sanqi  HVAC Panel </t>
  </si>
  <si>
    <t xml:space="preserve">5 th FLR  HVAC Panel </t>
  </si>
  <si>
    <t xml:space="preserve">20th Floor HVAC Panel </t>
  </si>
  <si>
    <t xml:space="preserve">Cooling Tower </t>
  </si>
  <si>
    <t>ELECTRICAL SUB METER S</t>
  </si>
  <si>
    <t xml:space="preserve">Main Power Panel </t>
  </si>
  <si>
    <t xml:space="preserve">sub readings </t>
  </si>
  <si>
    <t xml:space="preserve">25th floor energy meter </t>
  </si>
  <si>
    <t xml:space="preserve">10th floor energy meter </t>
  </si>
  <si>
    <t xml:space="preserve">Total gas consum </t>
  </si>
  <si>
    <t xml:space="preserve">Water   Sub  readings </t>
  </si>
  <si>
    <t xml:space="preserve"> ELECTRICAL DISTRIBUTION FEEDERS </t>
  </si>
  <si>
    <t>WATER DISTRIBUTION LINE</t>
  </si>
  <si>
    <t>GAS DISTRIBUTION BR.</t>
  </si>
  <si>
    <t>diff wrt feeder</t>
  </si>
  <si>
    <t>Var%</t>
  </si>
  <si>
    <t>Pump power panel ( WTP)</t>
  </si>
  <si>
    <t>Boiler power panel (boiler room)</t>
  </si>
  <si>
    <t>STP Electrical (STP plant)</t>
  </si>
  <si>
    <t>Swimmimg Pool Plant Panel ( LT room)</t>
  </si>
  <si>
    <t>20th PHE Pump Panel (20th flr)</t>
  </si>
  <si>
    <t>Cooling Tower (LT room)</t>
  </si>
  <si>
    <t>Cooling Tower (L T Room)</t>
  </si>
  <si>
    <t>5th Floor SPA</t>
  </si>
  <si>
    <t>Fire &amp; Emergency  Power Panel</t>
  </si>
  <si>
    <t>Elevator power Panel ( capacitor bank area )</t>
  </si>
  <si>
    <t>Emergency Power Panel ( capacitor bank area)</t>
  </si>
  <si>
    <t>Emergency Lighting  Panel ( capacitor bank area)</t>
  </si>
  <si>
    <t>Sanqi main.</t>
  </si>
  <si>
    <t>Prepaired by--- Ramesh</t>
  </si>
  <si>
    <t>10th floor</t>
  </si>
  <si>
    <t>25th floor</t>
  </si>
  <si>
    <t>10th floo</t>
  </si>
  <si>
    <t>KWH/Room</t>
  </si>
  <si>
    <t>Prepaired by--- Prakash</t>
  </si>
  <si>
    <t>Prepaired by--- Nilesh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</si>
  <si>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</si>
  <si>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Average </t>
  </si>
  <si>
    <t>7th floor</t>
  </si>
  <si>
    <t>Cooling Tower ( L.T. Room )</t>
  </si>
  <si>
    <t>sump pump power panel (WTP)</t>
  </si>
  <si>
    <t>Fire pump power panel (WTP)</t>
  </si>
  <si>
    <t>+</t>
  </si>
  <si>
    <t>Need to check</t>
  </si>
  <si>
    <t>meter need to check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</si>
  <si>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</si>
  <si>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</si>
  <si>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6th floor meeting room</t>
  </si>
  <si>
    <t xml:space="preserve">Emergency Power Panel ( capacitor bank area) </t>
  </si>
  <si>
    <t xml:space="preserve"> .</t>
  </si>
  <si>
    <t>Water Tanker strike 9thMay-10-11-12 May</t>
  </si>
  <si>
    <t>Prepaired by---Prakash</t>
  </si>
  <si>
    <t xml:space="preserve">            </t>
  </si>
  <si>
    <t>Prepaired by---Dipak</t>
  </si>
  <si>
    <t>Prepaired by--- Dipak</t>
  </si>
  <si>
    <t>meter restart.</t>
  </si>
  <si>
    <t>previous reading inccorect</t>
  </si>
  <si>
    <t>previous reading not added</t>
  </si>
  <si>
    <t xml:space="preserve">                 </t>
  </si>
  <si>
    <t xml:space="preserve">Prepaired by--- Dipak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</si>
</sst>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"/>
    <numFmt numFmtId="167" formatCode="0.0%"/>
    <numFmt numFmtId="168" formatCode="[$-809]d\ mmmm\ yyyy;@"/>
    <numFmt numFmtId="169" formatCode="0.0E+00"/>
    <numFmt numFmtId="170" formatCode="#,##0;[Red]#,##0"/>
    <numFmt numFmtId="171" formatCode="_(* #,##0_);_(* \(#,##0\);_(* &quot;-&quot;??_);_(@_)"/>
    <numFmt numFmtId="172" formatCode="[$-809]dd\ mmmm\ yyyy;@"/>
    <numFmt numFmtId="173" formatCode="0_ ;[Red]\-0\ "/>
  </numFmts>
  <fonts count="100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color theme="0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sz val="20"/>
      <color theme="1"/>
      <name val="Calibri"/>
      <family val="2"/>
      <scheme val="minor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20"/>
      <color theme="1"/>
      <name val="Cambria"/>
      <family val="1"/>
      <scheme val="maj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22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name val="Arial"/>
      <family val="2"/>
    </font>
    <font>
      <b/>
      <sz val="22"/>
      <name val="Arial Unicode MS"/>
      <family val="2"/>
    </font>
    <font>
      <b/>
      <sz val="20"/>
      <color rgb="FF7030A0"/>
      <name val="Arial Unicode MS"/>
      <family val="2"/>
    </font>
    <font>
      <b/>
      <sz val="18"/>
      <color rgb="FF7030A0"/>
      <name val="Arial Unicode MS"/>
      <family val="2"/>
    </font>
    <font>
      <b/>
      <i/>
      <sz val="20"/>
      <color rgb="FF7030A0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 Unicode MS"/>
      <family val="2"/>
    </font>
    <font>
      <b/>
      <sz val="8"/>
      <name val="Arial"/>
      <family val="2"/>
    </font>
    <font>
      <sz val="12"/>
      <color theme="1"/>
      <name val="Cambria"/>
      <family val="2"/>
      <scheme val="major"/>
    </font>
    <font>
      <sz val="12"/>
      <color rgb="FFFF0000"/>
      <name val="Cambria"/>
      <family val="2"/>
      <scheme val="major"/>
    </font>
    <font>
      <sz val="20"/>
      <color theme="1"/>
      <name val="Calibri"/>
      <family val="2"/>
    </font>
    <font>
      <b/>
      <sz val="20"/>
      <name val="Calibri"/>
      <family val="2"/>
    </font>
    <font>
      <sz val="20"/>
      <name val="Calibri"/>
      <family val="2"/>
    </font>
    <font>
      <b/>
      <sz val="20"/>
      <color theme="1"/>
      <name val="Calibri"/>
      <family val="2"/>
    </font>
    <font>
      <b/>
      <sz val="22"/>
      <color theme="1"/>
      <name val="Calibri"/>
      <family val="2"/>
      <scheme val="minor"/>
    </font>
    <font>
      <b/>
      <i/>
      <sz val="20"/>
      <name val="Arial Unicode MS"/>
      <family val="2"/>
    </font>
    <font>
      <sz val="18"/>
      <name val="Arial Unicode MS"/>
      <family val="2"/>
    </font>
    <font>
      <i/>
      <sz val="18"/>
      <color theme="0"/>
      <name val="Arial Unicode MS"/>
      <family val="2"/>
    </font>
    <font>
      <sz val="18"/>
      <color rgb="FF7030A0"/>
      <name val="Arial Unicode MS"/>
      <family val="2"/>
    </font>
    <font>
      <i/>
      <sz val="18"/>
      <name val="Arial Unicode MS"/>
      <family val="2"/>
    </font>
    <font>
      <sz val="18"/>
      <color indexed="8"/>
      <name val="Arial Unicode MS"/>
      <family val="2"/>
    </font>
    <font>
      <sz val="18"/>
      <color rgb="FFFF0000"/>
      <name val="Arial Unicode MS"/>
      <family val="2"/>
    </font>
    <font>
      <sz val="18"/>
      <color indexed="10"/>
      <name val="Arial Unicode MS"/>
      <family val="2"/>
    </font>
    <font>
      <i/>
      <sz val="18"/>
      <color rgb="FF7030A0"/>
      <name val="Arial Unicode MS"/>
      <family val="2"/>
    </font>
    <font>
      <b/>
      <sz val="18"/>
      <color rgb="FF00B050"/>
      <name val="Arial Unicode MS"/>
      <family val="2"/>
    </font>
    <font>
      <b/>
      <i/>
      <sz val="18"/>
      <name val="Arial Unicode MS"/>
      <family val="2"/>
    </font>
    <font>
      <sz val="22"/>
      <color theme="1"/>
      <name val="Calibri"/>
      <family val="2"/>
      <scheme val="minor"/>
    </font>
    <font>
      <sz val="22"/>
      <name val="Calibri"/>
      <family val="2"/>
      <scheme val="minor"/>
    </font>
    <font>
      <sz val="22"/>
      <color indexed="8"/>
      <name val="Calibri"/>
      <family val="2"/>
      <scheme val="minor"/>
    </font>
    <font>
      <sz val="22"/>
      <color rgb="FFFF0000"/>
      <name val="Calibri"/>
      <family val="2"/>
      <scheme val="minor"/>
    </font>
    <font>
      <sz val="22"/>
      <color rgb="FF00B050"/>
      <name val="Calibri"/>
      <family val="2"/>
      <scheme val="minor"/>
    </font>
    <font>
      <sz val="22"/>
      <color indexed="10"/>
      <name val="Calibri"/>
      <family val="2"/>
      <scheme val="minor"/>
    </font>
    <font>
      <i/>
      <sz val="22"/>
      <name val="Calibri"/>
      <family val="2"/>
      <scheme val="minor"/>
    </font>
    <font>
      <b/>
      <sz val="22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0">
    <xf numFmtId="0" fontId="0" fillId="0" borderId="0"/>
    <xf numFmtId="0" fontId="4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4" fillId="0" borderId="0"/>
    <xf numFmtId="165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7" fillId="0" borderId="0"/>
    <xf numFmtId="165" fontId="17" fillId="0" borderId="0" applyFont="0" applyFill="0" applyBorder="0" applyAlignment="0" applyProtection="0"/>
    <xf numFmtId="165" fontId="19" fillId="0" borderId="0" applyFont="0" applyFill="0" applyBorder="0" applyAlignment="0" applyProtection="0"/>
    <xf numFmtId="0" fontId="4" fillId="0" borderId="0"/>
    <xf numFmtId="0" fontId="17" fillId="0" borderId="0"/>
    <xf numFmtId="0" fontId="17" fillId="0" borderId="0"/>
    <xf numFmtId="0" fontId="4" fillId="0" borderId="0"/>
    <xf numFmtId="0" fontId="3" fillId="0" borderId="0"/>
    <xf numFmtId="0" fontId="2" fillId="0" borderId="0"/>
    <xf numFmtId="0" fontId="2" fillId="0" borderId="0"/>
    <xf numFmtId="43" fontId="74" fillId="0" borderId="0" applyFont="0" applyFill="0" applyBorder="0" applyAlignment="0" applyProtection="0"/>
  </cellStyleXfs>
  <cellXfs count="986">
    <xf numFmtId="0" fontId="0" fillId="0" borderId="0" xfId="0"/>
    <xf numFmtId="0" fontId="6" fillId="0" borderId="1" xfId="1" applyFont="1" applyFill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3" borderId="1" xfId="1" applyNumberFormat="1" applyFont="1" applyFill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vertical="center" wrapText="1"/>
    </xf>
    <xf numFmtId="0" fontId="8" fillId="0" borderId="1" xfId="1" applyFont="1" applyBorder="1" applyAlignment="1">
      <alignment horizontal="center" vertical="center" wrapText="1"/>
    </xf>
    <xf numFmtId="1" fontId="8" fillId="0" borderId="1" xfId="1" applyNumberFormat="1" applyFont="1" applyBorder="1" applyAlignment="1">
      <alignment vertical="center" wrapText="1"/>
    </xf>
    <xf numFmtId="0" fontId="8" fillId="0" borderId="1" xfId="1" applyNumberFormat="1" applyFont="1" applyBorder="1" applyAlignment="1">
      <alignment horizontal="center" vertical="center" wrapText="1"/>
    </xf>
    <xf numFmtId="1" fontId="8" fillId="0" borderId="1" xfId="1" applyNumberFormat="1" applyFont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10" fillId="0" borderId="1" xfId="1" applyFont="1" applyFill="1" applyBorder="1" applyAlignment="1">
      <alignment vertical="top" wrapText="1"/>
    </xf>
    <xf numFmtId="0" fontId="10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1" fillId="0" borderId="1" xfId="1" applyFont="1" applyFill="1" applyBorder="1" applyAlignment="1">
      <alignment vertical="center" wrapText="1"/>
    </xf>
    <xf numFmtId="0" fontId="12" fillId="2" borderId="1" xfId="1" applyFont="1" applyFill="1" applyBorder="1" applyAlignment="1">
      <alignment horizontal="center" vertical="center" wrapText="1"/>
    </xf>
    <xf numFmtId="0" fontId="13" fillId="2" borderId="1" xfId="1" applyFont="1" applyFill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vertical="center" wrapText="1"/>
    </xf>
    <xf numFmtId="0" fontId="13" fillId="7" borderId="1" xfId="1" applyFont="1" applyFill="1" applyBorder="1" applyAlignment="1">
      <alignment vertical="top" wrapText="1"/>
    </xf>
    <xf numFmtId="1" fontId="13" fillId="7" borderId="1" xfId="1" applyNumberFormat="1" applyFont="1" applyFill="1" applyBorder="1" applyAlignment="1">
      <alignment vertical="top" wrapText="1"/>
    </xf>
    <xf numFmtId="2" fontId="13" fillId="0" borderId="1" xfId="1" applyNumberFormat="1" applyFont="1" applyFill="1" applyBorder="1" applyAlignment="1">
      <alignment vertical="top" wrapText="1"/>
    </xf>
    <xf numFmtId="2" fontId="13" fillId="0" borderId="1" xfId="1" applyNumberFormat="1" applyFont="1" applyBorder="1" applyAlignment="1"/>
    <xf numFmtId="10" fontId="13" fillId="0" borderId="1" xfId="1" applyNumberFormat="1" applyFont="1" applyBorder="1" applyAlignment="1"/>
    <xf numFmtId="2" fontId="13" fillId="7" borderId="1" xfId="1" applyNumberFormat="1" applyFont="1" applyFill="1" applyBorder="1" applyAlignment="1"/>
    <xf numFmtId="1" fontId="14" fillId="0" borderId="1" xfId="1" applyNumberFormat="1" applyFont="1" applyBorder="1" applyAlignment="1">
      <alignment horizontal="center" vertical="center" wrapText="1"/>
    </xf>
    <xf numFmtId="1" fontId="14" fillId="2" borderId="1" xfId="1" applyNumberFormat="1" applyFont="1" applyFill="1" applyBorder="1" applyAlignment="1">
      <alignment horizontal="center" vertical="center" wrapText="1"/>
    </xf>
    <xf numFmtId="1" fontId="13" fillId="0" borderId="1" xfId="1" applyNumberFormat="1" applyFont="1" applyFill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0" fontId="11" fillId="0" borderId="1" xfId="1" applyFont="1" applyFill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1" fontId="13" fillId="0" borderId="1" xfId="1" applyNumberFormat="1" applyFont="1" applyBorder="1" applyAlignment="1">
      <alignment vertical="center" wrapText="1"/>
    </xf>
    <xf numFmtId="0" fontId="13" fillId="0" borderId="1" xfId="1" applyNumberFormat="1" applyFont="1" applyBorder="1" applyAlignment="1">
      <alignment horizontal="center" vertical="center" wrapText="1"/>
    </xf>
    <xf numFmtId="1" fontId="13" fillId="0" borderId="1" xfId="1" applyNumberFormat="1" applyFont="1" applyBorder="1" applyAlignment="1"/>
    <xf numFmtId="1" fontId="4" fillId="0" borderId="0" xfId="1" applyNumberFormat="1" applyFont="1"/>
    <xf numFmtId="0" fontId="16" fillId="0" borderId="0" xfId="2" applyFont="1" applyAlignment="1" applyProtection="1"/>
    <xf numFmtId="0" fontId="0" fillId="0" borderId="0" xfId="0" applyFill="1"/>
    <xf numFmtId="1" fontId="0" fillId="0" borderId="0" xfId="0" applyNumberFormat="1"/>
    <xf numFmtId="0" fontId="4" fillId="0" borderId="1" xfId="1" applyFont="1" applyBorder="1" applyAlignment="1">
      <alignment vertical="center" wrapText="1"/>
    </xf>
    <xf numFmtId="0" fontId="8" fillId="11" borderId="1" xfId="1" applyFont="1" applyFill="1" applyBorder="1" applyAlignment="1">
      <alignment horizontal="center" vertical="center" wrapText="1"/>
    </xf>
    <xf numFmtId="0" fontId="13" fillId="11" borderId="1" xfId="1" applyFont="1" applyFill="1" applyBorder="1" applyAlignment="1">
      <alignment vertical="top" wrapText="1"/>
    </xf>
    <xf numFmtId="1" fontId="4" fillId="11" borderId="0" xfId="1" applyNumberFormat="1" applyFont="1" applyFill="1"/>
    <xf numFmtId="0" fontId="0" fillId="11" borderId="0" xfId="0" applyFill="1"/>
    <xf numFmtId="0" fontId="7" fillId="11" borderId="1" xfId="1" applyFont="1" applyFill="1" applyBorder="1" applyAlignment="1">
      <alignment horizontal="center" vertical="center" wrapText="1"/>
    </xf>
    <xf numFmtId="1" fontId="13" fillId="11" borderId="1" xfId="1" applyNumberFormat="1" applyFont="1" applyFill="1" applyBorder="1" applyAlignment="1">
      <alignment vertical="top" wrapText="1"/>
    </xf>
    <xf numFmtId="0" fontId="13" fillId="11" borderId="1" xfId="1" applyFont="1" applyFill="1" applyBorder="1" applyAlignment="1">
      <alignment horizontal="center"/>
    </xf>
    <xf numFmtId="166" fontId="13" fillId="11" borderId="1" xfId="1" applyNumberFormat="1" applyFont="1" applyFill="1" applyBorder="1" applyAlignment="1">
      <alignment horizontal="center"/>
    </xf>
    <xf numFmtId="2" fontId="13" fillId="11" borderId="1" xfId="1" applyNumberFormat="1" applyFont="1" applyFill="1" applyBorder="1" applyAlignment="1">
      <alignment vertical="top" wrapText="1"/>
    </xf>
    <xf numFmtId="1" fontId="13" fillId="11" borderId="1" xfId="1" applyNumberFormat="1" applyFont="1" applyFill="1" applyBorder="1" applyAlignment="1">
      <alignment horizontal="center" vertical="top" wrapText="1"/>
    </xf>
    <xf numFmtId="9" fontId="13" fillId="2" borderId="1" xfId="1" applyNumberFormat="1" applyFont="1" applyFill="1" applyBorder="1" applyAlignment="1">
      <alignment vertical="center" wrapText="1"/>
    </xf>
    <xf numFmtId="0" fontId="9" fillId="0" borderId="2" xfId="1" applyFont="1" applyBorder="1" applyAlignment="1">
      <alignment horizontal="center" vertical="center" wrapText="1"/>
    </xf>
    <xf numFmtId="2" fontId="13" fillId="0" borderId="2" xfId="1" applyNumberFormat="1" applyFont="1" applyBorder="1" applyAlignment="1"/>
    <xf numFmtId="0" fontId="10" fillId="0" borderId="16" xfId="1" applyFont="1" applyFill="1" applyBorder="1" applyAlignment="1">
      <alignment vertical="top" wrapText="1"/>
    </xf>
    <xf numFmtId="0" fontId="10" fillId="0" borderId="12" xfId="1" applyFont="1" applyFill="1" applyBorder="1" applyAlignment="1">
      <alignment vertical="top" wrapText="1"/>
    </xf>
    <xf numFmtId="1" fontId="13" fillId="2" borderId="16" xfId="1" applyNumberFormat="1" applyFont="1" applyFill="1" applyBorder="1" applyAlignment="1">
      <alignment vertical="center" wrapText="1"/>
    </xf>
    <xf numFmtId="1" fontId="13" fillId="2" borderId="12" xfId="1" applyNumberFormat="1" applyFont="1" applyFill="1" applyBorder="1" applyAlignment="1">
      <alignment vertical="center" wrapText="1"/>
    </xf>
    <xf numFmtId="0" fontId="22" fillId="0" borderId="0" xfId="0" applyFont="1"/>
    <xf numFmtId="0" fontId="22" fillId="0" borderId="0" xfId="0" applyFont="1" applyBorder="1"/>
    <xf numFmtId="166" fontId="21" fillId="2" borderId="0" xfId="5" applyNumberFormat="1" applyFont="1" applyFill="1" applyBorder="1" applyAlignment="1" applyProtection="1">
      <alignment horizontal="center"/>
    </xf>
    <xf numFmtId="1" fontId="13" fillId="2" borderId="3" xfId="1" applyNumberFormat="1" applyFont="1" applyFill="1" applyBorder="1" applyAlignment="1">
      <alignment vertical="center" wrapText="1"/>
    </xf>
    <xf numFmtId="0" fontId="23" fillId="2" borderId="0" xfId="3" applyFont="1" applyFill="1" applyBorder="1" applyAlignment="1">
      <alignment horizontal="center" vertical="center"/>
    </xf>
    <xf numFmtId="166" fontId="23" fillId="2" borderId="0" xfId="3" applyNumberFormat="1" applyFont="1" applyFill="1" applyBorder="1" applyAlignment="1">
      <alignment horizontal="center"/>
    </xf>
    <xf numFmtId="1" fontId="21" fillId="2" borderId="0" xfId="5" applyNumberFormat="1" applyFont="1" applyFill="1" applyBorder="1" applyAlignment="1" applyProtection="1">
      <alignment horizontal="center"/>
    </xf>
    <xf numFmtId="0" fontId="21" fillId="2" borderId="0" xfId="3" applyFont="1" applyFill="1" applyBorder="1" applyAlignment="1">
      <alignment horizontal="center"/>
    </xf>
    <xf numFmtId="0" fontId="24" fillId="0" borderId="0" xfId="0" applyFont="1"/>
    <xf numFmtId="0" fontId="24" fillId="0" borderId="0" xfId="0" applyFont="1" applyBorder="1"/>
    <xf numFmtId="0" fontId="26" fillId="0" borderId="0" xfId="0" applyFont="1" applyBorder="1"/>
    <xf numFmtId="0" fontId="26" fillId="0" borderId="0" xfId="0" applyFont="1"/>
    <xf numFmtId="166" fontId="25" fillId="2" borderId="0" xfId="5" applyNumberFormat="1" applyFont="1" applyFill="1" applyBorder="1" applyAlignment="1" applyProtection="1">
      <alignment horizontal="center"/>
    </xf>
    <xf numFmtId="0" fontId="27" fillId="0" borderId="0" xfId="4" applyFont="1"/>
    <xf numFmtId="1" fontId="24" fillId="0" borderId="0" xfId="0" applyNumberFormat="1" applyFont="1"/>
    <xf numFmtId="9" fontId="0" fillId="0" borderId="0" xfId="0" applyNumberFormat="1"/>
    <xf numFmtId="9" fontId="13" fillId="0" borderId="1" xfId="1" applyNumberFormat="1" applyFont="1" applyBorder="1" applyAlignment="1">
      <alignment vertical="center" wrapText="1"/>
    </xf>
    <xf numFmtId="0" fontId="10" fillId="0" borderId="2" xfId="1" applyFont="1" applyBorder="1" applyAlignment="1">
      <alignment horizontal="center" vertical="top" wrapText="1"/>
    </xf>
    <xf numFmtId="0" fontId="4" fillId="0" borderId="1" xfId="1" applyFont="1" applyFill="1" applyBorder="1" applyAlignment="1">
      <alignment horizontal="center" vertical="center" wrapText="1"/>
    </xf>
    <xf numFmtId="2" fontId="26" fillId="8" borderId="1" xfId="3" applyNumberFormat="1" applyFont="1" applyFill="1" applyBorder="1" applyAlignment="1">
      <alignment horizontal="center"/>
    </xf>
    <xf numFmtId="166" fontId="25" fillId="2" borderId="0" xfId="3" applyNumberFormat="1" applyFont="1" applyFill="1" applyBorder="1" applyAlignment="1">
      <alignment horizontal="center" vertical="center" wrapText="1" shrinkToFit="1"/>
    </xf>
    <xf numFmtId="0" fontId="25" fillId="2" borderId="0" xfId="3" applyFont="1" applyFill="1" applyBorder="1" applyAlignment="1">
      <alignment horizontal="center" vertical="center"/>
    </xf>
    <xf numFmtId="1" fontId="25" fillId="2" borderId="0" xfId="5" applyNumberFormat="1" applyFont="1" applyFill="1" applyBorder="1" applyAlignment="1" applyProtection="1">
      <alignment horizontal="center"/>
    </xf>
    <xf numFmtId="0" fontId="25" fillId="2" borderId="0" xfId="3" applyFont="1" applyFill="1" applyBorder="1" applyAlignment="1">
      <alignment horizontal="center"/>
    </xf>
    <xf numFmtId="166" fontId="25" fillId="2" borderId="0" xfId="3" applyNumberFormat="1" applyFont="1" applyFill="1" applyBorder="1" applyAlignment="1">
      <alignment horizontal="center"/>
    </xf>
    <xf numFmtId="0" fontId="28" fillId="0" borderId="22" xfId="4" applyFont="1" applyBorder="1" applyAlignment="1">
      <alignment vertical="center" wrapText="1"/>
    </xf>
    <xf numFmtId="0" fontId="28" fillId="0" borderId="18" xfId="4" applyFont="1" applyBorder="1" applyAlignment="1">
      <alignment vertical="center" wrapText="1"/>
    </xf>
    <xf numFmtId="1" fontId="7" fillId="0" borderId="1" xfId="1" applyNumberFormat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 wrapText="1"/>
    </xf>
    <xf numFmtId="1" fontId="29" fillId="2" borderId="1" xfId="1" applyNumberFormat="1" applyFont="1" applyFill="1" applyBorder="1" applyAlignment="1">
      <alignment vertical="center" wrapText="1"/>
    </xf>
    <xf numFmtId="2" fontId="24" fillId="0" borderId="0" xfId="0" applyNumberFormat="1" applyFont="1"/>
    <xf numFmtId="0" fontId="31" fillId="0" borderId="0" xfId="0" applyFont="1"/>
    <xf numFmtId="0" fontId="31" fillId="0" borderId="0" xfId="0" applyFont="1" applyBorder="1"/>
    <xf numFmtId="0" fontId="30" fillId="0" borderId="1" xfId="0" applyFont="1" applyBorder="1"/>
    <xf numFmtId="1" fontId="30" fillId="0" borderId="1" xfId="0" applyNumberFormat="1" applyFont="1" applyBorder="1"/>
    <xf numFmtId="0" fontId="0" fillId="0" borderId="0" xfId="0" applyAlignment="1">
      <alignment vertical="center" wrapText="1"/>
    </xf>
    <xf numFmtId="0" fontId="30" fillId="0" borderId="1" xfId="0" applyFont="1" applyBorder="1" applyAlignment="1">
      <alignment vertical="center" wrapText="1"/>
    </xf>
    <xf numFmtId="0" fontId="38" fillId="0" borderId="0" xfId="0" applyFont="1"/>
    <xf numFmtId="2" fontId="39" fillId="8" borderId="1" xfId="3" applyNumberFormat="1" applyFont="1" applyFill="1" applyBorder="1" applyAlignment="1">
      <alignment horizontal="center"/>
    </xf>
    <xf numFmtId="0" fontId="42" fillId="0" borderId="0" xfId="0" applyFont="1"/>
    <xf numFmtId="0" fontId="40" fillId="0" borderId="0" xfId="0" applyFont="1"/>
    <xf numFmtId="0" fontId="32" fillId="8" borderId="1" xfId="3" applyFont="1" applyFill="1" applyBorder="1" applyAlignment="1">
      <alignment horizontal="center" vertical="center"/>
    </xf>
    <xf numFmtId="1" fontId="39" fillId="8" borderId="1" xfId="3" applyNumberFormat="1" applyFont="1" applyFill="1" applyBorder="1" applyAlignment="1">
      <alignment horizontal="center"/>
    </xf>
    <xf numFmtId="0" fontId="33" fillId="9" borderId="1" xfId="3" applyFont="1" applyFill="1" applyBorder="1" applyAlignment="1">
      <alignment horizontal="center" vertical="center"/>
    </xf>
    <xf numFmtId="10" fontId="33" fillId="9" borderId="1" xfId="3" applyNumberFormat="1" applyFont="1" applyFill="1" applyBorder="1" applyAlignment="1">
      <alignment horizontal="center"/>
    </xf>
    <xf numFmtId="1" fontId="33" fillId="9" borderId="1" xfId="3" applyNumberFormat="1" applyFont="1" applyFill="1" applyBorder="1" applyAlignment="1">
      <alignment horizontal="center"/>
    </xf>
    <xf numFmtId="2" fontId="33" fillId="9" borderId="1" xfId="3" applyNumberFormat="1" applyFont="1" applyFill="1" applyBorder="1" applyAlignment="1">
      <alignment horizontal="center"/>
    </xf>
    <xf numFmtId="9" fontId="33" fillId="9" borderId="1" xfId="3" applyNumberFormat="1" applyFont="1" applyFill="1" applyBorder="1" applyAlignment="1">
      <alignment horizontal="center"/>
    </xf>
    <xf numFmtId="0" fontId="41" fillId="0" borderId="0" xfId="0" applyFont="1"/>
    <xf numFmtId="2" fontId="39" fillId="2" borderId="1" xfId="3" applyNumberFormat="1" applyFont="1" applyFill="1" applyBorder="1" applyAlignment="1">
      <alignment horizontal="center" vertical="center"/>
    </xf>
    <xf numFmtId="166" fontId="39" fillId="8" borderId="1" xfId="3" applyNumberFormat="1" applyFont="1" applyFill="1" applyBorder="1" applyAlignment="1">
      <alignment horizontal="center" wrapText="1" shrinkToFit="1"/>
    </xf>
    <xf numFmtId="2" fontId="39" fillId="8" borderId="1" xfId="3" applyNumberFormat="1" applyFont="1" applyFill="1" applyBorder="1" applyAlignment="1">
      <alignment horizontal="center" vertical="center"/>
    </xf>
    <xf numFmtId="1" fontId="39" fillId="8" borderId="1" xfId="3" applyNumberFormat="1" applyFont="1" applyFill="1" applyBorder="1" applyAlignment="1">
      <alignment horizontal="center" vertical="center"/>
    </xf>
    <xf numFmtId="0" fontId="39" fillId="12" borderId="1" xfId="3" applyFont="1" applyFill="1" applyBorder="1" applyAlignment="1">
      <alignment horizontal="center" vertical="center"/>
    </xf>
    <xf numFmtId="0" fontId="39" fillId="12" borderId="1" xfId="3" applyFont="1" applyFill="1" applyBorder="1" applyAlignment="1">
      <alignment horizontal="center"/>
    </xf>
    <xf numFmtId="1" fontId="39" fillId="2" borderId="1" xfId="5" applyNumberFormat="1" applyFont="1" applyFill="1" applyBorder="1" applyAlignment="1">
      <alignment horizontal="center" vertical="center"/>
    </xf>
    <xf numFmtId="0" fontId="39" fillId="2" borderId="1" xfId="3" applyNumberFormat="1" applyFont="1" applyFill="1" applyBorder="1" applyAlignment="1">
      <alignment horizontal="center"/>
    </xf>
    <xf numFmtId="2" fontId="39" fillId="8" borderId="7" xfId="3" applyNumberFormat="1" applyFont="1" applyFill="1" applyBorder="1" applyAlignment="1">
      <alignment horizontal="center"/>
    </xf>
    <xf numFmtId="1" fontId="39" fillId="2" borderId="6" xfId="5" applyNumberFormat="1" applyFont="1" applyFill="1" applyBorder="1" applyAlignment="1">
      <alignment horizontal="center" vertical="center"/>
    </xf>
    <xf numFmtId="1" fontId="39" fillId="2" borderId="7" xfId="3" applyNumberFormat="1" applyFont="1" applyFill="1" applyBorder="1" applyAlignment="1">
      <alignment horizontal="center"/>
    </xf>
    <xf numFmtId="0" fontId="39" fillId="0" borderId="1" xfId="4" applyFont="1" applyBorder="1" applyAlignment="1">
      <alignment horizontal="center"/>
    </xf>
    <xf numFmtId="2" fontId="39" fillId="8" borderId="1" xfId="3" applyNumberFormat="1" applyFont="1" applyFill="1" applyBorder="1" applyAlignment="1">
      <alignment horizontal="right"/>
    </xf>
    <xf numFmtId="1" fontId="39" fillId="8" borderId="1" xfId="5" applyNumberFormat="1" applyFont="1" applyFill="1" applyBorder="1" applyAlignment="1">
      <alignment horizontal="center" vertical="center"/>
    </xf>
    <xf numFmtId="2" fontId="39" fillId="2" borderId="1" xfId="3" applyNumberFormat="1" applyFont="1" applyFill="1" applyBorder="1" applyAlignment="1">
      <alignment horizontal="center"/>
    </xf>
    <xf numFmtId="0" fontId="44" fillId="12" borderId="1" xfId="3" applyFont="1" applyFill="1" applyBorder="1" applyAlignment="1">
      <alignment horizontal="center"/>
    </xf>
    <xf numFmtId="0" fontId="45" fillId="0" borderId="1" xfId="4" applyFont="1" applyBorder="1" applyAlignment="1">
      <alignment horizontal="center"/>
    </xf>
    <xf numFmtId="0" fontId="39" fillId="2" borderId="1" xfId="4" applyFont="1" applyFill="1" applyBorder="1" applyAlignment="1">
      <alignment horizontal="center"/>
    </xf>
    <xf numFmtId="1" fontId="39" fillId="2" borderId="1" xfId="3" applyNumberFormat="1" applyFont="1" applyFill="1" applyBorder="1" applyAlignment="1">
      <alignment horizontal="center"/>
    </xf>
    <xf numFmtId="1" fontId="44" fillId="12" borderId="1" xfId="3" applyNumberFormat="1" applyFont="1" applyFill="1" applyBorder="1" applyAlignment="1">
      <alignment horizontal="center"/>
    </xf>
    <xf numFmtId="0" fontId="46" fillId="8" borderId="1" xfId="3" applyFont="1" applyFill="1" applyBorder="1" applyAlignment="1">
      <alignment horizontal="center"/>
    </xf>
    <xf numFmtId="166" fontId="46" fillId="8" borderId="1" xfId="5" applyNumberFormat="1" applyFont="1" applyFill="1" applyBorder="1" applyAlignment="1">
      <alignment horizontal="center" vertical="center"/>
    </xf>
    <xf numFmtId="0" fontId="46" fillId="2" borderId="1" xfId="4" applyFont="1" applyFill="1" applyBorder="1" applyAlignment="1">
      <alignment horizontal="center"/>
    </xf>
    <xf numFmtId="0" fontId="44" fillId="12" borderId="1" xfId="3" applyFont="1" applyFill="1" applyBorder="1" applyAlignment="1">
      <alignment horizontal="center" vertical="center"/>
    </xf>
    <xf numFmtId="1" fontId="39" fillId="12" borderId="1" xfId="3" applyNumberFormat="1" applyFont="1" applyFill="1" applyBorder="1" applyAlignment="1">
      <alignment horizontal="center" vertical="center"/>
    </xf>
    <xf numFmtId="0" fontId="47" fillId="12" borderId="1" xfId="3" applyFont="1" applyFill="1" applyBorder="1" applyAlignment="1">
      <alignment horizontal="center" vertical="center"/>
    </xf>
    <xf numFmtId="2" fontId="48" fillId="8" borderId="1" xfId="3" applyNumberFormat="1" applyFont="1" applyFill="1" applyBorder="1" applyAlignment="1">
      <alignment horizontal="center"/>
    </xf>
    <xf numFmtId="166" fontId="44" fillId="8" borderId="1" xfId="3" applyNumberFormat="1" applyFont="1" applyFill="1" applyBorder="1" applyAlignment="1">
      <alignment horizontal="center"/>
    </xf>
    <xf numFmtId="1" fontId="47" fillId="8" borderId="1" xfId="3" applyNumberFormat="1" applyFont="1" applyFill="1" applyBorder="1" applyAlignment="1">
      <alignment horizontal="center"/>
    </xf>
    <xf numFmtId="1" fontId="48" fillId="8" borderId="1" xfId="5" applyNumberFormat="1" applyFont="1" applyFill="1" applyBorder="1" applyAlignment="1">
      <alignment horizontal="center" vertical="center"/>
    </xf>
    <xf numFmtId="2" fontId="39" fillId="8" borderId="1" xfId="9" applyNumberFormat="1" applyFont="1" applyFill="1" applyBorder="1" applyAlignment="1">
      <alignment horizontal="center"/>
    </xf>
    <xf numFmtId="170" fontId="44" fillId="8" borderId="1" xfId="5" applyNumberFormat="1" applyFont="1" applyFill="1" applyBorder="1" applyAlignment="1" applyProtection="1">
      <alignment horizontal="center" vertical="center"/>
    </xf>
    <xf numFmtId="166" fontId="47" fillId="8" borderId="1" xfId="5" applyNumberFormat="1" applyFont="1" applyFill="1" applyBorder="1" applyAlignment="1" applyProtection="1">
      <alignment horizontal="center"/>
    </xf>
    <xf numFmtId="1" fontId="48" fillId="0" borderId="1" xfId="4" applyNumberFormat="1" applyFont="1" applyBorder="1" applyAlignment="1">
      <alignment horizontal="center"/>
    </xf>
    <xf numFmtId="2" fontId="47" fillId="8" borderId="1" xfId="3" applyNumberFormat="1" applyFont="1" applyFill="1" applyBorder="1" applyAlignment="1">
      <alignment horizontal="right"/>
    </xf>
    <xf numFmtId="1" fontId="48" fillId="8" borderId="1" xfId="3" applyNumberFormat="1" applyFont="1" applyFill="1" applyBorder="1" applyAlignment="1">
      <alignment horizontal="center" vertical="center"/>
    </xf>
    <xf numFmtId="0" fontId="46" fillId="2" borderId="1" xfId="3" applyFont="1" applyFill="1" applyBorder="1" applyAlignment="1">
      <alignment horizontal="center"/>
    </xf>
    <xf numFmtId="171" fontId="46" fillId="8" borderId="1" xfId="5" applyNumberFormat="1" applyFont="1" applyFill="1" applyBorder="1" applyAlignment="1" applyProtection="1">
      <alignment horizontal="center" vertical="center"/>
    </xf>
    <xf numFmtId="1" fontId="46" fillId="2" borderId="1" xfId="3" applyNumberFormat="1" applyFont="1" applyFill="1" applyBorder="1" applyAlignment="1">
      <alignment horizontal="center" vertical="top"/>
    </xf>
    <xf numFmtId="0" fontId="39" fillId="0" borderId="1" xfId="4" applyFont="1" applyBorder="1" applyAlignment="1">
      <alignment horizontal="center" vertical="center"/>
    </xf>
    <xf numFmtId="0" fontId="39" fillId="8" borderId="1" xfId="3" applyFont="1" applyFill="1" applyBorder="1" applyAlignment="1">
      <alignment horizontal="center" vertical="center"/>
    </xf>
    <xf numFmtId="0" fontId="45" fillId="2" borderId="1" xfId="4" applyFont="1" applyFill="1" applyBorder="1" applyAlignment="1">
      <alignment horizontal="center" wrapText="1"/>
    </xf>
    <xf numFmtId="0" fontId="45" fillId="0" borderId="1" xfId="4" applyFont="1" applyFill="1" applyBorder="1" applyAlignment="1">
      <alignment horizontal="center" wrapText="1"/>
    </xf>
    <xf numFmtId="0" fontId="45" fillId="0" borderId="1" xfId="4" applyFont="1" applyBorder="1" applyAlignment="1">
      <alignment horizontal="center" wrapText="1"/>
    </xf>
    <xf numFmtId="0" fontId="45" fillId="2" borderId="1" xfId="4" applyFont="1" applyFill="1" applyBorder="1" applyAlignment="1">
      <alignment horizontal="center"/>
    </xf>
    <xf numFmtId="0" fontId="39" fillId="8" borderId="1" xfId="3" applyFont="1" applyFill="1" applyBorder="1" applyAlignment="1">
      <alignment horizontal="center"/>
    </xf>
    <xf numFmtId="0" fontId="39" fillId="2" borderId="1" xfId="3" applyFont="1" applyFill="1" applyBorder="1" applyAlignment="1">
      <alignment horizontal="center"/>
    </xf>
    <xf numFmtId="1" fontId="44" fillId="2" borderId="1" xfId="3" applyNumberFormat="1" applyFont="1" applyFill="1" applyBorder="1" applyAlignment="1">
      <alignment horizontal="center"/>
    </xf>
    <xf numFmtId="165" fontId="39" fillId="8" borderId="1" xfId="7" applyFont="1" applyFill="1" applyBorder="1" applyAlignment="1">
      <alignment horizontal="right" wrapText="1"/>
    </xf>
    <xf numFmtId="0" fontId="44" fillId="0" borderId="1" xfId="0" applyFont="1" applyBorder="1" applyAlignment="1">
      <alignment horizontal="center"/>
    </xf>
    <xf numFmtId="1" fontId="44" fillId="0" borderId="1" xfId="0" applyNumberFormat="1" applyFont="1" applyBorder="1" applyAlignment="1">
      <alignment horizontal="center"/>
    </xf>
    <xf numFmtId="0" fontId="44" fillId="0" borderId="1" xfId="0" applyFont="1" applyFill="1" applyBorder="1" applyAlignment="1">
      <alignment horizontal="center"/>
    </xf>
    <xf numFmtId="0" fontId="44" fillId="0" borderId="1" xfId="0" applyFont="1" applyFill="1" applyBorder="1"/>
    <xf numFmtId="1" fontId="44" fillId="0" borderId="1" xfId="0" applyNumberFormat="1" applyFont="1" applyFill="1" applyBorder="1" applyAlignment="1">
      <alignment horizontal="center"/>
    </xf>
    <xf numFmtId="0" fontId="44" fillId="0" borderId="0" xfId="0" applyFont="1"/>
    <xf numFmtId="1" fontId="44" fillId="0" borderId="0" xfId="0" applyNumberFormat="1" applyFont="1" applyAlignment="1">
      <alignment horizontal="center"/>
    </xf>
    <xf numFmtId="1" fontId="44" fillId="0" borderId="0" xfId="0" applyNumberFormat="1" applyFont="1"/>
    <xf numFmtId="1" fontId="39" fillId="12" borderId="1" xfId="5" applyNumberFormat="1" applyFont="1" applyFill="1" applyBorder="1" applyAlignment="1">
      <alignment horizontal="center"/>
    </xf>
    <xf numFmtId="0" fontId="45" fillId="0" borderId="1" xfId="4" applyFont="1" applyFill="1" applyBorder="1" applyAlignment="1">
      <alignment horizontal="center"/>
    </xf>
    <xf numFmtId="0" fontId="44" fillId="0" borderId="1" xfId="0" applyFont="1" applyBorder="1"/>
    <xf numFmtId="9" fontId="39" fillId="8" borderId="1" xfId="6" applyNumberFormat="1" applyFont="1" applyFill="1" applyBorder="1" applyAlignment="1">
      <alignment horizontal="center"/>
    </xf>
    <xf numFmtId="167" fontId="39" fillId="0" borderId="1" xfId="6" applyNumberFormat="1" applyFont="1" applyFill="1" applyBorder="1" applyAlignment="1"/>
    <xf numFmtId="1" fontId="39" fillId="8" borderId="1" xfId="5" applyNumberFormat="1" applyFont="1" applyFill="1" applyBorder="1" applyAlignment="1">
      <alignment horizontal="right"/>
    </xf>
    <xf numFmtId="0" fontId="49" fillId="0" borderId="0" xfId="0" applyFont="1"/>
    <xf numFmtId="1" fontId="49" fillId="0" borderId="0" xfId="0" applyNumberFormat="1" applyFont="1" applyAlignment="1">
      <alignment horizontal="center"/>
    </xf>
    <xf numFmtId="1" fontId="49" fillId="0" borderId="0" xfId="0" applyNumberFormat="1" applyFont="1"/>
    <xf numFmtId="2" fontId="20" fillId="8" borderId="9" xfId="3" applyNumberFormat="1" applyFont="1" applyFill="1" applyBorder="1" applyAlignment="1">
      <alignment horizontal="center"/>
    </xf>
    <xf numFmtId="166" fontId="39" fillId="8" borderId="12" xfId="3" applyNumberFormat="1" applyFont="1" applyFill="1" applyBorder="1" applyAlignment="1">
      <alignment horizontal="center" wrapText="1" shrinkToFit="1"/>
    </xf>
    <xf numFmtId="0" fontId="39" fillId="12" borderId="12" xfId="3" applyFont="1" applyFill="1" applyBorder="1" applyAlignment="1">
      <alignment horizontal="center"/>
    </xf>
    <xf numFmtId="1" fontId="39" fillId="8" borderId="12" xfId="5" applyNumberFormat="1" applyFont="1" applyFill="1" applyBorder="1" applyAlignment="1" applyProtection="1">
      <alignment horizontal="center"/>
    </xf>
    <xf numFmtId="1" fontId="39" fillId="2" borderId="12" xfId="5" applyNumberFormat="1" applyFont="1" applyFill="1" applyBorder="1" applyAlignment="1" applyProtection="1">
      <alignment horizontal="center"/>
    </xf>
    <xf numFmtId="1" fontId="39" fillId="12" borderId="12" xfId="3" applyNumberFormat="1" applyFont="1" applyFill="1" applyBorder="1" applyAlignment="1">
      <alignment horizontal="center" vertical="center"/>
    </xf>
    <xf numFmtId="1" fontId="44" fillId="0" borderId="12" xfId="0" applyNumberFormat="1" applyFont="1" applyBorder="1" applyAlignment="1">
      <alignment horizontal="center"/>
    </xf>
    <xf numFmtId="1" fontId="44" fillId="0" borderId="12" xfId="0" applyNumberFormat="1" applyFont="1" applyFill="1" applyBorder="1" applyAlignment="1">
      <alignment horizontal="center"/>
    </xf>
    <xf numFmtId="0" fontId="44" fillId="0" borderId="0" xfId="0" applyFont="1" applyBorder="1"/>
    <xf numFmtId="1" fontId="44" fillId="0" borderId="0" xfId="0" applyNumberFormat="1" applyFont="1" applyBorder="1" applyAlignment="1">
      <alignment horizontal="center"/>
    </xf>
    <xf numFmtId="1" fontId="44" fillId="0" borderId="24" xfId="0" applyNumberFormat="1" applyFont="1" applyBorder="1"/>
    <xf numFmtId="0" fontId="44" fillId="12" borderId="12" xfId="3" applyFont="1" applyFill="1" applyBorder="1" applyAlignment="1">
      <alignment horizontal="center"/>
    </xf>
    <xf numFmtId="1" fontId="39" fillId="12" borderId="12" xfId="5" applyNumberFormat="1" applyFont="1" applyFill="1" applyBorder="1" applyAlignment="1">
      <alignment horizontal="center"/>
    </xf>
    <xf numFmtId="2" fontId="39" fillId="8" borderId="6" xfId="3" applyNumberFormat="1" applyFont="1" applyFill="1" applyBorder="1" applyAlignment="1">
      <alignment horizontal="center"/>
    </xf>
    <xf numFmtId="9" fontId="39" fillId="8" borderId="6" xfId="6" applyNumberFormat="1" applyFont="1" applyFill="1" applyBorder="1" applyAlignment="1">
      <alignment horizontal="center"/>
    </xf>
    <xf numFmtId="2" fontId="39" fillId="8" borderId="6" xfId="3" applyNumberFormat="1" applyFont="1" applyFill="1" applyBorder="1" applyAlignment="1">
      <alignment horizontal="right"/>
    </xf>
    <xf numFmtId="1" fontId="39" fillId="8" borderId="17" xfId="5" applyNumberFormat="1" applyFont="1" applyFill="1" applyBorder="1" applyAlignment="1" applyProtection="1">
      <alignment horizontal="center"/>
    </xf>
    <xf numFmtId="9" fontId="33" fillId="9" borderId="16" xfId="3" applyNumberFormat="1" applyFont="1" applyFill="1" applyBorder="1" applyAlignment="1">
      <alignment horizontal="left"/>
    </xf>
    <xf numFmtId="0" fontId="34" fillId="0" borderId="1" xfId="4" applyFont="1" applyBorder="1" applyAlignment="1">
      <alignment horizontal="left"/>
    </xf>
    <xf numFmtId="168" fontId="33" fillId="9" borderId="16" xfId="3" applyNumberFormat="1" applyFont="1" applyFill="1" applyBorder="1" applyAlignment="1">
      <alignment horizontal="left"/>
    </xf>
    <xf numFmtId="0" fontId="33" fillId="9" borderId="16" xfId="3" applyFont="1" applyFill="1" applyBorder="1"/>
    <xf numFmtId="0" fontId="33" fillId="8" borderId="16" xfId="3" applyFont="1" applyFill="1" applyBorder="1" applyAlignment="1">
      <alignment horizontal="center" vertical="center"/>
    </xf>
    <xf numFmtId="0" fontId="33" fillId="8" borderId="16" xfId="3" applyFont="1" applyFill="1" applyBorder="1" applyAlignment="1">
      <alignment horizontal="left" vertical="center"/>
    </xf>
    <xf numFmtId="0" fontId="32" fillId="8" borderId="1" xfId="3" applyFont="1" applyFill="1" applyBorder="1" applyAlignment="1">
      <alignment horizontal="left" vertical="center"/>
    </xf>
    <xf numFmtId="0" fontId="33" fillId="8" borderId="20" xfId="3" applyFont="1" applyFill="1" applyBorder="1" applyAlignment="1">
      <alignment horizontal="left" vertical="center"/>
    </xf>
    <xf numFmtId="0" fontId="33" fillId="8" borderId="5" xfId="3" applyFont="1" applyFill="1" applyBorder="1" applyAlignment="1">
      <alignment horizontal="left" vertical="center"/>
    </xf>
    <xf numFmtId="0" fontId="33" fillId="8" borderId="10" xfId="3" applyFont="1" applyFill="1" applyBorder="1" applyAlignment="1">
      <alignment horizontal="left" vertical="center"/>
    </xf>
    <xf numFmtId="169" fontId="33" fillId="8" borderId="16" xfId="3" applyNumberFormat="1" applyFont="1" applyFill="1" applyBorder="1" applyAlignment="1">
      <alignment vertical="center"/>
    </xf>
    <xf numFmtId="169" fontId="32" fillId="8" borderId="1" xfId="3" applyNumberFormat="1" applyFont="1" applyFill="1" applyBorder="1" applyAlignment="1">
      <alignment vertical="center"/>
    </xf>
    <xf numFmtId="0" fontId="33" fillId="13" borderId="16" xfId="3" applyFont="1" applyFill="1" applyBorder="1" applyAlignment="1">
      <alignment horizontal="center"/>
    </xf>
    <xf numFmtId="0" fontId="32" fillId="13" borderId="1" xfId="3" applyFont="1" applyFill="1" applyBorder="1" applyAlignment="1">
      <alignment horizontal="center"/>
    </xf>
    <xf numFmtId="0" fontId="33" fillId="2" borderId="16" xfId="3" applyFont="1" applyFill="1" applyBorder="1" applyAlignment="1">
      <alignment horizontal="left" vertical="center"/>
    </xf>
    <xf numFmtId="0" fontId="32" fillId="2" borderId="1" xfId="3" applyFont="1" applyFill="1" applyBorder="1" applyAlignment="1">
      <alignment horizontal="left" vertical="center"/>
    </xf>
    <xf numFmtId="0" fontId="32" fillId="8" borderId="1" xfId="3" applyFont="1" applyFill="1" applyBorder="1" applyAlignment="1">
      <alignment horizontal="left"/>
    </xf>
    <xf numFmtId="0" fontId="33" fillId="13" borderId="16" xfId="3" applyFont="1" applyFill="1" applyBorder="1" applyAlignment="1">
      <alignment horizontal="center" vertical="center"/>
    </xf>
    <xf numFmtId="0" fontId="32" fillId="13" borderId="1" xfId="3" applyFont="1" applyFill="1" applyBorder="1" applyAlignment="1">
      <alignment horizontal="center" vertical="center"/>
    </xf>
    <xf numFmtId="0" fontId="43" fillId="2" borderId="13" xfId="3" applyFont="1" applyFill="1" applyBorder="1" applyAlignment="1">
      <alignment horizontal="center"/>
    </xf>
    <xf numFmtId="0" fontId="43" fillId="2" borderId="3" xfId="3" applyFont="1" applyFill="1" applyBorder="1" applyAlignment="1">
      <alignment horizontal="center"/>
    </xf>
    <xf numFmtId="0" fontId="43" fillId="2" borderId="4" xfId="3" applyFont="1" applyFill="1" applyBorder="1" applyAlignment="1">
      <alignment horizontal="center"/>
    </xf>
    <xf numFmtId="0" fontId="43" fillId="13" borderId="13" xfId="3" applyFont="1" applyFill="1" applyBorder="1" applyAlignment="1">
      <alignment horizontal="center"/>
    </xf>
    <xf numFmtId="0" fontId="43" fillId="13" borderId="3" xfId="3" applyFont="1" applyFill="1" applyBorder="1" applyAlignment="1">
      <alignment horizontal="center"/>
    </xf>
    <xf numFmtId="0" fontId="43" fillId="13" borderId="4" xfId="3" applyFont="1" applyFill="1" applyBorder="1" applyAlignment="1">
      <alignment horizontal="center"/>
    </xf>
    <xf numFmtId="0" fontId="33" fillId="12" borderId="16" xfId="3" applyFont="1" applyFill="1" applyBorder="1" applyAlignment="1">
      <alignment horizontal="left"/>
    </xf>
    <xf numFmtId="2" fontId="33" fillId="8" borderId="16" xfId="3" applyNumberFormat="1" applyFont="1" applyFill="1" applyBorder="1" applyAlignment="1">
      <alignment horizontal="left" vertical="center"/>
    </xf>
    <xf numFmtId="2" fontId="32" fillId="8" borderId="1" xfId="3" applyNumberFormat="1" applyFont="1" applyFill="1" applyBorder="1" applyAlignment="1">
      <alignment horizontal="left" vertical="center"/>
    </xf>
    <xf numFmtId="0" fontId="32" fillId="8" borderId="1" xfId="3" applyFont="1" applyFill="1" applyBorder="1" applyAlignment="1">
      <alignment horizontal="left" vertical="justify"/>
    </xf>
    <xf numFmtId="9" fontId="39" fillId="9" borderId="1" xfId="4" applyNumberFormat="1" applyFont="1" applyFill="1" applyBorder="1"/>
    <xf numFmtId="0" fontId="39" fillId="9" borderId="1" xfId="3" applyFont="1" applyFill="1" applyBorder="1" applyAlignment="1"/>
    <xf numFmtId="1" fontId="33" fillId="9" borderId="12" xfId="3" applyNumberFormat="1" applyFont="1" applyFill="1" applyBorder="1" applyAlignment="1">
      <alignment horizontal="center" vertical="center"/>
    </xf>
    <xf numFmtId="0" fontId="33" fillId="9" borderId="1" xfId="3" applyFont="1" applyFill="1" applyBorder="1" applyAlignment="1">
      <alignment horizontal="left"/>
    </xf>
    <xf numFmtId="1" fontId="33" fillId="9" borderId="12" xfId="3" applyNumberFormat="1" applyFont="1" applyFill="1" applyBorder="1" applyAlignment="1">
      <alignment horizontal="center"/>
    </xf>
    <xf numFmtId="9" fontId="33" fillId="9" borderId="1" xfId="3" applyNumberFormat="1" applyFont="1" applyFill="1" applyBorder="1" applyAlignment="1">
      <alignment horizontal="left"/>
    </xf>
    <xf numFmtId="0" fontId="39" fillId="8" borderId="7" xfId="3" applyFont="1" applyFill="1" applyBorder="1" applyAlignment="1">
      <alignment horizontal="center"/>
    </xf>
    <xf numFmtId="164" fontId="48" fillId="8" borderId="1" xfId="8" applyFont="1" applyFill="1" applyBorder="1" applyAlignment="1">
      <alignment horizontal="center"/>
    </xf>
    <xf numFmtId="0" fontId="48" fillId="8" borderId="1" xfId="3" applyFont="1" applyFill="1" applyBorder="1" applyAlignment="1">
      <alignment horizontal="center"/>
    </xf>
    <xf numFmtId="0" fontId="39" fillId="2" borderId="1" xfId="3" applyFont="1" applyFill="1" applyBorder="1" applyAlignment="1">
      <alignment horizontal="center" vertical="center"/>
    </xf>
    <xf numFmtId="0" fontId="44" fillId="0" borderId="4" xfId="0" applyFont="1" applyBorder="1" applyAlignment="1">
      <alignment horizontal="center"/>
    </xf>
    <xf numFmtId="0" fontId="49" fillId="0" borderId="4" xfId="0" applyFont="1" applyFill="1" applyBorder="1"/>
    <xf numFmtId="0" fontId="44" fillId="0" borderId="4" xfId="0" applyFont="1" applyFill="1" applyBorder="1" applyAlignment="1">
      <alignment horizontal="center"/>
    </xf>
    <xf numFmtId="0" fontId="39" fillId="8" borderId="6" xfId="3" applyFont="1" applyFill="1" applyBorder="1" applyAlignment="1">
      <alignment horizontal="center"/>
    </xf>
    <xf numFmtId="0" fontId="39" fillId="10" borderId="1" xfId="4" applyFont="1" applyFill="1" applyBorder="1" applyAlignment="1">
      <alignment horizontal="center"/>
    </xf>
    <xf numFmtId="0" fontId="39" fillId="0" borderId="1" xfId="3" applyFont="1" applyFill="1" applyBorder="1" applyAlignment="1">
      <alignment horizontal="center"/>
    </xf>
    <xf numFmtId="1" fontId="51" fillId="0" borderId="0" xfId="0" applyNumberFormat="1" applyFont="1"/>
    <xf numFmtId="0" fontId="44" fillId="0" borderId="1" xfId="3" applyFont="1" applyFill="1" applyBorder="1" applyAlignment="1">
      <alignment horizontal="center"/>
    </xf>
    <xf numFmtId="1" fontId="39" fillId="0" borderId="1" xfId="5" applyNumberFormat="1" applyFont="1" applyFill="1" applyBorder="1" applyAlignment="1">
      <alignment horizontal="center" vertical="center"/>
    </xf>
    <xf numFmtId="0" fontId="39" fillId="0" borderId="1" xfId="0" applyFont="1" applyBorder="1" applyAlignment="1">
      <alignment horizontal="center"/>
    </xf>
    <xf numFmtId="1" fontId="39" fillId="0" borderId="1" xfId="3" applyNumberFormat="1" applyFont="1" applyFill="1" applyBorder="1" applyAlignment="1">
      <alignment horizontal="center"/>
    </xf>
    <xf numFmtId="1" fontId="39" fillId="0" borderId="12" xfId="5" applyNumberFormat="1" applyFont="1" applyFill="1" applyBorder="1" applyAlignment="1" applyProtection="1">
      <alignment horizontal="center"/>
    </xf>
    <xf numFmtId="1" fontId="52" fillId="0" borderId="0" xfId="0" applyNumberFormat="1" applyFont="1" applyFill="1" applyAlignment="1">
      <alignment horizontal="center"/>
    </xf>
    <xf numFmtId="0" fontId="24" fillId="0" borderId="0" xfId="0" applyFont="1" applyAlignment="1">
      <alignment horizontal="center"/>
    </xf>
    <xf numFmtId="0" fontId="35" fillId="0" borderId="16" xfId="4" applyFont="1" applyFill="1" applyBorder="1"/>
    <xf numFmtId="0" fontId="36" fillId="0" borderId="1" xfId="0" applyFont="1" applyFill="1" applyBorder="1"/>
    <xf numFmtId="0" fontId="39" fillId="0" borderId="1" xfId="4" applyFont="1" applyFill="1" applyBorder="1"/>
    <xf numFmtId="0" fontId="38" fillId="0" borderId="1" xfId="0" applyFont="1" applyBorder="1"/>
    <xf numFmtId="0" fontId="40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30" fillId="10" borderId="1" xfId="0" applyFont="1" applyFill="1" applyBorder="1"/>
    <xf numFmtId="1" fontId="17" fillId="0" borderId="1" xfId="0" applyNumberFormat="1" applyFont="1" applyFill="1" applyBorder="1" applyAlignment="1">
      <alignment horizontal="center" wrapText="1"/>
    </xf>
    <xf numFmtId="0" fontId="17" fillId="0" borderId="1" xfId="0" applyFont="1" applyBorder="1" applyAlignment="1">
      <alignment horizontal="center" wrapText="1"/>
    </xf>
    <xf numFmtId="0" fontId="17" fillId="0" borderId="22" xfId="0" applyFont="1" applyBorder="1" applyAlignment="1">
      <alignment horizontal="center" wrapText="1"/>
    </xf>
    <xf numFmtId="1" fontId="17" fillId="0" borderId="1" xfId="0" applyNumberFormat="1" applyFont="1" applyBorder="1" applyAlignment="1">
      <alignment horizontal="center" wrapText="1"/>
    </xf>
    <xf numFmtId="0" fontId="17" fillId="0" borderId="1" xfId="0" applyFont="1" applyFill="1" applyBorder="1" applyAlignment="1">
      <alignment horizontal="center" wrapText="1"/>
    </xf>
    <xf numFmtId="1" fontId="17" fillId="2" borderId="1" xfId="0" applyNumberFormat="1" applyFont="1" applyFill="1" applyBorder="1" applyAlignment="1">
      <alignment horizontal="center" wrapText="1"/>
    </xf>
    <xf numFmtId="1" fontId="55" fillId="0" borderId="1" xfId="0" applyNumberFormat="1" applyFont="1" applyFill="1" applyBorder="1" applyAlignment="1">
      <alignment horizontal="center" wrapText="1"/>
    </xf>
    <xf numFmtId="1" fontId="55" fillId="0" borderId="1" xfId="0" applyNumberFormat="1" applyFont="1" applyBorder="1" applyAlignment="1">
      <alignment horizontal="center" wrapText="1"/>
    </xf>
    <xf numFmtId="0" fontId="30" fillId="0" borderId="1" xfId="0" applyFont="1" applyFill="1" applyBorder="1" applyAlignment="1">
      <alignment vertical="center" wrapText="1"/>
    </xf>
    <xf numFmtId="0" fontId="30" fillId="0" borderId="1" xfId="0" applyFont="1" applyFill="1" applyBorder="1"/>
    <xf numFmtId="16" fontId="17" fillId="0" borderId="0" xfId="0" applyNumberFormat="1" applyFont="1" applyBorder="1" applyAlignment="1">
      <alignment horizontal="center" wrapText="1"/>
    </xf>
    <xf numFmtId="172" fontId="18" fillId="9" borderId="1" xfId="3" applyNumberFormat="1" applyFont="1" applyFill="1" applyBorder="1" applyAlignment="1">
      <alignment horizontal="center"/>
    </xf>
    <xf numFmtId="0" fontId="7" fillId="0" borderId="4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57" fillId="0" borderId="25" xfId="16" applyFont="1" applyBorder="1" applyAlignment="1">
      <alignment horizontal="center"/>
    </xf>
    <xf numFmtId="0" fontId="58" fillId="0" borderId="25" xfId="16" applyFont="1" applyBorder="1" applyAlignment="1">
      <alignment horizontal="center"/>
    </xf>
    <xf numFmtId="1" fontId="58" fillId="0" borderId="25" xfId="16" applyNumberFormat="1" applyFont="1" applyBorder="1" applyAlignment="1">
      <alignment horizontal="center"/>
    </xf>
    <xf numFmtId="1" fontId="57" fillId="0" borderId="25" xfId="16" applyNumberFormat="1" applyFont="1" applyBorder="1" applyAlignment="1">
      <alignment horizontal="center" wrapText="1"/>
    </xf>
    <xf numFmtId="0" fontId="57" fillId="0" borderId="25" xfId="16" applyFont="1" applyBorder="1" applyAlignment="1">
      <alignment horizontal="center" wrapText="1"/>
    </xf>
    <xf numFmtId="0" fontId="57" fillId="0" borderId="0" xfId="16" applyFont="1" applyAlignment="1">
      <alignment wrapText="1"/>
    </xf>
    <xf numFmtId="0" fontId="57" fillId="0" borderId="0" xfId="16" applyFont="1"/>
    <xf numFmtId="0" fontId="17" fillId="0" borderId="0" xfId="16" applyFont="1" applyAlignment="1">
      <alignment horizontal="center"/>
    </xf>
    <xf numFmtId="0" fontId="54" fillId="0" borderId="0" xfId="16" applyFont="1" applyAlignment="1">
      <alignment horizontal="center"/>
    </xf>
    <xf numFmtId="1" fontId="54" fillId="0" borderId="0" xfId="16" applyNumberFormat="1" applyFont="1" applyAlignment="1">
      <alignment horizontal="center"/>
    </xf>
    <xf numFmtId="1" fontId="3" fillId="0" borderId="0" xfId="16" applyNumberFormat="1" applyAlignment="1">
      <alignment horizontal="center"/>
    </xf>
    <xf numFmtId="2" fontId="3" fillId="0" borderId="0" xfId="16" applyNumberFormat="1" applyAlignment="1">
      <alignment horizontal="center"/>
    </xf>
    <xf numFmtId="2" fontId="3" fillId="0" borderId="0" xfId="16" applyNumberFormat="1"/>
    <xf numFmtId="0" fontId="3" fillId="0" borderId="0" xfId="16"/>
    <xf numFmtId="0" fontId="3" fillId="0" borderId="0" xfId="16" applyAlignment="1">
      <alignment horizontal="center"/>
    </xf>
    <xf numFmtId="1" fontId="57" fillId="0" borderId="1" xfId="16" applyNumberFormat="1" applyFont="1" applyBorder="1" applyAlignment="1">
      <alignment horizontal="center" wrapText="1"/>
    </xf>
    <xf numFmtId="1" fontId="59" fillId="0" borderId="1" xfId="0" applyNumberFormat="1" applyFont="1" applyBorder="1" applyAlignment="1">
      <alignment horizontal="center"/>
    </xf>
    <xf numFmtId="2" fontId="39" fillId="2" borderId="1" xfId="3" applyNumberFormat="1" applyFont="1" applyFill="1" applyBorder="1" applyAlignment="1">
      <alignment horizontal="right"/>
    </xf>
    <xf numFmtId="0" fontId="0" fillId="0" borderId="1" xfId="0" applyBorder="1" applyAlignment="1">
      <alignment wrapText="1"/>
    </xf>
    <xf numFmtId="0" fontId="57" fillId="0" borderId="5" xfId="17" applyFont="1" applyBorder="1"/>
    <xf numFmtId="0" fontId="58" fillId="0" borderId="5" xfId="17" applyFont="1" applyBorder="1" applyAlignment="1">
      <alignment horizontal="center"/>
    </xf>
    <xf numFmtId="0" fontId="57" fillId="0" borderId="0" xfId="17" applyFont="1"/>
    <xf numFmtId="0" fontId="17" fillId="0" borderId="0" xfId="18" applyFont="1" applyAlignment="1">
      <alignment horizontal="center"/>
    </xf>
    <xf numFmtId="0" fontId="53" fillId="0" borderId="0" xfId="17" applyFont="1" applyAlignment="1">
      <alignment horizontal="center"/>
    </xf>
    <xf numFmtId="0" fontId="2" fillId="0" borderId="0" xfId="17"/>
    <xf numFmtId="0" fontId="2" fillId="0" borderId="0" xfId="17" applyAlignment="1">
      <alignment horizontal="center"/>
    </xf>
    <xf numFmtId="1" fontId="60" fillId="0" borderId="5" xfId="17" applyNumberFormat="1" applyFont="1" applyFill="1" applyBorder="1" applyAlignment="1">
      <alignment horizontal="center" wrapText="1"/>
    </xf>
    <xf numFmtId="1" fontId="61" fillId="0" borderId="5" xfId="17" applyNumberFormat="1" applyFont="1" applyFill="1" applyBorder="1" applyAlignment="1">
      <alignment horizontal="center" wrapText="1"/>
    </xf>
    <xf numFmtId="1" fontId="62" fillId="0" borderId="5" xfId="17" applyNumberFormat="1" applyFont="1" applyFill="1" applyBorder="1" applyAlignment="1">
      <alignment horizontal="center" wrapText="1"/>
    </xf>
    <xf numFmtId="1" fontId="63" fillId="0" borderId="0" xfId="17" applyNumberFormat="1" applyFont="1" applyFill="1" applyAlignment="1">
      <alignment horizontal="center"/>
    </xf>
    <xf numFmtId="1" fontId="64" fillId="0" borderId="0" xfId="17" applyNumberFormat="1" applyFont="1" applyFill="1" applyAlignment="1">
      <alignment horizontal="center"/>
    </xf>
    <xf numFmtId="1" fontId="65" fillId="0" borderId="0" xfId="17" applyNumberFormat="1" applyFont="1" applyFill="1" applyAlignment="1">
      <alignment horizontal="center"/>
    </xf>
    <xf numFmtId="1" fontId="2" fillId="0" borderId="0" xfId="17" applyNumberFormat="1" applyFill="1" applyAlignment="1">
      <alignment horizontal="center"/>
    </xf>
    <xf numFmtId="0" fontId="2" fillId="0" borderId="0" xfId="17" applyFill="1" applyAlignment="1">
      <alignment horizontal="center"/>
    </xf>
    <xf numFmtId="0" fontId="2" fillId="0" borderId="0" xfId="17" applyFill="1"/>
    <xf numFmtId="1" fontId="61" fillId="10" borderId="5" xfId="17" applyNumberFormat="1" applyFont="1" applyFill="1" applyBorder="1" applyAlignment="1">
      <alignment horizontal="center" wrapText="1"/>
    </xf>
    <xf numFmtId="1" fontId="64" fillId="10" borderId="0" xfId="17" applyNumberFormat="1" applyFont="1" applyFill="1" applyAlignment="1">
      <alignment horizontal="center"/>
    </xf>
    <xf numFmtId="0" fontId="2" fillId="10" borderId="0" xfId="17" applyFill="1"/>
    <xf numFmtId="0" fontId="55" fillId="0" borderId="4" xfId="0" applyFont="1" applyBorder="1" applyAlignment="1">
      <alignment horizontal="center" vertical="top" wrapText="1"/>
    </xf>
    <xf numFmtId="0" fontId="17" fillId="0" borderId="18" xfId="0" applyNumberFormat="1" applyFont="1" applyBorder="1" applyAlignment="1">
      <alignment horizontal="center" wrapText="1"/>
    </xf>
    <xf numFmtId="1" fontId="17" fillId="0" borderId="18" xfId="0" applyNumberFormat="1" applyFont="1" applyBorder="1" applyAlignment="1">
      <alignment horizontal="center" wrapText="1"/>
    </xf>
    <xf numFmtId="1" fontId="57" fillId="0" borderId="27" xfId="16" applyNumberFormat="1" applyFont="1" applyFill="1" applyBorder="1" applyAlignment="1">
      <alignment horizontal="center" wrapText="1"/>
    </xf>
    <xf numFmtId="0" fontId="33" fillId="8" borderId="1" xfId="3" applyFont="1" applyFill="1" applyBorder="1" applyAlignment="1">
      <alignment horizontal="center"/>
    </xf>
    <xf numFmtId="0" fontId="38" fillId="0" borderId="1" xfId="0" applyFont="1" applyBorder="1" applyAlignment="1">
      <alignment horizontal="center"/>
    </xf>
    <xf numFmtId="1" fontId="33" fillId="2" borderId="1" xfId="5" applyNumberFormat="1" applyFont="1" applyFill="1" applyBorder="1" applyAlignment="1">
      <alignment horizontal="center" vertical="center"/>
    </xf>
    <xf numFmtId="0" fontId="2" fillId="2" borderId="0" xfId="17" applyFill="1"/>
    <xf numFmtId="0" fontId="12" fillId="0" borderId="0" xfId="0" applyFont="1"/>
    <xf numFmtId="0" fontId="12" fillId="15" borderId="0" xfId="0" applyFont="1" applyFill="1" applyBorder="1" applyAlignment="1">
      <alignment horizontal="center"/>
    </xf>
    <xf numFmtId="0" fontId="12" fillId="0" borderId="0" xfId="0" applyFont="1" applyFill="1"/>
    <xf numFmtId="1" fontId="12" fillId="0" borderId="0" xfId="0" applyNumberFormat="1" applyFont="1"/>
    <xf numFmtId="0" fontId="12" fillId="12" borderId="0" xfId="0" applyFont="1" applyFill="1"/>
    <xf numFmtId="0" fontId="12" fillId="0" borderId="0" xfId="0" applyNumberFormat="1" applyFont="1"/>
    <xf numFmtId="0" fontId="66" fillId="0" borderId="1" xfId="0" applyFont="1" applyBorder="1"/>
    <xf numFmtId="0" fontId="12" fillId="0" borderId="1" xfId="0" applyFont="1" applyBorder="1"/>
    <xf numFmtId="0" fontId="12" fillId="16" borderId="1" xfId="0" applyFont="1" applyFill="1" applyBorder="1"/>
    <xf numFmtId="0" fontId="12" fillId="0" borderId="0" xfId="0" applyFont="1" applyBorder="1"/>
    <xf numFmtId="0" fontId="38" fillId="0" borderId="1" xfId="0" applyFont="1" applyBorder="1" applyAlignment="1">
      <alignment horizontal="left"/>
    </xf>
    <xf numFmtId="0" fontId="33" fillId="8" borderId="16" xfId="3" applyFont="1" applyFill="1" applyBorder="1" applyAlignment="1">
      <alignment horizontal="left"/>
    </xf>
    <xf numFmtId="0" fontId="33" fillId="8" borderId="1" xfId="3" applyFont="1" applyFill="1" applyBorder="1" applyAlignment="1">
      <alignment horizontal="left"/>
    </xf>
    <xf numFmtId="0" fontId="33" fillId="9" borderId="1" xfId="3" applyFont="1" applyFill="1" applyBorder="1" applyAlignment="1">
      <alignment horizontal="center"/>
    </xf>
    <xf numFmtId="0" fontId="37" fillId="0" borderId="1" xfId="4" applyFont="1" applyBorder="1" applyAlignment="1">
      <alignment horizontal="left"/>
    </xf>
    <xf numFmtId="0" fontId="32" fillId="12" borderId="1" xfId="3" applyFont="1" applyFill="1" applyBorder="1" applyAlignment="1">
      <alignment horizontal="left"/>
    </xf>
    <xf numFmtId="1" fontId="44" fillId="0" borderId="1" xfId="0" applyNumberFormat="1" applyFont="1" applyBorder="1"/>
    <xf numFmtId="1" fontId="39" fillId="8" borderId="1" xfId="5" applyNumberFormat="1" applyFont="1" applyFill="1" applyBorder="1" applyAlignment="1" applyProtection="1">
      <alignment horizontal="center"/>
    </xf>
    <xf numFmtId="0" fontId="38" fillId="0" borderId="2" xfId="0" applyFont="1" applyBorder="1" applyAlignment="1"/>
    <xf numFmtId="0" fontId="38" fillId="0" borderId="3" xfId="0" applyFont="1" applyBorder="1" applyAlignment="1"/>
    <xf numFmtId="0" fontId="38" fillId="0" borderId="4" xfId="0" applyFont="1" applyBorder="1" applyAlignment="1"/>
    <xf numFmtId="0" fontId="38" fillId="2" borderId="0" xfId="0" applyFont="1" applyFill="1" applyBorder="1"/>
    <xf numFmtId="0" fontId="38" fillId="2" borderId="1" xfId="0" applyFont="1" applyFill="1" applyBorder="1" applyAlignment="1">
      <alignment horizontal="left"/>
    </xf>
    <xf numFmtId="0" fontId="41" fillId="2" borderId="1" xfId="0" applyFont="1" applyFill="1" applyBorder="1" applyAlignment="1">
      <alignment horizontal="left"/>
    </xf>
    <xf numFmtId="0" fontId="39" fillId="2" borderId="1" xfId="4" applyFont="1" applyFill="1" applyBorder="1"/>
    <xf numFmtId="1" fontId="39" fillId="2" borderId="1" xfId="5" applyNumberFormat="1" applyFont="1" applyFill="1" applyBorder="1" applyAlignment="1" applyProtection="1">
      <alignment horizontal="center"/>
    </xf>
    <xf numFmtId="0" fontId="25" fillId="17" borderId="3" xfId="3" applyFont="1" applyFill="1" applyBorder="1" applyAlignment="1">
      <alignment vertical="justify"/>
    </xf>
    <xf numFmtId="0" fontId="25" fillId="17" borderId="21" xfId="3" applyFont="1" applyFill="1" applyBorder="1" applyAlignment="1">
      <alignment vertical="justify"/>
    </xf>
    <xf numFmtId="0" fontId="39" fillId="17" borderId="1" xfId="3" applyFont="1" applyFill="1" applyBorder="1" applyAlignment="1">
      <alignment horizontal="center"/>
    </xf>
    <xf numFmtId="1" fontId="44" fillId="17" borderId="1" xfId="3" applyNumberFormat="1" applyFont="1" applyFill="1" applyBorder="1" applyAlignment="1">
      <alignment horizontal="center"/>
    </xf>
    <xf numFmtId="0" fontId="39" fillId="17" borderId="12" xfId="3" applyFont="1" applyFill="1" applyBorder="1" applyAlignment="1">
      <alignment horizontal="center"/>
    </xf>
    <xf numFmtId="0" fontId="44" fillId="17" borderId="1" xfId="3" applyFont="1" applyFill="1" applyBorder="1" applyAlignment="1">
      <alignment horizontal="center"/>
    </xf>
    <xf numFmtId="0" fontId="44" fillId="17" borderId="12" xfId="3" applyFont="1" applyFill="1" applyBorder="1" applyAlignment="1">
      <alignment horizontal="center"/>
    </xf>
    <xf numFmtId="1" fontId="51" fillId="2" borderId="0" xfId="0" applyNumberFormat="1" applyFont="1" applyFill="1"/>
    <xf numFmtId="0" fontId="33" fillId="8" borderId="16" xfId="3" applyFont="1" applyFill="1" applyBorder="1" applyAlignment="1">
      <alignment horizontal="left"/>
    </xf>
    <xf numFmtId="0" fontId="33" fillId="8" borderId="1" xfId="3" applyFont="1" applyFill="1" applyBorder="1" applyAlignment="1">
      <alignment horizontal="left"/>
    </xf>
    <xf numFmtId="0" fontId="38" fillId="0" borderId="1" xfId="0" applyFont="1" applyBorder="1" applyAlignment="1">
      <alignment horizontal="left"/>
    </xf>
    <xf numFmtId="0" fontId="33" fillId="9" borderId="1" xfId="3" applyFont="1" applyFill="1" applyBorder="1" applyAlignment="1">
      <alignment horizontal="center"/>
    </xf>
    <xf numFmtId="0" fontId="32" fillId="12" borderId="1" xfId="3" applyFont="1" applyFill="1" applyBorder="1" applyAlignment="1">
      <alignment horizontal="left"/>
    </xf>
    <xf numFmtId="0" fontId="12" fillId="0" borderId="1" xfId="0" applyNumberFormat="1" applyFont="1" applyBorder="1"/>
    <xf numFmtId="2" fontId="12" fillId="0" borderId="1" xfId="0" applyNumberFormat="1" applyFont="1" applyBorder="1"/>
    <xf numFmtId="2" fontId="39" fillId="0" borderId="1" xfId="4" applyNumberFormat="1" applyFont="1" applyFill="1" applyBorder="1" applyAlignment="1">
      <alignment horizontal="center"/>
    </xf>
    <xf numFmtId="2" fontId="39" fillId="0" borderId="1" xfId="4" applyNumberFormat="1" applyFont="1" applyBorder="1" applyAlignment="1">
      <alignment horizontal="center"/>
    </xf>
    <xf numFmtId="0" fontId="39" fillId="0" borderId="1" xfId="4" applyFont="1" applyBorder="1"/>
    <xf numFmtId="166" fontId="46" fillId="2" borderId="1" xfId="5" applyNumberFormat="1" applyFont="1" applyFill="1" applyBorder="1" applyAlignment="1">
      <alignment horizontal="center" vertical="center"/>
    </xf>
    <xf numFmtId="1" fontId="47" fillId="2" borderId="1" xfId="5" applyNumberFormat="1" applyFont="1" applyFill="1" applyBorder="1" applyAlignment="1">
      <alignment horizontal="center" vertical="center"/>
    </xf>
    <xf numFmtId="1" fontId="39" fillId="2" borderId="7" xfId="5" applyNumberFormat="1" applyFont="1" applyFill="1" applyBorder="1" applyAlignment="1">
      <alignment horizontal="center" vertical="center"/>
    </xf>
    <xf numFmtId="0" fontId="39" fillId="0" borderId="0" xfId="4" applyFont="1" applyBorder="1" applyAlignment="1">
      <alignment horizontal="center"/>
    </xf>
    <xf numFmtId="0" fontId="17" fillId="0" borderId="1" xfId="0" applyNumberFormat="1" applyFont="1" applyBorder="1" applyAlignment="1">
      <alignment horizontal="center" wrapText="1"/>
    </xf>
    <xf numFmtId="2" fontId="39" fillId="8" borderId="0" xfId="3" applyNumberFormat="1" applyFont="1" applyFill="1" applyBorder="1" applyAlignment="1">
      <alignment horizontal="center"/>
    </xf>
    <xf numFmtId="0" fontId="39" fillId="0" borderId="0" xfId="3" applyFont="1" applyFill="1" applyBorder="1" applyAlignment="1">
      <alignment horizontal="center"/>
    </xf>
    <xf numFmtId="1" fontId="39" fillId="2" borderId="0" xfId="5" applyNumberFormat="1" applyFont="1" applyFill="1" applyBorder="1" applyAlignment="1">
      <alignment horizontal="center" vertical="center"/>
    </xf>
    <xf numFmtId="1" fontId="39" fillId="8" borderId="0" xfId="3" applyNumberFormat="1" applyFont="1" applyFill="1" applyBorder="1" applyAlignment="1">
      <alignment horizontal="center"/>
    </xf>
    <xf numFmtId="0" fontId="56" fillId="2" borderId="1" xfId="0" applyFont="1" applyFill="1" applyBorder="1" applyAlignment="1">
      <alignment horizontal="center"/>
    </xf>
    <xf numFmtId="0" fontId="37" fillId="0" borderId="0" xfId="4" applyFont="1" applyBorder="1" applyAlignment="1">
      <alignment horizontal="left"/>
    </xf>
    <xf numFmtId="1" fontId="39" fillId="8" borderId="0" xfId="5" applyNumberFormat="1" applyFont="1" applyFill="1" applyBorder="1" applyAlignment="1" applyProtection="1">
      <alignment horizontal="center"/>
    </xf>
    <xf numFmtId="0" fontId="39" fillId="0" borderId="5" xfId="4" applyFont="1" applyBorder="1" applyAlignment="1">
      <alignment horizontal="center"/>
    </xf>
    <xf numFmtId="2" fontId="39" fillId="8" borderId="5" xfId="3" applyNumberFormat="1" applyFont="1" applyFill="1" applyBorder="1" applyAlignment="1">
      <alignment horizontal="center"/>
    </xf>
    <xf numFmtId="0" fontId="39" fillId="0" borderId="5" xfId="3" applyFont="1" applyFill="1" applyBorder="1" applyAlignment="1">
      <alignment horizontal="center"/>
    </xf>
    <xf numFmtId="1" fontId="39" fillId="2" borderId="5" xfId="5" applyNumberFormat="1" applyFont="1" applyFill="1" applyBorder="1" applyAlignment="1">
      <alignment horizontal="center" vertical="center"/>
    </xf>
    <xf numFmtId="1" fontId="39" fillId="8" borderId="5" xfId="3" applyNumberFormat="1" applyFont="1" applyFill="1" applyBorder="1" applyAlignment="1">
      <alignment horizontal="center"/>
    </xf>
    <xf numFmtId="1" fontId="39" fillId="8" borderId="5" xfId="5" applyNumberFormat="1" applyFont="1" applyFill="1" applyBorder="1" applyAlignment="1" applyProtection="1">
      <alignment horizontal="center"/>
    </xf>
    <xf numFmtId="1" fontId="22" fillId="0" borderId="0" xfId="0" applyNumberFormat="1" applyFont="1"/>
    <xf numFmtId="0" fontId="44" fillId="2" borderId="1" xfId="0" applyFont="1" applyFill="1" applyBorder="1" applyAlignment="1">
      <alignment horizontal="center"/>
    </xf>
    <xf numFmtId="172" fontId="20" fillId="9" borderId="1" xfId="3" applyNumberFormat="1" applyFont="1" applyFill="1" applyBorder="1" applyAlignment="1">
      <alignment horizontal="center"/>
    </xf>
    <xf numFmtId="0" fontId="49" fillId="0" borderId="1" xfId="0" applyFont="1" applyFill="1" applyBorder="1" applyAlignment="1">
      <alignment horizontal="center"/>
    </xf>
    <xf numFmtId="1" fontId="49" fillId="0" borderId="1" xfId="0" applyNumberFormat="1" applyFont="1" applyFill="1" applyBorder="1" applyAlignment="1">
      <alignment horizontal="center"/>
    </xf>
    <xf numFmtId="0" fontId="49" fillId="0" borderId="1" xfId="0" applyFont="1" applyFill="1" applyBorder="1"/>
    <xf numFmtId="1" fontId="57" fillId="0" borderId="28" xfId="16" applyNumberFormat="1" applyFont="1" applyFill="1" applyBorder="1" applyAlignment="1">
      <alignment horizontal="center" wrapText="1"/>
    </xf>
    <xf numFmtId="1" fontId="3" fillId="0" borderId="1" xfId="16" applyNumberFormat="1" applyBorder="1" applyAlignment="1"/>
    <xf numFmtId="1" fontId="0" fillId="0" borderId="1" xfId="0" applyNumberFormat="1" applyBorder="1" applyAlignment="1"/>
    <xf numFmtId="1" fontId="0" fillId="0" borderId="0" xfId="0" applyNumberFormat="1" applyAlignment="1"/>
    <xf numFmtId="0" fontId="0" fillId="0" borderId="0" xfId="0" applyAlignment="1"/>
    <xf numFmtId="1" fontId="3" fillId="0" borderId="0" xfId="16" applyNumberFormat="1" applyAlignment="1"/>
    <xf numFmtId="0" fontId="0" fillId="0" borderId="1" xfId="0" applyBorder="1" applyAlignment="1"/>
    <xf numFmtId="0" fontId="38" fillId="0" borderId="1" xfId="0" applyFont="1" applyBorder="1" applyAlignment="1"/>
    <xf numFmtId="0" fontId="44" fillId="0" borderId="1" xfId="0" applyFont="1" applyBorder="1" applyAlignment="1"/>
    <xf numFmtId="0" fontId="38" fillId="2" borderId="1" xfId="0" applyFont="1" applyFill="1" applyBorder="1" applyAlignment="1">
      <alignment horizontal="center"/>
    </xf>
    <xf numFmtId="0" fontId="38" fillId="2" borderId="1" xfId="0" applyFont="1" applyFill="1" applyBorder="1"/>
    <xf numFmtId="0" fontId="38" fillId="12" borderId="1" xfId="0" applyFont="1" applyFill="1" applyBorder="1" applyAlignment="1">
      <alignment horizontal="left"/>
    </xf>
    <xf numFmtId="0" fontId="44" fillId="12" borderId="1" xfId="0" applyFont="1" applyFill="1" applyBorder="1"/>
    <xf numFmtId="2" fontId="39" fillId="12" borderId="1" xfId="3" applyNumberFormat="1" applyFont="1" applyFill="1" applyBorder="1" applyAlignment="1">
      <alignment horizontal="center"/>
    </xf>
    <xf numFmtId="1" fontId="44" fillId="12" borderId="1" xfId="0" applyNumberFormat="1" applyFont="1" applyFill="1" applyBorder="1" applyAlignment="1">
      <alignment horizontal="center"/>
    </xf>
    <xf numFmtId="1" fontId="44" fillId="12" borderId="1" xfId="0" applyNumberFormat="1" applyFont="1" applyFill="1" applyBorder="1"/>
    <xf numFmtId="0" fontId="44" fillId="12" borderId="0" xfId="0" applyFont="1" applyFill="1" applyBorder="1"/>
    <xf numFmtId="1" fontId="44" fillId="12" borderId="0" xfId="0" applyNumberFormat="1" applyFont="1" applyFill="1" applyBorder="1" applyAlignment="1">
      <alignment horizontal="center"/>
    </xf>
    <xf numFmtId="1" fontId="44" fillId="12" borderId="24" xfId="0" applyNumberFormat="1" applyFont="1" applyFill="1" applyBorder="1"/>
    <xf numFmtId="0" fontId="38" fillId="12" borderId="1" xfId="0" applyFont="1" applyFill="1" applyBorder="1" applyAlignment="1">
      <alignment horizontal="left"/>
    </xf>
    <xf numFmtId="0" fontId="41" fillId="11" borderId="1" xfId="0" applyFont="1" applyFill="1" applyBorder="1" applyAlignment="1">
      <alignment horizontal="left"/>
    </xf>
    <xf numFmtId="0" fontId="38" fillId="11" borderId="1" xfId="0" applyFont="1" applyFill="1" applyBorder="1" applyAlignment="1">
      <alignment horizontal="left"/>
    </xf>
    <xf numFmtId="1" fontId="39" fillId="12" borderId="1" xfId="3" applyNumberFormat="1" applyFont="1" applyFill="1" applyBorder="1" applyAlignment="1">
      <alignment horizontal="center"/>
    </xf>
    <xf numFmtId="166" fontId="0" fillId="0" borderId="0" xfId="0" applyNumberFormat="1"/>
    <xf numFmtId="0" fontId="45" fillId="10" borderId="1" xfId="4" applyFont="1" applyFill="1" applyBorder="1" applyAlignment="1">
      <alignment horizontal="center"/>
    </xf>
    <xf numFmtId="0" fontId="44" fillId="0" borderId="12" xfId="0" applyNumberFormat="1" applyFont="1" applyFill="1" applyBorder="1" applyAlignment="1">
      <alignment horizontal="center"/>
    </xf>
    <xf numFmtId="2" fontId="39" fillId="0" borderId="1" xfId="3" applyNumberFormat="1" applyFont="1" applyFill="1" applyBorder="1" applyAlignment="1">
      <alignment horizontal="center"/>
    </xf>
    <xf numFmtId="2" fontId="39" fillId="0" borderId="1" xfId="3" applyNumberFormat="1" applyFont="1" applyFill="1" applyBorder="1" applyAlignment="1">
      <alignment horizontal="right"/>
    </xf>
    <xf numFmtId="1" fontId="39" fillId="0" borderId="1" xfId="5" applyNumberFormat="1" applyFont="1" applyFill="1" applyBorder="1" applyAlignment="1" applyProtection="1">
      <alignment horizontal="center"/>
    </xf>
    <xf numFmtId="0" fontId="24" fillId="0" borderId="0" xfId="0" applyFont="1" applyFill="1"/>
    <xf numFmtId="0" fontId="39" fillId="0" borderId="1" xfId="4" applyFont="1" applyFill="1" applyBorder="1" applyAlignment="1">
      <alignment horizontal="center"/>
    </xf>
    <xf numFmtId="0" fontId="25" fillId="17" borderId="3" xfId="3" applyFont="1" applyFill="1" applyBorder="1" applyAlignment="1">
      <alignment horizontal="center"/>
    </xf>
    <xf numFmtId="0" fontId="44" fillId="0" borderId="0" xfId="0" applyFont="1" applyBorder="1" applyAlignment="1">
      <alignment horizontal="center"/>
    </xf>
    <xf numFmtId="0" fontId="49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44" fillId="12" borderId="0" xfId="0" applyFont="1" applyFill="1" applyBorder="1" applyAlignment="1">
      <alignment horizontal="center"/>
    </xf>
    <xf numFmtId="0" fontId="39" fillId="0" borderId="1" xfId="3" applyFont="1" applyFill="1" applyBorder="1" applyAlignment="1">
      <alignment horizontal="center" vertical="center"/>
    </xf>
    <xf numFmtId="0" fontId="39" fillId="0" borderId="1" xfId="0" applyFont="1" applyFill="1" applyBorder="1" applyAlignment="1">
      <alignment horizontal="center"/>
    </xf>
    <xf numFmtId="0" fontId="44" fillId="10" borderId="1" xfId="3" applyFont="1" applyFill="1" applyBorder="1" applyAlignment="1">
      <alignment horizontal="center"/>
    </xf>
    <xf numFmtId="0" fontId="39" fillId="2" borderId="1" xfId="4" applyFont="1" applyFill="1" applyBorder="1" applyAlignment="1">
      <alignment horizontal="center" vertical="center"/>
    </xf>
    <xf numFmtId="1" fontId="71" fillId="0" borderId="1" xfId="0" applyNumberFormat="1" applyFont="1" applyBorder="1"/>
    <xf numFmtId="0" fontId="41" fillId="0" borderId="1" xfId="0" applyFont="1" applyFill="1" applyBorder="1" applyAlignment="1">
      <alignment horizontal="center"/>
    </xf>
    <xf numFmtId="2" fontId="44" fillId="2" borderId="1" xfId="0" applyNumberFormat="1" applyFont="1" applyFill="1" applyBorder="1" applyAlignment="1">
      <alignment horizontal="center"/>
    </xf>
    <xf numFmtId="0" fontId="39" fillId="0" borderId="1" xfId="4" applyFont="1" applyFill="1" applyBorder="1" applyAlignment="1">
      <alignment horizontal="center" vertical="center"/>
    </xf>
    <xf numFmtId="1" fontId="41" fillId="0" borderId="1" xfId="0" applyNumberFormat="1" applyFont="1" applyFill="1" applyBorder="1" applyAlignment="1">
      <alignment horizontal="center"/>
    </xf>
    <xf numFmtId="0" fontId="44" fillId="10" borderId="1" xfId="0" applyFont="1" applyFill="1" applyBorder="1" applyAlignment="1">
      <alignment horizontal="center"/>
    </xf>
    <xf numFmtId="166" fontId="24" fillId="0" borderId="0" xfId="0" applyNumberFormat="1" applyFont="1"/>
    <xf numFmtId="0" fontId="38" fillId="12" borderId="18" xfId="0" applyFont="1" applyFill="1" applyBorder="1" applyAlignment="1">
      <alignment horizontal="left"/>
    </xf>
    <xf numFmtId="38" fontId="33" fillId="9" borderId="1" xfId="3" applyNumberFormat="1" applyFont="1" applyFill="1" applyBorder="1" applyAlignment="1">
      <alignment horizontal="center" vertical="center"/>
    </xf>
    <xf numFmtId="38" fontId="33" fillId="9" borderId="1" xfId="3" applyNumberFormat="1" applyFont="1" applyFill="1" applyBorder="1" applyAlignment="1">
      <alignment horizontal="center"/>
    </xf>
    <xf numFmtId="38" fontId="39" fillId="8" borderId="1" xfId="3" applyNumberFormat="1" applyFont="1" applyFill="1" applyBorder="1" applyAlignment="1">
      <alignment horizontal="center" wrapText="1" shrinkToFit="1"/>
    </xf>
    <xf numFmtId="38" fontId="39" fillId="12" borderId="1" xfId="3" applyNumberFormat="1" applyFont="1" applyFill="1" applyBorder="1" applyAlignment="1">
      <alignment horizontal="center" vertical="center"/>
    </xf>
    <xf numFmtId="38" fontId="39" fillId="2" borderId="1" xfId="5" applyNumberFormat="1" applyFont="1" applyFill="1" applyBorder="1" applyAlignment="1">
      <alignment horizontal="center" vertical="center"/>
    </xf>
    <xf numFmtId="38" fontId="39" fillId="2" borderId="6" xfId="5" applyNumberFormat="1" applyFont="1" applyFill="1" applyBorder="1" applyAlignment="1">
      <alignment horizontal="center" vertical="center"/>
    </xf>
    <xf numFmtId="38" fontId="39" fillId="8" borderId="1" xfId="5" applyNumberFormat="1" applyFont="1" applyFill="1" applyBorder="1" applyAlignment="1">
      <alignment horizontal="center" vertical="center"/>
    </xf>
    <xf numFmtId="38" fontId="44" fillId="12" borderId="1" xfId="3" applyNumberFormat="1" applyFont="1" applyFill="1" applyBorder="1" applyAlignment="1">
      <alignment horizontal="center"/>
    </xf>
    <xf numFmtId="38" fontId="46" fillId="8" borderId="1" xfId="5" applyNumberFormat="1" applyFont="1" applyFill="1" applyBorder="1" applyAlignment="1">
      <alignment horizontal="center" vertical="center"/>
    </xf>
    <xf numFmtId="38" fontId="44" fillId="12" borderId="1" xfId="3" applyNumberFormat="1" applyFont="1" applyFill="1" applyBorder="1" applyAlignment="1">
      <alignment horizontal="center" vertical="center"/>
    </xf>
    <xf numFmtId="38" fontId="44" fillId="8" borderId="1" xfId="3" applyNumberFormat="1" applyFont="1" applyFill="1" applyBorder="1" applyAlignment="1">
      <alignment horizontal="center"/>
    </xf>
    <xf numFmtId="38" fontId="44" fillId="8" borderId="1" xfId="5" applyNumberFormat="1" applyFont="1" applyFill="1" applyBorder="1" applyAlignment="1" applyProtection="1">
      <alignment horizontal="center" vertical="center"/>
    </xf>
    <xf numFmtId="38" fontId="46" fillId="8" borderId="1" xfId="5" applyNumberFormat="1" applyFont="1" applyFill="1" applyBorder="1" applyAlignment="1" applyProtection="1">
      <alignment horizontal="center" vertical="center"/>
    </xf>
    <xf numFmtId="38" fontId="25" fillId="17" borderId="3" xfId="3" applyNumberFormat="1" applyFont="1" applyFill="1" applyBorder="1" applyAlignment="1">
      <alignment vertical="justify"/>
    </xf>
    <xf numFmtId="38" fontId="39" fillId="12" borderId="1" xfId="3" applyNumberFormat="1" applyFont="1" applyFill="1" applyBorder="1" applyAlignment="1">
      <alignment horizontal="center"/>
    </xf>
    <xf numFmtId="38" fontId="44" fillId="17" borderId="1" xfId="3" applyNumberFormat="1" applyFont="1" applyFill="1" applyBorder="1" applyAlignment="1">
      <alignment horizontal="center"/>
    </xf>
    <xf numFmtId="38" fontId="44" fillId="2" borderId="1" xfId="3" applyNumberFormat="1" applyFont="1" applyFill="1" applyBorder="1" applyAlignment="1">
      <alignment horizontal="center"/>
    </xf>
    <xf numFmtId="38" fontId="44" fillId="0" borderId="0" xfId="0" applyNumberFormat="1" applyFont="1" applyBorder="1"/>
    <xf numFmtId="38" fontId="39" fillId="12" borderId="1" xfId="5" applyNumberFormat="1" applyFont="1" applyFill="1" applyBorder="1" applyAlignment="1">
      <alignment horizontal="center"/>
    </xf>
    <xf numFmtId="38" fontId="39" fillId="8" borderId="1" xfId="3" applyNumberFormat="1" applyFont="1" applyFill="1" applyBorder="1" applyAlignment="1">
      <alignment horizontal="center"/>
    </xf>
    <xf numFmtId="38" fontId="39" fillId="8" borderId="1" xfId="6" applyNumberFormat="1" applyFont="1" applyFill="1" applyBorder="1" applyAlignment="1">
      <alignment horizontal="center"/>
    </xf>
    <xf numFmtId="38" fontId="39" fillId="8" borderId="6" xfId="6" applyNumberFormat="1" applyFont="1" applyFill="1" applyBorder="1" applyAlignment="1">
      <alignment horizontal="center"/>
    </xf>
    <xf numFmtId="38" fontId="49" fillId="0" borderId="0" xfId="0" applyNumberFormat="1" applyFont="1"/>
    <xf numFmtId="38" fontId="44" fillId="0" borderId="0" xfId="0" applyNumberFormat="1" applyFont="1"/>
    <xf numFmtId="38" fontId="44" fillId="0" borderId="1" xfId="0" applyNumberFormat="1" applyFont="1" applyBorder="1"/>
    <xf numFmtId="38" fontId="33" fillId="2" borderId="1" xfId="5" applyNumberFormat="1" applyFont="1" applyFill="1" applyBorder="1" applyAlignment="1">
      <alignment horizontal="center" vertical="center"/>
    </xf>
    <xf numFmtId="38" fontId="39" fillId="2" borderId="0" xfId="5" applyNumberFormat="1" applyFont="1" applyFill="1" applyBorder="1" applyAlignment="1">
      <alignment horizontal="center" vertical="center"/>
    </xf>
    <xf numFmtId="38" fontId="39" fillId="0" borderId="1" xfId="3" applyNumberFormat="1" applyFont="1" applyFill="1" applyBorder="1" applyAlignment="1">
      <alignment horizontal="center"/>
    </xf>
    <xf numFmtId="38" fontId="44" fillId="0" borderId="1" xfId="0" applyNumberFormat="1" applyFont="1" applyBorder="1" applyAlignment="1">
      <alignment horizontal="center"/>
    </xf>
    <xf numFmtId="38" fontId="44" fillId="0" borderId="1" xfId="0" applyNumberFormat="1" applyFont="1" applyFill="1" applyBorder="1" applyAlignment="1">
      <alignment horizontal="center"/>
    </xf>
    <xf numFmtId="38" fontId="49" fillId="0" borderId="1" xfId="0" applyNumberFormat="1" applyFont="1" applyFill="1" applyBorder="1" applyAlignment="1">
      <alignment horizontal="center"/>
    </xf>
    <xf numFmtId="0" fontId="37" fillId="11" borderId="0" xfId="4" applyFont="1" applyFill="1" applyBorder="1" applyAlignment="1">
      <alignment horizontal="left"/>
    </xf>
    <xf numFmtId="0" fontId="32" fillId="13" borderId="13" xfId="3" applyFont="1" applyFill="1" applyBorder="1" applyAlignment="1">
      <alignment horizontal="left"/>
    </xf>
    <xf numFmtId="0" fontId="32" fillId="13" borderId="3" xfId="3" applyFont="1" applyFill="1" applyBorder="1" applyAlignment="1">
      <alignment horizontal="left"/>
    </xf>
    <xf numFmtId="0" fontId="32" fillId="13" borderId="4" xfId="3" applyFont="1" applyFill="1" applyBorder="1" applyAlignment="1">
      <alignment horizontal="left"/>
    </xf>
    <xf numFmtId="0" fontId="41" fillId="11" borderId="13" xfId="0" applyFont="1" applyFill="1" applyBorder="1" applyAlignment="1">
      <alignment horizontal="left"/>
    </xf>
    <xf numFmtId="0" fontId="41" fillId="11" borderId="4" xfId="0" applyFont="1" applyFill="1" applyBorder="1" applyAlignment="1">
      <alignment horizontal="left"/>
    </xf>
    <xf numFmtId="0" fontId="44" fillId="2" borderId="1" xfId="0" applyFont="1" applyFill="1" applyBorder="1"/>
    <xf numFmtId="1" fontId="39" fillId="0" borderId="1" xfId="0" applyNumberFormat="1" applyFont="1" applyFill="1" applyBorder="1" applyAlignment="1">
      <alignment horizontal="center"/>
    </xf>
    <xf numFmtId="0" fontId="39" fillId="0" borderId="1" xfId="0" applyFont="1" applyFill="1" applyBorder="1"/>
    <xf numFmtId="0" fontId="39" fillId="2" borderId="1" xfId="0" applyFont="1" applyFill="1" applyBorder="1" applyAlignment="1">
      <alignment horizontal="center"/>
    </xf>
    <xf numFmtId="2" fontId="39" fillId="2" borderId="1" xfId="4" applyNumberFormat="1" applyFont="1" applyFill="1" applyBorder="1" applyAlignment="1">
      <alignment horizontal="center"/>
    </xf>
    <xf numFmtId="0" fontId="24" fillId="10" borderId="0" xfId="0" applyFont="1" applyFill="1"/>
    <xf numFmtId="173" fontId="33" fillId="9" borderId="1" xfId="3" applyNumberFormat="1" applyFont="1" applyFill="1" applyBorder="1" applyAlignment="1">
      <alignment horizontal="center" vertical="center"/>
    </xf>
    <xf numFmtId="173" fontId="33" fillId="9" borderId="1" xfId="3" applyNumberFormat="1" applyFont="1" applyFill="1" applyBorder="1" applyAlignment="1">
      <alignment horizontal="center"/>
    </xf>
    <xf numFmtId="173" fontId="39" fillId="8" borderId="1" xfId="3" applyNumberFormat="1" applyFont="1" applyFill="1" applyBorder="1" applyAlignment="1">
      <alignment horizontal="center" wrapText="1" shrinkToFit="1"/>
    </xf>
    <xf numFmtId="173" fontId="39" fillId="12" borderId="1" xfId="3" applyNumberFormat="1" applyFont="1" applyFill="1" applyBorder="1" applyAlignment="1">
      <alignment horizontal="center" vertical="center"/>
    </xf>
    <xf numFmtId="173" fontId="39" fillId="2" borderId="1" xfId="5" applyNumberFormat="1" applyFont="1" applyFill="1" applyBorder="1" applyAlignment="1">
      <alignment horizontal="center" vertical="center"/>
    </xf>
    <xf numFmtId="173" fontId="39" fillId="2" borderId="6" xfId="5" applyNumberFormat="1" applyFont="1" applyFill="1" applyBorder="1" applyAlignment="1">
      <alignment horizontal="center" vertical="center"/>
    </xf>
    <xf numFmtId="173" fontId="39" fillId="8" borderId="1" xfId="5" applyNumberFormat="1" applyFont="1" applyFill="1" applyBorder="1" applyAlignment="1">
      <alignment horizontal="center" vertical="center"/>
    </xf>
    <xf numFmtId="173" fontId="44" fillId="12" borderId="1" xfId="3" applyNumberFormat="1" applyFont="1" applyFill="1" applyBorder="1" applyAlignment="1">
      <alignment horizontal="center"/>
    </xf>
    <xf numFmtId="173" fontId="46" fillId="8" borderId="1" xfId="5" applyNumberFormat="1" applyFont="1" applyFill="1" applyBorder="1" applyAlignment="1">
      <alignment horizontal="center" vertical="center"/>
    </xf>
    <xf numFmtId="173" fontId="44" fillId="12" borderId="1" xfId="3" applyNumberFormat="1" applyFont="1" applyFill="1" applyBorder="1" applyAlignment="1">
      <alignment horizontal="center" vertical="center"/>
    </xf>
    <xf numFmtId="173" fontId="44" fillId="8" borderId="1" xfId="3" applyNumberFormat="1" applyFont="1" applyFill="1" applyBorder="1" applyAlignment="1">
      <alignment horizontal="center"/>
    </xf>
    <xf numFmtId="173" fontId="44" fillId="8" borderId="1" xfId="5" applyNumberFormat="1" applyFont="1" applyFill="1" applyBorder="1" applyAlignment="1" applyProtection="1">
      <alignment horizontal="center" vertical="center"/>
    </xf>
    <xf numFmtId="173" fontId="46" fillId="8" borderId="1" xfId="5" applyNumberFormat="1" applyFont="1" applyFill="1" applyBorder="1" applyAlignment="1" applyProtection="1">
      <alignment horizontal="center" vertical="center"/>
    </xf>
    <xf numFmtId="173" fontId="25" fillId="17" borderId="3" xfId="3" applyNumberFormat="1" applyFont="1" applyFill="1" applyBorder="1" applyAlignment="1">
      <alignment vertical="justify"/>
    </xf>
    <xf numFmtId="173" fontId="39" fillId="12" borderId="1" xfId="3" applyNumberFormat="1" applyFont="1" applyFill="1" applyBorder="1" applyAlignment="1">
      <alignment horizontal="center"/>
    </xf>
    <xf numFmtId="173" fontId="44" fillId="17" borderId="1" xfId="3" applyNumberFormat="1" applyFont="1" applyFill="1" applyBorder="1" applyAlignment="1">
      <alignment horizontal="center"/>
    </xf>
    <xf numFmtId="173" fontId="44" fillId="2" borderId="1" xfId="3" applyNumberFormat="1" applyFont="1" applyFill="1" applyBorder="1" applyAlignment="1">
      <alignment horizontal="center"/>
    </xf>
    <xf numFmtId="173" fontId="44" fillId="0" borderId="0" xfId="0" applyNumberFormat="1" applyFont="1" applyBorder="1"/>
    <xf numFmtId="173" fontId="39" fillId="12" borderId="1" xfId="5" applyNumberFormat="1" applyFont="1" applyFill="1" applyBorder="1" applyAlignment="1">
      <alignment horizontal="center"/>
    </xf>
    <xf numFmtId="173" fontId="39" fillId="8" borderId="1" xfId="3" applyNumberFormat="1" applyFont="1" applyFill="1" applyBorder="1" applyAlignment="1">
      <alignment horizontal="center"/>
    </xf>
    <xf numFmtId="173" fontId="39" fillId="8" borderId="1" xfId="6" applyNumberFormat="1" applyFont="1" applyFill="1" applyBorder="1" applyAlignment="1">
      <alignment horizontal="center"/>
    </xf>
    <xf numFmtId="173" fontId="39" fillId="8" borderId="6" xfId="6" applyNumberFormat="1" applyFont="1" applyFill="1" applyBorder="1" applyAlignment="1">
      <alignment horizontal="center"/>
    </xf>
    <xf numFmtId="173" fontId="49" fillId="0" borderId="0" xfId="0" applyNumberFormat="1" applyFont="1"/>
    <xf numFmtId="173" fontId="44" fillId="0" borderId="0" xfId="0" applyNumberFormat="1" applyFont="1"/>
    <xf numFmtId="173" fontId="44" fillId="0" borderId="1" xfId="0" applyNumberFormat="1" applyFont="1" applyBorder="1"/>
    <xf numFmtId="173" fontId="33" fillId="2" borderId="1" xfId="5" applyNumberFormat="1" applyFont="1" applyFill="1" applyBorder="1" applyAlignment="1">
      <alignment horizontal="center" vertical="center"/>
    </xf>
    <xf numFmtId="173" fontId="39" fillId="2" borderId="0" xfId="5" applyNumberFormat="1" applyFont="1" applyFill="1" applyBorder="1" applyAlignment="1">
      <alignment horizontal="center" vertical="center"/>
    </xf>
    <xf numFmtId="173" fontId="39" fillId="0" borderId="1" xfId="3" applyNumberFormat="1" applyFont="1" applyFill="1" applyBorder="1" applyAlignment="1">
      <alignment horizontal="center"/>
    </xf>
    <xf numFmtId="173" fontId="44" fillId="0" borderId="1" xfId="0" applyNumberFormat="1" applyFont="1" applyBorder="1" applyAlignment="1">
      <alignment horizontal="center"/>
    </xf>
    <xf numFmtId="173" fontId="44" fillId="0" borderId="1" xfId="0" applyNumberFormat="1" applyFont="1" applyFill="1" applyBorder="1" applyAlignment="1">
      <alignment horizontal="center"/>
    </xf>
    <xf numFmtId="173" fontId="49" fillId="0" borderId="1" xfId="0" applyNumberFormat="1" applyFont="1" applyFill="1" applyBorder="1" applyAlignment="1">
      <alignment horizontal="center"/>
    </xf>
    <xf numFmtId="0" fontId="44" fillId="2" borderId="1" xfId="3" applyFont="1" applyFill="1" applyBorder="1" applyAlignment="1">
      <alignment horizontal="center"/>
    </xf>
    <xf numFmtId="0" fontId="12" fillId="14" borderId="5" xfId="0" applyFont="1" applyFill="1" applyBorder="1" applyAlignment="1">
      <alignment horizontal="center"/>
    </xf>
    <xf numFmtId="0" fontId="12" fillId="15" borderId="5" xfId="0" applyFont="1" applyFill="1" applyBorder="1" applyAlignment="1">
      <alignment horizontal="center"/>
    </xf>
    <xf numFmtId="0" fontId="66" fillId="0" borderId="20" xfId="1" applyFont="1" applyFill="1" applyBorder="1" applyAlignment="1">
      <alignment horizontal="center" vertical="center" wrapText="1"/>
    </xf>
    <xf numFmtId="0" fontId="66" fillId="0" borderId="5" xfId="1" applyFont="1" applyFill="1" applyBorder="1" applyAlignment="1">
      <alignment horizontal="center" vertical="center" wrapText="1"/>
    </xf>
    <xf numFmtId="0" fontId="66" fillId="0" borderId="26" xfId="1" applyFont="1" applyFill="1" applyBorder="1" applyAlignment="1">
      <alignment horizontal="center" vertical="center" wrapText="1"/>
    </xf>
    <xf numFmtId="0" fontId="73" fillId="0" borderId="16" xfId="1" applyFont="1" applyFill="1" applyBorder="1" applyAlignment="1">
      <alignment vertical="top" wrapText="1"/>
    </xf>
    <xf numFmtId="0" fontId="73" fillId="0" borderId="1" xfId="1" applyFont="1" applyFill="1" applyBorder="1" applyAlignment="1">
      <alignment horizontal="center" vertical="top" wrapText="1"/>
    </xf>
    <xf numFmtId="0" fontId="73" fillId="0" borderId="12" xfId="1" applyFont="1" applyFill="1" applyBorder="1" applyAlignment="1">
      <alignment horizontal="center" vertical="top" wrapText="1"/>
    </xf>
    <xf numFmtId="1" fontId="12" fillId="2" borderId="16" xfId="1" applyNumberFormat="1" applyFont="1" applyFill="1" applyBorder="1" applyAlignment="1">
      <alignment vertical="center" wrapText="1"/>
    </xf>
    <xf numFmtId="1" fontId="66" fillId="0" borderId="0" xfId="1" applyNumberFormat="1" applyFont="1"/>
    <xf numFmtId="1" fontId="39" fillId="8" borderId="1" xfId="5" applyNumberFormat="1" applyFont="1" applyFill="1" applyBorder="1" applyAlignment="1">
      <alignment horizontal="center"/>
    </xf>
    <xf numFmtId="0" fontId="39" fillId="18" borderId="1" xfId="3" applyFont="1" applyFill="1" applyBorder="1" applyAlignment="1">
      <alignment horizontal="center"/>
    </xf>
    <xf numFmtId="0" fontId="39" fillId="18" borderId="1" xfId="4" applyFont="1" applyFill="1" applyBorder="1" applyAlignment="1">
      <alignment horizontal="center"/>
    </xf>
    <xf numFmtId="0" fontId="39" fillId="18" borderId="1" xfId="3" applyFont="1" applyFill="1" applyBorder="1" applyAlignment="1">
      <alignment horizontal="center" vertical="center"/>
    </xf>
    <xf numFmtId="0" fontId="39" fillId="19" borderId="1" xfId="4" applyFont="1" applyFill="1" applyBorder="1" applyAlignment="1">
      <alignment horizontal="center"/>
    </xf>
    <xf numFmtId="0" fontId="45" fillId="10" borderId="1" xfId="4" applyFont="1" applyFill="1" applyBorder="1" applyAlignment="1">
      <alignment horizontal="center" wrapText="1"/>
    </xf>
    <xf numFmtId="0" fontId="49" fillId="0" borderId="1" xfId="0" applyFont="1" applyFill="1" applyBorder="1" applyAlignment="1">
      <alignment horizontal="center"/>
    </xf>
    <xf numFmtId="1" fontId="39" fillId="0" borderId="6" xfId="5" applyNumberFormat="1" applyFont="1" applyFill="1" applyBorder="1" applyAlignment="1">
      <alignment horizontal="center" vertical="center"/>
    </xf>
    <xf numFmtId="38" fontId="39" fillId="0" borderId="1" xfId="5" applyNumberFormat="1" applyFont="1" applyFill="1" applyBorder="1" applyAlignment="1">
      <alignment horizontal="center" vertical="center"/>
    </xf>
    <xf numFmtId="2" fontId="24" fillId="10" borderId="0" xfId="0" applyNumberFormat="1" applyFont="1" applyFill="1"/>
    <xf numFmtId="0" fontId="32" fillId="2" borderId="1" xfId="3" applyFont="1" applyFill="1" applyBorder="1" applyAlignment="1">
      <alignment horizontal="center"/>
    </xf>
    <xf numFmtId="169" fontId="33" fillId="8" borderId="0" xfId="3" applyNumberFormat="1" applyFont="1" applyFill="1" applyBorder="1" applyAlignment="1">
      <alignment vertical="center"/>
    </xf>
    <xf numFmtId="0" fontId="33" fillId="8" borderId="0" xfId="3" applyFont="1" applyFill="1" applyBorder="1" applyAlignment="1">
      <alignment horizontal="left" vertical="center"/>
    </xf>
    <xf numFmtId="1" fontId="33" fillId="8" borderId="1" xfId="3" applyNumberFormat="1" applyFont="1" applyFill="1" applyBorder="1" applyAlignment="1">
      <alignment horizontal="center"/>
    </xf>
    <xf numFmtId="1" fontId="38" fillId="2" borderId="1" xfId="0" applyNumberFormat="1" applyFont="1" applyFill="1" applyBorder="1" applyAlignment="1">
      <alignment horizontal="center"/>
    </xf>
    <xf numFmtId="0" fontId="49" fillId="0" borderId="1" xfId="0" applyFont="1" applyFill="1" applyBorder="1" applyAlignment="1">
      <alignment horizontal="center"/>
    </xf>
    <xf numFmtId="2" fontId="47" fillId="8" borderId="1" xfId="3" applyNumberFormat="1" applyFont="1" applyFill="1" applyBorder="1" applyAlignment="1">
      <alignment horizontal="center"/>
    </xf>
    <xf numFmtId="0" fontId="25" fillId="17" borderId="3" xfId="3" applyFont="1" applyFill="1" applyBorder="1" applyAlignment="1">
      <alignment horizontal="center" vertical="justify"/>
    </xf>
    <xf numFmtId="0" fontId="25" fillId="17" borderId="21" xfId="3" applyFont="1" applyFill="1" applyBorder="1" applyAlignment="1">
      <alignment horizontal="center" vertical="justify"/>
    </xf>
    <xf numFmtId="165" fontId="39" fillId="8" borderId="1" xfId="7" applyFont="1" applyFill="1" applyBorder="1" applyAlignment="1">
      <alignment horizontal="center" wrapText="1"/>
    </xf>
    <xf numFmtId="1" fontId="44" fillId="0" borderId="24" xfId="0" applyNumberFormat="1" applyFont="1" applyBorder="1" applyAlignment="1">
      <alignment horizontal="center"/>
    </xf>
    <xf numFmtId="167" fontId="39" fillId="0" borderId="1" xfId="6" applyNumberFormat="1" applyFont="1" applyFill="1" applyBorder="1" applyAlignment="1">
      <alignment horizontal="center"/>
    </xf>
    <xf numFmtId="1" fontId="44" fillId="12" borderId="24" xfId="0" applyNumberFormat="1" applyFont="1" applyFill="1" applyBorder="1" applyAlignment="1">
      <alignment horizontal="center"/>
    </xf>
    <xf numFmtId="0" fontId="75" fillId="0" borderId="0" xfId="0" applyFont="1"/>
    <xf numFmtId="2" fontId="47" fillId="0" borderId="1" xfId="3" applyNumberFormat="1" applyFont="1" applyFill="1" applyBorder="1" applyAlignment="1">
      <alignment horizontal="right"/>
    </xf>
    <xf numFmtId="0" fontId="37" fillId="0" borderId="0" xfId="4" applyFont="1" applyFill="1" applyBorder="1" applyAlignment="1">
      <alignment horizontal="left"/>
    </xf>
    <xf numFmtId="0" fontId="39" fillId="0" borderId="0" xfId="4" applyFont="1" applyFill="1" applyBorder="1" applyAlignment="1">
      <alignment horizontal="center"/>
    </xf>
    <xf numFmtId="2" fontId="39" fillId="0" borderId="0" xfId="3" applyNumberFormat="1" applyFont="1" applyFill="1" applyBorder="1" applyAlignment="1">
      <alignment horizontal="center"/>
    </xf>
    <xf numFmtId="1" fontId="39" fillId="0" borderId="0" xfId="3" applyNumberFormat="1" applyFont="1" applyFill="1" applyBorder="1" applyAlignment="1">
      <alignment horizontal="center"/>
    </xf>
    <xf numFmtId="1" fontId="39" fillId="0" borderId="0" xfId="5" applyNumberFormat="1" applyFont="1" applyFill="1" applyBorder="1" applyAlignment="1" applyProtection="1">
      <alignment horizontal="center"/>
    </xf>
    <xf numFmtId="0" fontId="56" fillId="0" borderId="1" xfId="0" applyFont="1" applyFill="1" applyBorder="1" applyAlignment="1">
      <alignment horizontal="center"/>
    </xf>
    <xf numFmtId="2" fontId="45" fillId="0" borderId="1" xfId="4" applyNumberFormat="1" applyFont="1" applyBorder="1" applyAlignment="1">
      <alignment horizontal="center"/>
    </xf>
    <xf numFmtId="2" fontId="77" fillId="8" borderId="1" xfId="3" applyNumberFormat="1" applyFont="1" applyFill="1" applyBorder="1" applyAlignment="1">
      <alignment horizontal="center"/>
    </xf>
    <xf numFmtId="2" fontId="78" fillId="8" borderId="1" xfId="3" applyNumberFormat="1" applyFont="1" applyFill="1" applyBorder="1" applyAlignment="1">
      <alignment horizontal="center"/>
    </xf>
    <xf numFmtId="0" fontId="76" fillId="0" borderId="1" xfId="0" applyFont="1" applyBorder="1" applyAlignment="1">
      <alignment horizontal="center"/>
    </xf>
    <xf numFmtId="38" fontId="76" fillId="0" borderId="1" xfId="0" applyNumberFormat="1" applyFont="1" applyBorder="1" applyAlignment="1">
      <alignment horizontal="center"/>
    </xf>
    <xf numFmtId="173" fontId="39" fillId="0" borderId="1" xfId="5" applyNumberFormat="1" applyFont="1" applyFill="1" applyBorder="1" applyAlignment="1">
      <alignment horizontal="center" vertical="center"/>
    </xf>
    <xf numFmtId="173" fontId="39" fillId="0" borderId="0" xfId="5" applyNumberFormat="1" applyFont="1" applyFill="1" applyBorder="1" applyAlignment="1">
      <alignment horizontal="center" vertical="center"/>
    </xf>
    <xf numFmtId="173" fontId="44" fillId="12" borderId="0" xfId="0" applyNumberFormat="1" applyFont="1" applyFill="1" applyBorder="1"/>
    <xf numFmtId="1" fontId="39" fillId="10" borderId="1" xfId="5" applyNumberFormat="1" applyFont="1" applyFill="1" applyBorder="1" applyAlignment="1">
      <alignment horizontal="center" vertical="center"/>
    </xf>
    <xf numFmtId="38" fontId="44" fillId="12" borderId="0" xfId="0" applyNumberFormat="1" applyFont="1" applyFill="1" applyBorder="1"/>
    <xf numFmtId="0" fontId="72" fillId="0" borderId="1" xfId="0" applyFont="1" applyFill="1" applyBorder="1" applyAlignment="1">
      <alignment horizontal="center"/>
    </xf>
    <xf numFmtId="0" fontId="44" fillId="10" borderId="1" xfId="0" applyFont="1" applyFill="1" applyBorder="1"/>
    <xf numFmtId="0" fontId="79" fillId="0" borderId="1" xfId="0" applyFont="1" applyBorder="1" applyAlignment="1">
      <alignment horizontal="center"/>
    </xf>
    <xf numFmtId="38" fontId="79" fillId="0" borderId="1" xfId="0" applyNumberFormat="1" applyFont="1" applyBorder="1" applyAlignment="1">
      <alignment horizontal="center"/>
    </xf>
    <xf numFmtId="0" fontId="0" fillId="10" borderId="0" xfId="0" applyFill="1"/>
    <xf numFmtId="2" fontId="38" fillId="0" borderId="1" xfId="0" applyNumberFormat="1" applyFont="1" applyFill="1" applyBorder="1" applyAlignment="1">
      <alignment horizontal="center"/>
    </xf>
    <xf numFmtId="2" fontId="44" fillId="0" borderId="1" xfId="0" applyNumberFormat="1" applyFont="1" applyFill="1" applyBorder="1" applyAlignment="1">
      <alignment horizontal="center"/>
    </xf>
    <xf numFmtId="0" fontId="39" fillId="8" borderId="12" xfId="5" applyNumberFormat="1" applyFont="1" applyFill="1" applyBorder="1" applyAlignment="1" applyProtection="1">
      <alignment horizontal="center"/>
    </xf>
    <xf numFmtId="0" fontId="38" fillId="0" borderId="4" xfId="0" applyFont="1" applyBorder="1" applyAlignment="1">
      <alignment horizontal="center"/>
    </xf>
    <xf numFmtId="0" fontId="41" fillId="2" borderId="1" xfId="0" applyFont="1" applyFill="1" applyBorder="1" applyAlignment="1">
      <alignment horizontal="left"/>
    </xf>
    <xf numFmtId="0" fontId="32" fillId="8" borderId="16" xfId="3" applyFont="1" applyFill="1" applyBorder="1" applyAlignment="1">
      <alignment horizontal="center" vertical="center"/>
    </xf>
    <xf numFmtId="166" fontId="81" fillId="2" borderId="0" xfId="3" applyNumberFormat="1" applyFont="1" applyFill="1" applyBorder="1" applyAlignment="1">
      <alignment horizontal="center" vertical="center" wrapText="1" shrinkToFit="1"/>
    </xf>
    <xf numFmtId="0" fontId="40" fillId="0" borderId="0" xfId="0" applyFont="1" applyBorder="1"/>
    <xf numFmtId="172" fontId="82" fillId="9" borderId="1" xfId="3" applyNumberFormat="1" applyFont="1" applyFill="1" applyBorder="1" applyAlignment="1">
      <alignment horizontal="center"/>
    </xf>
    <xf numFmtId="0" fontId="82" fillId="9" borderId="1" xfId="3" applyFont="1" applyFill="1" applyBorder="1" applyAlignment="1">
      <alignment horizontal="center"/>
    </xf>
    <xf numFmtId="0" fontId="82" fillId="9" borderId="1" xfId="3" applyFont="1" applyFill="1" applyBorder="1" applyAlignment="1">
      <alignment horizontal="left"/>
    </xf>
    <xf numFmtId="0" fontId="83" fillId="2" borderId="0" xfId="3" applyFont="1" applyFill="1" applyBorder="1" applyAlignment="1">
      <alignment horizontal="center" vertical="center"/>
    </xf>
    <xf numFmtId="0" fontId="41" fillId="0" borderId="0" xfId="0" applyFont="1" applyBorder="1"/>
    <xf numFmtId="9" fontId="82" fillId="9" borderId="1" xfId="3" applyNumberFormat="1" applyFont="1" applyFill="1" applyBorder="1" applyAlignment="1">
      <alignment horizontal="left"/>
    </xf>
    <xf numFmtId="166" fontId="83" fillId="2" borderId="0" xfId="3" applyNumberFormat="1" applyFont="1" applyFill="1" applyBorder="1" applyAlignment="1">
      <alignment horizontal="center"/>
    </xf>
    <xf numFmtId="0" fontId="85" fillId="2" borderId="0" xfId="3" applyFont="1" applyFill="1" applyBorder="1" applyAlignment="1">
      <alignment horizontal="center" vertical="center"/>
    </xf>
    <xf numFmtId="0" fontId="82" fillId="8" borderId="1" xfId="3" applyFont="1" applyFill="1" applyBorder="1" applyAlignment="1">
      <alignment horizontal="left" vertical="center"/>
    </xf>
    <xf numFmtId="0" fontId="41" fillId="0" borderId="1" xfId="0" applyFont="1" applyBorder="1"/>
    <xf numFmtId="2" fontId="82" fillId="8" borderId="9" xfId="3" applyNumberFormat="1" applyFont="1" applyFill="1" applyBorder="1" applyAlignment="1">
      <alignment horizontal="center"/>
    </xf>
    <xf numFmtId="2" fontId="41" fillId="0" borderId="0" xfId="0" applyNumberFormat="1" applyFont="1"/>
    <xf numFmtId="1" fontId="41" fillId="0" borderId="0" xfId="0" applyNumberFormat="1" applyFont="1"/>
    <xf numFmtId="0" fontId="82" fillId="8" borderId="5" xfId="3" applyFont="1" applyFill="1" applyBorder="1" applyAlignment="1">
      <alignment horizontal="left" vertical="center"/>
    </xf>
    <xf numFmtId="0" fontId="82" fillId="8" borderId="10" xfId="3" applyFont="1" applyFill="1" applyBorder="1" applyAlignment="1">
      <alignment horizontal="left" vertical="center"/>
    </xf>
    <xf numFmtId="2" fontId="82" fillId="8" borderId="1" xfId="3" applyNumberFormat="1" applyFont="1" applyFill="1" applyBorder="1" applyAlignment="1">
      <alignment horizontal="center"/>
    </xf>
    <xf numFmtId="169" fontId="82" fillId="8" borderId="1" xfId="3" applyNumberFormat="1" applyFont="1" applyFill="1" applyBorder="1" applyAlignment="1">
      <alignment vertical="center"/>
    </xf>
    <xf numFmtId="1" fontId="85" fillId="2" borderId="0" xfId="5" applyNumberFormat="1" applyFont="1" applyFill="1" applyBorder="1" applyAlignment="1" applyProtection="1">
      <alignment horizontal="center"/>
    </xf>
    <xf numFmtId="0" fontId="82" fillId="13" borderId="1" xfId="3" applyFont="1" applyFill="1" applyBorder="1" applyAlignment="1">
      <alignment horizontal="center"/>
    </xf>
    <xf numFmtId="0" fontId="85" fillId="2" borderId="0" xfId="3" applyFont="1" applyFill="1" applyBorder="1" applyAlignment="1">
      <alignment horizontal="center"/>
    </xf>
    <xf numFmtId="0" fontId="82" fillId="8" borderId="1" xfId="3" applyFont="1" applyFill="1" applyBorder="1" applyAlignment="1">
      <alignment horizontal="left"/>
    </xf>
    <xf numFmtId="0" fontId="82" fillId="2" borderId="1" xfId="3" applyFont="1" applyFill="1" applyBorder="1" applyAlignment="1">
      <alignment horizontal="left" vertical="center"/>
    </xf>
    <xf numFmtId="0" fontId="82" fillId="13" borderId="1" xfId="3" applyFont="1" applyFill="1" applyBorder="1" applyAlignment="1">
      <alignment horizontal="center" vertical="center"/>
    </xf>
    <xf numFmtId="0" fontId="88" fillId="2" borderId="3" xfId="3" applyFont="1" applyFill="1" applyBorder="1" applyAlignment="1">
      <alignment horizontal="center"/>
    </xf>
    <xf numFmtId="0" fontId="88" fillId="2" borderId="4" xfId="3" applyFont="1" applyFill="1" applyBorder="1" applyAlignment="1">
      <alignment horizontal="center"/>
    </xf>
    <xf numFmtId="0" fontId="88" fillId="13" borderId="3" xfId="3" applyFont="1" applyFill="1" applyBorder="1" applyAlignment="1">
      <alignment horizontal="center"/>
    </xf>
    <xf numFmtId="0" fontId="88" fillId="13" borderId="4" xfId="3" applyFont="1" applyFill="1" applyBorder="1" applyAlignment="1">
      <alignment horizontal="center"/>
    </xf>
    <xf numFmtId="0" fontId="82" fillId="12" borderId="1" xfId="3" applyFont="1" applyFill="1" applyBorder="1" applyAlignment="1">
      <alignment horizontal="left"/>
    </xf>
    <xf numFmtId="1" fontId="87" fillId="2" borderId="0" xfId="0" applyNumberFormat="1" applyFont="1" applyFill="1"/>
    <xf numFmtId="1" fontId="87" fillId="0" borderId="0" xfId="0" applyNumberFormat="1" applyFont="1"/>
    <xf numFmtId="2" fontId="82" fillId="8" borderId="1" xfId="3" applyNumberFormat="1" applyFont="1" applyFill="1" applyBorder="1" applyAlignment="1">
      <alignment horizontal="left" vertical="center"/>
    </xf>
    <xf numFmtId="0" fontId="82" fillId="8" borderId="1" xfId="3" applyFont="1" applyFill="1" applyBorder="1" applyAlignment="1">
      <alignment horizontal="left" vertical="justify"/>
    </xf>
    <xf numFmtId="166" fontId="85" fillId="2" borderId="0" xfId="5" applyNumberFormat="1" applyFont="1" applyFill="1" applyBorder="1" applyAlignment="1" applyProtection="1">
      <alignment horizontal="center"/>
    </xf>
    <xf numFmtId="0" fontId="82" fillId="0" borderId="0" xfId="0" applyFont="1" applyBorder="1"/>
    <xf numFmtId="0" fontId="82" fillId="0" borderId="0" xfId="0" applyFont="1"/>
    <xf numFmtId="166" fontId="85" fillId="2" borderId="0" xfId="3" applyNumberFormat="1" applyFont="1" applyFill="1" applyBorder="1" applyAlignment="1">
      <alignment horizontal="center"/>
    </xf>
    <xf numFmtId="0" fontId="41" fillId="0" borderId="1" xfId="0" applyFont="1" applyBorder="1" applyAlignment="1">
      <alignment horizontal="left"/>
    </xf>
    <xf numFmtId="0" fontId="41" fillId="0" borderId="0" xfId="4" applyFont="1"/>
    <xf numFmtId="0" fontId="41" fillId="0" borderId="0" xfId="0" applyFont="1" applyAlignment="1">
      <alignment horizontal="center"/>
    </xf>
    <xf numFmtId="0" fontId="41" fillId="0" borderId="3" xfId="0" applyFont="1" applyBorder="1" applyAlignment="1"/>
    <xf numFmtId="0" fontId="41" fillId="0" borderId="4" xfId="0" applyFont="1" applyBorder="1" applyAlignment="1"/>
    <xf numFmtId="1" fontId="41" fillId="0" borderId="0" xfId="0" applyNumberFormat="1" applyFont="1" applyFill="1" applyAlignment="1">
      <alignment horizontal="center"/>
    </xf>
    <xf numFmtId="0" fontId="87" fillId="0" borderId="1" xfId="0" applyFont="1" applyFill="1" applyBorder="1"/>
    <xf numFmtId="0" fontId="41" fillId="2" borderId="0" xfId="0" applyFont="1" applyFill="1" applyBorder="1"/>
    <xf numFmtId="0" fontId="41" fillId="12" borderId="1" xfId="0" applyFont="1" applyFill="1" applyBorder="1" applyAlignment="1">
      <alignment horizontal="left"/>
    </xf>
    <xf numFmtId="9" fontId="33" fillId="9" borderId="1" xfId="4" applyNumberFormat="1" applyFont="1" applyFill="1" applyBorder="1"/>
    <xf numFmtId="0" fontId="33" fillId="9" borderId="1" xfId="3" applyFont="1" applyFill="1" applyBorder="1" applyAlignment="1"/>
    <xf numFmtId="0" fontId="33" fillId="12" borderId="1" xfId="3" applyFont="1" applyFill="1" applyBorder="1" applyAlignment="1">
      <alignment horizontal="center" vertical="center"/>
    </xf>
    <xf numFmtId="0" fontId="33" fillId="8" borderId="7" xfId="3" applyFont="1" applyFill="1" applyBorder="1" applyAlignment="1">
      <alignment horizontal="center"/>
    </xf>
    <xf numFmtId="0" fontId="33" fillId="12" borderId="1" xfId="3" applyFont="1" applyFill="1" applyBorder="1" applyAlignment="1">
      <alignment horizontal="center"/>
    </xf>
    <xf numFmtId="0" fontId="33" fillId="2" borderId="1" xfId="3" applyFont="1" applyFill="1" applyBorder="1" applyAlignment="1">
      <alignment horizontal="center"/>
    </xf>
    <xf numFmtId="0" fontId="90" fillId="8" borderId="1" xfId="3" applyFont="1" applyFill="1" applyBorder="1" applyAlignment="1">
      <alignment horizontal="center"/>
    </xf>
    <xf numFmtId="0" fontId="33" fillId="8" borderId="1" xfId="3" applyFont="1" applyFill="1" applyBorder="1" applyAlignment="1">
      <alignment horizontal="center" vertical="center"/>
    </xf>
    <xf numFmtId="164" fontId="43" fillId="8" borderId="1" xfId="8" applyFont="1" applyFill="1" applyBorder="1" applyAlignment="1">
      <alignment horizontal="center"/>
    </xf>
    <xf numFmtId="0" fontId="43" fillId="8" borderId="1" xfId="3" applyFont="1" applyFill="1" applyBorder="1" applyAlignment="1">
      <alignment horizontal="center"/>
    </xf>
    <xf numFmtId="0" fontId="90" fillId="2" borderId="1" xfId="3" applyFont="1" applyFill="1" applyBorder="1" applyAlignment="1">
      <alignment horizontal="center"/>
    </xf>
    <xf numFmtId="0" fontId="91" fillId="17" borderId="3" xfId="3" applyFont="1" applyFill="1" applyBorder="1" applyAlignment="1">
      <alignment vertical="justify"/>
    </xf>
    <xf numFmtId="1" fontId="33" fillId="8" borderId="1" xfId="3" applyNumberFormat="1" applyFont="1" applyFill="1" applyBorder="1" applyAlignment="1">
      <alignment horizontal="center" vertical="center"/>
    </xf>
    <xf numFmtId="0" fontId="33" fillId="17" borderId="1" xfId="3" applyFont="1" applyFill="1" applyBorder="1" applyAlignment="1">
      <alignment horizontal="center"/>
    </xf>
    <xf numFmtId="0" fontId="38" fillId="0" borderId="0" xfId="0" applyFont="1" applyBorder="1"/>
    <xf numFmtId="0" fontId="33" fillId="8" borderId="6" xfId="3" applyFont="1" applyFill="1" applyBorder="1" applyAlignment="1">
      <alignment horizontal="center"/>
    </xf>
    <xf numFmtId="0" fontId="33" fillId="0" borderId="1" xfId="3" applyFont="1" applyFill="1" applyBorder="1" applyAlignment="1">
      <alignment horizontal="center"/>
    </xf>
    <xf numFmtId="0" fontId="33" fillId="0" borderId="1" xfId="4" applyFont="1" applyFill="1" applyBorder="1" applyAlignment="1">
      <alignment horizontal="center"/>
    </xf>
    <xf numFmtId="0" fontId="33" fillId="0" borderId="1" xfId="3" applyFont="1" applyFill="1" applyBorder="1" applyAlignment="1">
      <alignment horizontal="center" vertical="center"/>
    </xf>
    <xf numFmtId="0" fontId="33" fillId="0" borderId="0" xfId="4" applyFont="1" applyFill="1" applyBorder="1" applyAlignment="1">
      <alignment horizontal="center"/>
    </xf>
    <xf numFmtId="0" fontId="33" fillId="0" borderId="1" xfId="4" applyFont="1" applyBorder="1" applyAlignment="1">
      <alignment horizontal="center"/>
    </xf>
    <xf numFmtId="0" fontId="38" fillId="0" borderId="1" xfId="0" applyFont="1" applyFill="1" applyBorder="1"/>
    <xf numFmtId="0" fontId="33" fillId="0" borderId="1" xfId="4" applyFont="1" applyFill="1" applyBorder="1"/>
    <xf numFmtId="0" fontId="38" fillId="0" borderId="4" xfId="0" applyFont="1" applyFill="1" applyBorder="1"/>
    <xf numFmtId="0" fontId="38" fillId="0" borderId="4" xfId="0" applyFont="1" applyFill="1" applyBorder="1" applyAlignment="1">
      <alignment horizontal="center"/>
    </xf>
    <xf numFmtId="0" fontId="38" fillId="12" borderId="1" xfId="0" applyFont="1" applyFill="1" applyBorder="1"/>
    <xf numFmtId="0" fontId="92" fillId="20" borderId="1" xfId="0" applyFont="1" applyFill="1" applyBorder="1" applyAlignment="1">
      <alignment horizontal="center"/>
    </xf>
    <xf numFmtId="0" fontId="93" fillId="9" borderId="1" xfId="3" applyFont="1" applyFill="1" applyBorder="1" applyAlignment="1">
      <alignment horizontal="center"/>
    </xf>
    <xf numFmtId="38" fontId="93" fillId="9" borderId="1" xfId="3" applyNumberFormat="1" applyFont="1" applyFill="1" applyBorder="1" applyAlignment="1">
      <alignment horizontal="center"/>
    </xf>
    <xf numFmtId="1" fontId="93" fillId="9" borderId="1" xfId="3" applyNumberFormat="1" applyFont="1" applyFill="1" applyBorder="1" applyAlignment="1">
      <alignment horizontal="center"/>
    </xf>
    <xf numFmtId="1" fontId="93" fillId="9" borderId="12" xfId="3" applyNumberFormat="1" applyFont="1" applyFill="1" applyBorder="1" applyAlignment="1">
      <alignment horizontal="center"/>
    </xf>
    <xf numFmtId="2" fontId="93" fillId="9" borderId="1" xfId="3" applyNumberFormat="1" applyFont="1" applyFill="1" applyBorder="1" applyAlignment="1">
      <alignment horizontal="center"/>
    </xf>
    <xf numFmtId="9" fontId="93" fillId="9" borderId="1" xfId="3" applyNumberFormat="1" applyFont="1" applyFill="1" applyBorder="1" applyAlignment="1">
      <alignment horizontal="center"/>
    </xf>
    <xf numFmtId="0" fontId="92" fillId="0" borderId="1" xfId="0" applyFont="1" applyFill="1" applyBorder="1" applyAlignment="1">
      <alignment horizontal="center"/>
    </xf>
    <xf numFmtId="1" fontId="93" fillId="8" borderId="1" xfId="3" applyNumberFormat="1" applyFont="1" applyFill="1" applyBorder="1" applyAlignment="1">
      <alignment horizontal="center"/>
    </xf>
    <xf numFmtId="0" fontId="93" fillId="12" borderId="1" xfId="3" applyFont="1" applyFill="1" applyBorder="1" applyAlignment="1">
      <alignment horizontal="center"/>
    </xf>
    <xf numFmtId="38" fontId="93" fillId="12" borderId="1" xfId="3" applyNumberFormat="1" applyFont="1" applyFill="1" applyBorder="1" applyAlignment="1">
      <alignment horizontal="center"/>
    </xf>
    <xf numFmtId="1" fontId="93" fillId="12" borderId="1" xfId="3" applyNumberFormat="1" applyFont="1" applyFill="1" applyBorder="1" applyAlignment="1">
      <alignment horizontal="center"/>
    </xf>
    <xf numFmtId="1" fontId="93" fillId="12" borderId="12" xfId="3" applyNumberFormat="1" applyFont="1" applyFill="1" applyBorder="1" applyAlignment="1">
      <alignment horizontal="center"/>
    </xf>
    <xf numFmtId="0" fontId="92" fillId="0" borderId="1" xfId="0" applyFont="1" applyBorder="1" applyAlignment="1">
      <alignment horizontal="center"/>
    </xf>
    <xf numFmtId="1" fontId="93" fillId="0" borderId="1" xfId="5" applyNumberFormat="1" applyFont="1" applyFill="1" applyBorder="1" applyAlignment="1">
      <alignment horizontal="center"/>
    </xf>
    <xf numFmtId="1" fontId="93" fillId="2" borderId="1" xfId="3" applyNumberFormat="1" applyFont="1" applyFill="1" applyBorder="1" applyAlignment="1">
      <alignment horizontal="center"/>
    </xf>
    <xf numFmtId="1" fontId="93" fillId="8" borderId="12" xfId="5" applyNumberFormat="1" applyFont="1" applyFill="1" applyBorder="1" applyAlignment="1" applyProtection="1">
      <alignment horizontal="center"/>
    </xf>
    <xf numFmtId="1" fontId="93" fillId="2" borderId="7" xfId="3" applyNumberFormat="1" applyFont="1" applyFill="1" applyBorder="1" applyAlignment="1">
      <alignment horizontal="center"/>
    </xf>
    <xf numFmtId="1" fontId="93" fillId="0" borderId="1" xfId="4" applyNumberFormat="1" applyFont="1" applyBorder="1" applyAlignment="1">
      <alignment horizontal="center"/>
    </xf>
    <xf numFmtId="1" fontId="93" fillId="2" borderId="1" xfId="5" applyNumberFormat="1" applyFont="1" applyFill="1" applyBorder="1" applyAlignment="1">
      <alignment horizontal="center"/>
    </xf>
    <xf numFmtId="1" fontId="92" fillId="12" borderId="1" xfId="3" applyNumberFormat="1" applyFont="1" applyFill="1" applyBorder="1" applyAlignment="1">
      <alignment horizontal="center"/>
    </xf>
    <xf numFmtId="1" fontId="94" fillId="2" borderId="1" xfId="4" applyNumberFormat="1" applyFont="1" applyFill="1" applyBorder="1" applyAlignment="1">
      <alignment horizontal="center"/>
    </xf>
    <xf numFmtId="1" fontId="95" fillId="2" borderId="1" xfId="5" applyNumberFormat="1" applyFont="1" applyFill="1" applyBorder="1" applyAlignment="1">
      <alignment horizontal="center"/>
    </xf>
    <xf numFmtId="1" fontId="93" fillId="2" borderId="1" xfId="4" applyNumberFormat="1" applyFont="1" applyFill="1" applyBorder="1" applyAlignment="1">
      <alignment horizontal="center"/>
    </xf>
    <xf numFmtId="1" fontId="93" fillId="2" borderId="12" xfId="5" applyNumberFormat="1" applyFont="1" applyFill="1" applyBorder="1" applyAlignment="1" applyProtection="1">
      <alignment horizontal="center"/>
    </xf>
    <xf numFmtId="1" fontId="94" fillId="0" borderId="1" xfId="4" applyNumberFormat="1" applyFont="1" applyBorder="1" applyAlignment="1">
      <alignment horizontal="center"/>
    </xf>
    <xf numFmtId="1" fontId="93" fillId="8" borderId="1" xfId="5" applyNumberFormat="1" applyFont="1" applyFill="1" applyBorder="1" applyAlignment="1">
      <alignment horizontal="center"/>
    </xf>
    <xf numFmtId="1" fontId="96" fillId="8" borderId="1" xfId="3" applyNumberFormat="1" applyFont="1" applyFill="1" applyBorder="1" applyAlignment="1">
      <alignment horizontal="center"/>
    </xf>
    <xf numFmtId="1" fontId="96" fillId="8" borderId="1" xfId="5" applyNumberFormat="1" applyFont="1" applyFill="1" applyBorder="1" applyAlignment="1">
      <alignment horizontal="center"/>
    </xf>
    <xf numFmtId="1" fontId="93" fillId="2" borderId="1" xfId="5" applyNumberFormat="1" applyFont="1" applyFill="1" applyBorder="1" applyAlignment="1" applyProtection="1">
      <alignment horizontal="center"/>
    </xf>
    <xf numFmtId="1" fontId="96" fillId="2" borderId="1" xfId="4" applyNumberFormat="1" applyFont="1" applyFill="1" applyBorder="1" applyAlignment="1">
      <alignment horizontal="center"/>
    </xf>
    <xf numFmtId="1" fontId="95" fillId="12" borderId="1" xfId="3" applyNumberFormat="1" applyFont="1" applyFill="1" applyBorder="1" applyAlignment="1">
      <alignment horizontal="center"/>
    </xf>
    <xf numFmtId="1" fontId="97" fillId="8" borderId="1" xfId="3" applyNumberFormat="1" applyFont="1" applyFill="1" applyBorder="1" applyAlignment="1">
      <alignment horizontal="center"/>
    </xf>
    <xf numFmtId="1" fontId="92" fillId="8" borderId="1" xfId="3" applyNumberFormat="1" applyFont="1" applyFill="1" applyBorder="1" applyAlignment="1">
      <alignment horizontal="center"/>
    </xf>
    <xf numFmtId="1" fontId="95" fillId="8" borderId="1" xfId="3" applyNumberFormat="1" applyFont="1" applyFill="1" applyBorder="1" applyAlignment="1">
      <alignment horizontal="center"/>
    </xf>
    <xf numFmtId="1" fontId="92" fillId="0" borderId="1" xfId="0" applyNumberFormat="1" applyFont="1" applyBorder="1" applyAlignment="1">
      <alignment horizontal="center"/>
    </xf>
    <xf numFmtId="2" fontId="93" fillId="8" borderId="1" xfId="9" applyNumberFormat="1" applyFont="1" applyFill="1" applyBorder="1" applyAlignment="1">
      <alignment horizontal="center"/>
    </xf>
    <xf numFmtId="1" fontId="92" fillId="8" borderId="1" xfId="5" applyNumberFormat="1" applyFont="1" applyFill="1" applyBorder="1" applyAlignment="1" applyProtection="1">
      <alignment horizontal="center"/>
    </xf>
    <xf numFmtId="1" fontId="95" fillId="8" borderId="1" xfId="5" applyNumberFormat="1" applyFont="1" applyFill="1" applyBorder="1" applyAlignment="1" applyProtection="1">
      <alignment horizontal="center"/>
    </xf>
    <xf numFmtId="1" fontId="96" fillId="2" borderId="1" xfId="3" applyNumberFormat="1" applyFont="1" applyFill="1" applyBorder="1" applyAlignment="1">
      <alignment horizontal="center"/>
    </xf>
    <xf numFmtId="43" fontId="96" fillId="8" borderId="1" xfId="19" applyFont="1" applyFill="1" applyBorder="1" applyAlignment="1" applyProtection="1">
      <alignment horizontal="center"/>
    </xf>
    <xf numFmtId="1" fontId="93" fillId="8" borderId="1" xfId="19" applyNumberFormat="1" applyFont="1" applyFill="1" applyBorder="1" applyAlignment="1">
      <alignment horizontal="center"/>
    </xf>
    <xf numFmtId="43" fontId="96" fillId="2" borderId="1" xfId="19" applyFont="1" applyFill="1" applyBorder="1" applyAlignment="1">
      <alignment horizontal="center"/>
    </xf>
    <xf numFmtId="1" fontId="93" fillId="8" borderId="12" xfId="19" applyNumberFormat="1" applyFont="1" applyFill="1" applyBorder="1" applyAlignment="1" applyProtection="1">
      <alignment horizontal="center"/>
    </xf>
    <xf numFmtId="1" fontId="98" fillId="17" borderId="3" xfId="3" applyNumberFormat="1" applyFont="1" applyFill="1" applyBorder="1" applyAlignment="1">
      <alignment horizontal="center"/>
    </xf>
    <xf numFmtId="1" fontId="98" fillId="17" borderId="21" xfId="3" applyNumberFormat="1" applyFont="1" applyFill="1" applyBorder="1" applyAlignment="1">
      <alignment horizontal="center"/>
    </xf>
    <xf numFmtId="1" fontId="93" fillId="17" borderId="1" xfId="3" applyNumberFormat="1" applyFont="1" applyFill="1" applyBorder="1" applyAlignment="1">
      <alignment horizontal="center"/>
    </xf>
    <xf numFmtId="1" fontId="92" fillId="17" borderId="1" xfId="3" applyNumberFormat="1" applyFont="1" applyFill="1" applyBorder="1" applyAlignment="1">
      <alignment horizontal="center"/>
    </xf>
    <xf numFmtId="1" fontId="93" fillId="17" borderId="12" xfId="3" applyNumberFormat="1" applyFont="1" applyFill="1" applyBorder="1" applyAlignment="1">
      <alignment horizontal="center"/>
    </xf>
    <xf numFmtId="0" fontId="94" fillId="0" borderId="1" xfId="4" applyFont="1" applyBorder="1" applyAlignment="1">
      <alignment horizontal="center"/>
    </xf>
    <xf numFmtId="38" fontId="93" fillId="2" borderId="1" xfId="5" applyNumberFormat="1" applyFont="1" applyFill="1" applyBorder="1" applyAlignment="1">
      <alignment horizontal="center"/>
    </xf>
    <xf numFmtId="2" fontId="93" fillId="8" borderId="1" xfId="3" applyNumberFormat="1" applyFont="1" applyFill="1" applyBorder="1" applyAlignment="1">
      <alignment horizontal="center"/>
    </xf>
    <xf numFmtId="0" fontId="93" fillId="2" borderId="1" xfId="3" applyFont="1" applyFill="1" applyBorder="1" applyAlignment="1">
      <alignment horizontal="center"/>
    </xf>
    <xf numFmtId="38" fontId="92" fillId="2" borderId="1" xfId="3" applyNumberFormat="1" applyFont="1" applyFill="1" applyBorder="1" applyAlignment="1">
      <alignment horizontal="center"/>
    </xf>
    <xf numFmtId="165" fontId="93" fillId="8" borderId="1" xfId="7" applyFont="1" applyFill="1" applyBorder="1" applyAlignment="1">
      <alignment horizontal="center" wrapText="1"/>
    </xf>
    <xf numFmtId="0" fontId="92" fillId="0" borderId="0" xfId="0" applyFont="1" applyBorder="1" applyAlignment="1">
      <alignment horizontal="center"/>
    </xf>
    <xf numFmtId="38" fontId="92" fillId="0" borderId="0" xfId="0" applyNumberFormat="1" applyFont="1" applyBorder="1" applyAlignment="1">
      <alignment horizontal="center"/>
    </xf>
    <xf numFmtId="1" fontId="92" fillId="0" borderId="0" xfId="0" applyNumberFormat="1" applyFont="1" applyBorder="1" applyAlignment="1">
      <alignment horizontal="center"/>
    </xf>
    <xf numFmtId="1" fontId="92" fillId="0" borderId="24" xfId="0" applyNumberFormat="1" applyFont="1" applyBorder="1" applyAlignment="1">
      <alignment horizontal="center"/>
    </xf>
    <xf numFmtId="0" fontId="93" fillId="17" borderId="1" xfId="3" applyFont="1" applyFill="1" applyBorder="1" applyAlignment="1">
      <alignment horizontal="center"/>
    </xf>
    <xf numFmtId="38" fontId="92" fillId="17" borderId="1" xfId="3" applyNumberFormat="1" applyFont="1" applyFill="1" applyBorder="1" applyAlignment="1">
      <alignment horizontal="center"/>
    </xf>
    <xf numFmtId="0" fontId="92" fillId="17" borderId="1" xfId="3" applyFont="1" applyFill="1" applyBorder="1" applyAlignment="1">
      <alignment horizontal="center"/>
    </xf>
    <xf numFmtId="1" fontId="92" fillId="17" borderId="12" xfId="3" applyNumberFormat="1" applyFont="1" applyFill="1" applyBorder="1" applyAlignment="1">
      <alignment horizontal="center"/>
    </xf>
    <xf numFmtId="0" fontId="93" fillId="2" borderId="1" xfId="4" applyFont="1" applyFill="1" applyBorder="1" applyAlignment="1">
      <alignment horizontal="center"/>
    </xf>
    <xf numFmtId="0" fontId="93" fillId="0" borderId="1" xfId="4" applyFont="1" applyBorder="1" applyAlignment="1">
      <alignment horizontal="center"/>
    </xf>
    <xf numFmtId="38" fontId="93" fillId="12" borderId="1" xfId="5" applyNumberFormat="1" applyFont="1" applyFill="1" applyBorder="1" applyAlignment="1">
      <alignment horizontal="center"/>
    </xf>
    <xf numFmtId="1" fontId="93" fillId="12" borderId="1" xfId="5" applyNumberFormat="1" applyFont="1" applyFill="1" applyBorder="1" applyAlignment="1">
      <alignment horizontal="center"/>
    </xf>
    <xf numFmtId="1" fontId="93" fillId="12" borderId="12" xfId="5" applyNumberFormat="1" applyFont="1" applyFill="1" applyBorder="1" applyAlignment="1">
      <alignment horizontal="center"/>
    </xf>
    <xf numFmtId="0" fontId="94" fillId="0" borderId="1" xfId="4" applyFont="1" applyFill="1" applyBorder="1" applyAlignment="1">
      <alignment horizontal="center"/>
    </xf>
    <xf numFmtId="38" fontId="93" fillId="0" borderId="1" xfId="5" applyNumberFormat="1" applyFont="1" applyFill="1" applyBorder="1" applyAlignment="1">
      <alignment horizontal="center"/>
    </xf>
    <xf numFmtId="38" fontId="92" fillId="0" borderId="1" xfId="0" applyNumberFormat="1" applyFont="1" applyBorder="1" applyAlignment="1">
      <alignment horizontal="center"/>
    </xf>
    <xf numFmtId="38" fontId="92" fillId="12" borderId="1" xfId="3" applyNumberFormat="1" applyFont="1" applyFill="1" applyBorder="1" applyAlignment="1">
      <alignment horizontal="center"/>
    </xf>
    <xf numFmtId="0" fontId="92" fillId="12" borderId="1" xfId="3" applyFont="1" applyFill="1" applyBorder="1" applyAlignment="1">
      <alignment horizontal="center"/>
    </xf>
    <xf numFmtId="1" fontId="92" fillId="12" borderId="12" xfId="3" applyNumberFormat="1" applyFont="1" applyFill="1" applyBorder="1" applyAlignment="1">
      <alignment horizontal="center"/>
    </xf>
    <xf numFmtId="0" fontId="93" fillId="8" borderId="1" xfId="3" applyFont="1" applyFill="1" applyBorder="1" applyAlignment="1">
      <alignment horizontal="center"/>
    </xf>
    <xf numFmtId="38" fontId="93" fillId="8" borderId="1" xfId="3" applyNumberFormat="1" applyFont="1" applyFill="1" applyBorder="1" applyAlignment="1">
      <alignment horizontal="center"/>
    </xf>
    <xf numFmtId="38" fontId="93" fillId="8" borderId="1" xfId="6" applyNumberFormat="1" applyFont="1" applyFill="1" applyBorder="1" applyAlignment="1">
      <alignment horizontal="center"/>
    </xf>
    <xf numFmtId="167" fontId="93" fillId="0" borderId="1" xfId="6" applyNumberFormat="1" applyFont="1" applyFill="1" applyBorder="1" applyAlignment="1">
      <alignment horizontal="center"/>
    </xf>
    <xf numFmtId="2" fontId="93" fillId="8" borderId="6" xfId="3" applyNumberFormat="1" applyFont="1" applyFill="1" applyBorder="1" applyAlignment="1">
      <alignment horizontal="center"/>
    </xf>
    <xf numFmtId="38" fontId="93" fillId="8" borderId="6" xfId="6" applyNumberFormat="1" applyFont="1" applyFill="1" applyBorder="1" applyAlignment="1">
      <alignment horizontal="center"/>
    </xf>
    <xf numFmtId="1" fontId="93" fillId="8" borderId="17" xfId="5" applyNumberFormat="1" applyFont="1" applyFill="1" applyBorder="1" applyAlignment="1" applyProtection="1">
      <alignment horizontal="center"/>
    </xf>
    <xf numFmtId="0" fontId="92" fillId="0" borderId="0" xfId="0" applyFont="1" applyAlignment="1">
      <alignment horizontal="center"/>
    </xf>
    <xf numFmtId="38" fontId="92" fillId="0" borderId="0" xfId="0" applyNumberFormat="1" applyFont="1" applyAlignment="1">
      <alignment horizontal="center"/>
    </xf>
    <xf numFmtId="1" fontId="92" fillId="0" borderId="0" xfId="0" applyNumberFormat="1" applyFont="1" applyAlignment="1">
      <alignment horizontal="center"/>
    </xf>
    <xf numFmtId="0" fontId="93" fillId="0" borderId="1" xfId="0" applyFont="1" applyBorder="1" applyAlignment="1">
      <alignment horizontal="center"/>
    </xf>
    <xf numFmtId="1" fontId="93" fillId="8" borderId="1" xfId="5" applyNumberFormat="1" applyFont="1" applyFill="1" applyBorder="1" applyAlignment="1" applyProtection="1">
      <alignment horizontal="center"/>
    </xf>
    <xf numFmtId="0" fontId="93" fillId="0" borderId="1" xfId="0" applyFont="1" applyFill="1" applyBorder="1" applyAlignment="1">
      <alignment horizontal="center"/>
    </xf>
    <xf numFmtId="0" fontId="94" fillId="2" borderId="1" xfId="4" applyFont="1" applyFill="1" applyBorder="1" applyAlignment="1">
      <alignment horizontal="center" wrapText="1"/>
    </xf>
    <xf numFmtId="0" fontId="94" fillId="0" borderId="1" xfId="4" applyFont="1" applyFill="1" applyBorder="1" applyAlignment="1">
      <alignment horizontal="center" wrapText="1"/>
    </xf>
    <xf numFmtId="0" fontId="94" fillId="0" borderId="1" xfId="4" applyFont="1" applyBorder="1" applyAlignment="1">
      <alignment horizontal="center" wrapText="1"/>
    </xf>
    <xf numFmtId="1" fontId="93" fillId="0" borderId="1" xfId="3" applyNumberFormat="1" applyFont="1" applyFill="1" applyBorder="1" applyAlignment="1">
      <alignment horizontal="center"/>
    </xf>
    <xf numFmtId="2" fontId="93" fillId="0" borderId="1" xfId="3" applyNumberFormat="1" applyFont="1" applyFill="1" applyBorder="1" applyAlignment="1">
      <alignment horizontal="center"/>
    </xf>
    <xf numFmtId="1" fontId="93" fillId="0" borderId="1" xfId="5" applyNumberFormat="1" applyFont="1" applyFill="1" applyBorder="1" applyAlignment="1" applyProtection="1">
      <alignment horizontal="center"/>
    </xf>
    <xf numFmtId="2" fontId="95" fillId="0" borderId="1" xfId="3" applyNumberFormat="1" applyFont="1" applyFill="1" applyBorder="1" applyAlignment="1">
      <alignment horizontal="center"/>
    </xf>
    <xf numFmtId="0" fontId="93" fillId="0" borderId="1" xfId="3" applyFont="1" applyFill="1" applyBorder="1" applyAlignment="1">
      <alignment horizontal="center"/>
    </xf>
    <xf numFmtId="0" fontId="93" fillId="0" borderId="0" xfId="3" applyFont="1" applyFill="1" applyBorder="1" applyAlignment="1">
      <alignment horizontal="center"/>
    </xf>
    <xf numFmtId="38" fontId="93" fillId="0" borderId="0" xfId="5" applyNumberFormat="1" applyFont="1" applyFill="1" applyBorder="1" applyAlignment="1">
      <alignment horizontal="center"/>
    </xf>
    <xf numFmtId="1" fontId="93" fillId="0" borderId="0" xfId="3" applyNumberFormat="1" applyFont="1" applyFill="1" applyBorder="1" applyAlignment="1">
      <alignment horizontal="center"/>
    </xf>
    <xf numFmtId="1" fontId="93" fillId="0" borderId="2" xfId="5" applyNumberFormat="1" applyFont="1" applyFill="1" applyBorder="1" applyAlignment="1" applyProtection="1">
      <alignment horizontal="center"/>
    </xf>
    <xf numFmtId="1" fontId="92" fillId="0" borderId="1" xfId="0" applyNumberFormat="1" applyFont="1" applyFill="1" applyBorder="1" applyAlignment="1">
      <alignment horizontal="center"/>
    </xf>
    <xf numFmtId="0" fontId="92" fillId="0" borderId="1" xfId="3" applyFont="1" applyFill="1" applyBorder="1" applyAlignment="1">
      <alignment horizontal="center"/>
    </xf>
    <xf numFmtId="38" fontId="93" fillId="0" borderId="1" xfId="3" applyNumberFormat="1" applyFont="1" applyFill="1" applyBorder="1" applyAlignment="1">
      <alignment horizontal="center"/>
    </xf>
    <xf numFmtId="1" fontId="93" fillId="0" borderId="12" xfId="5" applyNumberFormat="1" applyFont="1" applyFill="1" applyBorder="1" applyAlignment="1" applyProtection="1">
      <alignment horizontal="center"/>
    </xf>
    <xf numFmtId="1" fontId="92" fillId="0" borderId="12" xfId="0" applyNumberFormat="1" applyFont="1" applyBorder="1" applyAlignment="1">
      <alignment horizontal="center"/>
    </xf>
    <xf numFmtId="38" fontId="92" fillId="0" borderId="1" xfId="0" applyNumberFormat="1" applyFont="1" applyFill="1" applyBorder="1" applyAlignment="1">
      <alignment horizontal="center"/>
    </xf>
    <xf numFmtId="1" fontId="92" fillId="0" borderId="12" xfId="0" applyNumberFormat="1" applyFont="1" applyFill="1" applyBorder="1" applyAlignment="1">
      <alignment horizontal="center"/>
    </xf>
    <xf numFmtId="0" fontId="92" fillId="12" borderId="1" xfId="0" applyFont="1" applyFill="1" applyBorder="1" applyAlignment="1">
      <alignment horizontal="center"/>
    </xf>
    <xf numFmtId="38" fontId="92" fillId="12" borderId="1" xfId="0" applyNumberFormat="1" applyFont="1" applyFill="1" applyBorder="1" applyAlignment="1">
      <alignment horizontal="center"/>
    </xf>
    <xf numFmtId="1" fontId="92" fillId="12" borderId="1" xfId="0" applyNumberFormat="1" applyFont="1" applyFill="1" applyBorder="1" applyAlignment="1">
      <alignment horizontal="center"/>
    </xf>
    <xf numFmtId="1" fontId="92" fillId="20" borderId="1" xfId="0" applyNumberFormat="1" applyFont="1" applyFill="1" applyBorder="1" applyAlignment="1">
      <alignment horizontal="center"/>
    </xf>
    <xf numFmtId="1" fontId="94" fillId="0" borderId="1" xfId="0" applyNumberFormat="1" applyFont="1" applyBorder="1" applyAlignment="1">
      <alignment horizontal="center"/>
    </xf>
    <xf numFmtId="0" fontId="80" fillId="0" borderId="1" xfId="0" applyFont="1" applyFill="1" applyBorder="1" applyAlignment="1">
      <alignment horizontal="center"/>
    </xf>
    <xf numFmtId="2" fontId="99" fillId="2" borderId="1" xfId="3" applyNumberFormat="1" applyFont="1" applyFill="1" applyBorder="1" applyAlignment="1">
      <alignment horizontal="center"/>
    </xf>
    <xf numFmtId="38" fontId="99" fillId="8" borderId="1" xfId="3" applyNumberFormat="1" applyFont="1" applyFill="1" applyBorder="1" applyAlignment="1">
      <alignment horizontal="center" wrapText="1" shrinkToFit="1"/>
    </xf>
    <xf numFmtId="1" fontId="99" fillId="8" borderId="1" xfId="3" applyNumberFormat="1" applyFont="1" applyFill="1" applyBorder="1" applyAlignment="1">
      <alignment horizontal="center"/>
    </xf>
    <xf numFmtId="1" fontId="99" fillId="8" borderId="12" xfId="3" applyNumberFormat="1" applyFont="1" applyFill="1" applyBorder="1" applyAlignment="1">
      <alignment horizontal="center" wrapText="1" shrinkToFit="1"/>
    </xf>
    <xf numFmtId="2" fontId="45" fillId="0" borderId="1" xfId="4" applyNumberFormat="1" applyFont="1" applyFill="1" applyBorder="1" applyAlignment="1">
      <alignment horizontal="center" wrapText="1"/>
    </xf>
    <xf numFmtId="2" fontId="44" fillId="0" borderId="1" xfId="0" applyNumberFormat="1" applyFont="1" applyBorder="1" applyAlignment="1">
      <alignment horizontal="center"/>
    </xf>
    <xf numFmtId="2" fontId="45" fillId="0" borderId="1" xfId="4" applyNumberFormat="1" applyFont="1" applyFill="1" applyBorder="1" applyAlignment="1">
      <alignment horizontal="center"/>
    </xf>
    <xf numFmtId="1" fontId="47" fillId="2" borderId="6" xfId="5" applyNumberFormat="1" applyFont="1" applyFill="1" applyBorder="1" applyAlignment="1">
      <alignment horizontal="center" vertical="center"/>
    </xf>
    <xf numFmtId="2" fontId="1" fillId="0" borderId="0" xfId="16" applyNumberFormat="1" applyFont="1" applyAlignment="1">
      <alignment horizontal="center"/>
    </xf>
    <xf numFmtId="16" fontId="5" fillId="2" borderId="0" xfId="1" applyNumberFormat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7" fillId="5" borderId="1" xfId="1" applyFont="1" applyFill="1" applyBorder="1" applyAlignment="1">
      <alignment horizontal="center" vertical="center" wrapText="1"/>
    </xf>
    <xf numFmtId="0" fontId="7" fillId="6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 wrapText="1"/>
    </xf>
    <xf numFmtId="0" fontId="7" fillId="0" borderId="3" xfId="1" applyFont="1" applyFill="1" applyBorder="1" applyAlignment="1">
      <alignment horizontal="center" vertical="center" wrapText="1"/>
    </xf>
    <xf numFmtId="0" fontId="7" fillId="0" borderId="4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4" fillId="0" borderId="14" xfId="1" applyFont="1" applyFill="1" applyBorder="1" applyAlignment="1">
      <alignment horizontal="center" vertical="center" wrapText="1"/>
    </xf>
    <xf numFmtId="0" fontId="4" fillId="0" borderId="11" xfId="1" applyFont="1" applyFill="1" applyBorder="1" applyAlignment="1">
      <alignment horizontal="center" vertical="center" wrapText="1"/>
    </xf>
    <xf numFmtId="0" fontId="4" fillId="0" borderId="15" xfId="1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12" fillId="13" borderId="5" xfId="0" applyFont="1" applyFill="1" applyBorder="1" applyAlignment="1">
      <alignment horizontal="center"/>
    </xf>
    <xf numFmtId="0" fontId="12" fillId="14" borderId="5" xfId="0" applyFont="1" applyFill="1" applyBorder="1" applyAlignment="1">
      <alignment horizontal="center"/>
    </xf>
    <xf numFmtId="0" fontId="12" fillId="15" borderId="5" xfId="0" applyFont="1" applyFill="1" applyBorder="1" applyAlignment="1">
      <alignment horizontal="center"/>
    </xf>
    <xf numFmtId="0" fontId="66" fillId="0" borderId="14" xfId="1" applyFont="1" applyFill="1" applyBorder="1" applyAlignment="1">
      <alignment horizontal="center" vertical="center" wrapText="1"/>
    </xf>
    <xf numFmtId="0" fontId="66" fillId="0" borderId="11" xfId="1" applyFont="1" applyFill="1" applyBorder="1" applyAlignment="1">
      <alignment horizontal="center" vertical="center" wrapText="1"/>
    </xf>
    <xf numFmtId="0" fontId="66" fillId="0" borderId="15" xfId="1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/>
    </xf>
    <xf numFmtId="0" fontId="12" fillId="13" borderId="3" xfId="0" applyFont="1" applyFill="1" applyBorder="1" applyAlignment="1">
      <alignment horizontal="center"/>
    </xf>
    <xf numFmtId="0" fontId="82" fillId="13" borderId="13" xfId="3" applyFont="1" applyFill="1" applyBorder="1" applyAlignment="1">
      <alignment horizontal="left"/>
    </xf>
    <xf numFmtId="0" fontId="82" fillId="13" borderId="3" xfId="3" applyFont="1" applyFill="1" applyBorder="1" applyAlignment="1">
      <alignment horizontal="left"/>
    </xf>
    <xf numFmtId="0" fontId="82" fillId="13" borderId="4" xfId="3" applyFont="1" applyFill="1" applyBorder="1" applyAlignment="1">
      <alignment horizontal="left"/>
    </xf>
    <xf numFmtId="0" fontId="86" fillId="0" borderId="2" xfId="4" applyFont="1" applyFill="1" applyBorder="1" applyAlignment="1">
      <alignment horizontal="left"/>
    </xf>
    <xf numFmtId="0" fontId="86" fillId="0" borderId="3" xfId="4" applyFont="1" applyFill="1" applyBorder="1" applyAlignment="1">
      <alignment horizontal="left"/>
    </xf>
    <xf numFmtId="0" fontId="86" fillId="0" borderId="4" xfId="4" applyFont="1" applyFill="1" applyBorder="1" applyAlignment="1">
      <alignment horizontal="left"/>
    </xf>
    <xf numFmtId="0" fontId="86" fillId="0" borderId="1" xfId="4" applyFont="1" applyFill="1" applyBorder="1" applyAlignment="1">
      <alignment horizontal="left"/>
    </xf>
    <xf numFmtId="0" fontId="41" fillId="0" borderId="1" xfId="0" applyFont="1" applyFill="1" applyBorder="1" applyAlignment="1">
      <alignment horizontal="center"/>
    </xf>
    <xf numFmtId="0" fontId="82" fillId="0" borderId="1" xfId="4" applyFont="1" applyFill="1" applyBorder="1" applyAlignment="1">
      <alignment horizontal="left"/>
    </xf>
    <xf numFmtId="0" fontId="82" fillId="0" borderId="2" xfId="4" applyFont="1" applyFill="1" applyBorder="1" applyAlignment="1">
      <alignment horizontal="left"/>
    </xf>
    <xf numFmtId="0" fontId="82" fillId="0" borderId="3" xfId="4" applyFont="1" applyFill="1" applyBorder="1" applyAlignment="1">
      <alignment horizontal="left"/>
    </xf>
    <xf numFmtId="0" fontId="82" fillId="0" borderId="4" xfId="4" applyFont="1" applyFill="1" applyBorder="1" applyAlignment="1">
      <alignment horizontal="left"/>
    </xf>
    <xf numFmtId="0" fontId="41" fillId="0" borderId="2" xfId="0" applyFont="1" applyBorder="1" applyAlignment="1">
      <alignment horizontal="left"/>
    </xf>
    <xf numFmtId="0" fontId="41" fillId="0" borderId="3" xfId="0" applyFont="1" applyBorder="1" applyAlignment="1">
      <alignment horizontal="left"/>
    </xf>
    <xf numFmtId="0" fontId="41" fillId="0" borderId="4" xfId="0" applyFont="1" applyBorder="1" applyAlignment="1">
      <alignment horizontal="left"/>
    </xf>
    <xf numFmtId="0" fontId="82" fillId="8" borderId="13" xfId="3" applyFont="1" applyFill="1" applyBorder="1" applyAlignment="1">
      <alignment horizontal="left"/>
    </xf>
    <xf numFmtId="0" fontId="82" fillId="8" borderId="3" xfId="3" applyFont="1" applyFill="1" applyBorder="1" applyAlignment="1">
      <alignment horizontal="left"/>
    </xf>
    <xf numFmtId="0" fontId="82" fillId="8" borderId="4" xfId="3" applyFont="1" applyFill="1" applyBorder="1" applyAlignment="1">
      <alignment horizontal="left"/>
    </xf>
    <xf numFmtId="0" fontId="36" fillId="8" borderId="14" xfId="3" applyFont="1" applyFill="1" applyBorder="1" applyAlignment="1">
      <alignment horizontal="center"/>
    </xf>
    <xf numFmtId="0" fontId="36" fillId="8" borderId="11" xfId="3" applyFont="1" applyFill="1" applyBorder="1" applyAlignment="1">
      <alignment horizontal="center"/>
    </xf>
    <xf numFmtId="0" fontId="36" fillId="8" borderId="15" xfId="3" applyFont="1" applyFill="1" applyBorder="1" applyAlignment="1">
      <alignment horizontal="center"/>
    </xf>
    <xf numFmtId="0" fontId="84" fillId="12" borderId="13" xfId="3" applyFont="1" applyFill="1" applyBorder="1" applyAlignment="1">
      <alignment horizontal="center" vertical="center"/>
    </xf>
    <xf numFmtId="0" fontId="84" fillId="12" borderId="3" xfId="3" applyFont="1" applyFill="1" applyBorder="1" applyAlignment="1">
      <alignment horizontal="center" vertical="center"/>
    </xf>
    <xf numFmtId="0" fontId="84" fillId="12" borderId="4" xfId="3" applyFont="1" applyFill="1" applyBorder="1" applyAlignment="1">
      <alignment horizontal="center" vertical="center"/>
    </xf>
    <xf numFmtId="0" fontId="84" fillId="12" borderId="13" xfId="3" applyFont="1" applyFill="1" applyBorder="1" applyAlignment="1">
      <alignment horizontal="center"/>
    </xf>
    <xf numFmtId="0" fontId="84" fillId="12" borderId="3" xfId="3" applyFont="1" applyFill="1" applyBorder="1" applyAlignment="1">
      <alignment horizontal="center"/>
    </xf>
    <xf numFmtId="0" fontId="84" fillId="12" borderId="4" xfId="3" applyFont="1" applyFill="1" applyBorder="1" applyAlignment="1">
      <alignment horizontal="center"/>
    </xf>
    <xf numFmtId="0" fontId="93" fillId="9" borderId="2" xfId="3" applyFont="1" applyFill="1" applyBorder="1" applyAlignment="1">
      <alignment horizontal="center"/>
    </xf>
    <xf numFmtId="0" fontId="93" fillId="9" borderId="4" xfId="3" applyFont="1" applyFill="1" applyBorder="1" applyAlignment="1">
      <alignment horizontal="center"/>
    </xf>
    <xf numFmtId="0" fontId="89" fillId="17" borderId="13" xfId="3" applyFont="1" applyFill="1" applyBorder="1" applyAlignment="1">
      <alignment horizontal="center" vertical="center"/>
    </xf>
    <xf numFmtId="0" fontId="89" fillId="17" borderId="3" xfId="3" applyFont="1" applyFill="1" applyBorder="1" applyAlignment="1">
      <alignment horizontal="center" vertical="center"/>
    </xf>
    <xf numFmtId="0" fontId="84" fillId="17" borderId="13" xfId="3" applyFont="1" applyFill="1" applyBorder="1" applyAlignment="1">
      <alignment horizontal="center"/>
    </xf>
    <xf numFmtId="0" fontId="84" fillId="17" borderId="3" xfId="3" applyFont="1" applyFill="1" applyBorder="1" applyAlignment="1">
      <alignment horizontal="center"/>
    </xf>
    <xf numFmtId="0" fontId="84" fillId="17" borderId="4" xfId="3" applyFont="1" applyFill="1" applyBorder="1" applyAlignment="1">
      <alignment horizontal="center"/>
    </xf>
    <xf numFmtId="0" fontId="41" fillId="0" borderId="13" xfId="0" applyFont="1" applyBorder="1" applyAlignment="1">
      <alignment horizontal="left"/>
    </xf>
    <xf numFmtId="0" fontId="82" fillId="0" borderId="13" xfId="4" applyFont="1" applyBorder="1" applyAlignment="1">
      <alignment horizontal="left"/>
    </xf>
    <xf numFmtId="0" fontId="82" fillId="0" borderId="3" xfId="4" applyFont="1" applyBorder="1" applyAlignment="1">
      <alignment horizontal="left"/>
    </xf>
    <xf numFmtId="0" fontId="82" fillId="0" borderId="4" xfId="4" applyFont="1" applyBorder="1" applyAlignment="1">
      <alignment horizontal="left"/>
    </xf>
    <xf numFmtId="0" fontId="82" fillId="12" borderId="13" xfId="3" applyFont="1" applyFill="1" applyBorder="1" applyAlignment="1">
      <alignment horizontal="center" vertical="center"/>
    </xf>
    <xf numFmtId="0" fontId="82" fillId="12" borderId="3" xfId="3" applyFont="1" applyFill="1" applyBorder="1" applyAlignment="1">
      <alignment horizontal="center" vertical="center"/>
    </xf>
    <xf numFmtId="0" fontId="82" fillId="12" borderId="4" xfId="3" applyFont="1" applyFill="1" applyBorder="1" applyAlignment="1">
      <alignment horizontal="center" vertical="center"/>
    </xf>
    <xf numFmtId="0" fontId="82" fillId="12" borderId="13" xfId="3" applyFont="1" applyFill="1" applyBorder="1" applyAlignment="1">
      <alignment horizontal="center"/>
    </xf>
    <xf numFmtId="0" fontId="82" fillId="12" borderId="3" xfId="3" applyFont="1" applyFill="1" applyBorder="1" applyAlignment="1">
      <alignment horizontal="center"/>
    </xf>
    <xf numFmtId="0" fontId="82" fillId="12" borderId="4" xfId="3" applyFont="1" applyFill="1" applyBorder="1" applyAlignment="1">
      <alignment horizontal="center"/>
    </xf>
    <xf numFmtId="0" fontId="82" fillId="8" borderId="0" xfId="3" applyFont="1" applyFill="1" applyBorder="1" applyAlignment="1">
      <alignment vertical="center"/>
    </xf>
    <xf numFmtId="0" fontId="82" fillId="0" borderId="2" xfId="4" applyFont="1" applyBorder="1" applyAlignment="1">
      <alignment horizontal="left" vertical="center"/>
    </xf>
    <xf numFmtId="0" fontId="82" fillId="0" borderId="3" xfId="4" applyFont="1" applyBorder="1" applyAlignment="1">
      <alignment horizontal="left" vertical="center"/>
    </xf>
    <xf numFmtId="0" fontId="82" fillId="0" borderId="4" xfId="4" applyFont="1" applyBorder="1" applyAlignment="1">
      <alignment horizontal="left" vertical="center"/>
    </xf>
    <xf numFmtId="0" fontId="82" fillId="8" borderId="19" xfId="3" applyFont="1" applyFill="1" applyBorder="1" applyAlignment="1">
      <alignment horizontal="left"/>
    </xf>
    <xf numFmtId="0" fontId="82" fillId="8" borderId="8" xfId="3" applyFont="1" applyFill="1" applyBorder="1" applyAlignment="1">
      <alignment horizontal="left"/>
    </xf>
    <xf numFmtId="0" fontId="82" fillId="8" borderId="9" xfId="3" applyFont="1" applyFill="1" applyBorder="1" applyAlignment="1">
      <alignment horizontal="left"/>
    </xf>
    <xf numFmtId="0" fontId="41" fillId="12" borderId="0" xfId="0" applyFont="1" applyFill="1" applyAlignment="1">
      <alignment horizontal="center"/>
    </xf>
    <xf numFmtId="0" fontId="41" fillId="12" borderId="2" xfId="0" applyFont="1" applyFill="1" applyBorder="1" applyAlignment="1">
      <alignment horizontal="center"/>
    </xf>
    <xf numFmtId="0" fontId="41" fillId="12" borderId="3" xfId="0" applyFont="1" applyFill="1" applyBorder="1" applyAlignment="1">
      <alignment horizontal="center"/>
    </xf>
    <xf numFmtId="0" fontId="41" fillId="12" borderId="4" xfId="0" applyFont="1" applyFill="1" applyBorder="1" applyAlignment="1">
      <alignment horizontal="center"/>
    </xf>
    <xf numFmtId="0" fontId="41" fillId="0" borderId="2" xfId="0" applyFont="1" applyBorder="1" applyAlignment="1">
      <alignment horizontal="center"/>
    </xf>
    <xf numFmtId="0" fontId="41" fillId="0" borderId="3" xfId="0" applyFont="1" applyBorder="1" applyAlignment="1">
      <alignment horizontal="center"/>
    </xf>
    <xf numFmtId="0" fontId="41" fillId="0" borderId="4" xfId="0" applyFont="1" applyBorder="1" applyAlignment="1">
      <alignment horizontal="center"/>
    </xf>
    <xf numFmtId="0" fontId="41" fillId="0" borderId="1" xfId="0" applyFont="1" applyBorder="1" applyAlignment="1">
      <alignment horizontal="left"/>
    </xf>
    <xf numFmtId="0" fontId="82" fillId="12" borderId="23" xfId="3" applyFont="1" applyFill="1" applyBorder="1" applyAlignment="1">
      <alignment horizontal="center" vertical="center"/>
    </xf>
    <xf numFmtId="0" fontId="82" fillId="12" borderId="0" xfId="3" applyFont="1" applyFill="1" applyBorder="1" applyAlignment="1">
      <alignment horizontal="center" vertical="center"/>
    </xf>
    <xf numFmtId="0" fontId="82" fillId="12" borderId="24" xfId="3" applyFont="1" applyFill="1" applyBorder="1" applyAlignment="1">
      <alignment horizontal="center" vertical="center"/>
    </xf>
    <xf numFmtId="0" fontId="41" fillId="2" borderId="13" xfId="0" applyFont="1" applyFill="1" applyBorder="1" applyAlignment="1">
      <alignment horizontal="left"/>
    </xf>
    <xf numFmtId="0" fontId="41" fillId="2" borderId="3" xfId="0" applyFont="1" applyFill="1" applyBorder="1" applyAlignment="1">
      <alignment horizontal="left"/>
    </xf>
    <xf numFmtId="0" fontId="41" fillId="2" borderId="4" xfId="0" applyFont="1" applyFill="1" applyBorder="1" applyAlignment="1">
      <alignment horizontal="left"/>
    </xf>
    <xf numFmtId="0" fontId="82" fillId="0" borderId="1" xfId="4" applyFont="1" applyBorder="1" applyAlignment="1">
      <alignment horizontal="left"/>
    </xf>
    <xf numFmtId="0" fontId="41" fillId="2" borderId="2" xfId="0" applyFont="1" applyFill="1" applyBorder="1" applyAlignment="1">
      <alignment horizontal="left"/>
    </xf>
    <xf numFmtId="0" fontId="41" fillId="12" borderId="1" xfId="0" applyFont="1" applyFill="1" applyBorder="1" applyAlignment="1">
      <alignment horizontal="center"/>
    </xf>
    <xf numFmtId="0" fontId="86" fillId="0" borderId="2" xfId="4" applyFont="1" applyBorder="1" applyAlignment="1">
      <alignment horizontal="left"/>
    </xf>
    <xf numFmtId="0" fontId="86" fillId="0" borderId="3" xfId="4" applyFont="1" applyBorder="1" applyAlignment="1">
      <alignment horizontal="left"/>
    </xf>
    <xf numFmtId="0" fontId="86" fillId="0" borderId="4" xfId="4" applyFont="1" applyBorder="1" applyAlignment="1">
      <alignment horizontal="left"/>
    </xf>
    <xf numFmtId="0" fontId="86" fillId="0" borderId="2" xfId="4" applyFont="1" applyFill="1" applyBorder="1" applyAlignment="1">
      <alignment horizontal="center"/>
    </xf>
    <xf numFmtId="0" fontId="86" fillId="0" borderId="3" xfId="4" applyFont="1" applyFill="1" applyBorder="1" applyAlignment="1">
      <alignment horizontal="center"/>
    </xf>
    <xf numFmtId="0" fontId="86" fillId="0" borderId="4" xfId="4" applyFont="1" applyFill="1" applyBorder="1" applyAlignment="1">
      <alignment horizontal="center"/>
    </xf>
    <xf numFmtId="0" fontId="41" fillId="11" borderId="13" xfId="0" applyFont="1" applyFill="1" applyBorder="1" applyAlignment="1">
      <alignment horizontal="left"/>
    </xf>
    <xf numFmtId="0" fontId="41" fillId="11" borderId="4" xfId="0" applyFont="1" applyFill="1" applyBorder="1" applyAlignment="1">
      <alignment horizontal="left"/>
    </xf>
    <xf numFmtId="0" fontId="42" fillId="2" borderId="13" xfId="0" applyFont="1" applyFill="1" applyBorder="1" applyAlignment="1">
      <alignment horizontal="left"/>
    </xf>
    <xf numFmtId="0" fontId="42" fillId="2" borderId="4" xfId="0" applyFont="1" applyFill="1" applyBorder="1" applyAlignment="1">
      <alignment horizontal="left"/>
    </xf>
    <xf numFmtId="0" fontId="41" fillId="12" borderId="13" xfId="0" applyFont="1" applyFill="1" applyBorder="1" applyAlignment="1">
      <alignment horizontal="left"/>
    </xf>
    <xf numFmtId="0" fontId="41" fillId="12" borderId="4" xfId="0" applyFont="1" applyFill="1" applyBorder="1" applyAlignment="1">
      <alignment horizontal="left"/>
    </xf>
    <xf numFmtId="0" fontId="82" fillId="2" borderId="20" xfId="0" applyFont="1" applyFill="1" applyBorder="1" applyAlignment="1">
      <alignment horizontal="center"/>
    </xf>
    <xf numFmtId="0" fontId="82" fillId="2" borderId="5" xfId="0" applyFont="1" applyFill="1" applyBorder="1" applyAlignment="1">
      <alignment horizontal="center"/>
    </xf>
    <xf numFmtId="0" fontId="32" fillId="13" borderId="13" xfId="3" applyFont="1" applyFill="1" applyBorder="1" applyAlignment="1">
      <alignment horizontal="left"/>
    </xf>
    <xf numFmtId="0" fontId="32" fillId="13" borderId="3" xfId="3" applyFont="1" applyFill="1" applyBorder="1" applyAlignment="1">
      <alignment horizontal="left"/>
    </xf>
    <xf numFmtId="0" fontId="32" fillId="13" borderId="4" xfId="3" applyFont="1" applyFill="1" applyBorder="1" applyAlignment="1">
      <alignment horizontal="left"/>
    </xf>
    <xf numFmtId="0" fontId="33" fillId="8" borderId="13" xfId="3" applyFont="1" applyFill="1" applyBorder="1" applyAlignment="1">
      <alignment horizontal="left"/>
    </xf>
    <xf numFmtId="0" fontId="33" fillId="8" borderId="3" xfId="3" applyFont="1" applyFill="1" applyBorder="1" applyAlignment="1">
      <alignment horizontal="left"/>
    </xf>
    <xf numFmtId="0" fontId="33" fillId="8" borderId="4" xfId="3" applyFont="1" applyFill="1" applyBorder="1" applyAlignment="1">
      <alignment horizontal="left"/>
    </xf>
    <xf numFmtId="0" fontId="50" fillId="8" borderId="14" xfId="3" applyFont="1" applyFill="1" applyBorder="1" applyAlignment="1">
      <alignment horizontal="center"/>
    </xf>
    <xf numFmtId="0" fontId="50" fillId="8" borderId="11" xfId="3" applyFont="1" applyFill="1" applyBorder="1" applyAlignment="1">
      <alignment horizontal="center"/>
    </xf>
    <xf numFmtId="0" fontId="50" fillId="8" borderId="15" xfId="3" applyFont="1" applyFill="1" applyBorder="1" applyAlignment="1">
      <alignment horizontal="center"/>
    </xf>
    <xf numFmtId="0" fontId="68" fillId="12" borderId="13" xfId="3" applyFont="1" applyFill="1" applyBorder="1" applyAlignment="1">
      <alignment horizontal="center" vertical="center"/>
    </xf>
    <xf numFmtId="0" fontId="68" fillId="12" borderId="3" xfId="3" applyFont="1" applyFill="1" applyBorder="1" applyAlignment="1">
      <alignment horizontal="center" vertical="center"/>
    </xf>
    <xf numFmtId="0" fontId="68" fillId="12" borderId="4" xfId="3" applyFont="1" applyFill="1" applyBorder="1" applyAlignment="1">
      <alignment horizontal="center" vertical="center"/>
    </xf>
    <xf numFmtId="0" fontId="68" fillId="12" borderId="13" xfId="3" applyFont="1" applyFill="1" applyBorder="1" applyAlignment="1">
      <alignment horizontal="center"/>
    </xf>
    <xf numFmtId="0" fontId="68" fillId="12" borderId="3" xfId="3" applyFont="1" applyFill="1" applyBorder="1" applyAlignment="1">
      <alignment horizontal="center"/>
    </xf>
    <xf numFmtId="0" fontId="68" fillId="12" borderId="4" xfId="3" applyFont="1" applyFill="1" applyBorder="1" applyAlignment="1">
      <alignment horizontal="center"/>
    </xf>
    <xf numFmtId="0" fontId="33" fillId="9" borderId="2" xfId="3" applyFont="1" applyFill="1" applyBorder="1" applyAlignment="1">
      <alignment horizontal="center"/>
    </xf>
    <xf numFmtId="0" fontId="33" fillId="9" borderId="4" xfId="3" applyFont="1" applyFill="1" applyBorder="1" applyAlignment="1">
      <alignment horizontal="center"/>
    </xf>
    <xf numFmtId="0" fontId="69" fillId="12" borderId="13" xfId="3" applyFont="1" applyFill="1" applyBorder="1" applyAlignment="1">
      <alignment horizontal="center" vertical="center"/>
    </xf>
    <xf numFmtId="0" fontId="69" fillId="12" borderId="3" xfId="3" applyFont="1" applyFill="1" applyBorder="1" applyAlignment="1">
      <alignment horizontal="center" vertical="center"/>
    </xf>
    <xf numFmtId="0" fontId="69" fillId="12" borderId="4" xfId="3" applyFont="1" applyFill="1" applyBorder="1" applyAlignment="1">
      <alignment horizontal="center" vertical="center"/>
    </xf>
    <xf numFmtId="0" fontId="70" fillId="17" borderId="13" xfId="3" applyFont="1" applyFill="1" applyBorder="1" applyAlignment="1">
      <alignment horizontal="center" vertical="center"/>
    </xf>
    <xf numFmtId="0" fontId="70" fillId="17" borderId="3" xfId="3" applyFont="1" applyFill="1" applyBorder="1" applyAlignment="1">
      <alignment horizontal="center" vertical="center"/>
    </xf>
    <xf numFmtId="0" fontId="69" fillId="17" borderId="13" xfId="3" applyFont="1" applyFill="1" applyBorder="1" applyAlignment="1">
      <alignment horizontal="center"/>
    </xf>
    <xf numFmtId="0" fontId="69" fillId="17" borderId="3" xfId="3" applyFont="1" applyFill="1" applyBorder="1" applyAlignment="1">
      <alignment horizontal="center"/>
    </xf>
    <xf numFmtId="0" fontId="69" fillId="17" borderId="4" xfId="3" applyFont="1" applyFill="1" applyBorder="1" applyAlignment="1">
      <alignment horizontal="center"/>
    </xf>
    <xf numFmtId="0" fontId="37" fillId="0" borderId="2" xfId="4" applyFont="1" applyBorder="1" applyAlignment="1">
      <alignment horizontal="left"/>
    </xf>
    <xf numFmtId="0" fontId="37" fillId="0" borderId="3" xfId="4" applyFont="1" applyBorder="1" applyAlignment="1">
      <alignment horizontal="left"/>
    </xf>
    <xf numFmtId="0" fontId="37" fillId="0" borderId="4" xfId="4" applyFont="1" applyBorder="1" applyAlignment="1">
      <alignment horizontal="left"/>
    </xf>
    <xf numFmtId="0" fontId="33" fillId="0" borderId="1" xfId="4" applyFont="1" applyBorder="1" applyAlignment="1">
      <alignment horizontal="left"/>
    </xf>
    <xf numFmtId="0" fontId="33" fillId="0" borderId="2" xfId="4" applyFont="1" applyBorder="1" applyAlignment="1">
      <alignment horizontal="left"/>
    </xf>
    <xf numFmtId="0" fontId="33" fillId="0" borderId="3" xfId="4" applyFont="1" applyBorder="1" applyAlignment="1">
      <alignment horizontal="left"/>
    </xf>
    <xf numFmtId="0" fontId="33" fillId="0" borderId="4" xfId="4" applyFont="1" applyBorder="1" applyAlignment="1">
      <alignment horizontal="left"/>
    </xf>
    <xf numFmtId="0" fontId="37" fillId="0" borderId="1" xfId="4" applyFont="1" applyBorder="1" applyAlignment="1">
      <alignment horizontal="left"/>
    </xf>
    <xf numFmtId="0" fontId="38" fillId="0" borderId="2" xfId="0" applyFont="1" applyBorder="1" applyAlignment="1">
      <alignment horizontal="left"/>
    </xf>
    <xf numFmtId="0" fontId="38" fillId="0" borderId="3" xfId="0" applyFont="1" applyBorder="1" applyAlignment="1">
      <alignment horizontal="left"/>
    </xf>
    <xf numFmtId="0" fontId="38" fillId="0" borderId="4" xfId="0" applyFont="1" applyBorder="1" applyAlignment="1">
      <alignment horizontal="left"/>
    </xf>
    <xf numFmtId="0" fontId="33" fillId="12" borderId="13" xfId="3" applyFont="1" applyFill="1" applyBorder="1" applyAlignment="1">
      <alignment horizontal="center" vertical="center"/>
    </xf>
    <xf numFmtId="0" fontId="33" fillId="12" borderId="3" xfId="3" applyFont="1" applyFill="1" applyBorder="1" applyAlignment="1">
      <alignment horizontal="center" vertical="center"/>
    </xf>
    <xf numFmtId="0" fontId="33" fillId="12" borderId="4" xfId="3" applyFont="1" applyFill="1" applyBorder="1" applyAlignment="1">
      <alignment horizontal="center" vertical="center"/>
    </xf>
    <xf numFmtId="0" fontId="32" fillId="8" borderId="0" xfId="3" applyFont="1" applyFill="1" applyBorder="1" applyAlignment="1">
      <alignment vertical="center"/>
    </xf>
    <xf numFmtId="0" fontId="33" fillId="8" borderId="19" xfId="3" applyFont="1" applyFill="1" applyBorder="1" applyAlignment="1">
      <alignment horizontal="left"/>
    </xf>
    <xf numFmtId="0" fontId="33" fillId="8" borderId="8" xfId="3" applyFont="1" applyFill="1" applyBorder="1" applyAlignment="1">
      <alignment horizontal="left"/>
    </xf>
    <xf numFmtId="0" fontId="33" fillId="8" borderId="9" xfId="3" applyFont="1" applyFill="1" applyBorder="1" applyAlignment="1">
      <alignment horizontal="left"/>
    </xf>
    <xf numFmtId="0" fontId="38" fillId="0" borderId="13" xfId="0" applyFont="1" applyBorder="1" applyAlignment="1">
      <alignment horizontal="left"/>
    </xf>
    <xf numFmtId="0" fontId="33" fillId="0" borderId="13" xfId="4" applyFont="1" applyBorder="1" applyAlignment="1">
      <alignment horizontal="left"/>
    </xf>
    <xf numFmtId="0" fontId="32" fillId="12" borderId="13" xfId="3" applyFont="1" applyFill="1" applyBorder="1" applyAlignment="1">
      <alignment horizontal="center"/>
    </xf>
    <xf numFmtId="0" fontId="32" fillId="12" borderId="3" xfId="3" applyFont="1" applyFill="1" applyBorder="1" applyAlignment="1">
      <alignment horizontal="center"/>
    </xf>
    <xf numFmtId="0" fontId="32" fillId="12" borderId="4" xfId="3" applyFont="1" applyFill="1" applyBorder="1" applyAlignment="1">
      <alignment horizontal="center"/>
    </xf>
    <xf numFmtId="0" fontId="68" fillId="17" borderId="13" xfId="3" applyFont="1" applyFill="1" applyBorder="1" applyAlignment="1">
      <alignment horizontal="center"/>
    </xf>
    <xf numFmtId="0" fontId="68" fillId="17" borderId="3" xfId="3" applyFont="1" applyFill="1" applyBorder="1" applyAlignment="1">
      <alignment horizontal="center"/>
    </xf>
    <xf numFmtId="0" fontId="68" fillId="17" borderId="4" xfId="3" applyFont="1" applyFill="1" applyBorder="1" applyAlignment="1">
      <alignment horizontal="center"/>
    </xf>
    <xf numFmtId="0" fontId="33" fillId="0" borderId="2" xfId="4" applyFont="1" applyBorder="1" applyAlignment="1">
      <alignment horizontal="left" vertical="center"/>
    </xf>
    <xf numFmtId="0" fontId="33" fillId="0" borderId="3" xfId="4" applyFont="1" applyBorder="1" applyAlignment="1">
      <alignment horizontal="left" vertical="center"/>
    </xf>
    <xf numFmtId="0" fontId="33" fillId="0" borderId="4" xfId="4" applyFont="1" applyBorder="1" applyAlignment="1">
      <alignment horizontal="left" vertical="center"/>
    </xf>
    <xf numFmtId="0" fontId="56" fillId="12" borderId="0" xfId="0" applyFont="1" applyFill="1" applyAlignment="1">
      <alignment horizontal="center"/>
    </xf>
    <xf numFmtId="0" fontId="40" fillId="12" borderId="2" xfId="0" applyFont="1" applyFill="1" applyBorder="1" applyAlignment="1">
      <alignment horizontal="center"/>
    </xf>
    <xf numFmtId="0" fontId="40" fillId="12" borderId="3" xfId="0" applyFont="1" applyFill="1" applyBorder="1" applyAlignment="1">
      <alignment horizontal="center"/>
    </xf>
    <xf numFmtId="0" fontId="40" fillId="12" borderId="4" xfId="0" applyFont="1" applyFill="1" applyBorder="1" applyAlignment="1">
      <alignment horizontal="center"/>
    </xf>
    <xf numFmtId="0" fontId="38" fillId="0" borderId="2" xfId="0" applyFont="1" applyBorder="1" applyAlignment="1">
      <alignment horizontal="center"/>
    </xf>
    <xf numFmtId="0" fontId="38" fillId="0" borderId="3" xfId="0" applyFont="1" applyBorder="1" applyAlignment="1">
      <alignment horizontal="center"/>
    </xf>
    <xf numFmtId="0" fontId="38" fillId="0" borderId="4" xfId="0" applyFont="1" applyBorder="1" applyAlignment="1">
      <alignment horizontal="center"/>
    </xf>
    <xf numFmtId="0" fontId="38" fillId="12" borderId="1" xfId="0" applyFont="1" applyFill="1" applyBorder="1" applyAlignment="1">
      <alignment horizontal="center"/>
    </xf>
    <xf numFmtId="0" fontId="38" fillId="0" borderId="1" xfId="0" applyFont="1" applyBorder="1" applyAlignment="1">
      <alignment horizontal="left"/>
    </xf>
    <xf numFmtId="0" fontId="56" fillId="12" borderId="1" xfId="0" applyFont="1" applyFill="1" applyBorder="1" applyAlignment="1">
      <alignment horizontal="center"/>
    </xf>
    <xf numFmtId="0" fontId="38" fillId="12" borderId="13" xfId="0" applyFont="1" applyFill="1" applyBorder="1" applyAlignment="1">
      <alignment horizontal="left"/>
    </xf>
    <xf numFmtId="0" fontId="38" fillId="12" borderId="4" xfId="0" applyFont="1" applyFill="1" applyBorder="1" applyAlignment="1">
      <alignment horizontal="left"/>
    </xf>
    <xf numFmtId="0" fontId="38" fillId="11" borderId="13" xfId="0" applyFont="1" applyFill="1" applyBorder="1" applyAlignment="1">
      <alignment horizontal="left"/>
    </xf>
    <xf numFmtId="0" fontId="38" fillId="11" borderId="4" xfId="0" applyFont="1" applyFill="1" applyBorder="1" applyAlignment="1">
      <alignment horizontal="left"/>
    </xf>
    <xf numFmtId="0" fontId="33" fillId="2" borderId="20" xfId="0" applyFont="1" applyFill="1" applyBorder="1" applyAlignment="1">
      <alignment horizontal="center"/>
    </xf>
    <xf numFmtId="0" fontId="33" fillId="2" borderId="5" xfId="0" applyFont="1" applyFill="1" applyBorder="1" applyAlignment="1">
      <alignment horizontal="center"/>
    </xf>
    <xf numFmtId="0" fontId="38" fillId="2" borderId="13" xfId="0" applyFont="1" applyFill="1" applyBorder="1" applyAlignment="1">
      <alignment horizontal="left"/>
    </xf>
    <xf numFmtId="0" fontId="38" fillId="2" borderId="4" xfId="0" applyFont="1" applyFill="1" applyBorder="1" applyAlignment="1">
      <alignment horizontal="left"/>
    </xf>
    <xf numFmtId="0" fontId="67" fillId="12" borderId="23" xfId="3" applyFont="1" applyFill="1" applyBorder="1" applyAlignment="1">
      <alignment horizontal="center" vertical="center"/>
    </xf>
    <xf numFmtId="0" fontId="67" fillId="12" borderId="0" xfId="3" applyFont="1" applyFill="1" applyBorder="1" applyAlignment="1">
      <alignment horizontal="center" vertical="center"/>
    </xf>
    <xf numFmtId="0" fontId="67" fillId="12" borderId="24" xfId="3" applyFont="1" applyFill="1" applyBorder="1" applyAlignment="1">
      <alignment horizontal="center" vertical="center"/>
    </xf>
    <xf numFmtId="0" fontId="38" fillId="2" borderId="2" xfId="0" applyFont="1" applyFill="1" applyBorder="1" applyAlignment="1">
      <alignment horizontal="left"/>
    </xf>
    <xf numFmtId="0" fontId="38" fillId="2" borderId="3" xfId="0" applyFont="1" applyFill="1" applyBorder="1" applyAlignment="1">
      <alignment horizontal="left"/>
    </xf>
    <xf numFmtId="0" fontId="37" fillId="2" borderId="2" xfId="4" applyFont="1" applyFill="1" applyBorder="1" applyAlignment="1">
      <alignment horizontal="left"/>
    </xf>
    <xf numFmtId="0" fontId="37" fillId="2" borderId="3" xfId="4" applyFont="1" applyFill="1" applyBorder="1" applyAlignment="1">
      <alignment horizontal="left"/>
    </xf>
    <xf numFmtId="0" fontId="37" fillId="2" borderId="4" xfId="4" applyFont="1" applyFill="1" applyBorder="1" applyAlignment="1">
      <alignment horizontal="left"/>
    </xf>
    <xf numFmtId="0" fontId="37" fillId="2" borderId="1" xfId="4" applyFont="1" applyFill="1" applyBorder="1" applyAlignment="1">
      <alignment horizontal="left"/>
    </xf>
    <xf numFmtId="0" fontId="37" fillId="0" borderId="2" xfId="4" applyFont="1" applyBorder="1" applyAlignment="1">
      <alignment horizontal="center"/>
    </xf>
    <xf numFmtId="0" fontId="37" fillId="0" borderId="3" xfId="4" applyFont="1" applyBorder="1" applyAlignment="1">
      <alignment horizontal="center"/>
    </xf>
    <xf numFmtId="0" fontId="37" fillId="0" borderId="4" xfId="4" applyFont="1" applyBorder="1" applyAlignment="1">
      <alignment horizontal="center"/>
    </xf>
    <xf numFmtId="0" fontId="41" fillId="11" borderId="1" xfId="0" applyFont="1" applyFill="1" applyBorder="1" applyAlignment="1">
      <alignment horizontal="left"/>
    </xf>
    <xf numFmtId="0" fontId="41" fillId="2" borderId="1" xfId="0" applyFont="1" applyFill="1" applyBorder="1" applyAlignment="1">
      <alignment horizontal="left"/>
    </xf>
    <xf numFmtId="0" fontId="38" fillId="0" borderId="0" xfId="0" applyFont="1" applyBorder="1" applyAlignment="1">
      <alignment horizontal="left"/>
    </xf>
    <xf numFmtId="0" fontId="38" fillId="12" borderId="1" xfId="0" applyFont="1" applyFill="1" applyBorder="1" applyAlignment="1">
      <alignment horizontal="left"/>
    </xf>
    <xf numFmtId="0" fontId="38" fillId="2" borderId="1" xfId="0" applyFont="1" applyFill="1" applyBorder="1" applyAlignment="1">
      <alignment horizontal="left"/>
    </xf>
    <xf numFmtId="0" fontId="38" fillId="11" borderId="1" xfId="0" applyFont="1" applyFill="1" applyBorder="1" applyAlignment="1">
      <alignment horizontal="left"/>
    </xf>
    <xf numFmtId="0" fontId="33" fillId="2" borderId="1" xfId="0" applyFont="1" applyFill="1" applyBorder="1" applyAlignment="1">
      <alignment horizontal="center"/>
    </xf>
    <xf numFmtId="0" fontId="38" fillId="0" borderId="2" xfId="0" applyFont="1" applyFill="1" applyBorder="1" applyAlignment="1">
      <alignment horizontal="left"/>
    </xf>
    <xf numFmtId="0" fontId="38" fillId="0" borderId="3" xfId="0" applyFont="1" applyFill="1" applyBorder="1" applyAlignment="1">
      <alignment horizontal="left"/>
    </xf>
    <xf numFmtId="0" fontId="38" fillId="0" borderId="4" xfId="0" applyFont="1" applyFill="1" applyBorder="1" applyAlignment="1">
      <alignment horizontal="left"/>
    </xf>
    <xf numFmtId="0" fontId="33" fillId="0" borderId="1" xfId="4" applyFont="1" applyFill="1" applyBorder="1" applyAlignment="1">
      <alignment horizontal="left"/>
    </xf>
    <xf numFmtId="0" fontId="38" fillId="12" borderId="29" xfId="0" applyFont="1" applyFill="1" applyBorder="1" applyAlignment="1">
      <alignment horizontal="left"/>
    </xf>
    <xf numFmtId="0" fontId="38" fillId="12" borderId="30" xfId="0" applyFont="1" applyFill="1" applyBorder="1" applyAlignment="1">
      <alignment horizontal="left"/>
    </xf>
    <xf numFmtId="0" fontId="56" fillId="0" borderId="1" xfId="0" applyFont="1" applyFill="1" applyBorder="1" applyAlignment="1">
      <alignment horizontal="center"/>
    </xf>
    <xf numFmtId="0" fontId="37" fillId="0" borderId="2" xfId="4" applyFont="1" applyFill="1" applyBorder="1" applyAlignment="1">
      <alignment horizontal="left"/>
    </xf>
    <xf numFmtId="0" fontId="37" fillId="0" borderId="3" xfId="4" applyFont="1" applyFill="1" applyBorder="1" applyAlignment="1">
      <alignment horizontal="left"/>
    </xf>
    <xf numFmtId="0" fontId="37" fillId="0" borderId="4" xfId="4" applyFont="1" applyFill="1" applyBorder="1" applyAlignment="1">
      <alignment horizontal="left"/>
    </xf>
    <xf numFmtId="0" fontId="37" fillId="0" borderId="1" xfId="4" applyFont="1" applyFill="1" applyBorder="1" applyAlignment="1">
      <alignment horizontal="left"/>
    </xf>
    <xf numFmtId="0" fontId="41" fillId="0" borderId="13" xfId="0" applyFont="1" applyFill="1" applyBorder="1" applyAlignment="1">
      <alignment horizontal="left"/>
    </xf>
    <xf numFmtId="0" fontId="41" fillId="0" borderId="4" xfId="0" applyFont="1" applyFill="1" applyBorder="1" applyAlignment="1">
      <alignment horizontal="left"/>
    </xf>
    <xf numFmtId="0" fontId="37" fillId="0" borderId="2" xfId="4" applyFont="1" applyFill="1" applyBorder="1" applyAlignment="1">
      <alignment horizontal="center"/>
    </xf>
    <xf numFmtId="0" fontId="37" fillId="0" borderId="3" xfId="4" applyFont="1" applyFill="1" applyBorder="1" applyAlignment="1">
      <alignment horizontal="center"/>
    </xf>
    <xf numFmtId="0" fontId="37" fillId="0" borderId="4" xfId="4" applyFont="1" applyFill="1" applyBorder="1" applyAlignment="1">
      <alignment horizontal="center"/>
    </xf>
    <xf numFmtId="0" fontId="33" fillId="0" borderId="2" xfId="4" applyFont="1" applyFill="1" applyBorder="1" applyAlignment="1">
      <alignment horizontal="left"/>
    </xf>
    <xf numFmtId="0" fontId="33" fillId="0" borderId="3" xfId="4" applyFont="1" applyFill="1" applyBorder="1" applyAlignment="1">
      <alignment horizontal="left"/>
    </xf>
    <xf numFmtId="0" fontId="33" fillId="0" borderId="4" xfId="4" applyFont="1" applyFill="1" applyBorder="1" applyAlignment="1">
      <alignment horizontal="left"/>
    </xf>
    <xf numFmtId="0" fontId="32" fillId="11" borderId="13" xfId="3" applyFont="1" applyFill="1" applyBorder="1" applyAlignment="1">
      <alignment horizontal="left"/>
    </xf>
    <xf numFmtId="0" fontId="32" fillId="11" borderId="3" xfId="3" applyFont="1" applyFill="1" applyBorder="1" applyAlignment="1">
      <alignment horizontal="left"/>
    </xf>
    <xf numFmtId="0" fontId="32" fillId="11" borderId="4" xfId="3" applyFont="1" applyFill="1" applyBorder="1" applyAlignment="1">
      <alignment horizontal="left"/>
    </xf>
    <xf numFmtId="0" fontId="38" fillId="11" borderId="2" xfId="0" applyFont="1" applyFill="1" applyBorder="1" applyAlignment="1">
      <alignment horizontal="left"/>
    </xf>
    <xf numFmtId="0" fontId="38" fillId="11" borderId="3" xfId="0" applyFont="1" applyFill="1" applyBorder="1" applyAlignment="1">
      <alignment horizontal="left"/>
    </xf>
    <xf numFmtId="0" fontId="33" fillId="2" borderId="13" xfId="3" applyFont="1" applyFill="1" applyBorder="1" applyAlignment="1">
      <alignment horizontal="center" vertical="center"/>
    </xf>
    <xf numFmtId="0" fontId="33" fillId="2" borderId="3" xfId="3" applyFont="1" applyFill="1" applyBorder="1" applyAlignment="1">
      <alignment horizontal="center" vertical="center"/>
    </xf>
    <xf numFmtId="0" fontId="33" fillId="2" borderId="4" xfId="3" applyFont="1" applyFill="1" applyBorder="1" applyAlignment="1">
      <alignment horizontal="center" vertical="center"/>
    </xf>
    <xf numFmtId="0" fontId="33" fillId="8" borderId="13" xfId="3" applyFont="1" applyFill="1" applyBorder="1" applyAlignment="1">
      <alignment horizontal="left" vertical="center"/>
    </xf>
    <xf numFmtId="0" fontId="33" fillId="8" borderId="3" xfId="3" applyFont="1" applyFill="1" applyBorder="1" applyAlignment="1">
      <alignment horizontal="left" vertical="center"/>
    </xf>
    <xf numFmtId="0" fontId="33" fillId="8" borderId="4" xfId="3" applyFont="1" applyFill="1" applyBorder="1" applyAlignment="1">
      <alignment horizontal="left" vertical="center"/>
    </xf>
    <xf numFmtId="169" fontId="33" fillId="8" borderId="13" xfId="3" applyNumberFormat="1" applyFont="1" applyFill="1" applyBorder="1" applyAlignment="1">
      <alignment horizontal="left" vertical="center"/>
    </xf>
    <xf numFmtId="169" fontId="33" fillId="8" borderId="3" xfId="3" applyNumberFormat="1" applyFont="1" applyFill="1" applyBorder="1" applyAlignment="1">
      <alignment horizontal="left" vertical="center"/>
    </xf>
    <xf numFmtId="169" fontId="33" fillId="8" borderId="4" xfId="3" applyNumberFormat="1" applyFont="1" applyFill="1" applyBorder="1" applyAlignment="1">
      <alignment horizontal="left" vertical="center"/>
    </xf>
    <xf numFmtId="0" fontId="41" fillId="11" borderId="3" xfId="0" applyFont="1" applyFill="1" applyBorder="1" applyAlignment="1">
      <alignment horizontal="left"/>
    </xf>
  </cellXfs>
  <cellStyles count="20">
    <cellStyle name="Comma" xfId="19" builtinId="3"/>
    <cellStyle name="Comma 2 2" xfId="10" xr:uid="{00000000-0005-0000-0000-000001000000}"/>
    <cellStyle name="Comma 2 3" xfId="5" xr:uid="{00000000-0005-0000-0000-000002000000}"/>
    <cellStyle name="Comma 3" xfId="7" xr:uid="{00000000-0005-0000-0000-000003000000}"/>
    <cellStyle name="Comma 3 2" xfId="11" xr:uid="{00000000-0005-0000-0000-000004000000}"/>
    <cellStyle name="Currency 2" xfId="8" xr:uid="{00000000-0005-0000-0000-000005000000}"/>
    <cellStyle name="Hyperlink" xfId="2" builtinId="8"/>
    <cellStyle name="Normal" xfId="0" builtinId="0"/>
    <cellStyle name="Normal 2" xfId="1" xr:uid="{00000000-0005-0000-0000-000008000000}"/>
    <cellStyle name="Normal 2 2" xfId="9" xr:uid="{00000000-0005-0000-0000-000009000000}"/>
    <cellStyle name="Normal 2 2 2" xfId="12" xr:uid="{00000000-0005-0000-0000-00000A000000}"/>
    <cellStyle name="Normal 2 2 2 2" xfId="13" xr:uid="{00000000-0005-0000-0000-00000B000000}"/>
    <cellStyle name="Normal 2 2 3" xfId="14" xr:uid="{00000000-0005-0000-0000-00000C000000}"/>
    <cellStyle name="Normal 2 3" xfId="3" xr:uid="{00000000-0005-0000-0000-00000D000000}"/>
    <cellStyle name="Normal 2 4" xfId="15" xr:uid="{00000000-0005-0000-0000-00000E000000}"/>
    <cellStyle name="Normal 3" xfId="4" xr:uid="{00000000-0005-0000-0000-00000F000000}"/>
    <cellStyle name="Normal 4" xfId="16" xr:uid="{00000000-0005-0000-0000-000010000000}"/>
    <cellStyle name="Normal 4 2" xfId="18" xr:uid="{00000000-0005-0000-0000-000011000000}"/>
    <cellStyle name="Normal 5" xfId="17" xr:uid="{00000000-0005-0000-0000-000012000000}"/>
    <cellStyle name="Percent 2" xfId="6" xr:uid="{00000000-0005-0000-0000-000013000000}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HLP'!$AD$4:$AD$35</c:f>
              <c:numCache>
                <c:formatCode>0</c:formatCode>
                <c:ptCount val="32"/>
                <c:pt idx="0">
                  <c:v>24.110000000000582</c:v>
                </c:pt>
                <c:pt idx="1">
                  <c:v>24.400000000001455</c:v>
                </c:pt>
                <c:pt idx="2">
                  <c:v>23.769999999996799</c:v>
                </c:pt>
                <c:pt idx="3">
                  <c:v>23.510000000002037</c:v>
                </c:pt>
                <c:pt idx="4">
                  <c:v>26.279999999998836</c:v>
                </c:pt>
                <c:pt idx="5">
                  <c:v>24</c:v>
                </c:pt>
                <c:pt idx="6">
                  <c:v>27.760000000002037</c:v>
                </c:pt>
                <c:pt idx="7">
                  <c:v>31.020000000001346</c:v>
                </c:pt>
                <c:pt idx="8">
                  <c:v>28.809999999995853</c:v>
                </c:pt>
                <c:pt idx="9">
                  <c:v>22.920000000002801</c:v>
                </c:pt>
                <c:pt idx="10">
                  <c:v>24.269999999996799</c:v>
                </c:pt>
                <c:pt idx="11">
                  <c:v>24.060000000004948</c:v>
                </c:pt>
                <c:pt idx="12">
                  <c:v>24.809999999996762</c:v>
                </c:pt>
                <c:pt idx="13">
                  <c:v>37.539999999996326</c:v>
                </c:pt>
                <c:pt idx="14">
                  <c:v>2028.3599999999988</c:v>
                </c:pt>
                <c:pt idx="15">
                  <c:v>34.040000000008149</c:v>
                </c:pt>
                <c:pt idx="16">
                  <c:v>22.019999999997708</c:v>
                </c:pt>
                <c:pt idx="17">
                  <c:v>23.94999999999709</c:v>
                </c:pt>
                <c:pt idx="18">
                  <c:v>23.650000000001455</c:v>
                </c:pt>
                <c:pt idx="19">
                  <c:v>25.720000000000255</c:v>
                </c:pt>
                <c:pt idx="20">
                  <c:v>27.650000000001455</c:v>
                </c:pt>
                <c:pt idx="21">
                  <c:v>27</c:v>
                </c:pt>
                <c:pt idx="22">
                  <c:v>24</c:v>
                </c:pt>
                <c:pt idx="23">
                  <c:v>24.419999999998254</c:v>
                </c:pt>
                <c:pt idx="24">
                  <c:v>27.080000000004475</c:v>
                </c:pt>
                <c:pt idx="25">
                  <c:v>23.5</c:v>
                </c:pt>
                <c:pt idx="26">
                  <c:v>22.999999999997272</c:v>
                </c:pt>
                <c:pt idx="27">
                  <c:v>30.44999999999709</c:v>
                </c:pt>
                <c:pt idx="28">
                  <c:v>27.350000000004911</c:v>
                </c:pt>
                <c:pt idx="29">
                  <c:v>23.659999999998035</c:v>
                </c:pt>
                <c:pt idx="30">
                  <c:v>28.989999999999782</c:v>
                </c:pt>
                <c:pt idx="31">
                  <c:v>2812.1000000000013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/>
        <c:marker val="1"/>
        <c:smooth val="0"/>
        <c:axId val="159597312"/>
        <c:axId val="159598848"/>
      </c:lineChart>
      <c:catAx>
        <c:axId val="15959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98848"/>
        <c:crosses val="autoZero"/>
        <c:auto val="1"/>
        <c:lblAlgn val="ctr"/>
        <c:lblOffset val="100"/>
        <c:noMultiLvlLbl val="0"/>
      </c:catAx>
      <c:valAx>
        <c:axId val="159598848"/>
        <c:scaling>
          <c:orientation val="minMax"/>
          <c:max val="40"/>
          <c:min val="25"/>
        </c:scaling>
        <c:delete val="1"/>
        <c:axPos val="l"/>
        <c:numFmt formatCode="0" sourceLinked="1"/>
        <c:majorTickMark val="out"/>
        <c:minorTickMark val="none"/>
        <c:tickLblPos val="none"/>
        <c:crossAx val="159597312"/>
        <c:crosses val="autoZero"/>
        <c:crossBetween val="between"/>
        <c:majorUnit val="2"/>
      </c:valAx>
    </c:plotArea>
    <c:legend>
      <c:legendPos val="t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varyColors val="0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HLP'!$AJ$4:$AJ$35</c:f>
              <c:numCache>
                <c:formatCode>0</c:formatCode>
                <c:ptCount val="32"/>
                <c:pt idx="0">
                  <c:v>22.819999999992433</c:v>
                </c:pt>
                <c:pt idx="1">
                  <c:v>22.320000000006985</c:v>
                </c:pt>
                <c:pt idx="2">
                  <c:v>20.309999999994034</c:v>
                </c:pt>
                <c:pt idx="3">
                  <c:v>21.699999999993452</c:v>
                </c:pt>
                <c:pt idx="4">
                  <c:v>20.550000000006548</c:v>
                </c:pt>
                <c:pt idx="5">
                  <c:v>25.400000000001455</c:v>
                </c:pt>
                <c:pt idx="6">
                  <c:v>24.150000000001455</c:v>
                </c:pt>
                <c:pt idx="7">
                  <c:v>21.819999999992433</c:v>
                </c:pt>
                <c:pt idx="8">
                  <c:v>19.900000000012369</c:v>
                </c:pt>
                <c:pt idx="9">
                  <c:v>19.919999999990978</c:v>
                </c:pt>
                <c:pt idx="10">
                  <c:v>23.460000000002765</c:v>
                </c:pt>
                <c:pt idx="11">
                  <c:v>20.480000000003201</c:v>
                </c:pt>
                <c:pt idx="12">
                  <c:v>20.869999999995343</c:v>
                </c:pt>
                <c:pt idx="13">
                  <c:v>21</c:v>
                </c:pt>
                <c:pt idx="14">
                  <c:v>20</c:v>
                </c:pt>
                <c:pt idx="15">
                  <c:v>21.389999999999418</c:v>
                </c:pt>
                <c:pt idx="16">
                  <c:v>22.179999999993015</c:v>
                </c:pt>
                <c:pt idx="17">
                  <c:v>22.610000000007858</c:v>
                </c:pt>
                <c:pt idx="18">
                  <c:v>21.090000000000146</c:v>
                </c:pt>
                <c:pt idx="19">
                  <c:v>23.930000000000291</c:v>
                </c:pt>
                <c:pt idx="20">
                  <c:v>20.090000000000146</c:v>
                </c:pt>
                <c:pt idx="21">
                  <c:v>21.389999999999418</c:v>
                </c:pt>
                <c:pt idx="22">
                  <c:v>22.520000000000437</c:v>
                </c:pt>
                <c:pt idx="23">
                  <c:v>24.819999999992433</c:v>
                </c:pt>
                <c:pt idx="24">
                  <c:v>22.180000000007567</c:v>
                </c:pt>
                <c:pt idx="25">
                  <c:v>21.709999999999127</c:v>
                </c:pt>
                <c:pt idx="26">
                  <c:v>22.290000000000873</c:v>
                </c:pt>
                <c:pt idx="27">
                  <c:v>28.740000000001601</c:v>
                </c:pt>
                <c:pt idx="28">
                  <c:v>24.719999999997526</c:v>
                </c:pt>
                <c:pt idx="29">
                  <c:v>24.670000000001892</c:v>
                </c:pt>
                <c:pt idx="30">
                  <c:v>21.649999999990541</c:v>
                </c:pt>
                <c:pt idx="31">
                  <c:v>690.67999999998574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59619712"/>
        <c:axId val="139923840"/>
      </c:lineChart>
      <c:catAx>
        <c:axId val="159619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923840"/>
        <c:crosses val="autoZero"/>
        <c:auto val="1"/>
        <c:lblAlgn val="ctr"/>
        <c:lblOffset val="100"/>
        <c:noMultiLvlLbl val="0"/>
      </c:catAx>
      <c:valAx>
        <c:axId val="139923840"/>
        <c:scaling>
          <c:orientation val="minMax"/>
          <c:max val="30"/>
          <c:min val="5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619712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9325"/>
          <c:h val="8.8317037293400014E-2"/>
        </c:manualLayout>
      </c:layout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HLP'!$O$4:$O$35</c:f>
              <c:numCache>
                <c:formatCode>0</c:formatCode>
                <c:ptCount val="32"/>
                <c:pt idx="0">
                  <c:v>303</c:v>
                </c:pt>
                <c:pt idx="1">
                  <c:v>313</c:v>
                </c:pt>
                <c:pt idx="2">
                  <c:v>326</c:v>
                </c:pt>
                <c:pt idx="3">
                  <c:v>269</c:v>
                </c:pt>
                <c:pt idx="4">
                  <c:v>311</c:v>
                </c:pt>
                <c:pt idx="5">
                  <c:v>363</c:v>
                </c:pt>
                <c:pt idx="6">
                  <c:v>269</c:v>
                </c:pt>
                <c:pt idx="7">
                  <c:v>293</c:v>
                </c:pt>
                <c:pt idx="8">
                  <c:v>336</c:v>
                </c:pt>
                <c:pt idx="9">
                  <c:v>325</c:v>
                </c:pt>
                <c:pt idx="10">
                  <c:v>296</c:v>
                </c:pt>
                <c:pt idx="11">
                  <c:v>411</c:v>
                </c:pt>
                <c:pt idx="12">
                  <c:v>378</c:v>
                </c:pt>
                <c:pt idx="13">
                  <c:v>377</c:v>
                </c:pt>
                <c:pt idx="14">
                  <c:v>382</c:v>
                </c:pt>
                <c:pt idx="15">
                  <c:v>322</c:v>
                </c:pt>
                <c:pt idx="16">
                  <c:v>353</c:v>
                </c:pt>
                <c:pt idx="17">
                  <c:v>307</c:v>
                </c:pt>
                <c:pt idx="18">
                  <c:v>388</c:v>
                </c:pt>
                <c:pt idx="19">
                  <c:v>289</c:v>
                </c:pt>
                <c:pt idx="20">
                  <c:v>360</c:v>
                </c:pt>
                <c:pt idx="21">
                  <c:v>279</c:v>
                </c:pt>
                <c:pt idx="22">
                  <c:v>258</c:v>
                </c:pt>
                <c:pt idx="23">
                  <c:v>277</c:v>
                </c:pt>
                <c:pt idx="24">
                  <c:v>279</c:v>
                </c:pt>
                <c:pt idx="25">
                  <c:v>291</c:v>
                </c:pt>
                <c:pt idx="26">
                  <c:v>342</c:v>
                </c:pt>
                <c:pt idx="27">
                  <c:v>308</c:v>
                </c:pt>
                <c:pt idx="28">
                  <c:v>268</c:v>
                </c:pt>
                <c:pt idx="29">
                  <c:v>363</c:v>
                </c:pt>
                <c:pt idx="30">
                  <c:v>228</c:v>
                </c:pt>
                <c:pt idx="31">
                  <c:v>9864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/>
        </c:upDownBars>
        <c:marker val="1"/>
        <c:smooth val="0"/>
        <c:axId val="139949184"/>
        <c:axId val="139950720"/>
      </c:lineChart>
      <c:catAx>
        <c:axId val="139949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950720"/>
        <c:crosses val="autoZero"/>
        <c:auto val="1"/>
        <c:lblAlgn val="ctr"/>
        <c:lblOffset val="100"/>
        <c:noMultiLvlLbl val="0"/>
      </c:catAx>
      <c:valAx>
        <c:axId val="139950720"/>
        <c:scaling>
          <c:orientation val="minMax"/>
          <c:max val="350"/>
          <c:min val="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949184"/>
        <c:crosses val="autoZero"/>
        <c:crossBetween val="between"/>
        <c:minorUnit val="2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40365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HLP'!$L$4:$L$35</c:f>
              <c:numCache>
                <c:formatCode>0</c:formatCode>
                <c:ptCount val="32"/>
                <c:pt idx="0">
                  <c:v>982.39999999990687</c:v>
                </c:pt>
                <c:pt idx="1">
                  <c:v>1119.9500000001863</c:v>
                </c:pt>
                <c:pt idx="2">
                  <c:v>1133.6499999999069</c:v>
                </c:pt>
                <c:pt idx="3">
                  <c:v>1075.7000000001863</c:v>
                </c:pt>
                <c:pt idx="4">
                  <c:v>1103.2999999998137</c:v>
                </c:pt>
                <c:pt idx="5">
                  <c:v>1119.3999999999069</c:v>
                </c:pt>
                <c:pt idx="6">
                  <c:v>1104.6000000000931</c:v>
                </c:pt>
                <c:pt idx="7">
                  <c:v>1148.1699999999255</c:v>
                </c:pt>
                <c:pt idx="8">
                  <c:v>1100.8300000000745</c:v>
                </c:pt>
                <c:pt idx="9">
                  <c:v>1067.4500000001863</c:v>
                </c:pt>
                <c:pt idx="10">
                  <c:v>1121.5499999998137</c:v>
                </c:pt>
                <c:pt idx="11">
                  <c:v>1100</c:v>
                </c:pt>
                <c:pt idx="12">
                  <c:v>1014</c:v>
                </c:pt>
                <c:pt idx="13">
                  <c:v>1060</c:v>
                </c:pt>
                <c:pt idx="14">
                  <c:v>1060</c:v>
                </c:pt>
                <c:pt idx="15">
                  <c:v>1026</c:v>
                </c:pt>
                <c:pt idx="16">
                  <c:v>1093</c:v>
                </c:pt>
                <c:pt idx="17">
                  <c:v>1164</c:v>
                </c:pt>
                <c:pt idx="18">
                  <c:v>1022</c:v>
                </c:pt>
                <c:pt idx="19">
                  <c:v>1116</c:v>
                </c:pt>
                <c:pt idx="20">
                  <c:v>1103</c:v>
                </c:pt>
                <c:pt idx="21">
                  <c:v>1107</c:v>
                </c:pt>
                <c:pt idx="22">
                  <c:v>1104</c:v>
                </c:pt>
                <c:pt idx="23">
                  <c:v>1128</c:v>
                </c:pt>
                <c:pt idx="24">
                  <c:v>1127.7999999998137</c:v>
                </c:pt>
                <c:pt idx="25">
                  <c:v>1135.9900000002235</c:v>
                </c:pt>
                <c:pt idx="26">
                  <c:v>1195.3599999998696</c:v>
                </c:pt>
                <c:pt idx="27">
                  <c:v>1167.570000000298</c:v>
                </c:pt>
                <c:pt idx="28">
                  <c:v>1254.9899999997579</c:v>
                </c:pt>
                <c:pt idx="29">
                  <c:v>1214.2900000000373</c:v>
                </c:pt>
                <c:pt idx="30">
                  <c:v>1090.3580000000075</c:v>
                </c:pt>
                <c:pt idx="31">
                  <c:v>34360.358000000007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172096"/>
        <c:axId val="161186176"/>
      </c:lineChart>
      <c:catAx>
        <c:axId val="161172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86176"/>
        <c:crosses val="autoZero"/>
        <c:auto val="1"/>
        <c:lblAlgn val="ctr"/>
        <c:lblOffset val="100"/>
        <c:noMultiLvlLbl val="0"/>
      </c:catAx>
      <c:valAx>
        <c:axId val="161186176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72096"/>
        <c:crosses val="autoZero"/>
        <c:crossBetween val="between"/>
        <c:minorUnit val="5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5495E-2"/>
                  <c:y val="-4.4004400440049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HLP'!$AS$4:$AS$35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-0.18999999994412065</c:v>
                </c:pt>
                <c:pt idx="5">
                  <c:v>0.18999999994412065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-0.18999999994412065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0.18999999994412065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-0.18999999994412065</c:v>
                </c:pt>
                <c:pt idx="20">
                  <c:v>1303</c:v>
                </c:pt>
                <c:pt idx="21">
                  <c:v>2823</c:v>
                </c:pt>
                <c:pt idx="22">
                  <c:v>2721</c:v>
                </c:pt>
                <c:pt idx="23">
                  <c:v>2730.9899999999907</c:v>
                </c:pt>
                <c:pt idx="24">
                  <c:v>2670.0100000000093</c:v>
                </c:pt>
                <c:pt idx="25">
                  <c:v>2707.7900000000373</c:v>
                </c:pt>
                <c:pt idx="26">
                  <c:v>2738.2399999999907</c:v>
                </c:pt>
                <c:pt idx="27">
                  <c:v>2685.9699999999721</c:v>
                </c:pt>
                <c:pt idx="28">
                  <c:v>2857</c:v>
                </c:pt>
                <c:pt idx="29">
                  <c:v>2631.1899999999441</c:v>
                </c:pt>
                <c:pt idx="30">
                  <c:v>2837.8100000000559</c:v>
                </c:pt>
                <c:pt idx="31">
                  <c:v>28705.810000000056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HLP'!$BC$4:$BC$33</c:f>
              <c:numCache>
                <c:formatCode>0</c:formatCode>
                <c:ptCount val="30"/>
                <c:pt idx="0">
                  <c:v>4254.4799999999814</c:v>
                </c:pt>
                <c:pt idx="1">
                  <c:v>4202.1600000000326</c:v>
                </c:pt>
                <c:pt idx="2">
                  <c:v>4054.7999999999302</c:v>
                </c:pt>
                <c:pt idx="3">
                  <c:v>4044.2399999999907</c:v>
                </c:pt>
                <c:pt idx="4">
                  <c:v>3947.0500000000466</c:v>
                </c:pt>
                <c:pt idx="5">
                  <c:v>4047.5899999999674</c:v>
                </c:pt>
                <c:pt idx="6">
                  <c:v>4041.4100000000326</c:v>
                </c:pt>
                <c:pt idx="7">
                  <c:v>4125.7900000000373</c:v>
                </c:pt>
                <c:pt idx="8">
                  <c:v>4238.1599999999162</c:v>
                </c:pt>
                <c:pt idx="9">
                  <c:v>4085.2800000000279</c:v>
                </c:pt>
                <c:pt idx="10">
                  <c:v>3897.7600000000093</c:v>
                </c:pt>
                <c:pt idx="11">
                  <c:v>4086.0100000000093</c:v>
                </c:pt>
                <c:pt idx="12">
                  <c:v>3939</c:v>
                </c:pt>
                <c:pt idx="13">
                  <c:v>3636</c:v>
                </c:pt>
                <c:pt idx="14">
                  <c:v>4668</c:v>
                </c:pt>
                <c:pt idx="15">
                  <c:v>4071.2700000000186</c:v>
                </c:pt>
                <c:pt idx="16">
                  <c:v>4177.5200000000186</c:v>
                </c:pt>
                <c:pt idx="17">
                  <c:v>4065.2099999999627</c:v>
                </c:pt>
                <c:pt idx="18">
                  <c:v>4100.4300000000512</c:v>
                </c:pt>
                <c:pt idx="19">
                  <c:v>0</c:v>
                </c:pt>
                <c:pt idx="20">
                  <c:v>2095</c:v>
                </c:pt>
                <c:pt idx="21">
                  <c:v>0</c:v>
                </c:pt>
                <c:pt idx="22">
                  <c:v>0</c:v>
                </c:pt>
                <c:pt idx="23">
                  <c:v>3.0000000027939677E-2</c:v>
                </c:pt>
                <c:pt idx="24">
                  <c:v>-3.0000000027939677E-2</c:v>
                </c:pt>
                <c:pt idx="25">
                  <c:v>3.0000000027939677E-2</c:v>
                </c:pt>
                <c:pt idx="26">
                  <c:v>0</c:v>
                </c:pt>
                <c:pt idx="27">
                  <c:v>-3.0000000027939677E-2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smooth val="0"/>
        <c:axId val="161220096"/>
        <c:axId val="161221632"/>
      </c:lineChart>
      <c:catAx>
        <c:axId val="161220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21632"/>
        <c:crosses val="autoZero"/>
        <c:auto val="1"/>
        <c:lblAlgn val="ctr"/>
        <c:lblOffset val="100"/>
        <c:noMultiLvlLbl val="0"/>
      </c:catAx>
      <c:valAx>
        <c:axId val="161221632"/>
        <c:scaling>
          <c:orientation val="minMax"/>
          <c:max val="9000"/>
          <c:min val="6000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20096"/>
        <c:crosses val="autoZero"/>
        <c:crossBetween val="between"/>
        <c:minorUnit val="50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HLP'!$AP$4:$AP$35</c:f>
              <c:numCache>
                <c:formatCode>0</c:formatCode>
                <c:ptCount val="32"/>
                <c:pt idx="0">
                  <c:v>2809.8000000000466</c:v>
                </c:pt>
                <c:pt idx="1">
                  <c:v>2799.5999999999767</c:v>
                </c:pt>
                <c:pt idx="2">
                  <c:v>2840.1199999999953</c:v>
                </c:pt>
                <c:pt idx="3">
                  <c:v>3006.4400000000023</c:v>
                </c:pt>
                <c:pt idx="4">
                  <c:v>2852.1300000000047</c:v>
                </c:pt>
                <c:pt idx="5">
                  <c:v>2725.7999999999884</c:v>
                </c:pt>
                <c:pt idx="6">
                  <c:v>1954.6000000000349</c:v>
                </c:pt>
                <c:pt idx="7">
                  <c:v>3478.75</c:v>
                </c:pt>
                <c:pt idx="8">
                  <c:v>3015.3999999999651</c:v>
                </c:pt>
                <c:pt idx="9">
                  <c:v>2720.7999999999884</c:v>
                </c:pt>
                <c:pt idx="10">
                  <c:v>2739.6000000000349</c:v>
                </c:pt>
                <c:pt idx="11">
                  <c:v>2969.0499999999884</c:v>
                </c:pt>
                <c:pt idx="12">
                  <c:v>2711</c:v>
                </c:pt>
                <c:pt idx="13">
                  <c:v>2934</c:v>
                </c:pt>
                <c:pt idx="14">
                  <c:v>2603</c:v>
                </c:pt>
                <c:pt idx="15">
                  <c:v>2791.3699999999953</c:v>
                </c:pt>
                <c:pt idx="16">
                  <c:v>2604.9799999999814</c:v>
                </c:pt>
                <c:pt idx="17">
                  <c:v>2671.4000000000233</c:v>
                </c:pt>
                <c:pt idx="18">
                  <c:v>2784.359999999986</c:v>
                </c:pt>
                <c:pt idx="19">
                  <c:v>2774.890000000014</c:v>
                </c:pt>
                <c:pt idx="20">
                  <c:v>2793</c:v>
                </c:pt>
                <c:pt idx="21">
                  <c:v>2725</c:v>
                </c:pt>
                <c:pt idx="22">
                  <c:v>2672</c:v>
                </c:pt>
                <c:pt idx="23">
                  <c:v>2594.3099999999977</c:v>
                </c:pt>
                <c:pt idx="24">
                  <c:v>2603.6900000000023</c:v>
                </c:pt>
                <c:pt idx="25">
                  <c:v>2549.710000000021</c:v>
                </c:pt>
                <c:pt idx="26">
                  <c:v>2606.9599999999627</c:v>
                </c:pt>
                <c:pt idx="27">
                  <c:v>2541.3300000000163</c:v>
                </c:pt>
                <c:pt idx="28">
                  <c:v>2897</c:v>
                </c:pt>
                <c:pt idx="29">
                  <c:v>2824</c:v>
                </c:pt>
                <c:pt idx="30">
                  <c:v>2826.9899999999907</c:v>
                </c:pt>
                <c:pt idx="31">
                  <c:v>85421.080000000016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209728"/>
        <c:axId val="161268864"/>
      </c:lineChart>
      <c:catAx>
        <c:axId val="161209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68864"/>
        <c:crosses val="autoZero"/>
        <c:auto val="1"/>
        <c:lblAlgn val="ctr"/>
        <c:lblOffset val="100"/>
        <c:noMultiLvlLbl val="0"/>
      </c:catAx>
      <c:valAx>
        <c:axId val="161268864"/>
        <c:scaling>
          <c:orientation val="minMax"/>
          <c:max val="5000"/>
          <c:min val="35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0972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0.92</c:v>
                </c:pt>
                <c:pt idx="1">
                  <c:v>0.46</c:v>
                </c:pt>
                <c:pt idx="2">
                  <c:v>0.8</c:v>
                </c:pt>
                <c:pt idx="3">
                  <c:v>1</c:v>
                </c:pt>
                <c:pt idx="4">
                  <c:v>0.67</c:v>
                </c:pt>
                <c:pt idx="5">
                  <c:v>0.57999999999999996</c:v>
                </c:pt>
                <c:pt idx="6">
                  <c:v>0.75</c:v>
                </c:pt>
                <c:pt idx="7">
                  <c:v>0.49</c:v>
                </c:pt>
                <c:pt idx="8">
                  <c:v>0.49</c:v>
                </c:pt>
                <c:pt idx="9">
                  <c:v>0.91</c:v>
                </c:pt>
                <c:pt idx="10">
                  <c:v>0.5</c:v>
                </c:pt>
                <c:pt idx="11">
                  <c:v>0.49</c:v>
                </c:pt>
                <c:pt idx="12">
                  <c:v>0.49</c:v>
                </c:pt>
                <c:pt idx="13">
                  <c:v>0.98</c:v>
                </c:pt>
                <c:pt idx="14">
                  <c:v>0.99</c:v>
                </c:pt>
                <c:pt idx="15">
                  <c:v>1</c:v>
                </c:pt>
                <c:pt idx="16">
                  <c:v>0.91</c:v>
                </c:pt>
                <c:pt idx="17">
                  <c:v>0.75</c:v>
                </c:pt>
                <c:pt idx="18">
                  <c:v>0.82</c:v>
                </c:pt>
                <c:pt idx="19">
                  <c:v>0.81</c:v>
                </c:pt>
                <c:pt idx="20">
                  <c:v>0.83</c:v>
                </c:pt>
                <c:pt idx="21">
                  <c:v>0.72</c:v>
                </c:pt>
                <c:pt idx="22">
                  <c:v>0.78</c:v>
                </c:pt>
                <c:pt idx="23">
                  <c:v>0.41</c:v>
                </c:pt>
                <c:pt idx="24">
                  <c:v>0.3861</c:v>
                </c:pt>
                <c:pt idx="25">
                  <c:v>1</c:v>
                </c:pt>
                <c:pt idx="26">
                  <c:v>0.76</c:v>
                </c:pt>
                <c:pt idx="27">
                  <c:v>0.8</c:v>
                </c:pt>
                <c:pt idx="28">
                  <c:v>1</c:v>
                </c:pt>
                <c:pt idx="29">
                  <c:v>0.5</c:v>
                </c:pt>
                <c:pt idx="30">
                  <c:v>28</c:v>
                </c:pt>
                <c:pt idx="31">
                  <c:v>1.612777419354839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121408"/>
        <c:axId val="161122944"/>
      </c:lineChart>
      <c:catAx>
        <c:axId val="161121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22944"/>
        <c:crosses val="autoZero"/>
        <c:auto val="1"/>
        <c:lblAlgn val="ctr"/>
        <c:lblOffset val="100"/>
        <c:noMultiLvlLbl val="0"/>
      </c:catAx>
      <c:valAx>
        <c:axId val="16112294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611214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varyColors val="0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HLP'!$H$4:$H$35</c:f>
              <c:numCache>
                <c:formatCode>0</c:formatCode>
                <c:ptCount val="32"/>
                <c:pt idx="0">
                  <c:v>22590.799999999988</c:v>
                </c:pt>
                <c:pt idx="1">
                  <c:v>22181.549999999988</c:v>
                </c:pt>
                <c:pt idx="2">
                  <c:v>22630.650000000023</c:v>
                </c:pt>
                <c:pt idx="3">
                  <c:v>23512</c:v>
                </c:pt>
                <c:pt idx="4">
                  <c:v>23970</c:v>
                </c:pt>
                <c:pt idx="5">
                  <c:v>22796</c:v>
                </c:pt>
                <c:pt idx="6">
                  <c:v>22420</c:v>
                </c:pt>
                <c:pt idx="7">
                  <c:v>23804.709999999963</c:v>
                </c:pt>
                <c:pt idx="8">
                  <c:v>23775.840000000084</c:v>
                </c:pt>
                <c:pt idx="9">
                  <c:v>22630.79999999993</c:v>
                </c:pt>
                <c:pt idx="10">
                  <c:v>21797.040000000037</c:v>
                </c:pt>
                <c:pt idx="11">
                  <c:v>22425.609999999986</c:v>
                </c:pt>
                <c:pt idx="12">
                  <c:v>23047</c:v>
                </c:pt>
                <c:pt idx="13">
                  <c:v>26337</c:v>
                </c:pt>
                <c:pt idx="14">
                  <c:v>24648</c:v>
                </c:pt>
                <c:pt idx="15">
                  <c:v>23854</c:v>
                </c:pt>
                <c:pt idx="16">
                  <c:v>25992</c:v>
                </c:pt>
                <c:pt idx="17">
                  <c:v>24731</c:v>
                </c:pt>
                <c:pt idx="18">
                  <c:v>22617.699999999953</c:v>
                </c:pt>
                <c:pt idx="19">
                  <c:v>23058.300000000047</c:v>
                </c:pt>
                <c:pt idx="20">
                  <c:v>22002</c:v>
                </c:pt>
                <c:pt idx="21">
                  <c:v>22635</c:v>
                </c:pt>
                <c:pt idx="22">
                  <c:v>20700</c:v>
                </c:pt>
                <c:pt idx="23">
                  <c:v>20649</c:v>
                </c:pt>
                <c:pt idx="24">
                  <c:v>21475</c:v>
                </c:pt>
                <c:pt idx="25">
                  <c:v>20198</c:v>
                </c:pt>
                <c:pt idx="26">
                  <c:v>20797.899999999994</c:v>
                </c:pt>
                <c:pt idx="27">
                  <c:v>22210.61</c:v>
                </c:pt>
                <c:pt idx="28">
                  <c:v>23237.490000000005</c:v>
                </c:pt>
                <c:pt idx="29">
                  <c:v>21529.170000000013</c:v>
                </c:pt>
                <c:pt idx="30">
                  <c:v>22341.829999999987</c:v>
                </c:pt>
                <c:pt idx="31">
                  <c:v>706596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61229824"/>
        <c:axId val="161370880"/>
      </c:lineChart>
      <c:catAx>
        <c:axId val="161229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70880"/>
        <c:crosses val="autoZero"/>
        <c:auto val="1"/>
        <c:lblAlgn val="ctr"/>
        <c:lblOffset val="100"/>
        <c:noMultiLvlLbl val="0"/>
      </c:catAx>
      <c:valAx>
        <c:axId val="161370880"/>
        <c:scaling>
          <c:orientation val="minMax"/>
          <c:max val="34000"/>
          <c:min val="250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29824"/>
        <c:crosses val="autoZero"/>
        <c:crossBetween val="between"/>
        <c:majorUnit val="2000"/>
      </c:valAx>
    </c:plotArea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HLP'!$AN$4:$AN$33</c:f>
              <c:numCache>
                <c:formatCode>0</c:formatCode>
                <c:ptCount val="30"/>
                <c:pt idx="0">
                  <c:v>10.419999999999163</c:v>
                </c:pt>
                <c:pt idx="1">
                  <c:v>11.140000000000327</c:v>
                </c:pt>
                <c:pt idx="2">
                  <c:v>11.056999999999789</c:v>
                </c:pt>
                <c:pt idx="3">
                  <c:v>11.722999999999956</c:v>
                </c:pt>
                <c:pt idx="4">
                  <c:v>11.520000000000437</c:v>
                </c:pt>
                <c:pt idx="5">
                  <c:v>11.170000000000073</c:v>
                </c:pt>
                <c:pt idx="6">
                  <c:v>10.170000000000073</c:v>
                </c:pt>
                <c:pt idx="7">
                  <c:v>11.25</c:v>
                </c:pt>
                <c:pt idx="8">
                  <c:v>9.5299999999997453</c:v>
                </c:pt>
                <c:pt idx="9">
                  <c:v>11.270000000000437</c:v>
                </c:pt>
                <c:pt idx="10">
                  <c:v>10.8799999999992</c:v>
                </c:pt>
                <c:pt idx="11">
                  <c:v>11.440000000000509</c:v>
                </c:pt>
                <c:pt idx="12">
                  <c:v>11.399999999999636</c:v>
                </c:pt>
                <c:pt idx="13">
                  <c:v>10.930000000000291</c:v>
                </c:pt>
                <c:pt idx="14">
                  <c:v>11.699999999999818</c:v>
                </c:pt>
                <c:pt idx="15">
                  <c:v>11.180000000000291</c:v>
                </c:pt>
                <c:pt idx="16">
                  <c:v>11.119999999999891</c:v>
                </c:pt>
                <c:pt idx="17">
                  <c:v>11.659999999999854</c:v>
                </c:pt>
                <c:pt idx="18">
                  <c:v>11.480000000000473</c:v>
                </c:pt>
                <c:pt idx="19">
                  <c:v>10.859999999999673</c:v>
                </c:pt>
                <c:pt idx="20">
                  <c:v>11</c:v>
                </c:pt>
                <c:pt idx="21">
                  <c:v>11.569999999999709</c:v>
                </c:pt>
                <c:pt idx="22">
                  <c:v>11.430000000000291</c:v>
                </c:pt>
                <c:pt idx="23">
                  <c:v>11.239999999999782</c:v>
                </c:pt>
                <c:pt idx="24">
                  <c:v>11.360000000000582</c:v>
                </c:pt>
                <c:pt idx="25">
                  <c:v>10.399999999999636</c:v>
                </c:pt>
                <c:pt idx="26">
                  <c:v>6.3299999999999272</c:v>
                </c:pt>
                <c:pt idx="27">
                  <c:v>8.069999999999709</c:v>
                </c:pt>
                <c:pt idx="28">
                  <c:v>11.630000000000109</c:v>
                </c:pt>
                <c:pt idx="29">
                  <c:v>19.130000000000109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419648"/>
        <c:axId val="161421184"/>
      </c:lineChart>
      <c:catAx>
        <c:axId val="161419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421184"/>
        <c:crosses val="autoZero"/>
        <c:auto val="1"/>
        <c:lblAlgn val="ctr"/>
        <c:lblOffset val="100"/>
        <c:noMultiLvlLbl val="0"/>
      </c:catAx>
      <c:valAx>
        <c:axId val="161421184"/>
        <c:scaling>
          <c:orientation val="minMax"/>
          <c:max val="14"/>
          <c:min val="8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41964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/>
          </a:pPr>
          <a:endParaRPr lang="en-US"/>
        </a:p>
      </c:txPr>
    </c:title>
    <c:autoTitleDeleted val="0"/>
    <c:view3D>
      <c:rotX val="30"/>
      <c:hPercent val="10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</c:plotArea>
    <c:legend>
      <c:legendPos val="t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28817210434806E-2"/>
          <c:y val="7.4487823818550514E-2"/>
          <c:w val="0.84489954093860065"/>
          <c:h val="0.79838984032443594"/>
        </c:manualLayout>
      </c:layout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306.84000000008382</c:v>
                </c:pt>
                <c:pt idx="1">
                  <c:v>302.69999999995343</c:v>
                </c:pt>
                <c:pt idx="2">
                  <c:v>291.9320000000298</c:v>
                </c:pt>
                <c:pt idx="3">
                  <c:v>270.04200000001583</c:v>
                </c:pt>
                <c:pt idx="4">
                  <c:v>320.7259999999078</c:v>
                </c:pt>
                <c:pt idx="5">
                  <c:v>311.30000000004657</c:v>
                </c:pt>
                <c:pt idx="6">
                  <c:v>272.73999999999069</c:v>
                </c:pt>
                <c:pt idx="7">
                  <c:v>265.35999999998603</c:v>
                </c:pt>
                <c:pt idx="8">
                  <c:v>297.90000000002328</c:v>
                </c:pt>
                <c:pt idx="9">
                  <c:v>298</c:v>
                </c:pt>
                <c:pt idx="10">
                  <c:v>291</c:v>
                </c:pt>
                <c:pt idx="11">
                  <c:v>113</c:v>
                </c:pt>
                <c:pt idx="12">
                  <c:v>476</c:v>
                </c:pt>
                <c:pt idx="13">
                  <c:v>299.34999999997672</c:v>
                </c:pt>
                <c:pt idx="14">
                  <c:v>292.18000000005122</c:v>
                </c:pt>
                <c:pt idx="15">
                  <c:v>298.35999999998603</c:v>
                </c:pt>
                <c:pt idx="16">
                  <c:v>286.10999999998603</c:v>
                </c:pt>
                <c:pt idx="17">
                  <c:v>290</c:v>
                </c:pt>
                <c:pt idx="18">
                  <c:v>295</c:v>
                </c:pt>
                <c:pt idx="19">
                  <c:v>297</c:v>
                </c:pt>
                <c:pt idx="20">
                  <c:v>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623.86000000010245</c:v>
                </c:pt>
                <c:pt idx="1">
                  <c:v>578.19999999986067</c:v>
                </c:pt>
                <c:pt idx="2">
                  <c:v>667.46799999987707</c:v>
                </c:pt>
                <c:pt idx="3">
                  <c:v>654.25800000006529</c:v>
                </c:pt>
                <c:pt idx="4">
                  <c:v>620.84400000002825</c:v>
                </c:pt>
                <c:pt idx="5">
                  <c:v>563.36000000002241</c:v>
                </c:pt>
                <c:pt idx="6">
                  <c:v>618.1800000002022</c:v>
                </c:pt>
                <c:pt idx="7">
                  <c:v>675.64999999983411</c:v>
                </c:pt>
                <c:pt idx="8">
                  <c:v>627.43999999997322</c:v>
                </c:pt>
                <c:pt idx="9">
                  <c:v>558.39999999999418</c:v>
                </c:pt>
                <c:pt idx="10">
                  <c:v>599.80000000000291</c:v>
                </c:pt>
                <c:pt idx="11">
                  <c:v>771</c:v>
                </c:pt>
                <c:pt idx="12">
                  <c:v>398.01999999998952</c:v>
                </c:pt>
                <c:pt idx="13">
                  <c:v>619.63000000003376</c:v>
                </c:pt>
                <c:pt idx="14">
                  <c:v>668.81999999994878</c:v>
                </c:pt>
                <c:pt idx="15">
                  <c:v>576.64000000001397</c:v>
                </c:pt>
                <c:pt idx="16">
                  <c:v>695.89000000001397</c:v>
                </c:pt>
                <c:pt idx="17">
                  <c:v>638</c:v>
                </c:pt>
                <c:pt idx="18">
                  <c:v>660</c:v>
                </c:pt>
                <c:pt idx="19">
                  <c:v>663</c:v>
                </c:pt>
                <c:pt idx="20">
                  <c:v>680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124</c:v>
                </c:pt>
                <c:pt idx="1">
                  <c:v>146</c:v>
                </c:pt>
                <c:pt idx="2">
                  <c:v>106</c:v>
                </c:pt>
                <c:pt idx="3">
                  <c:v>124.70000000001164</c:v>
                </c:pt>
                <c:pt idx="4">
                  <c:v>156.29999999998836</c:v>
                </c:pt>
                <c:pt idx="5">
                  <c:v>169.07000000000698</c:v>
                </c:pt>
                <c:pt idx="6">
                  <c:v>122.92999999999302</c:v>
                </c:pt>
                <c:pt idx="7">
                  <c:v>118.33999999999651</c:v>
                </c:pt>
                <c:pt idx="8">
                  <c:v>124.66000000000349</c:v>
                </c:pt>
                <c:pt idx="9">
                  <c:v>111</c:v>
                </c:pt>
                <c:pt idx="10">
                  <c:v>122</c:v>
                </c:pt>
                <c:pt idx="11">
                  <c:v>117</c:v>
                </c:pt>
                <c:pt idx="12">
                  <c:v>104.98000000001048</c:v>
                </c:pt>
                <c:pt idx="13">
                  <c:v>126.01999999998952</c:v>
                </c:pt>
                <c:pt idx="14">
                  <c:v>148</c:v>
                </c:pt>
                <c:pt idx="15">
                  <c:v>91</c:v>
                </c:pt>
                <c:pt idx="16">
                  <c:v>94</c:v>
                </c:pt>
                <c:pt idx="17">
                  <c:v>115</c:v>
                </c:pt>
                <c:pt idx="18">
                  <c:v>99</c:v>
                </c:pt>
                <c:pt idx="19">
                  <c:v>98</c:v>
                </c:pt>
                <c:pt idx="20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979776"/>
        <c:axId val="161993856"/>
      </c:lineChart>
      <c:catAx>
        <c:axId val="161979776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61993856"/>
        <c:crosses val="autoZero"/>
        <c:auto val="1"/>
        <c:lblAlgn val="ctr"/>
        <c:lblOffset val="100"/>
        <c:noMultiLvlLbl val="0"/>
      </c:catAx>
      <c:valAx>
        <c:axId val="16199385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6197977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dLbls>
            <c:dLbl>
              <c:idx val="0"/>
              <c:layout>
                <c:manualLayout>
                  <c:x val="-1.812688821754037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0.15031664773523012</c:v>
                </c:pt>
                <c:pt idx="1">
                  <c:v>3267.039999999979</c:v>
                </c:pt>
                <c:pt idx="2">
                  <c:v>3387.9000000000233</c:v>
                </c:pt>
                <c:pt idx="3">
                  <c:v>3975.9300000000512</c:v>
                </c:pt>
                <c:pt idx="4">
                  <c:v>0</c:v>
                </c:pt>
                <c:pt idx="5">
                  <c:v>3777.7000000000698</c:v>
                </c:pt>
                <c:pt idx="6">
                  <c:v>3991.2199999999139</c:v>
                </c:pt>
                <c:pt idx="7">
                  <c:v>4345.6600000000326</c:v>
                </c:pt>
                <c:pt idx="8">
                  <c:v>3719.7200000000303</c:v>
                </c:pt>
                <c:pt idx="9">
                  <c:v>3216.140000000014</c:v>
                </c:pt>
                <c:pt idx="10">
                  <c:v>3042.6599999999744</c:v>
                </c:pt>
                <c:pt idx="11">
                  <c:v>3707.4500000000116</c:v>
                </c:pt>
                <c:pt idx="12">
                  <c:v>3994.1899999999441</c:v>
                </c:pt>
                <c:pt idx="13">
                  <c:v>7314.8100000000559</c:v>
                </c:pt>
                <c:pt idx="14">
                  <c:v>6679.4499999999534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65178368"/>
        <c:axId val="165192448"/>
      </c:lineChart>
      <c:lineChart>
        <c:grouping val="stacke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473851.8</c:v>
                </c:pt>
                <c:pt idx="1">
                  <c:v>496033.35</c:v>
                </c:pt>
                <c:pt idx="2">
                  <c:v>542176</c:v>
                </c:pt>
                <c:pt idx="3">
                  <c:v>518664</c:v>
                </c:pt>
                <c:pt idx="4">
                  <c:v>0</c:v>
                </c:pt>
                <c:pt idx="5">
                  <c:v>588942</c:v>
                </c:pt>
                <c:pt idx="6">
                  <c:v>611362</c:v>
                </c:pt>
                <c:pt idx="7">
                  <c:v>635166.71</c:v>
                </c:pt>
                <c:pt idx="8">
                  <c:v>658942.55000000005</c:v>
                </c:pt>
                <c:pt idx="9">
                  <c:v>681573.35</c:v>
                </c:pt>
                <c:pt idx="10">
                  <c:v>703370.39</c:v>
                </c:pt>
                <c:pt idx="11">
                  <c:v>725796</c:v>
                </c:pt>
                <c:pt idx="12">
                  <c:v>748843</c:v>
                </c:pt>
                <c:pt idx="13">
                  <c:v>775180</c:v>
                </c:pt>
                <c:pt idx="14">
                  <c:v>799828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193984"/>
        <c:axId val="165195776"/>
      </c:lineChart>
      <c:catAx>
        <c:axId val="16517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92448"/>
        <c:crosses val="autoZero"/>
        <c:auto val="1"/>
        <c:lblAlgn val="ctr"/>
        <c:lblOffset val="100"/>
        <c:noMultiLvlLbl val="0"/>
      </c:catAx>
      <c:valAx>
        <c:axId val="165192448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78368"/>
        <c:crosses val="autoZero"/>
        <c:crossBetween val="between"/>
        <c:minorUnit val="50"/>
      </c:valAx>
      <c:catAx>
        <c:axId val="165193984"/>
        <c:scaling>
          <c:orientation val="minMax"/>
        </c:scaling>
        <c:delete val="1"/>
        <c:axPos val="b"/>
        <c:majorTickMark val="out"/>
        <c:minorTickMark val="none"/>
        <c:tickLblPos val="none"/>
        <c:crossAx val="165195776"/>
        <c:crosses val="autoZero"/>
        <c:auto val="1"/>
        <c:lblAlgn val="ctr"/>
        <c:lblOffset val="100"/>
        <c:noMultiLvlLbl val="0"/>
      </c:catAx>
      <c:valAx>
        <c:axId val="165195776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93984"/>
        <c:crosses val="max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826560"/>
        <c:axId val="165828096"/>
      </c:lineChart>
      <c:catAx>
        <c:axId val="165826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828096"/>
        <c:crosses val="autoZero"/>
        <c:auto val="1"/>
        <c:lblAlgn val="ctr"/>
        <c:lblOffset val="100"/>
        <c:noMultiLvlLbl val="0"/>
      </c:catAx>
      <c:valAx>
        <c:axId val="165828096"/>
        <c:scaling>
          <c:orientation val="minMax"/>
          <c:max val="5000"/>
          <c:min val="35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82656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473851.8</c:v>
                </c:pt>
                <c:pt idx="1">
                  <c:v>496033.35</c:v>
                </c:pt>
                <c:pt idx="2">
                  <c:v>542176</c:v>
                </c:pt>
                <c:pt idx="3">
                  <c:v>518664</c:v>
                </c:pt>
                <c:pt idx="4">
                  <c:v>0</c:v>
                </c:pt>
                <c:pt idx="5">
                  <c:v>588942</c:v>
                </c:pt>
                <c:pt idx="6">
                  <c:v>611362</c:v>
                </c:pt>
                <c:pt idx="7">
                  <c:v>635166.71</c:v>
                </c:pt>
                <c:pt idx="8">
                  <c:v>658942.55000000005</c:v>
                </c:pt>
                <c:pt idx="9">
                  <c:v>681573.35</c:v>
                </c:pt>
                <c:pt idx="10">
                  <c:v>703370.39</c:v>
                </c:pt>
                <c:pt idx="11">
                  <c:v>725796</c:v>
                </c:pt>
                <c:pt idx="12">
                  <c:v>748843</c:v>
                </c:pt>
                <c:pt idx="13">
                  <c:v>775180</c:v>
                </c:pt>
                <c:pt idx="14">
                  <c:v>799828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65857152"/>
        <c:axId val="165858688"/>
      </c:lineChart>
      <c:catAx>
        <c:axId val="165857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858688"/>
        <c:crosses val="autoZero"/>
        <c:auto val="1"/>
        <c:lblAlgn val="ctr"/>
        <c:lblOffset val="100"/>
        <c:noMultiLvlLbl val="0"/>
      </c:catAx>
      <c:valAx>
        <c:axId val="165858688"/>
        <c:scaling>
          <c:orientation val="minMax"/>
          <c:min val="1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85715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9418"/>
        </c:manualLayout>
      </c:layout>
      <c:lineChart>
        <c:grouping val="standard"/>
        <c:varyColors val="0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228</c:v>
                </c:pt>
                <c:pt idx="1">
                  <c:v>210</c:v>
                </c:pt>
                <c:pt idx="2">
                  <c:v>198</c:v>
                </c:pt>
                <c:pt idx="3">
                  <c:v>192</c:v>
                </c:pt>
                <c:pt idx="4">
                  <c:v>0</c:v>
                </c:pt>
                <c:pt idx="5">
                  <c:v>201</c:v>
                </c:pt>
                <c:pt idx="6">
                  <c:v>55630</c:v>
                </c:pt>
                <c:pt idx="7">
                  <c:v>192</c:v>
                </c:pt>
                <c:pt idx="8">
                  <c:v>228</c:v>
                </c:pt>
                <c:pt idx="9">
                  <c:v>246</c:v>
                </c:pt>
                <c:pt idx="10">
                  <c:v>194</c:v>
                </c:pt>
                <c:pt idx="11">
                  <c:v>191</c:v>
                </c:pt>
                <c:pt idx="12">
                  <c:v>193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413440"/>
        <c:axId val="166414976"/>
      </c:lineChart>
      <c:lineChart>
        <c:grouping val="standar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473851.8</c:v>
                </c:pt>
                <c:pt idx="1">
                  <c:v>496033.35</c:v>
                </c:pt>
                <c:pt idx="2">
                  <c:v>542176</c:v>
                </c:pt>
                <c:pt idx="3">
                  <c:v>518664</c:v>
                </c:pt>
                <c:pt idx="4">
                  <c:v>0</c:v>
                </c:pt>
                <c:pt idx="5">
                  <c:v>588942</c:v>
                </c:pt>
                <c:pt idx="6">
                  <c:v>611362</c:v>
                </c:pt>
                <c:pt idx="7">
                  <c:v>635166.71</c:v>
                </c:pt>
                <c:pt idx="8">
                  <c:v>658942.55000000005</c:v>
                </c:pt>
                <c:pt idx="9">
                  <c:v>681573.35</c:v>
                </c:pt>
                <c:pt idx="10">
                  <c:v>703370.39</c:v>
                </c:pt>
                <c:pt idx="11">
                  <c:v>725796</c:v>
                </c:pt>
                <c:pt idx="12">
                  <c:v>748843</c:v>
                </c:pt>
                <c:pt idx="13">
                  <c:v>775180</c:v>
                </c:pt>
                <c:pt idx="14">
                  <c:v>799828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437248"/>
        <c:axId val="166438784"/>
      </c:lineChart>
      <c:catAx>
        <c:axId val="166413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414976"/>
        <c:crosses val="autoZero"/>
        <c:auto val="1"/>
        <c:lblAlgn val="ctr"/>
        <c:lblOffset val="100"/>
        <c:noMultiLvlLbl val="0"/>
      </c:catAx>
      <c:valAx>
        <c:axId val="166414976"/>
        <c:scaling>
          <c:orientation val="minMax"/>
          <c:min val="6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413440"/>
        <c:crosses val="autoZero"/>
        <c:crossBetween val="between"/>
      </c:valAx>
      <c:catAx>
        <c:axId val="166437248"/>
        <c:scaling>
          <c:orientation val="minMax"/>
        </c:scaling>
        <c:delete val="1"/>
        <c:axPos val="b"/>
        <c:majorTickMark val="out"/>
        <c:minorTickMark val="none"/>
        <c:tickLblPos val="none"/>
        <c:crossAx val="166438784"/>
        <c:crosses val="autoZero"/>
        <c:auto val="1"/>
        <c:lblAlgn val="ctr"/>
        <c:lblOffset val="100"/>
        <c:noMultiLvlLbl val="0"/>
      </c:catAx>
      <c:valAx>
        <c:axId val="16643878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4372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varyColors val="0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50</c:v>
                </c:pt>
                <c:pt idx="1">
                  <c:v>49</c:v>
                </c:pt>
                <c:pt idx="2">
                  <c:v>33</c:v>
                </c:pt>
                <c:pt idx="3">
                  <c:v>24</c:v>
                </c:pt>
                <c:pt idx="4">
                  <c:v>0</c:v>
                </c:pt>
                <c:pt idx="5">
                  <c:v>21</c:v>
                </c:pt>
                <c:pt idx="6">
                  <c:v>26</c:v>
                </c:pt>
                <c:pt idx="7">
                  <c:v>37</c:v>
                </c:pt>
                <c:pt idx="8">
                  <c:v>27</c:v>
                </c:pt>
                <c:pt idx="9">
                  <c:v>47</c:v>
                </c:pt>
                <c:pt idx="10">
                  <c:v>28</c:v>
                </c:pt>
                <c:pt idx="11">
                  <c:v>40</c:v>
                </c:pt>
                <c:pt idx="12">
                  <c:v>35</c:v>
                </c:pt>
                <c:pt idx="13">
                  <c:v>39</c:v>
                </c:pt>
                <c:pt idx="14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8</c:v>
                </c:pt>
                <c:pt idx="1">
                  <c:v>11</c:v>
                </c:pt>
                <c:pt idx="2">
                  <c:v>8</c:v>
                </c:pt>
                <c:pt idx="3">
                  <c:v>6</c:v>
                </c:pt>
                <c:pt idx="4">
                  <c:v>0</c:v>
                </c:pt>
                <c:pt idx="5">
                  <c:v>5</c:v>
                </c:pt>
                <c:pt idx="6">
                  <c:v>8</c:v>
                </c:pt>
                <c:pt idx="7">
                  <c:v>5</c:v>
                </c:pt>
                <c:pt idx="8">
                  <c:v>8</c:v>
                </c:pt>
                <c:pt idx="9">
                  <c:v>8</c:v>
                </c:pt>
                <c:pt idx="10">
                  <c:v>6</c:v>
                </c:pt>
                <c:pt idx="11">
                  <c:v>5</c:v>
                </c:pt>
                <c:pt idx="12">
                  <c:v>7</c:v>
                </c:pt>
                <c:pt idx="13">
                  <c:v>231</c:v>
                </c:pt>
                <c:pt idx="14">
                  <c:v>227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04384"/>
        <c:axId val="162305920"/>
      </c:lineChart>
      <c:lineChart>
        <c:grouping val="standard"/>
        <c:varyColors val="0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473851.8</c:v>
                </c:pt>
                <c:pt idx="1">
                  <c:v>496033.35</c:v>
                </c:pt>
                <c:pt idx="2">
                  <c:v>542176</c:v>
                </c:pt>
                <c:pt idx="3">
                  <c:v>518664</c:v>
                </c:pt>
                <c:pt idx="4">
                  <c:v>0</c:v>
                </c:pt>
                <c:pt idx="5">
                  <c:v>588942</c:v>
                </c:pt>
                <c:pt idx="6">
                  <c:v>611362</c:v>
                </c:pt>
                <c:pt idx="7">
                  <c:v>635166.71</c:v>
                </c:pt>
                <c:pt idx="8">
                  <c:v>658942.55000000005</c:v>
                </c:pt>
                <c:pt idx="9">
                  <c:v>681573.35</c:v>
                </c:pt>
                <c:pt idx="10">
                  <c:v>703370.39</c:v>
                </c:pt>
                <c:pt idx="11">
                  <c:v>725796</c:v>
                </c:pt>
                <c:pt idx="12">
                  <c:v>748843</c:v>
                </c:pt>
                <c:pt idx="13">
                  <c:v>775180</c:v>
                </c:pt>
                <c:pt idx="14">
                  <c:v>799828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07456"/>
        <c:axId val="162313344"/>
      </c:lineChart>
      <c:catAx>
        <c:axId val="1623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305920"/>
        <c:crosses val="autoZero"/>
        <c:auto val="1"/>
        <c:lblAlgn val="ctr"/>
        <c:lblOffset val="100"/>
        <c:noMultiLvlLbl val="0"/>
      </c:catAx>
      <c:valAx>
        <c:axId val="162305920"/>
        <c:scaling>
          <c:orientation val="minMax"/>
          <c:min val="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304384"/>
        <c:crosses val="autoZero"/>
        <c:crossBetween val="between"/>
        <c:majorUnit val="2"/>
      </c:valAx>
      <c:catAx>
        <c:axId val="162307456"/>
        <c:scaling>
          <c:orientation val="minMax"/>
        </c:scaling>
        <c:delete val="1"/>
        <c:axPos val="b"/>
        <c:majorTickMark val="out"/>
        <c:minorTickMark val="none"/>
        <c:tickLblPos val="none"/>
        <c:crossAx val="162313344"/>
        <c:crosses val="autoZero"/>
        <c:auto val="1"/>
        <c:lblAlgn val="ctr"/>
        <c:lblOffset val="100"/>
        <c:noMultiLvlLbl val="0"/>
      </c:catAx>
      <c:valAx>
        <c:axId val="16231334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307456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68</xdr:row>
      <xdr:rowOff>28575</xdr:rowOff>
    </xdr:from>
    <xdr:to>
      <xdr:col>26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323850</xdr:colOff>
      <xdr:row>82</xdr:row>
      <xdr:rowOff>0</xdr:rowOff>
    </xdr:from>
    <xdr:to>
      <xdr:col>26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11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11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285750</xdr:colOff>
      <xdr:row>53</xdr:row>
      <xdr:rowOff>95250</xdr:rowOff>
    </xdr:from>
    <xdr:to>
      <xdr:col>27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15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16328</xdr:colOff>
      <xdr:row>37</xdr:row>
      <xdr:rowOff>163285</xdr:rowOff>
    </xdr:from>
    <xdr:to>
      <xdr:col>24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11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11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47</xdr:row>
      <xdr:rowOff>108057</xdr:rowOff>
    </xdr:from>
    <xdr:to>
      <xdr:col>42</xdr:col>
      <xdr:colOff>313765</xdr:colOff>
      <xdr:row>61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oe.ElKhoury\AppData\Local\Microsoft\Windows\INetCache\Content.Outlook\SR778SAZ\2FS%20Mumbai_HEP_Daily_Mar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C:\Users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opLeftCell="A19" workbookViewId="0">
      <selection activeCell="K33" sqref="K33"/>
    </sheetView>
  </sheetViews>
  <sheetFormatPr defaultColWidth="9" defaultRowHeight="15"/>
  <cols>
    <col min="1" max="1" width="9.6640625" style="279" customWidth="1"/>
    <col min="2" max="3" width="9" style="273"/>
    <col min="4" max="4" width="10.44140625" style="274" customWidth="1"/>
    <col min="5" max="5" width="9.77734375" style="275" customWidth="1"/>
    <col min="6" max="6" width="9.77734375" style="279" customWidth="1"/>
    <col min="7" max="10" width="9" style="279"/>
    <col min="11" max="12" width="9" style="275"/>
    <col min="13" max="13" width="0" style="278" hidden="1" customWidth="1"/>
    <col min="14" max="256" width="9" style="278"/>
    <col min="257" max="257" width="9.6640625" style="278" customWidth="1"/>
    <col min="258" max="259" width="9" style="278"/>
    <col min="260" max="260" width="10.44140625" style="278" customWidth="1"/>
    <col min="261" max="262" width="9.77734375" style="278" customWidth="1"/>
    <col min="263" max="268" width="9" style="278"/>
    <col min="269" max="269" width="0" style="278" hidden="1" customWidth="1"/>
    <col min="270" max="512" width="9" style="278"/>
    <col min="513" max="513" width="9.6640625" style="278" customWidth="1"/>
    <col min="514" max="515" width="9" style="278"/>
    <col min="516" max="516" width="10.44140625" style="278" customWidth="1"/>
    <col min="517" max="518" width="9.77734375" style="278" customWidth="1"/>
    <col min="519" max="524" width="9" style="278"/>
    <col min="525" max="525" width="0" style="278" hidden="1" customWidth="1"/>
    <col min="526" max="768" width="9" style="278"/>
    <col min="769" max="769" width="9.6640625" style="278" customWidth="1"/>
    <col min="770" max="771" width="9" style="278"/>
    <col min="772" max="772" width="10.44140625" style="278" customWidth="1"/>
    <col min="773" max="774" width="9.77734375" style="278" customWidth="1"/>
    <col min="775" max="780" width="9" style="278"/>
    <col min="781" max="781" width="0" style="278" hidden="1" customWidth="1"/>
    <col min="782" max="1024" width="9" style="278"/>
    <col min="1025" max="1025" width="9.6640625" style="278" customWidth="1"/>
    <col min="1026" max="1027" width="9" style="278"/>
    <col min="1028" max="1028" width="10.44140625" style="278" customWidth="1"/>
    <col min="1029" max="1030" width="9.77734375" style="278" customWidth="1"/>
    <col min="1031" max="1036" width="9" style="278"/>
    <col min="1037" max="1037" width="0" style="278" hidden="1" customWidth="1"/>
    <col min="1038" max="1280" width="9" style="278"/>
    <col min="1281" max="1281" width="9.6640625" style="278" customWidth="1"/>
    <col min="1282" max="1283" width="9" style="278"/>
    <col min="1284" max="1284" width="10.44140625" style="278" customWidth="1"/>
    <col min="1285" max="1286" width="9.77734375" style="278" customWidth="1"/>
    <col min="1287" max="1292" width="9" style="278"/>
    <col min="1293" max="1293" width="0" style="278" hidden="1" customWidth="1"/>
    <col min="1294" max="1536" width="9" style="278"/>
    <col min="1537" max="1537" width="9.6640625" style="278" customWidth="1"/>
    <col min="1538" max="1539" width="9" style="278"/>
    <col min="1540" max="1540" width="10.44140625" style="278" customWidth="1"/>
    <col min="1541" max="1542" width="9.77734375" style="278" customWidth="1"/>
    <col min="1543" max="1548" width="9" style="278"/>
    <col min="1549" max="1549" width="0" style="278" hidden="1" customWidth="1"/>
    <col min="1550" max="1792" width="9" style="278"/>
    <col min="1793" max="1793" width="9.6640625" style="278" customWidth="1"/>
    <col min="1794" max="1795" width="9" style="278"/>
    <col min="1796" max="1796" width="10.44140625" style="278" customWidth="1"/>
    <col min="1797" max="1798" width="9.77734375" style="278" customWidth="1"/>
    <col min="1799" max="1804" width="9" style="278"/>
    <col min="1805" max="1805" width="0" style="278" hidden="1" customWidth="1"/>
    <col min="1806" max="2048" width="9" style="278"/>
    <col min="2049" max="2049" width="9.6640625" style="278" customWidth="1"/>
    <col min="2050" max="2051" width="9" style="278"/>
    <col min="2052" max="2052" width="10.44140625" style="278" customWidth="1"/>
    <col min="2053" max="2054" width="9.77734375" style="278" customWidth="1"/>
    <col min="2055" max="2060" width="9" style="278"/>
    <col min="2061" max="2061" width="0" style="278" hidden="1" customWidth="1"/>
    <col min="2062" max="2304" width="9" style="278"/>
    <col min="2305" max="2305" width="9.6640625" style="278" customWidth="1"/>
    <col min="2306" max="2307" width="9" style="278"/>
    <col min="2308" max="2308" width="10.44140625" style="278" customWidth="1"/>
    <col min="2309" max="2310" width="9.77734375" style="278" customWidth="1"/>
    <col min="2311" max="2316" width="9" style="278"/>
    <col min="2317" max="2317" width="0" style="278" hidden="1" customWidth="1"/>
    <col min="2318" max="2560" width="9" style="278"/>
    <col min="2561" max="2561" width="9.6640625" style="278" customWidth="1"/>
    <col min="2562" max="2563" width="9" style="278"/>
    <col min="2564" max="2564" width="10.44140625" style="278" customWidth="1"/>
    <col min="2565" max="2566" width="9.77734375" style="278" customWidth="1"/>
    <col min="2567" max="2572" width="9" style="278"/>
    <col min="2573" max="2573" width="0" style="278" hidden="1" customWidth="1"/>
    <col min="2574" max="2816" width="9" style="278"/>
    <col min="2817" max="2817" width="9.6640625" style="278" customWidth="1"/>
    <col min="2818" max="2819" width="9" style="278"/>
    <col min="2820" max="2820" width="10.44140625" style="278" customWidth="1"/>
    <col min="2821" max="2822" width="9.77734375" style="278" customWidth="1"/>
    <col min="2823" max="2828" width="9" style="278"/>
    <col min="2829" max="2829" width="0" style="278" hidden="1" customWidth="1"/>
    <col min="2830" max="3072" width="9" style="278"/>
    <col min="3073" max="3073" width="9.6640625" style="278" customWidth="1"/>
    <col min="3074" max="3075" width="9" style="278"/>
    <col min="3076" max="3076" width="10.44140625" style="278" customWidth="1"/>
    <col min="3077" max="3078" width="9.77734375" style="278" customWidth="1"/>
    <col min="3079" max="3084" width="9" style="278"/>
    <col min="3085" max="3085" width="0" style="278" hidden="1" customWidth="1"/>
    <col min="3086" max="3328" width="9" style="278"/>
    <col min="3329" max="3329" width="9.6640625" style="278" customWidth="1"/>
    <col min="3330" max="3331" width="9" style="278"/>
    <col min="3332" max="3332" width="10.44140625" style="278" customWidth="1"/>
    <col min="3333" max="3334" width="9.77734375" style="278" customWidth="1"/>
    <col min="3335" max="3340" width="9" style="278"/>
    <col min="3341" max="3341" width="0" style="278" hidden="1" customWidth="1"/>
    <col min="3342" max="3584" width="9" style="278"/>
    <col min="3585" max="3585" width="9.6640625" style="278" customWidth="1"/>
    <col min="3586" max="3587" width="9" style="278"/>
    <col min="3588" max="3588" width="10.44140625" style="278" customWidth="1"/>
    <col min="3589" max="3590" width="9.77734375" style="278" customWidth="1"/>
    <col min="3591" max="3596" width="9" style="278"/>
    <col min="3597" max="3597" width="0" style="278" hidden="1" customWidth="1"/>
    <col min="3598" max="3840" width="9" style="278"/>
    <col min="3841" max="3841" width="9.6640625" style="278" customWidth="1"/>
    <col min="3842" max="3843" width="9" style="278"/>
    <col min="3844" max="3844" width="10.44140625" style="278" customWidth="1"/>
    <col min="3845" max="3846" width="9.77734375" style="278" customWidth="1"/>
    <col min="3847" max="3852" width="9" style="278"/>
    <col min="3853" max="3853" width="0" style="278" hidden="1" customWidth="1"/>
    <col min="3854" max="4096" width="9" style="278"/>
    <col min="4097" max="4097" width="9.6640625" style="278" customWidth="1"/>
    <col min="4098" max="4099" width="9" style="278"/>
    <col min="4100" max="4100" width="10.44140625" style="278" customWidth="1"/>
    <col min="4101" max="4102" width="9.77734375" style="278" customWidth="1"/>
    <col min="4103" max="4108" width="9" style="278"/>
    <col min="4109" max="4109" width="0" style="278" hidden="1" customWidth="1"/>
    <col min="4110" max="4352" width="9" style="278"/>
    <col min="4353" max="4353" width="9.6640625" style="278" customWidth="1"/>
    <col min="4354" max="4355" width="9" style="278"/>
    <col min="4356" max="4356" width="10.44140625" style="278" customWidth="1"/>
    <col min="4357" max="4358" width="9.77734375" style="278" customWidth="1"/>
    <col min="4359" max="4364" width="9" style="278"/>
    <col min="4365" max="4365" width="0" style="278" hidden="1" customWidth="1"/>
    <col min="4366" max="4608" width="9" style="278"/>
    <col min="4609" max="4609" width="9.6640625" style="278" customWidth="1"/>
    <col min="4610" max="4611" width="9" style="278"/>
    <col min="4612" max="4612" width="10.44140625" style="278" customWidth="1"/>
    <col min="4613" max="4614" width="9.77734375" style="278" customWidth="1"/>
    <col min="4615" max="4620" width="9" style="278"/>
    <col min="4621" max="4621" width="0" style="278" hidden="1" customWidth="1"/>
    <col min="4622" max="4864" width="9" style="278"/>
    <col min="4865" max="4865" width="9.6640625" style="278" customWidth="1"/>
    <col min="4866" max="4867" width="9" style="278"/>
    <col min="4868" max="4868" width="10.44140625" style="278" customWidth="1"/>
    <col min="4869" max="4870" width="9.77734375" style="278" customWidth="1"/>
    <col min="4871" max="4876" width="9" style="278"/>
    <col min="4877" max="4877" width="0" style="278" hidden="1" customWidth="1"/>
    <col min="4878" max="5120" width="9" style="278"/>
    <col min="5121" max="5121" width="9.6640625" style="278" customWidth="1"/>
    <col min="5122" max="5123" width="9" style="278"/>
    <col min="5124" max="5124" width="10.44140625" style="278" customWidth="1"/>
    <col min="5125" max="5126" width="9.77734375" style="278" customWidth="1"/>
    <col min="5127" max="5132" width="9" style="278"/>
    <col min="5133" max="5133" width="0" style="278" hidden="1" customWidth="1"/>
    <col min="5134" max="5376" width="9" style="278"/>
    <col min="5377" max="5377" width="9.6640625" style="278" customWidth="1"/>
    <col min="5378" max="5379" width="9" style="278"/>
    <col min="5380" max="5380" width="10.44140625" style="278" customWidth="1"/>
    <col min="5381" max="5382" width="9.77734375" style="278" customWidth="1"/>
    <col min="5383" max="5388" width="9" style="278"/>
    <col min="5389" max="5389" width="0" style="278" hidden="1" customWidth="1"/>
    <col min="5390" max="5632" width="9" style="278"/>
    <col min="5633" max="5633" width="9.6640625" style="278" customWidth="1"/>
    <col min="5634" max="5635" width="9" style="278"/>
    <col min="5636" max="5636" width="10.44140625" style="278" customWidth="1"/>
    <col min="5637" max="5638" width="9.77734375" style="278" customWidth="1"/>
    <col min="5639" max="5644" width="9" style="278"/>
    <col min="5645" max="5645" width="0" style="278" hidden="1" customWidth="1"/>
    <col min="5646" max="5888" width="9" style="278"/>
    <col min="5889" max="5889" width="9.6640625" style="278" customWidth="1"/>
    <col min="5890" max="5891" width="9" style="278"/>
    <col min="5892" max="5892" width="10.44140625" style="278" customWidth="1"/>
    <col min="5893" max="5894" width="9.77734375" style="278" customWidth="1"/>
    <col min="5895" max="5900" width="9" style="278"/>
    <col min="5901" max="5901" width="0" style="278" hidden="1" customWidth="1"/>
    <col min="5902" max="6144" width="9" style="278"/>
    <col min="6145" max="6145" width="9.6640625" style="278" customWidth="1"/>
    <col min="6146" max="6147" width="9" style="278"/>
    <col min="6148" max="6148" width="10.44140625" style="278" customWidth="1"/>
    <col min="6149" max="6150" width="9.77734375" style="278" customWidth="1"/>
    <col min="6151" max="6156" width="9" style="278"/>
    <col min="6157" max="6157" width="0" style="278" hidden="1" customWidth="1"/>
    <col min="6158" max="6400" width="9" style="278"/>
    <col min="6401" max="6401" width="9.6640625" style="278" customWidth="1"/>
    <col min="6402" max="6403" width="9" style="278"/>
    <col min="6404" max="6404" width="10.44140625" style="278" customWidth="1"/>
    <col min="6405" max="6406" width="9.77734375" style="278" customWidth="1"/>
    <col min="6407" max="6412" width="9" style="278"/>
    <col min="6413" max="6413" width="0" style="278" hidden="1" customWidth="1"/>
    <col min="6414" max="6656" width="9" style="278"/>
    <col min="6657" max="6657" width="9.6640625" style="278" customWidth="1"/>
    <col min="6658" max="6659" width="9" style="278"/>
    <col min="6660" max="6660" width="10.44140625" style="278" customWidth="1"/>
    <col min="6661" max="6662" width="9.77734375" style="278" customWidth="1"/>
    <col min="6663" max="6668" width="9" style="278"/>
    <col min="6669" max="6669" width="0" style="278" hidden="1" customWidth="1"/>
    <col min="6670" max="6912" width="9" style="278"/>
    <col min="6913" max="6913" width="9.6640625" style="278" customWidth="1"/>
    <col min="6914" max="6915" width="9" style="278"/>
    <col min="6916" max="6916" width="10.44140625" style="278" customWidth="1"/>
    <col min="6917" max="6918" width="9.77734375" style="278" customWidth="1"/>
    <col min="6919" max="6924" width="9" style="278"/>
    <col min="6925" max="6925" width="0" style="278" hidden="1" customWidth="1"/>
    <col min="6926" max="7168" width="9" style="278"/>
    <col min="7169" max="7169" width="9.6640625" style="278" customWidth="1"/>
    <col min="7170" max="7171" width="9" style="278"/>
    <col min="7172" max="7172" width="10.44140625" style="278" customWidth="1"/>
    <col min="7173" max="7174" width="9.77734375" style="278" customWidth="1"/>
    <col min="7175" max="7180" width="9" style="278"/>
    <col min="7181" max="7181" width="0" style="278" hidden="1" customWidth="1"/>
    <col min="7182" max="7424" width="9" style="278"/>
    <col min="7425" max="7425" width="9.6640625" style="278" customWidth="1"/>
    <col min="7426" max="7427" width="9" style="278"/>
    <col min="7428" max="7428" width="10.44140625" style="278" customWidth="1"/>
    <col min="7429" max="7430" width="9.77734375" style="278" customWidth="1"/>
    <col min="7431" max="7436" width="9" style="278"/>
    <col min="7437" max="7437" width="0" style="278" hidden="1" customWidth="1"/>
    <col min="7438" max="7680" width="9" style="278"/>
    <col min="7681" max="7681" width="9.6640625" style="278" customWidth="1"/>
    <col min="7682" max="7683" width="9" style="278"/>
    <col min="7684" max="7684" width="10.44140625" style="278" customWidth="1"/>
    <col min="7685" max="7686" width="9.77734375" style="278" customWidth="1"/>
    <col min="7687" max="7692" width="9" style="278"/>
    <col min="7693" max="7693" width="0" style="278" hidden="1" customWidth="1"/>
    <col min="7694" max="7936" width="9" style="278"/>
    <col min="7937" max="7937" width="9.6640625" style="278" customWidth="1"/>
    <col min="7938" max="7939" width="9" style="278"/>
    <col min="7940" max="7940" width="10.44140625" style="278" customWidth="1"/>
    <col min="7941" max="7942" width="9.77734375" style="278" customWidth="1"/>
    <col min="7943" max="7948" width="9" style="278"/>
    <col min="7949" max="7949" width="0" style="278" hidden="1" customWidth="1"/>
    <col min="7950" max="8192" width="9" style="278"/>
    <col min="8193" max="8193" width="9.6640625" style="278" customWidth="1"/>
    <col min="8194" max="8195" width="9" style="278"/>
    <col min="8196" max="8196" width="10.44140625" style="278" customWidth="1"/>
    <col min="8197" max="8198" width="9.77734375" style="278" customWidth="1"/>
    <col min="8199" max="8204" width="9" style="278"/>
    <col min="8205" max="8205" width="0" style="278" hidden="1" customWidth="1"/>
    <col min="8206" max="8448" width="9" style="278"/>
    <col min="8449" max="8449" width="9.6640625" style="278" customWidth="1"/>
    <col min="8450" max="8451" width="9" style="278"/>
    <col min="8452" max="8452" width="10.44140625" style="278" customWidth="1"/>
    <col min="8453" max="8454" width="9.77734375" style="278" customWidth="1"/>
    <col min="8455" max="8460" width="9" style="278"/>
    <col min="8461" max="8461" width="0" style="278" hidden="1" customWidth="1"/>
    <col min="8462" max="8704" width="9" style="278"/>
    <col min="8705" max="8705" width="9.6640625" style="278" customWidth="1"/>
    <col min="8706" max="8707" width="9" style="278"/>
    <col min="8708" max="8708" width="10.44140625" style="278" customWidth="1"/>
    <col min="8709" max="8710" width="9.77734375" style="278" customWidth="1"/>
    <col min="8711" max="8716" width="9" style="278"/>
    <col min="8717" max="8717" width="0" style="278" hidden="1" customWidth="1"/>
    <col min="8718" max="8960" width="9" style="278"/>
    <col min="8961" max="8961" width="9.6640625" style="278" customWidth="1"/>
    <col min="8962" max="8963" width="9" style="278"/>
    <col min="8964" max="8964" width="10.44140625" style="278" customWidth="1"/>
    <col min="8965" max="8966" width="9.77734375" style="278" customWidth="1"/>
    <col min="8967" max="8972" width="9" style="278"/>
    <col min="8973" max="8973" width="0" style="278" hidden="1" customWidth="1"/>
    <col min="8974" max="9216" width="9" style="278"/>
    <col min="9217" max="9217" width="9.6640625" style="278" customWidth="1"/>
    <col min="9218" max="9219" width="9" style="278"/>
    <col min="9220" max="9220" width="10.44140625" style="278" customWidth="1"/>
    <col min="9221" max="9222" width="9.77734375" style="278" customWidth="1"/>
    <col min="9223" max="9228" width="9" style="278"/>
    <col min="9229" max="9229" width="0" style="278" hidden="1" customWidth="1"/>
    <col min="9230" max="9472" width="9" style="278"/>
    <col min="9473" max="9473" width="9.6640625" style="278" customWidth="1"/>
    <col min="9474" max="9475" width="9" style="278"/>
    <col min="9476" max="9476" width="10.44140625" style="278" customWidth="1"/>
    <col min="9477" max="9478" width="9.77734375" style="278" customWidth="1"/>
    <col min="9479" max="9484" width="9" style="278"/>
    <col min="9485" max="9485" width="0" style="278" hidden="1" customWidth="1"/>
    <col min="9486" max="9728" width="9" style="278"/>
    <col min="9729" max="9729" width="9.6640625" style="278" customWidth="1"/>
    <col min="9730" max="9731" width="9" style="278"/>
    <col min="9732" max="9732" width="10.44140625" style="278" customWidth="1"/>
    <col min="9733" max="9734" width="9.77734375" style="278" customWidth="1"/>
    <col min="9735" max="9740" width="9" style="278"/>
    <col min="9741" max="9741" width="0" style="278" hidden="1" customWidth="1"/>
    <col min="9742" max="9984" width="9" style="278"/>
    <col min="9985" max="9985" width="9.6640625" style="278" customWidth="1"/>
    <col min="9986" max="9987" width="9" style="278"/>
    <col min="9988" max="9988" width="10.44140625" style="278" customWidth="1"/>
    <col min="9989" max="9990" width="9.77734375" style="278" customWidth="1"/>
    <col min="9991" max="9996" width="9" style="278"/>
    <col min="9997" max="9997" width="0" style="278" hidden="1" customWidth="1"/>
    <col min="9998" max="10240" width="9" style="278"/>
    <col min="10241" max="10241" width="9.6640625" style="278" customWidth="1"/>
    <col min="10242" max="10243" width="9" style="278"/>
    <col min="10244" max="10244" width="10.44140625" style="278" customWidth="1"/>
    <col min="10245" max="10246" width="9.77734375" style="278" customWidth="1"/>
    <col min="10247" max="10252" width="9" style="278"/>
    <col min="10253" max="10253" width="0" style="278" hidden="1" customWidth="1"/>
    <col min="10254" max="10496" width="9" style="278"/>
    <col min="10497" max="10497" width="9.6640625" style="278" customWidth="1"/>
    <col min="10498" max="10499" width="9" style="278"/>
    <col min="10500" max="10500" width="10.44140625" style="278" customWidth="1"/>
    <col min="10501" max="10502" width="9.77734375" style="278" customWidth="1"/>
    <col min="10503" max="10508" width="9" style="278"/>
    <col min="10509" max="10509" width="0" style="278" hidden="1" customWidth="1"/>
    <col min="10510" max="10752" width="9" style="278"/>
    <col min="10753" max="10753" width="9.6640625" style="278" customWidth="1"/>
    <col min="10754" max="10755" width="9" style="278"/>
    <col min="10756" max="10756" width="10.44140625" style="278" customWidth="1"/>
    <col min="10757" max="10758" width="9.77734375" style="278" customWidth="1"/>
    <col min="10759" max="10764" width="9" style="278"/>
    <col min="10765" max="10765" width="0" style="278" hidden="1" customWidth="1"/>
    <col min="10766" max="11008" width="9" style="278"/>
    <col min="11009" max="11009" width="9.6640625" style="278" customWidth="1"/>
    <col min="11010" max="11011" width="9" style="278"/>
    <col min="11012" max="11012" width="10.44140625" style="278" customWidth="1"/>
    <col min="11013" max="11014" width="9.77734375" style="278" customWidth="1"/>
    <col min="11015" max="11020" width="9" style="278"/>
    <col min="11021" max="11021" width="0" style="278" hidden="1" customWidth="1"/>
    <col min="11022" max="11264" width="9" style="278"/>
    <col min="11265" max="11265" width="9.6640625" style="278" customWidth="1"/>
    <col min="11266" max="11267" width="9" style="278"/>
    <col min="11268" max="11268" width="10.44140625" style="278" customWidth="1"/>
    <col min="11269" max="11270" width="9.77734375" style="278" customWidth="1"/>
    <col min="11271" max="11276" width="9" style="278"/>
    <col min="11277" max="11277" width="0" style="278" hidden="1" customWidth="1"/>
    <col min="11278" max="11520" width="9" style="278"/>
    <col min="11521" max="11521" width="9.6640625" style="278" customWidth="1"/>
    <col min="11522" max="11523" width="9" style="278"/>
    <col min="11524" max="11524" width="10.44140625" style="278" customWidth="1"/>
    <col min="11525" max="11526" width="9.77734375" style="278" customWidth="1"/>
    <col min="11527" max="11532" width="9" style="278"/>
    <col min="11533" max="11533" width="0" style="278" hidden="1" customWidth="1"/>
    <col min="11534" max="11776" width="9" style="278"/>
    <col min="11777" max="11777" width="9.6640625" style="278" customWidth="1"/>
    <col min="11778" max="11779" width="9" style="278"/>
    <col min="11780" max="11780" width="10.44140625" style="278" customWidth="1"/>
    <col min="11781" max="11782" width="9.77734375" style="278" customWidth="1"/>
    <col min="11783" max="11788" width="9" style="278"/>
    <col min="11789" max="11789" width="0" style="278" hidden="1" customWidth="1"/>
    <col min="11790" max="12032" width="9" style="278"/>
    <col min="12033" max="12033" width="9.6640625" style="278" customWidth="1"/>
    <col min="12034" max="12035" width="9" style="278"/>
    <col min="12036" max="12036" width="10.44140625" style="278" customWidth="1"/>
    <col min="12037" max="12038" width="9.77734375" style="278" customWidth="1"/>
    <col min="12039" max="12044" width="9" style="278"/>
    <col min="12045" max="12045" width="0" style="278" hidden="1" customWidth="1"/>
    <col min="12046" max="12288" width="9" style="278"/>
    <col min="12289" max="12289" width="9.6640625" style="278" customWidth="1"/>
    <col min="12290" max="12291" width="9" style="278"/>
    <col min="12292" max="12292" width="10.44140625" style="278" customWidth="1"/>
    <col min="12293" max="12294" width="9.77734375" style="278" customWidth="1"/>
    <col min="12295" max="12300" width="9" style="278"/>
    <col min="12301" max="12301" width="0" style="278" hidden="1" customWidth="1"/>
    <col min="12302" max="12544" width="9" style="278"/>
    <col min="12545" max="12545" width="9.6640625" style="278" customWidth="1"/>
    <col min="12546" max="12547" width="9" style="278"/>
    <col min="12548" max="12548" width="10.44140625" style="278" customWidth="1"/>
    <col min="12549" max="12550" width="9.77734375" style="278" customWidth="1"/>
    <col min="12551" max="12556" width="9" style="278"/>
    <col min="12557" max="12557" width="0" style="278" hidden="1" customWidth="1"/>
    <col min="12558" max="12800" width="9" style="278"/>
    <col min="12801" max="12801" width="9.6640625" style="278" customWidth="1"/>
    <col min="12802" max="12803" width="9" style="278"/>
    <col min="12804" max="12804" width="10.44140625" style="278" customWidth="1"/>
    <col min="12805" max="12806" width="9.77734375" style="278" customWidth="1"/>
    <col min="12807" max="12812" width="9" style="278"/>
    <col min="12813" max="12813" width="0" style="278" hidden="1" customWidth="1"/>
    <col min="12814" max="13056" width="9" style="278"/>
    <col min="13057" max="13057" width="9.6640625" style="278" customWidth="1"/>
    <col min="13058" max="13059" width="9" style="278"/>
    <col min="13060" max="13060" width="10.44140625" style="278" customWidth="1"/>
    <col min="13061" max="13062" width="9.77734375" style="278" customWidth="1"/>
    <col min="13063" max="13068" width="9" style="278"/>
    <col min="13069" max="13069" width="0" style="278" hidden="1" customWidth="1"/>
    <col min="13070" max="13312" width="9" style="278"/>
    <col min="13313" max="13313" width="9.6640625" style="278" customWidth="1"/>
    <col min="13314" max="13315" width="9" style="278"/>
    <col min="13316" max="13316" width="10.44140625" style="278" customWidth="1"/>
    <col min="13317" max="13318" width="9.77734375" style="278" customWidth="1"/>
    <col min="13319" max="13324" width="9" style="278"/>
    <col min="13325" max="13325" width="0" style="278" hidden="1" customWidth="1"/>
    <col min="13326" max="13568" width="9" style="278"/>
    <col min="13569" max="13569" width="9.6640625" style="278" customWidth="1"/>
    <col min="13570" max="13571" width="9" style="278"/>
    <col min="13572" max="13572" width="10.44140625" style="278" customWidth="1"/>
    <col min="13573" max="13574" width="9.77734375" style="278" customWidth="1"/>
    <col min="13575" max="13580" width="9" style="278"/>
    <col min="13581" max="13581" width="0" style="278" hidden="1" customWidth="1"/>
    <col min="13582" max="13824" width="9" style="278"/>
    <col min="13825" max="13825" width="9.6640625" style="278" customWidth="1"/>
    <col min="13826" max="13827" width="9" style="278"/>
    <col min="13828" max="13828" width="10.44140625" style="278" customWidth="1"/>
    <col min="13829" max="13830" width="9.77734375" style="278" customWidth="1"/>
    <col min="13831" max="13836" width="9" style="278"/>
    <col min="13837" max="13837" width="0" style="278" hidden="1" customWidth="1"/>
    <col min="13838" max="14080" width="9" style="278"/>
    <col min="14081" max="14081" width="9.6640625" style="278" customWidth="1"/>
    <col min="14082" max="14083" width="9" style="278"/>
    <col min="14084" max="14084" width="10.44140625" style="278" customWidth="1"/>
    <col min="14085" max="14086" width="9.77734375" style="278" customWidth="1"/>
    <col min="14087" max="14092" width="9" style="278"/>
    <col min="14093" max="14093" width="0" style="278" hidden="1" customWidth="1"/>
    <col min="14094" max="14336" width="9" style="278"/>
    <col min="14337" max="14337" width="9.6640625" style="278" customWidth="1"/>
    <col min="14338" max="14339" width="9" style="278"/>
    <col min="14340" max="14340" width="10.44140625" style="278" customWidth="1"/>
    <col min="14341" max="14342" width="9.77734375" style="278" customWidth="1"/>
    <col min="14343" max="14348" width="9" style="278"/>
    <col min="14349" max="14349" width="0" style="278" hidden="1" customWidth="1"/>
    <col min="14350" max="14592" width="9" style="278"/>
    <col min="14593" max="14593" width="9.6640625" style="278" customWidth="1"/>
    <col min="14594" max="14595" width="9" style="278"/>
    <col min="14596" max="14596" width="10.44140625" style="278" customWidth="1"/>
    <col min="14597" max="14598" width="9.77734375" style="278" customWidth="1"/>
    <col min="14599" max="14604" width="9" style="278"/>
    <col min="14605" max="14605" width="0" style="278" hidden="1" customWidth="1"/>
    <col min="14606" max="14848" width="9" style="278"/>
    <col min="14849" max="14849" width="9.6640625" style="278" customWidth="1"/>
    <col min="14850" max="14851" width="9" style="278"/>
    <col min="14852" max="14852" width="10.44140625" style="278" customWidth="1"/>
    <col min="14853" max="14854" width="9.77734375" style="278" customWidth="1"/>
    <col min="14855" max="14860" width="9" style="278"/>
    <col min="14861" max="14861" width="0" style="278" hidden="1" customWidth="1"/>
    <col min="14862" max="15104" width="9" style="278"/>
    <col min="15105" max="15105" width="9.6640625" style="278" customWidth="1"/>
    <col min="15106" max="15107" width="9" style="278"/>
    <col min="15108" max="15108" width="10.44140625" style="278" customWidth="1"/>
    <col min="15109" max="15110" width="9.77734375" style="278" customWidth="1"/>
    <col min="15111" max="15116" width="9" style="278"/>
    <col min="15117" max="15117" width="0" style="278" hidden="1" customWidth="1"/>
    <col min="15118" max="15360" width="9" style="278"/>
    <col min="15361" max="15361" width="9.6640625" style="278" customWidth="1"/>
    <col min="15362" max="15363" width="9" style="278"/>
    <col min="15364" max="15364" width="10.44140625" style="278" customWidth="1"/>
    <col min="15365" max="15366" width="9.77734375" style="278" customWidth="1"/>
    <col min="15367" max="15372" width="9" style="278"/>
    <col min="15373" max="15373" width="0" style="278" hidden="1" customWidth="1"/>
    <col min="15374" max="15616" width="9" style="278"/>
    <col min="15617" max="15617" width="9.6640625" style="278" customWidth="1"/>
    <col min="15618" max="15619" width="9" style="278"/>
    <col min="15620" max="15620" width="10.44140625" style="278" customWidth="1"/>
    <col min="15621" max="15622" width="9.77734375" style="278" customWidth="1"/>
    <col min="15623" max="15628" width="9" style="278"/>
    <col min="15629" max="15629" width="0" style="278" hidden="1" customWidth="1"/>
    <col min="15630" max="15872" width="9" style="278"/>
    <col min="15873" max="15873" width="9.6640625" style="278" customWidth="1"/>
    <col min="15874" max="15875" width="9" style="278"/>
    <col min="15876" max="15876" width="10.44140625" style="278" customWidth="1"/>
    <col min="15877" max="15878" width="9.77734375" style="278" customWidth="1"/>
    <col min="15879" max="15884" width="9" style="278"/>
    <col min="15885" max="15885" width="0" style="278" hidden="1" customWidth="1"/>
    <col min="15886" max="16128" width="9" style="278"/>
    <col min="16129" max="16129" width="9.6640625" style="278" customWidth="1"/>
    <col min="16130" max="16131" width="9" style="278"/>
    <col min="16132" max="16132" width="10.44140625" style="278" customWidth="1"/>
    <col min="16133" max="16134" width="9.77734375" style="278" customWidth="1"/>
    <col min="16135" max="16140" width="9" style="278"/>
    <col min="16141" max="16141" width="0" style="278" hidden="1" customWidth="1"/>
    <col min="16142" max="16384" width="9" style="278"/>
  </cols>
  <sheetData>
    <row r="1" spans="1:13" s="271" customFormat="1" ht="60.75" thickBot="1">
      <c r="A1" s="265" t="s">
        <v>257</v>
      </c>
      <c r="B1" s="266" t="s">
        <v>258</v>
      </c>
      <c r="C1" s="266" t="s">
        <v>259</v>
      </c>
      <c r="D1" s="267" t="s">
        <v>260</v>
      </c>
      <c r="E1" s="268" t="s">
        <v>261</v>
      </c>
      <c r="F1" s="269" t="s">
        <v>262</v>
      </c>
      <c r="G1" s="268" t="s">
        <v>269</v>
      </c>
      <c r="H1" s="269" t="s">
        <v>270</v>
      </c>
      <c r="I1" s="269" t="s">
        <v>263</v>
      </c>
      <c r="J1" s="269" t="s">
        <v>264</v>
      </c>
      <c r="K1" s="268" t="s">
        <v>265</v>
      </c>
      <c r="L1" s="268" t="s">
        <v>266</v>
      </c>
      <c r="M1" s="270" t="s">
        <v>267</v>
      </c>
    </row>
    <row r="2" spans="1:13">
      <c r="A2" s="272" t="s">
        <v>268</v>
      </c>
      <c r="B2" s="273">
        <v>1</v>
      </c>
      <c r="C2" s="273">
        <v>12</v>
      </c>
      <c r="D2" s="274">
        <v>2022</v>
      </c>
      <c r="E2" s="275">
        <f>(IF('Daily HLP'!H4&gt;0,'Daily HLP'!H4,0))</f>
        <v>22590.799999999988</v>
      </c>
      <c r="F2" s="757">
        <v>10</v>
      </c>
      <c r="G2" s="276">
        <f>(IF('Daily HLP'!L4&gt;0,'Daily HLP'!L4,0))</f>
        <v>982.39999999990687</v>
      </c>
      <c r="H2" s="276">
        <v>66</v>
      </c>
      <c r="I2" s="276">
        <f>(IF('Daily HLP'!O4&gt;0,'Daily HLP'!O4,0))</f>
        <v>303</v>
      </c>
      <c r="J2" s="276">
        <v>100</v>
      </c>
      <c r="K2" s="281">
        <f>Occupancy!G2</f>
        <v>161</v>
      </c>
      <c r="L2" s="275">
        <f>Occupancy!F2</f>
        <v>451</v>
      </c>
      <c r="M2" s="277" t="e">
        <f>E2*F2+G2*H2+#REF!*#REF!+I2*J2</f>
        <v>#REF!</v>
      </c>
    </row>
    <row r="3" spans="1:13">
      <c r="A3" s="272" t="s">
        <v>268</v>
      </c>
      <c r="B3" s="273">
        <f>B2+1</f>
        <v>2</v>
      </c>
      <c r="C3" s="273">
        <v>12</v>
      </c>
      <c r="D3" s="274">
        <v>2022</v>
      </c>
      <c r="E3" s="275">
        <f>(IF('Daily HLP'!H5&gt;0,'Daily HLP'!H5,0))</f>
        <v>22181.549999999988</v>
      </c>
      <c r="F3" s="757">
        <v>10</v>
      </c>
      <c r="G3" s="276">
        <f>(IF('Daily HLP'!L5&gt;0,'Daily HLP'!L5,0))</f>
        <v>1119.9500000001863</v>
      </c>
      <c r="H3" s="276">
        <v>66</v>
      </c>
      <c r="I3" s="276">
        <f>(IF('Daily HLP'!O5&gt;0,'Daily HLP'!O5,0))</f>
        <v>313</v>
      </c>
      <c r="J3" s="276">
        <v>100</v>
      </c>
      <c r="K3" s="281">
        <f>Occupancy!G3</f>
        <v>152</v>
      </c>
      <c r="L3" s="275">
        <f>Occupancy!F3</f>
        <v>351</v>
      </c>
      <c r="M3" s="277" t="e">
        <f>E3*F3+G3*H3+#REF!*#REF!+I3*J3</f>
        <v>#REF!</v>
      </c>
    </row>
    <row r="4" spans="1:13">
      <c r="A4" s="272" t="s">
        <v>268</v>
      </c>
      <c r="B4" s="273">
        <f t="shared" ref="B4:B32" si="0">B3+1</f>
        <v>3</v>
      </c>
      <c r="C4" s="273">
        <v>12</v>
      </c>
      <c r="D4" s="274">
        <v>2022</v>
      </c>
      <c r="E4" s="275">
        <f>(IF('Daily HLP'!H6&gt;0,'Daily HLP'!H6,0))</f>
        <v>22630.650000000023</v>
      </c>
      <c r="F4" s="757">
        <v>10</v>
      </c>
      <c r="G4" s="276">
        <f>(IF('Daily HLP'!L6&gt;0,'Daily HLP'!L6,0))</f>
        <v>1133.6499999999069</v>
      </c>
      <c r="H4" s="276">
        <v>66</v>
      </c>
      <c r="I4" s="276">
        <f>(IF('Daily HLP'!O6&gt;0,'Daily HLP'!O6,0))</f>
        <v>326</v>
      </c>
      <c r="J4" s="276">
        <v>100</v>
      </c>
      <c r="K4" s="281">
        <f>Occupancy!G4</f>
        <v>176</v>
      </c>
      <c r="L4" s="275">
        <f>Occupancy!F4</f>
        <v>369</v>
      </c>
      <c r="M4" s="277" t="e">
        <f>E4*F4+G4*H4+#REF!*#REF!+I4*J4</f>
        <v>#REF!</v>
      </c>
    </row>
    <row r="5" spans="1:13">
      <c r="A5" s="272" t="s">
        <v>268</v>
      </c>
      <c r="B5" s="273">
        <f t="shared" si="0"/>
        <v>4</v>
      </c>
      <c r="C5" s="273">
        <v>12</v>
      </c>
      <c r="D5" s="274">
        <v>2022</v>
      </c>
      <c r="E5" s="275">
        <f>(IF('Daily HLP'!H7&gt;0,'Daily HLP'!H7,0))</f>
        <v>23512</v>
      </c>
      <c r="F5" s="757">
        <v>10</v>
      </c>
      <c r="G5" s="276">
        <f>(IF('Daily HLP'!L7&gt;0,'Daily HLP'!L7,0))</f>
        <v>1075.7000000001863</v>
      </c>
      <c r="H5" s="276">
        <v>66</v>
      </c>
      <c r="I5" s="276">
        <f>(IF('Daily HLP'!O7&gt;0,'Daily HLP'!O7,0))</f>
        <v>269</v>
      </c>
      <c r="J5" s="276">
        <v>100</v>
      </c>
      <c r="K5" s="281">
        <f>Occupancy!G5</f>
        <v>179</v>
      </c>
      <c r="L5" s="275">
        <f>Occupancy!F5</f>
        <v>455</v>
      </c>
      <c r="M5" s="277" t="e">
        <f>E5*F5+G5*H5+#REF!*#REF!+I5*J5</f>
        <v>#REF!</v>
      </c>
    </row>
    <row r="6" spans="1:13">
      <c r="A6" s="272" t="s">
        <v>268</v>
      </c>
      <c r="B6" s="273">
        <f t="shared" si="0"/>
        <v>5</v>
      </c>
      <c r="C6" s="273">
        <v>12</v>
      </c>
      <c r="D6" s="274">
        <v>2022</v>
      </c>
      <c r="E6" s="275">
        <f>(IF('Daily HLP'!H8&gt;0,'Daily HLP'!H8,0))</f>
        <v>23970</v>
      </c>
      <c r="F6" s="757">
        <v>10</v>
      </c>
      <c r="G6" s="276">
        <f>(IF('Daily HLP'!L8&gt;0,'Daily HLP'!L8,0))</f>
        <v>1103.2999999998137</v>
      </c>
      <c r="H6" s="276">
        <v>66</v>
      </c>
      <c r="I6" s="276">
        <f>(IF('Daily HLP'!O8&gt;0,'Daily HLP'!O8,0))</f>
        <v>311</v>
      </c>
      <c r="J6" s="276">
        <v>100</v>
      </c>
      <c r="K6" s="281">
        <f>Occupancy!G6</f>
        <v>174</v>
      </c>
      <c r="L6" s="275">
        <f>Occupancy!F6</f>
        <v>482</v>
      </c>
      <c r="M6" s="277" t="e">
        <f>E6*F6+G6*H6+#REF!*#REF!+I6*J6</f>
        <v>#REF!</v>
      </c>
    </row>
    <row r="7" spans="1:13">
      <c r="A7" s="272" t="s">
        <v>268</v>
      </c>
      <c r="B7" s="273">
        <f t="shared" si="0"/>
        <v>6</v>
      </c>
      <c r="C7" s="273">
        <v>12</v>
      </c>
      <c r="D7" s="274">
        <v>2022</v>
      </c>
      <c r="E7" s="275">
        <f>(IF('Daily HLP'!H9&gt;0,'Daily HLP'!H9,0))</f>
        <v>22796</v>
      </c>
      <c r="F7" s="757">
        <v>10</v>
      </c>
      <c r="G7" s="276">
        <f>(IF('Daily HLP'!L9&gt;0,'Daily HLP'!L9,0))</f>
        <v>1119.3999999999069</v>
      </c>
      <c r="H7" s="276">
        <v>66</v>
      </c>
      <c r="I7" s="276">
        <f>(IF('Daily HLP'!O9&gt;0,'Daily HLP'!O9,0))</f>
        <v>363</v>
      </c>
      <c r="J7" s="276">
        <v>100</v>
      </c>
      <c r="K7" s="281">
        <f>Occupancy!G7</f>
        <v>167</v>
      </c>
      <c r="L7" s="275">
        <f>Occupancy!F7</f>
        <v>551</v>
      </c>
      <c r="M7" s="277" t="e">
        <f>E7*F7+G7*H7+#REF!*#REF!+I7*J7</f>
        <v>#REF!</v>
      </c>
    </row>
    <row r="8" spans="1:13">
      <c r="A8" s="272" t="s">
        <v>268</v>
      </c>
      <c r="B8" s="273">
        <f t="shared" si="0"/>
        <v>7</v>
      </c>
      <c r="C8" s="273">
        <v>12</v>
      </c>
      <c r="D8" s="274">
        <v>2022</v>
      </c>
      <c r="E8" s="275">
        <f>(IF('Daily HLP'!H10&gt;0,'Daily HLP'!H10,0))</f>
        <v>22420</v>
      </c>
      <c r="F8" s="757">
        <v>10</v>
      </c>
      <c r="G8" s="276">
        <f>(IF('Daily HLP'!L10&gt;0,'Daily HLP'!L10,0))</f>
        <v>1104.6000000000931</v>
      </c>
      <c r="H8" s="276">
        <v>66</v>
      </c>
      <c r="I8" s="276">
        <f>(IF('Daily HLP'!O10&gt;0,'Daily HLP'!O10,0))</f>
        <v>269</v>
      </c>
      <c r="J8" s="276">
        <v>100</v>
      </c>
      <c r="K8" s="281">
        <f>Occupancy!G8</f>
        <v>161</v>
      </c>
      <c r="L8" s="275">
        <f>Occupancy!F8</f>
        <v>658</v>
      </c>
      <c r="M8" s="277" t="e">
        <f>E8*F8+G8*H8+#REF!*#REF!+I8*J8</f>
        <v>#REF!</v>
      </c>
    </row>
    <row r="9" spans="1:13">
      <c r="A9" s="272" t="s">
        <v>268</v>
      </c>
      <c r="B9" s="273">
        <f t="shared" si="0"/>
        <v>8</v>
      </c>
      <c r="C9" s="273">
        <v>12</v>
      </c>
      <c r="D9" s="274">
        <v>2022</v>
      </c>
      <c r="E9" s="275">
        <f>(IF('Daily HLP'!H11&gt;0,'Daily HLP'!H11,0))</f>
        <v>23804.709999999963</v>
      </c>
      <c r="F9" s="757">
        <v>10</v>
      </c>
      <c r="G9" s="276">
        <f>(IF('Daily HLP'!L11&gt;0,'Daily HLP'!L11,0))</f>
        <v>1148.1699999999255</v>
      </c>
      <c r="H9" s="276">
        <v>66</v>
      </c>
      <c r="I9" s="276">
        <f>(IF('Daily HLP'!O11&gt;0,'Daily HLP'!O11,0))</f>
        <v>293</v>
      </c>
      <c r="J9" s="276">
        <v>100</v>
      </c>
      <c r="K9" s="281">
        <f>Occupancy!G9</f>
        <v>145</v>
      </c>
      <c r="L9" s="275">
        <f>Occupancy!F9</f>
        <v>542</v>
      </c>
      <c r="M9" s="277" t="e">
        <f>E9*F9+G9*H9+#REF!*#REF!+I9*J9</f>
        <v>#REF!</v>
      </c>
    </row>
    <row r="10" spans="1:13">
      <c r="A10" s="272" t="s">
        <v>268</v>
      </c>
      <c r="B10" s="273">
        <f t="shared" si="0"/>
        <v>9</v>
      </c>
      <c r="C10" s="273">
        <v>12</v>
      </c>
      <c r="D10" s="274">
        <v>2022</v>
      </c>
      <c r="E10" s="275">
        <f>(IF('Daily HLP'!H12&gt;0,'Daily HLP'!H12,0))</f>
        <v>23775.840000000084</v>
      </c>
      <c r="F10" s="757">
        <v>10</v>
      </c>
      <c r="G10" s="276">
        <f>(IF('Daily HLP'!L12&gt;0,'Daily HLP'!L12,0))</f>
        <v>1100.8300000000745</v>
      </c>
      <c r="H10" s="276">
        <v>66</v>
      </c>
      <c r="I10" s="276">
        <f>(IF('Daily HLP'!O12&gt;0,'Daily HLP'!O12,0))</f>
        <v>336</v>
      </c>
      <c r="J10" s="276">
        <v>100</v>
      </c>
      <c r="K10" s="281">
        <f>Occupancy!G10</f>
        <v>161</v>
      </c>
      <c r="L10" s="275">
        <f>Occupancy!F10</f>
        <v>398</v>
      </c>
      <c r="M10" s="277" t="e">
        <f>E10*F10+G10*H10+#REF!*#REF!+I10*J10</f>
        <v>#REF!</v>
      </c>
    </row>
    <row r="11" spans="1:13">
      <c r="A11" s="272" t="s">
        <v>268</v>
      </c>
      <c r="B11" s="273">
        <f t="shared" si="0"/>
        <v>10</v>
      </c>
      <c r="C11" s="273">
        <v>12</v>
      </c>
      <c r="D11" s="274">
        <v>2022</v>
      </c>
      <c r="E11" s="275">
        <f>(IF('Daily HLP'!H13&gt;0,'Daily HLP'!H13,0))</f>
        <v>22630.79999999993</v>
      </c>
      <c r="F11" s="757">
        <v>10</v>
      </c>
      <c r="G11" s="276">
        <f>(IF('Daily HLP'!L13&gt;0,'Daily HLP'!L13,0))</f>
        <v>1067.4500000001863</v>
      </c>
      <c r="H11" s="276">
        <v>66</v>
      </c>
      <c r="I11" s="276">
        <f>(IF('Daily HLP'!O13&gt;0,'Daily HLP'!O13,0))</f>
        <v>325</v>
      </c>
      <c r="J11" s="276">
        <v>100</v>
      </c>
      <c r="K11" s="281">
        <f>Occupancy!G11</f>
        <v>158</v>
      </c>
      <c r="L11" s="275">
        <f>Occupancy!F11</f>
        <v>474</v>
      </c>
      <c r="M11" s="277" t="e">
        <f>E11*F11+G11*H11+#REF!*#REF!+I11*J11</f>
        <v>#REF!</v>
      </c>
    </row>
    <row r="12" spans="1:13">
      <c r="A12" s="272" t="s">
        <v>268</v>
      </c>
      <c r="B12" s="273">
        <f t="shared" si="0"/>
        <v>11</v>
      </c>
      <c r="C12" s="273">
        <v>12</v>
      </c>
      <c r="D12" s="274">
        <v>2022</v>
      </c>
      <c r="E12" s="275">
        <f>(IF('Daily HLP'!H14&gt;0,'Daily HLP'!H14,0))</f>
        <v>21797.040000000037</v>
      </c>
      <c r="F12" s="757">
        <v>10</v>
      </c>
      <c r="G12" s="276">
        <f>(IF('Daily HLP'!L14&gt;0,'Daily HLP'!L14,0))</f>
        <v>1121.5499999998137</v>
      </c>
      <c r="H12" s="276">
        <v>66</v>
      </c>
      <c r="I12" s="276">
        <f>(IF('Daily HLP'!O14&gt;0,'Daily HLP'!O14,0))</f>
        <v>296</v>
      </c>
      <c r="J12" s="276">
        <v>100</v>
      </c>
      <c r="K12" s="281">
        <f>Occupancy!G12</f>
        <v>164</v>
      </c>
      <c r="L12" s="275">
        <f>Occupancy!F12</f>
        <v>0</v>
      </c>
      <c r="M12" s="277" t="e">
        <f>E12*F12+G12*H12+#REF!*#REF!+I12*J12</f>
        <v>#REF!</v>
      </c>
    </row>
    <row r="13" spans="1:13">
      <c r="A13" s="272" t="s">
        <v>268</v>
      </c>
      <c r="B13" s="273">
        <f t="shared" si="0"/>
        <v>12</v>
      </c>
      <c r="C13" s="273">
        <v>12</v>
      </c>
      <c r="D13" s="274">
        <v>2022</v>
      </c>
      <c r="E13" s="275">
        <f>(IF('Daily HLP'!H15&gt;0,'Daily HLP'!H15,0))</f>
        <v>22425.609999999986</v>
      </c>
      <c r="F13" s="757">
        <v>10</v>
      </c>
      <c r="G13" s="276">
        <f>(IF('Daily HLP'!L15&gt;0,'Daily HLP'!L15,0))</f>
        <v>1100</v>
      </c>
      <c r="H13" s="276">
        <v>66</v>
      </c>
      <c r="I13" s="276">
        <f>(IF('Daily HLP'!O15&gt;0,'Daily HLP'!O15,0))</f>
        <v>411</v>
      </c>
      <c r="J13" s="276">
        <v>100</v>
      </c>
      <c r="K13" s="281">
        <f>Occupancy!G13</f>
        <v>164</v>
      </c>
      <c r="L13" s="275">
        <f>Occupancy!F13</f>
        <v>0</v>
      </c>
      <c r="M13" s="277" t="e">
        <f>E13*F13+G13*H13+#REF!*#REF!+I13*J13</f>
        <v>#REF!</v>
      </c>
    </row>
    <row r="14" spans="1:13">
      <c r="A14" s="272" t="s">
        <v>268</v>
      </c>
      <c r="B14" s="273">
        <f t="shared" si="0"/>
        <v>13</v>
      </c>
      <c r="C14" s="273">
        <v>12</v>
      </c>
      <c r="D14" s="274">
        <v>2022</v>
      </c>
      <c r="E14" s="275">
        <f>(IF('Daily HLP'!H16&gt;0,'Daily HLP'!H16,0))</f>
        <v>23047</v>
      </c>
      <c r="F14" s="757">
        <v>10</v>
      </c>
      <c r="G14" s="276">
        <f>(IF('Daily HLP'!L16&gt;0,'Daily HLP'!L16,0))</f>
        <v>1014</v>
      </c>
      <c r="H14" s="276">
        <v>66</v>
      </c>
      <c r="I14" s="276">
        <f>(IF('Daily HLP'!O16&gt;0,'Daily HLP'!O16,0))</f>
        <v>378</v>
      </c>
      <c r="J14" s="276">
        <v>100</v>
      </c>
      <c r="K14" s="281">
        <f>Occupancy!G14</f>
        <v>167</v>
      </c>
      <c r="L14" s="275">
        <f>Occupancy!F14</f>
        <v>0</v>
      </c>
      <c r="M14" s="277" t="e">
        <f>E14*F14+G14*H14+#REF!*#REF!+I14*J14</f>
        <v>#REF!</v>
      </c>
    </row>
    <row r="15" spans="1:13">
      <c r="A15" s="272" t="s">
        <v>268</v>
      </c>
      <c r="B15" s="273">
        <f t="shared" si="0"/>
        <v>14</v>
      </c>
      <c r="C15" s="273">
        <v>12</v>
      </c>
      <c r="D15" s="274">
        <v>2022</v>
      </c>
      <c r="E15" s="275">
        <f>(IF('Daily HLP'!H17&gt;0,'Daily HLP'!H17,0))</f>
        <v>26337</v>
      </c>
      <c r="F15" s="757">
        <v>10</v>
      </c>
      <c r="G15" s="276">
        <f>(IF('Daily HLP'!L17&gt;0,'Daily HLP'!L17,0))</f>
        <v>1060</v>
      </c>
      <c r="H15" s="276">
        <v>66</v>
      </c>
      <c r="I15" s="276">
        <f>(IF('Daily HLP'!O17&gt;0,'Daily HLP'!O17,0))</f>
        <v>377</v>
      </c>
      <c r="J15" s="276">
        <v>100</v>
      </c>
      <c r="K15" s="281">
        <f>Occupancy!G15</f>
        <v>169</v>
      </c>
      <c r="L15" s="275">
        <f>Occupancy!F15</f>
        <v>0</v>
      </c>
      <c r="M15" s="277" t="e">
        <f>E15*F15+G15*H15+#REF!*#REF!+I15*J15</f>
        <v>#REF!</v>
      </c>
    </row>
    <row r="16" spans="1:13">
      <c r="A16" s="272" t="s">
        <v>268</v>
      </c>
      <c r="B16" s="273">
        <f t="shared" si="0"/>
        <v>15</v>
      </c>
      <c r="C16" s="273">
        <v>12</v>
      </c>
      <c r="D16" s="274">
        <v>2022</v>
      </c>
      <c r="E16" s="275">
        <f>(IF('Daily HLP'!H18&gt;0,'Daily HLP'!H18,0))</f>
        <v>24648</v>
      </c>
      <c r="F16" s="757">
        <v>10</v>
      </c>
      <c r="G16" s="276">
        <f>(IF('Daily HLP'!L18&gt;0,'Daily HLP'!L18,0))</f>
        <v>1060</v>
      </c>
      <c r="H16" s="276">
        <v>66</v>
      </c>
      <c r="I16" s="276">
        <f>(IF('Daily HLP'!O18&gt;0,'Daily HLP'!O18,0))</f>
        <v>382</v>
      </c>
      <c r="J16" s="276">
        <v>100</v>
      </c>
      <c r="K16" s="281">
        <f>Occupancy!G16</f>
        <v>122</v>
      </c>
      <c r="L16" s="275">
        <f>Occupancy!F16</f>
        <v>0</v>
      </c>
      <c r="M16" s="277" t="e">
        <f>E16*F16+G16*H16+#REF!*#REF!+I16*J16</f>
        <v>#REF!</v>
      </c>
    </row>
    <row r="17" spans="1:13">
      <c r="A17" s="272" t="s">
        <v>268</v>
      </c>
      <c r="B17" s="273">
        <f t="shared" si="0"/>
        <v>16</v>
      </c>
      <c r="C17" s="273">
        <v>12</v>
      </c>
      <c r="D17" s="274">
        <v>2022</v>
      </c>
      <c r="E17" s="275">
        <f>(IF('Daily HLP'!H19&gt;0,'Daily HLP'!H19,0))</f>
        <v>23854</v>
      </c>
      <c r="F17" s="757">
        <v>10</v>
      </c>
      <c r="G17" s="276">
        <f>(IF('Daily HLP'!L19&gt;0,'Daily HLP'!L19,0))</f>
        <v>1026</v>
      </c>
      <c r="H17" s="276">
        <v>66</v>
      </c>
      <c r="I17" s="276">
        <f>(IF('Daily HLP'!O19&gt;0,'Daily HLP'!O19,0))</f>
        <v>322</v>
      </c>
      <c r="J17" s="276">
        <v>100</v>
      </c>
      <c r="K17" s="281">
        <f>Occupancy!G17</f>
        <v>158</v>
      </c>
      <c r="L17" s="275">
        <f>Occupancy!F17</f>
        <v>0</v>
      </c>
      <c r="M17" s="277" t="e">
        <f>E17*F17+G17*H17+#REF!*#REF!+I17*J17</f>
        <v>#REF!</v>
      </c>
    </row>
    <row r="18" spans="1:13">
      <c r="A18" s="272" t="s">
        <v>268</v>
      </c>
      <c r="B18" s="273">
        <f t="shared" si="0"/>
        <v>17</v>
      </c>
      <c r="C18" s="273">
        <v>12</v>
      </c>
      <c r="D18" s="274">
        <v>2022</v>
      </c>
      <c r="E18" s="275">
        <f>(IF('Daily HLP'!H20&gt;0,'Daily HLP'!H20,0))</f>
        <v>25992</v>
      </c>
      <c r="F18" s="757">
        <v>10</v>
      </c>
      <c r="G18" s="276">
        <f>(IF('Daily HLP'!L20&gt;0,'Daily HLP'!L20,0))</f>
        <v>1093</v>
      </c>
      <c r="H18" s="276">
        <v>66</v>
      </c>
      <c r="I18" s="276">
        <f>(IF('Daily HLP'!O20&gt;0,'Daily HLP'!O20,0))</f>
        <v>353</v>
      </c>
      <c r="J18" s="276">
        <v>100</v>
      </c>
      <c r="K18" s="281">
        <f>Occupancy!G18</f>
        <v>158</v>
      </c>
      <c r="L18" s="275">
        <f>Occupancy!F18</f>
        <v>0</v>
      </c>
      <c r="M18" s="277" t="e">
        <f>E18*F18+G18*H18+#REF!*#REF!+I18*J18</f>
        <v>#REF!</v>
      </c>
    </row>
    <row r="19" spans="1:13">
      <c r="A19" s="272" t="s">
        <v>268</v>
      </c>
      <c r="B19" s="273">
        <f t="shared" si="0"/>
        <v>18</v>
      </c>
      <c r="C19" s="273">
        <v>12</v>
      </c>
      <c r="D19" s="274">
        <v>2022</v>
      </c>
      <c r="E19" s="275">
        <f>(IF('Daily HLP'!H21&gt;0,'Daily HLP'!H21,0))</f>
        <v>24731</v>
      </c>
      <c r="F19" s="757">
        <v>10</v>
      </c>
      <c r="G19" s="276">
        <f>(IF('Daily HLP'!L21&gt;0,'Daily HLP'!L21,0))</f>
        <v>1164</v>
      </c>
      <c r="H19" s="276">
        <v>66</v>
      </c>
      <c r="I19" s="276">
        <f>(IF('Daily HLP'!O21&gt;0,'Daily HLP'!O21,0))</f>
        <v>307</v>
      </c>
      <c r="J19" s="276">
        <v>100</v>
      </c>
      <c r="K19" s="281">
        <f>Occupancy!G19</f>
        <v>160</v>
      </c>
      <c r="L19" s="275">
        <f>Occupancy!F19</f>
        <v>0</v>
      </c>
      <c r="M19" s="277" t="e">
        <f>E19*F19+G19*H19+#REF!*#REF!+I19*J19</f>
        <v>#REF!</v>
      </c>
    </row>
    <row r="20" spans="1:13">
      <c r="A20" s="272" t="s">
        <v>268</v>
      </c>
      <c r="B20" s="273">
        <f t="shared" si="0"/>
        <v>19</v>
      </c>
      <c r="C20" s="273">
        <v>12</v>
      </c>
      <c r="D20" s="274">
        <v>2022</v>
      </c>
      <c r="E20" s="275">
        <f>(IF('Daily HLP'!H22&gt;0,'Daily HLP'!H22,0))</f>
        <v>22617.699999999953</v>
      </c>
      <c r="F20" s="757">
        <v>10</v>
      </c>
      <c r="G20" s="276">
        <f>(IF('Daily HLP'!L22&gt;0,'Daily HLP'!L22,0))</f>
        <v>1022</v>
      </c>
      <c r="H20" s="276">
        <v>66</v>
      </c>
      <c r="I20" s="276">
        <f>(IF('Daily HLP'!O22&gt;0,'Daily HLP'!O22,0))</f>
        <v>388</v>
      </c>
      <c r="J20" s="276">
        <v>100</v>
      </c>
      <c r="K20" s="281">
        <f>Occupancy!G20</f>
        <v>166</v>
      </c>
      <c r="L20" s="275">
        <f>Occupancy!F20</f>
        <v>0</v>
      </c>
      <c r="M20" s="277" t="e">
        <f>E20*F20+G20*H20+#REF!*#REF!+I20*J20</f>
        <v>#REF!</v>
      </c>
    </row>
    <row r="21" spans="1:13">
      <c r="A21" s="272" t="s">
        <v>268</v>
      </c>
      <c r="B21" s="273">
        <f t="shared" si="0"/>
        <v>20</v>
      </c>
      <c r="C21" s="273">
        <v>12</v>
      </c>
      <c r="D21" s="274">
        <v>2022</v>
      </c>
      <c r="E21" s="275">
        <f>(IF('Daily HLP'!H23&gt;0,'Daily HLP'!H23,0))</f>
        <v>23058.300000000047</v>
      </c>
      <c r="F21" s="757">
        <v>10</v>
      </c>
      <c r="G21" s="276">
        <f>(IF('Daily HLP'!L23&gt;0,'Daily HLP'!L23,0))</f>
        <v>1116</v>
      </c>
      <c r="H21" s="276">
        <v>66</v>
      </c>
      <c r="I21" s="276">
        <f>(IF('Daily HLP'!O23&gt;0,'Daily HLP'!O23,0))</f>
        <v>289</v>
      </c>
      <c r="J21" s="276">
        <v>100</v>
      </c>
      <c r="K21" s="281">
        <f>Occupancy!G21</f>
        <v>152</v>
      </c>
      <c r="L21" s="275">
        <f>Occupancy!F21</f>
        <v>0</v>
      </c>
      <c r="M21" s="277" t="e">
        <f>E21*F21+G21*H21+#REF!*#REF!+I21*J21</f>
        <v>#REF!</v>
      </c>
    </row>
    <row r="22" spans="1:13">
      <c r="A22" s="272" t="s">
        <v>268</v>
      </c>
      <c r="B22" s="273">
        <f t="shared" si="0"/>
        <v>21</v>
      </c>
      <c r="C22" s="273">
        <v>12</v>
      </c>
      <c r="D22" s="274">
        <v>2022</v>
      </c>
      <c r="E22" s="275">
        <f>(IF('Daily HLP'!H24&gt;0,'Daily HLP'!H24,0))</f>
        <v>22002</v>
      </c>
      <c r="F22" s="757">
        <v>10</v>
      </c>
      <c r="G22" s="276">
        <f>(IF('Daily HLP'!L24&gt;0,'Daily HLP'!L24,0))</f>
        <v>1103</v>
      </c>
      <c r="H22" s="276">
        <v>66</v>
      </c>
      <c r="I22" s="276">
        <f>(IF('Daily HLP'!O24&gt;0,'Daily HLP'!O24,0))</f>
        <v>360</v>
      </c>
      <c r="J22" s="276">
        <v>100</v>
      </c>
      <c r="K22" s="281">
        <f>Occupancy!G22</f>
        <v>144</v>
      </c>
      <c r="L22" s="275">
        <f>Occupancy!F22</f>
        <v>0</v>
      </c>
      <c r="M22" s="277" t="e">
        <f>E22*F22+G22*H22+#REF!*#REF!+I22*J22</f>
        <v>#REF!</v>
      </c>
    </row>
    <row r="23" spans="1:13">
      <c r="A23" s="272" t="s">
        <v>268</v>
      </c>
      <c r="B23" s="273">
        <f t="shared" si="0"/>
        <v>22</v>
      </c>
      <c r="C23" s="273">
        <v>12</v>
      </c>
      <c r="D23" s="274">
        <v>2022</v>
      </c>
      <c r="E23" s="275">
        <f>(IF('Daily HLP'!H25&gt;0,'Daily HLP'!H25,0))</f>
        <v>22635</v>
      </c>
      <c r="F23" s="757">
        <v>10</v>
      </c>
      <c r="G23" s="276">
        <f>(IF('Daily HLP'!L25&gt;0,'Daily HLP'!L25,0))</f>
        <v>1107</v>
      </c>
      <c r="H23" s="276">
        <v>66</v>
      </c>
      <c r="I23" s="276">
        <f>(IF('Daily HLP'!O25&gt;0,'Daily HLP'!O25,0))</f>
        <v>279</v>
      </c>
      <c r="J23" s="276">
        <v>100</v>
      </c>
      <c r="K23" s="281">
        <f>Occupancy!G23</f>
        <v>135</v>
      </c>
      <c r="L23" s="275">
        <f>Occupancy!F23</f>
        <v>0</v>
      </c>
      <c r="M23" s="277" t="e">
        <f>E23*F23+G23*H23+#REF!*#REF!+I23*J23</f>
        <v>#REF!</v>
      </c>
    </row>
    <row r="24" spans="1:13">
      <c r="A24" s="272" t="s">
        <v>268</v>
      </c>
      <c r="B24" s="273">
        <f t="shared" si="0"/>
        <v>23</v>
      </c>
      <c r="C24" s="273">
        <v>12</v>
      </c>
      <c r="D24" s="274">
        <v>2022</v>
      </c>
      <c r="E24" s="275">
        <f>(IF('Daily HLP'!H26&gt;0,'Daily HLP'!H26,0))</f>
        <v>20700</v>
      </c>
      <c r="F24" s="757">
        <v>10</v>
      </c>
      <c r="G24" s="276">
        <f>(IF('Daily HLP'!L26&gt;0,'Daily HLP'!L26,0))</f>
        <v>1104</v>
      </c>
      <c r="H24" s="276">
        <v>66</v>
      </c>
      <c r="I24" s="276">
        <f>(IF('Daily HLP'!O26&gt;0,'Daily HLP'!O26,0))</f>
        <v>258</v>
      </c>
      <c r="J24" s="276">
        <v>100</v>
      </c>
      <c r="K24" s="281">
        <f>Occupancy!G24</f>
        <v>141</v>
      </c>
      <c r="L24" s="275">
        <f>Occupancy!F24</f>
        <v>0</v>
      </c>
      <c r="M24" s="277" t="e">
        <f>E24*F24+G24*H24+#REF!*#REF!+I24*J24</f>
        <v>#REF!</v>
      </c>
    </row>
    <row r="25" spans="1:13">
      <c r="A25" s="272" t="s">
        <v>268</v>
      </c>
      <c r="B25" s="273">
        <f t="shared" si="0"/>
        <v>24</v>
      </c>
      <c r="C25" s="273">
        <v>12</v>
      </c>
      <c r="D25" s="274">
        <v>2022</v>
      </c>
      <c r="E25" s="275">
        <f>(IF('Daily HLP'!H27&gt;0,'Daily HLP'!H27,0))</f>
        <v>20649</v>
      </c>
      <c r="F25" s="757">
        <v>10</v>
      </c>
      <c r="G25" s="276">
        <f>(IF('Daily HLP'!L27&gt;0,'Daily HLP'!L27,0))</f>
        <v>1128</v>
      </c>
      <c r="H25" s="276">
        <v>66</v>
      </c>
      <c r="I25" s="276">
        <f>(IF('Daily HLP'!O27&gt;0,'Daily HLP'!O27,0))</f>
        <v>277</v>
      </c>
      <c r="J25" s="276">
        <v>100</v>
      </c>
      <c r="K25" s="281">
        <f>Occupancy!G25</f>
        <v>155</v>
      </c>
      <c r="L25" s="275">
        <f>Occupancy!F25</f>
        <v>0</v>
      </c>
      <c r="M25" s="277" t="e">
        <f>E25*F25+G25*H25+#REF!*#REF!+I25*J25</f>
        <v>#REF!</v>
      </c>
    </row>
    <row r="26" spans="1:13">
      <c r="A26" s="272" t="s">
        <v>268</v>
      </c>
      <c r="B26" s="273">
        <f>B25+1</f>
        <v>25</v>
      </c>
      <c r="C26" s="273">
        <v>12</v>
      </c>
      <c r="D26" s="274">
        <v>2022</v>
      </c>
      <c r="E26" s="275">
        <f>(IF('Daily HLP'!H28&gt;0,'Daily HLP'!H28,0))</f>
        <v>21475</v>
      </c>
      <c r="F26" s="757">
        <v>10</v>
      </c>
      <c r="G26" s="276">
        <f>(IF('Daily HLP'!L28&gt;0,'Daily HLP'!L28,0))</f>
        <v>1127.7999999998137</v>
      </c>
      <c r="H26" s="276">
        <v>66</v>
      </c>
      <c r="I26" s="276">
        <f>(IF('Daily HLP'!O28&gt;0,'Daily HLP'!O28,0))</f>
        <v>279</v>
      </c>
      <c r="J26" s="276">
        <v>100</v>
      </c>
      <c r="K26" s="281">
        <f>Occupancy!G26</f>
        <v>158</v>
      </c>
      <c r="L26" s="275">
        <f>Occupancy!F26</f>
        <v>0</v>
      </c>
      <c r="M26" s="277" t="e">
        <f>E26*F26+G26*H26+#REF!*#REF!+I26*J26</f>
        <v>#REF!</v>
      </c>
    </row>
    <row r="27" spans="1:13">
      <c r="A27" s="272" t="s">
        <v>268</v>
      </c>
      <c r="B27" s="273">
        <f t="shared" si="0"/>
        <v>26</v>
      </c>
      <c r="C27" s="273">
        <v>12</v>
      </c>
      <c r="D27" s="274">
        <v>2022</v>
      </c>
      <c r="E27" s="275">
        <f>(IF('Daily HLP'!H29&gt;0,'Daily HLP'!H29,0))</f>
        <v>20198</v>
      </c>
      <c r="F27" s="757">
        <v>10</v>
      </c>
      <c r="G27" s="276">
        <f>(IF('Daily HLP'!L29&gt;0,'Daily HLP'!L29,0))</f>
        <v>1135.9900000002235</v>
      </c>
      <c r="H27" s="276">
        <v>66</v>
      </c>
      <c r="I27" s="276">
        <f>(IF('Daily HLP'!O29&gt;0,'Daily HLP'!O29,0))</f>
        <v>291</v>
      </c>
      <c r="J27" s="276">
        <v>100</v>
      </c>
      <c r="K27" s="281">
        <f>Occupancy!G27</f>
        <v>151</v>
      </c>
      <c r="L27" s="275">
        <f>Occupancy!F27</f>
        <v>0</v>
      </c>
      <c r="M27" s="277" t="e">
        <f>E27*F27+G27*H27+#REF!*#REF!+I27*J27</f>
        <v>#REF!</v>
      </c>
    </row>
    <row r="28" spans="1:13">
      <c r="A28" s="272" t="s">
        <v>268</v>
      </c>
      <c r="B28" s="273">
        <f t="shared" si="0"/>
        <v>27</v>
      </c>
      <c r="C28" s="273">
        <v>12</v>
      </c>
      <c r="D28" s="274">
        <v>2022</v>
      </c>
      <c r="E28" s="275">
        <f>(IF('Daily HLP'!H30&gt;0,'Daily HLP'!H30,0))</f>
        <v>20797.899999999994</v>
      </c>
      <c r="F28" s="757">
        <v>10</v>
      </c>
      <c r="G28" s="276">
        <f>(IF('Daily HLP'!L30&gt;0,'Daily HLP'!L30,0))</f>
        <v>1195.3599999998696</v>
      </c>
      <c r="H28" s="276">
        <v>66</v>
      </c>
      <c r="I28" s="276">
        <f>(IF('Daily HLP'!O30&gt;0,'Daily HLP'!O30,0))</f>
        <v>342</v>
      </c>
      <c r="J28" s="276">
        <v>100</v>
      </c>
      <c r="K28" s="281">
        <f>Occupancy!G28</f>
        <v>161</v>
      </c>
      <c r="L28" s="275">
        <f>Occupancy!F28</f>
        <v>0</v>
      </c>
      <c r="M28" s="277" t="e">
        <f>E28*F28+G28*H28+#REF!*#REF!+I28*J28</f>
        <v>#REF!</v>
      </c>
    </row>
    <row r="29" spans="1:13">
      <c r="A29" s="272" t="s">
        <v>268</v>
      </c>
      <c r="B29" s="273">
        <f t="shared" si="0"/>
        <v>28</v>
      </c>
      <c r="C29" s="273">
        <v>12</v>
      </c>
      <c r="D29" s="274">
        <v>2022</v>
      </c>
      <c r="E29" s="275">
        <f>(IF('Daily HLP'!H31&gt;0,'Daily HLP'!H31,0))</f>
        <v>22210.61</v>
      </c>
      <c r="F29" s="757">
        <v>10</v>
      </c>
      <c r="G29" s="276">
        <f>(IF('Daily HLP'!L31&gt;0,'Daily HLP'!L31,0))</f>
        <v>1167.570000000298</v>
      </c>
      <c r="H29" s="276">
        <v>66</v>
      </c>
      <c r="I29" s="276">
        <f>(IF('Daily HLP'!O31&gt;0,'Daily HLP'!O31,0))</f>
        <v>308</v>
      </c>
      <c r="J29" s="276">
        <v>100</v>
      </c>
      <c r="K29" s="281">
        <f>Occupancy!G29</f>
        <v>0</v>
      </c>
      <c r="L29" s="275">
        <f>Occupancy!F29</f>
        <v>0</v>
      </c>
      <c r="M29" s="277" t="e">
        <f>E29*F29+G29*H29+#REF!*#REF!+I29*J29</f>
        <v>#REF!</v>
      </c>
    </row>
    <row r="30" spans="1:13">
      <c r="A30" s="272" t="s">
        <v>268</v>
      </c>
      <c r="B30" s="273">
        <f t="shared" si="0"/>
        <v>29</v>
      </c>
      <c r="C30" s="273">
        <v>12</v>
      </c>
      <c r="D30" s="274">
        <v>2022</v>
      </c>
      <c r="E30" s="275">
        <f>(IF('Daily HLP'!H32&gt;0,'Daily HLP'!H32,0))</f>
        <v>23237.490000000005</v>
      </c>
      <c r="F30" s="757">
        <v>10</v>
      </c>
      <c r="G30" s="276">
        <f>(IF('Daily HLP'!L32&gt;0,'Daily HLP'!L32,0))</f>
        <v>1254.9899999997579</v>
      </c>
      <c r="H30" s="276">
        <v>66</v>
      </c>
      <c r="I30" s="276">
        <f>(IF('Daily HLP'!O32&gt;0,'Daily HLP'!O32,0))</f>
        <v>268</v>
      </c>
      <c r="J30" s="276">
        <v>100</v>
      </c>
      <c r="K30" s="281">
        <f>Occupancy!G30</f>
        <v>0</v>
      </c>
      <c r="L30" s="275">
        <f>Occupancy!F30</f>
        <v>0</v>
      </c>
      <c r="M30" s="277" t="e">
        <f>E30*F30+G30*H30+#REF!*#REF!+I30*J30</f>
        <v>#REF!</v>
      </c>
    </row>
    <row r="31" spans="1:13">
      <c r="A31" s="272" t="s">
        <v>268</v>
      </c>
      <c r="B31" s="273">
        <f t="shared" si="0"/>
        <v>30</v>
      </c>
      <c r="C31" s="273">
        <v>12</v>
      </c>
      <c r="D31" s="274">
        <v>2022</v>
      </c>
      <c r="E31" s="275">
        <f>(IF('Daily HLP'!H33&gt;0,'Daily HLP'!H33,0))</f>
        <v>21529.170000000013</v>
      </c>
      <c r="F31" s="757">
        <v>10</v>
      </c>
      <c r="G31" s="276">
        <f>(IF('Daily HLP'!L33&gt;0,'Daily HLP'!L33,0))</f>
        <v>1214.2900000000373</v>
      </c>
      <c r="H31" s="276">
        <v>66</v>
      </c>
      <c r="I31" s="276">
        <f>(IF('Daily HLP'!O33&gt;0,'Daily HLP'!O33,0))</f>
        <v>363</v>
      </c>
      <c r="J31" s="276">
        <v>100</v>
      </c>
      <c r="K31" s="281">
        <f>Occupancy!G31</f>
        <v>0</v>
      </c>
      <c r="L31" s="275">
        <f>Occupancy!F31</f>
        <v>0</v>
      </c>
      <c r="M31" s="277" t="e">
        <f>E31*F31+G31*H31+#REF!*#REF!+I31*J31</f>
        <v>#REF!</v>
      </c>
    </row>
    <row r="32" spans="1:13" s="275" customFormat="1">
      <c r="A32" s="272" t="s">
        <v>268</v>
      </c>
      <c r="B32" s="273">
        <f t="shared" si="0"/>
        <v>31</v>
      </c>
      <c r="C32" s="273">
        <v>12</v>
      </c>
      <c r="D32" s="274">
        <v>2022</v>
      </c>
      <c r="E32" s="275">
        <f>(IF('Daily HLP'!H34&gt;0,'Daily HLP'!H34,0))</f>
        <v>22341.829999999987</v>
      </c>
      <c r="F32" s="757">
        <v>10</v>
      </c>
      <c r="G32" s="276">
        <f>(IF('Daily HLP'!L34&gt;0,'Daily HLP'!L34,0))</f>
        <v>1090.3580000000075</v>
      </c>
      <c r="H32" s="276">
        <v>66</v>
      </c>
      <c r="I32" s="276">
        <f>(IF('Daily HLP'!O34&gt;0,'Daily HLP'!O34,0))</f>
        <v>228</v>
      </c>
      <c r="J32" s="276">
        <v>100</v>
      </c>
      <c r="K32" s="281">
        <f>Occupancy!G32</f>
        <v>0</v>
      </c>
      <c r="L32" s="275">
        <f>Occupancy!F32</f>
        <v>0</v>
      </c>
      <c r="M32" s="278"/>
    </row>
    <row r="33" spans="1:13" s="275" customFormat="1">
      <c r="A33" s="279"/>
      <c r="B33" s="273"/>
      <c r="C33" s="273"/>
      <c r="D33" s="274"/>
      <c r="F33" s="276"/>
      <c r="G33" s="276"/>
      <c r="H33" s="276"/>
      <c r="I33" s="276"/>
      <c r="J33" s="276"/>
      <c r="M33" s="278"/>
    </row>
    <row r="34" spans="1:13" s="275" customFormat="1">
      <c r="A34" s="279"/>
      <c r="B34" s="273"/>
      <c r="C34" s="273"/>
      <c r="D34" s="274"/>
      <c r="F34" s="276"/>
      <c r="G34" s="276"/>
      <c r="H34" s="276"/>
      <c r="I34" s="276"/>
      <c r="J34" s="276"/>
      <c r="M34" s="278"/>
    </row>
    <row r="35" spans="1:13" s="275" customFormat="1">
      <c r="A35" s="279"/>
      <c r="B35" s="273"/>
      <c r="C35" s="273"/>
      <c r="D35" s="274"/>
      <c r="F35" s="276"/>
      <c r="G35" s="276"/>
      <c r="H35" s="276"/>
      <c r="I35" s="276"/>
      <c r="J35" s="276"/>
      <c r="M35" s="278"/>
    </row>
    <row r="36" spans="1:13" s="275" customFormat="1">
      <c r="A36" s="279"/>
      <c r="B36" s="273"/>
      <c r="C36" s="273"/>
      <c r="D36" s="274"/>
      <c r="F36" s="276"/>
      <c r="G36" s="276"/>
      <c r="H36" s="276"/>
      <c r="I36" s="276"/>
      <c r="J36" s="276"/>
      <c r="M36" s="278"/>
    </row>
    <row r="37" spans="1:13" s="275" customFormat="1">
      <c r="A37" s="279"/>
      <c r="B37" s="273"/>
      <c r="C37" s="273"/>
      <c r="D37" s="274"/>
      <c r="F37" s="276"/>
      <c r="G37" s="276"/>
      <c r="H37" s="276"/>
      <c r="I37" s="276"/>
      <c r="J37" s="276"/>
      <c r="M37" s="278"/>
    </row>
    <row r="38" spans="1:13" s="275" customFormat="1">
      <c r="A38" s="279"/>
      <c r="B38" s="273"/>
      <c r="C38" s="273"/>
      <c r="D38" s="274"/>
      <c r="F38" s="276"/>
      <c r="G38" s="276"/>
      <c r="H38" s="276"/>
      <c r="I38" s="276"/>
      <c r="J38" s="276"/>
      <c r="M38" s="278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M3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:C32"/>
    </sheetView>
  </sheetViews>
  <sheetFormatPr defaultColWidth="9" defaultRowHeight="15"/>
  <cols>
    <col min="1" max="1" width="17.109375" style="286" customWidth="1"/>
    <col min="2" max="3" width="9" style="290" customWidth="1"/>
    <col min="4" max="4" width="10.44140625" style="290" customWidth="1"/>
    <col min="5" max="29" width="9.77734375" style="297" customWidth="1"/>
    <col min="30" max="30" width="9" style="297"/>
    <col min="31" max="31" width="9" style="298"/>
    <col min="32" max="32" width="9" style="297"/>
    <col min="33" max="39" width="9" style="299"/>
    <col min="40" max="40" width="9" style="302"/>
    <col min="41" max="49" width="9" style="299"/>
    <col min="50" max="58" width="9" style="302"/>
    <col min="59" max="65" width="9" style="299"/>
    <col min="66" max="16384" width="9" style="289"/>
  </cols>
  <sheetData>
    <row r="1" spans="1:65" s="286" customFormat="1" ht="60" customHeight="1">
      <c r="A1" s="284" t="s">
        <v>257</v>
      </c>
      <c r="B1" s="285" t="s">
        <v>258</v>
      </c>
      <c r="C1" s="285" t="s">
        <v>259</v>
      </c>
      <c r="D1" s="285" t="s">
        <v>260</v>
      </c>
      <c r="E1" s="291" t="str">
        <f>'Section Load'!F4</f>
        <v>HVAC</v>
      </c>
      <c r="F1" s="291" t="str">
        <f>'Section Load'!G4</f>
        <v>Fire &amp; Emergency PP</v>
      </c>
      <c r="G1" s="291" t="str">
        <f>'Section Load'!H4</f>
        <v>Main PP</v>
      </c>
      <c r="H1" s="291" t="str">
        <f>'Section Load'!I4</f>
        <v>Lighting PP</v>
      </c>
      <c r="I1" s="291" t="str">
        <f>'Section Load'!J4</f>
        <v>CH-1+ CH2+CH3+CH4</v>
      </c>
      <c r="J1" s="291" t="str">
        <f>'Section Load'!K4</f>
        <v>Chilled water Pump</v>
      </c>
      <c r="K1" s="291" t="str">
        <f>'Section Load'!L4</f>
        <v>Ball Room-1</v>
      </c>
      <c r="L1" s="291" t="str">
        <f>'Section Load'!M4</f>
        <v>Ball Room-2</v>
      </c>
      <c r="M1" s="291" t="str">
        <f>'Section Load'!N4</f>
        <v>MK-1</v>
      </c>
      <c r="N1" s="291" t="str">
        <f>'Section Load'!O4</f>
        <v>MK-2</v>
      </c>
      <c r="O1" s="291" t="str">
        <f>'Section Load'!P4</f>
        <v>Prato</v>
      </c>
      <c r="P1" s="291" t="str">
        <f>'Section Load'!Q4</f>
        <v>San- Qi Indian</v>
      </c>
      <c r="Q1" s="291" t="str">
        <f>'Section Load'!R4</f>
        <v>San- Qi Japanese</v>
      </c>
      <c r="R1" s="291" t="str">
        <f>'Section Load'!S4</f>
        <v>The club</v>
      </c>
      <c r="S1" s="291" t="str">
        <f>'Section Load'!T4</f>
        <v>AER</v>
      </c>
      <c r="T1" s="291" t="str">
        <f>'Section Load'!U4</f>
        <v>COLD ROOM'S</v>
      </c>
      <c r="U1" s="291" t="str">
        <f>'Section Load'!V4</f>
        <v>Ball Room 1</v>
      </c>
      <c r="V1" s="291" t="str">
        <f>'Section Load'!W4</f>
        <v>Ball Room 2</v>
      </c>
      <c r="W1" s="291" t="str">
        <f>'Section Load'!X4</f>
        <v>B1 Laundry</v>
      </c>
      <c r="X1" s="291" t="str">
        <f>'Section Load'!Y4</f>
        <v>B2 Laundry</v>
      </c>
      <c r="Y1" s="291" t="str">
        <f>'Section Load'!Z4</f>
        <v>STP</v>
      </c>
      <c r="Z1" s="291" t="str">
        <f>'Section Load'!AA4</f>
        <v>MOCK Up Room</v>
      </c>
      <c r="AA1" s="291" t="str">
        <f>'Section Load'!AB4</f>
        <v>27th Floor</v>
      </c>
      <c r="AB1" s="291" t="str">
        <f>'Section Load'!AC4</f>
        <v>Physic57</v>
      </c>
      <c r="AC1" s="291" t="str">
        <f>'Section Load'!AD4</f>
        <v>Pinoor Legal- Power+lighting</v>
      </c>
      <c r="AD1" s="291" t="str">
        <f>'Section Load'!AE4</f>
        <v>2nd floor plant room</v>
      </c>
      <c r="AE1" s="291" t="str">
        <f>'Section Load'!AF4</f>
        <v>5th Floor SPA</v>
      </c>
      <c r="AF1" s="291" t="str">
        <f>'Section Load'!AG4</f>
        <v>5th Floor</v>
      </c>
      <c r="AG1" s="291" t="str">
        <f>'Section Load'!AH4</f>
        <v>12th Floor</v>
      </c>
      <c r="AH1" s="291" t="str">
        <f>'Section Load'!AI4</f>
        <v>20th Floor</v>
      </c>
      <c r="AI1" s="291" t="str">
        <f>'Section Load'!AJ4</f>
        <v>27th Floor</v>
      </c>
      <c r="AJ1" s="291" t="str">
        <f>'Section Load'!AK4</f>
        <v>34th Floor</v>
      </c>
      <c r="AK1" s="291" t="str">
        <f>'Section Load'!AL4</f>
        <v>Sanqi</v>
      </c>
      <c r="AL1" s="291" t="str">
        <f>'Section Load'!AM4</f>
        <v>Cooling Tower</v>
      </c>
      <c r="AM1" s="292" t="s">
        <v>279</v>
      </c>
      <c r="AN1" s="300" t="s">
        <v>199</v>
      </c>
      <c r="AO1" s="292" t="s">
        <v>201</v>
      </c>
      <c r="AP1" s="292" t="s">
        <v>202</v>
      </c>
      <c r="AQ1" s="292" t="s">
        <v>203</v>
      </c>
      <c r="AR1" s="292" t="s">
        <v>204</v>
      </c>
      <c r="AS1" s="292" t="s">
        <v>205</v>
      </c>
      <c r="AT1" s="292" t="s">
        <v>206</v>
      </c>
      <c r="AU1" s="292" t="s">
        <v>209</v>
      </c>
      <c r="AV1" s="292" t="s">
        <v>75</v>
      </c>
      <c r="AW1" s="292" t="s">
        <v>76</v>
      </c>
      <c r="AX1" s="300" t="s">
        <v>210</v>
      </c>
      <c r="AY1" s="300" t="s">
        <v>211</v>
      </c>
      <c r="AZ1" s="300" t="s">
        <v>212</v>
      </c>
      <c r="BA1" s="300" t="s">
        <v>214</v>
      </c>
      <c r="BB1" s="300" t="s">
        <v>215</v>
      </c>
      <c r="BC1" s="300" t="s">
        <v>302</v>
      </c>
      <c r="BD1" s="300" t="s">
        <v>300</v>
      </c>
      <c r="BE1" s="300" t="s">
        <v>280</v>
      </c>
      <c r="BF1" s="300" t="s">
        <v>281</v>
      </c>
      <c r="BG1" s="293" t="str">
        <f>'Section Load'!AN4</f>
        <v>MGL</v>
      </c>
      <c r="BH1" s="293" t="str">
        <f>'Section Load'!AO4</f>
        <v>HWG</v>
      </c>
      <c r="BI1" s="293" t="str">
        <f>'Section Load'!AP4</f>
        <v>Prato</v>
      </c>
      <c r="BJ1" s="293" t="str">
        <f>'Section Load'!AQ4</f>
        <v>BR-1</v>
      </c>
      <c r="BK1" s="293" t="str">
        <f>'Section Load'!AR4</f>
        <v>SanQi IND</v>
      </c>
      <c r="BL1" s="293" t="str">
        <f>'Section Load'!AS4</f>
        <v>SanQi JPN</v>
      </c>
      <c r="BM1" s="293" t="str">
        <f>'Section Load'!AT4</f>
        <v>Boiler</v>
      </c>
    </row>
    <row r="2" spans="1:65" ht="15" customHeight="1">
      <c r="A2" s="287" t="s">
        <v>268</v>
      </c>
      <c r="B2" s="288">
        <v>1</v>
      </c>
      <c r="C2" s="288">
        <v>12</v>
      </c>
      <c r="D2" s="288">
        <v>2022</v>
      </c>
      <c r="E2" s="294">
        <f>(IF('Section Load'!F5&gt;0,'Section Load'!F5,0))</f>
        <v>3203.0000000001164</v>
      </c>
      <c r="F2" s="294">
        <f>(IF('Section Load'!G5&gt;0,'Section Load'!G5,0))</f>
        <v>1051.3699999999953</v>
      </c>
      <c r="G2" s="294">
        <f>(IF('Section Load'!H5&gt;0,'Section Load'!H5,0))</f>
        <v>2366.3199999999397</v>
      </c>
      <c r="H2" s="294">
        <f>(IF('Section Load'!I5&gt;0,'Section Load'!I5,0))</f>
        <v>4254.4799999999814</v>
      </c>
      <c r="I2" s="294">
        <f>(IF('Section Load'!J5&gt;0,'Section Load'!J5,0))</f>
        <v>3381.140000000014</v>
      </c>
      <c r="J2" s="294">
        <f>(IF('Section Load'!K5&gt;0,'Section Load'!K5,0))</f>
        <v>2399.4400000000605</v>
      </c>
      <c r="K2" s="294">
        <f>(IF('Section Load'!L5&gt;0,'Section Load'!L5,0))</f>
        <v>1742.1199999999953</v>
      </c>
      <c r="L2" s="294">
        <f>(IF('Section Load'!M5&gt;0,'Section Load'!M5,0))</f>
        <v>961.69000000000233</v>
      </c>
      <c r="M2" s="294">
        <f>(IF('Section Load'!N5&gt;0,'Section Load'!N5,0))</f>
        <v>81</v>
      </c>
      <c r="N2" s="294">
        <f>(IF('Section Load'!O5&gt;0,'Section Load'!O5,0))</f>
        <v>165</v>
      </c>
      <c r="O2" s="294">
        <f>(IF('Section Load'!P5&gt;0,'Section Load'!P5,0))</f>
        <v>20.099999999999909</v>
      </c>
      <c r="P2" s="294">
        <f>(IF('Section Load'!Q5&gt;0,'Section Load'!Q5,0))</f>
        <v>234.38000000000466</v>
      </c>
      <c r="Q2" s="294">
        <f>(IF('Section Load'!R5&gt;0,'Section Load'!R5,0))</f>
        <v>81.400000000001455</v>
      </c>
      <c r="R2" s="294">
        <f>(IF('Section Load'!S5&gt;0,'Section Load'!S5,0))</f>
        <v>127.90000000000146</v>
      </c>
      <c r="S2" s="294">
        <f>(IF('Section Load'!T5&gt;0,'Section Load'!T5,0))</f>
        <v>31</v>
      </c>
      <c r="T2" s="294">
        <f>(IF('Section Load'!U5&gt;0,'Section Load'!U5,0))</f>
        <v>234</v>
      </c>
      <c r="U2" s="294">
        <f>(IF('Section Load'!V5&gt;0,'Section Load'!V5,0))</f>
        <v>426.64000000001397</v>
      </c>
      <c r="V2" s="294">
        <f>(IF('Section Load'!W5&gt;0,'Section Load'!W5,0))</f>
        <v>78.119999999995343</v>
      </c>
      <c r="W2" s="294">
        <f>(IF('Section Load'!X5&gt;0,'Section Load'!X5,0))</f>
        <v>32.100000000000364</v>
      </c>
      <c r="X2" s="294">
        <f>(IF('Section Load'!Y5&gt;0,'Section Load'!Y5,0))</f>
        <v>239.86000000000058</v>
      </c>
      <c r="Y2" s="294">
        <f>(IF('Section Load'!Z5&gt;0,'Section Load'!Z5,0))</f>
        <v>225</v>
      </c>
      <c r="Z2" s="294">
        <f>(IF('Section Load'!AA5&gt;0,'Section Load'!AA5,0))</f>
        <v>122.40000000002328</v>
      </c>
      <c r="AA2" s="294">
        <f>(IF('Section Load'!AB5&gt;0,'Section Load'!AB5,0))</f>
        <v>50.099999999991269</v>
      </c>
      <c r="AB2" s="294">
        <f>(IF('Section Load'!AC5&gt;0,'Section Load'!AC5,0))</f>
        <v>0</v>
      </c>
      <c r="AC2" s="294">
        <f>(IF('Section Load'!AD5&gt;0,'Section Load'!AD5,0))</f>
        <v>7.3000000000001819</v>
      </c>
      <c r="AD2" s="294">
        <f>(IF('Section Load'!AE5&gt;0,'Section Load'!AE5,0))</f>
        <v>494.60000000000582</v>
      </c>
      <c r="AE2" s="294">
        <f>(IF('Section Load'!AF5&gt;0,'Section Load'!AF5,0))</f>
        <v>278.69999999999709</v>
      </c>
      <c r="AF2" s="294">
        <f>(IF('Section Load'!AG5&gt;0,'Section Load'!AG5,0))</f>
        <v>641.39999999999418</v>
      </c>
      <c r="AG2" s="294">
        <f>(IF('Section Load'!AH5&gt;0,'Section Load'!AH5,0))</f>
        <v>12.30000000000291</v>
      </c>
      <c r="AH2" s="294">
        <f>(IF('Section Load'!AI5&gt;0,'Section Load'!AI5,0))</f>
        <v>409</v>
      </c>
      <c r="AI2" s="294">
        <f>(IF('Section Load'!AJ5&gt;0,'Section Load'!AJ5,0))</f>
        <v>420.94999999999709</v>
      </c>
      <c r="AJ2" s="294">
        <f>(IF('Section Load'!AK5&gt;0,'Section Load'!AK5,0))</f>
        <v>383</v>
      </c>
      <c r="AK2" s="294">
        <f>(IF('Section Load'!AL5&gt;0,'Section Load'!AL5,0))</f>
        <v>308.09999999999127</v>
      </c>
      <c r="AL2" s="294">
        <f>(IF('Section Load'!AM5&gt;0,'Section Load'!AM5,0))</f>
        <v>769</v>
      </c>
      <c r="AM2" s="295">
        <f>(IF('Water Report'!$D$7&gt;0,'Water Report'!$D$7,0))</f>
        <v>134</v>
      </c>
      <c r="AN2" s="295">
        <f>(IF('Water Report'!$D$8&gt;0,'Water Report'!$D$8,0))</f>
        <v>33</v>
      </c>
      <c r="AO2" s="295">
        <f>(IF('Water Report'!$D$9&gt;0,'Water Report'!$D$9,0))</f>
        <v>141</v>
      </c>
      <c r="AP2" s="295">
        <f>(IF('Water Report'!$D$10&gt;0,'Water Report'!$D$10,0))</f>
        <v>10</v>
      </c>
      <c r="AQ2" s="295">
        <f>(IF('Water Report'!$D$11&gt;0,'Water Report'!$D$11,0))</f>
        <v>19</v>
      </c>
      <c r="AR2" s="295">
        <f>(IF('Water Report'!$D$13&gt;0,'Water Report'!$D$13,0))</f>
        <v>45</v>
      </c>
      <c r="AS2" s="295">
        <f>(IF('Water Report'!$D$14&gt;0,'Water Report'!$D$14,0))</f>
        <v>5</v>
      </c>
      <c r="AT2" s="295">
        <f>(IF('Water Report'!$D$15&gt;0,'Water Report'!$D$15,0))</f>
        <v>8</v>
      </c>
      <c r="AU2" s="295">
        <f>(IF('Water Report'!$D$17&gt;0,'Water Report'!$D$17,0))</f>
        <v>2</v>
      </c>
      <c r="AV2" s="295">
        <f>(IF('Water Report'!$D$18&gt;0,'Water Report'!$D$18,0))</f>
        <v>11</v>
      </c>
      <c r="AW2" s="295">
        <f>(IF('Water Report'!$D$19&gt;0,'Water Report'!$D$19,0))</f>
        <v>13</v>
      </c>
      <c r="AX2" s="301">
        <f>(IF('Water Report'!$D$21&gt;0,'Water Report'!$D$21,0))</f>
        <v>42</v>
      </c>
      <c r="AY2" s="301">
        <f>(IF('Water Report'!$D$22&gt;0,'Water Report'!$D$22,0))</f>
        <v>0</v>
      </c>
      <c r="AZ2" s="301">
        <f>(IF('Water Report'!$D$23&gt;0,'Water Report'!$D$23,0))</f>
        <v>0</v>
      </c>
      <c r="BA2" s="301">
        <f>(IF('Water Report'!$D$14&gt;0,'Water Report'!$D$14,0))</f>
        <v>5</v>
      </c>
      <c r="BB2" s="301">
        <f>(IF('Water Report'!$D$15&gt;0,'Water Report'!$D$15,0))</f>
        <v>8</v>
      </c>
      <c r="BC2" s="301">
        <f>(IF('Water Report'!$D$13&gt;0,'Water Report'!$D$13,0))</f>
        <v>45</v>
      </c>
      <c r="BD2" s="301">
        <f>(IF('Water Report'!$D$24&gt;0,'Water Report'!$D$24,0))</f>
        <v>303</v>
      </c>
      <c r="BE2" s="301">
        <f>(IF('Water Report'!$D$25&gt;0,'Water Report'!$D$25,0))</f>
        <v>183</v>
      </c>
      <c r="BF2" s="301">
        <f>(IF('Water Report'!$D$27&gt;0,'Water Report'!$D$27,0))</f>
        <v>87</v>
      </c>
      <c r="BG2" s="296">
        <f>(IF('Section Load'!AN5&gt;0,'Section Load'!AN5,0))</f>
        <v>982.39999999990687</v>
      </c>
      <c r="BH2" s="296">
        <f>(IF('Section Load'!AO5&gt;0,'Section Load'!AO5,0))</f>
        <v>282.57999999995809</v>
      </c>
      <c r="BI2" s="296">
        <f>(IF('Section Load'!AP5&gt;0,'Section Load'!AP5,0))</f>
        <v>0.80000000000291038</v>
      </c>
      <c r="BJ2" s="296">
        <f>(IF('Section Load'!AQ5&gt;0,'Section Load'!AQ5,0))</f>
        <v>138</v>
      </c>
      <c r="BK2" s="296">
        <f>(IF('Section Load'!AR5&gt;0,'Section Load'!AR5,0))</f>
        <v>47</v>
      </c>
      <c r="BL2" s="296">
        <f>(IF('Section Load'!AS5&gt;0,'Section Load'!AS5,0))</f>
        <v>0</v>
      </c>
      <c r="BM2" s="296">
        <f>(IF('Section Load'!AT5&gt;0,'Section Load'!AT5,0))</f>
        <v>514.01999999994587</v>
      </c>
    </row>
    <row r="3" spans="1:65">
      <c r="A3" s="287" t="s">
        <v>268</v>
      </c>
      <c r="B3" s="288">
        <f>B2+1</f>
        <v>2</v>
      </c>
      <c r="C3" s="288">
        <v>12</v>
      </c>
      <c r="D3" s="288">
        <v>2022</v>
      </c>
      <c r="E3" s="294">
        <f>(IF('Section Load'!F6&gt;0,'Section Load'!F6,0))</f>
        <v>3192.7999999999302</v>
      </c>
      <c r="F3" s="294">
        <f>(IF('Section Load'!G6&gt;0,'Section Load'!G6,0))</f>
        <v>1025.960000000021</v>
      </c>
      <c r="G3" s="294">
        <f>(IF('Section Load'!H6&gt;0,'Section Load'!H6,0))</f>
        <v>2471.3600000001024</v>
      </c>
      <c r="H3" s="294">
        <f>(IF('Section Load'!I6&gt;0,'Section Load'!I6,0))</f>
        <v>4202.1600000000326</v>
      </c>
      <c r="I3" s="294">
        <f>(IF('Section Load'!J6&gt;0,'Section Load'!J6,0))</f>
        <v>3267.039999999979</v>
      </c>
      <c r="J3" s="294">
        <f>(IF('Section Load'!K6&gt;0,'Section Load'!K6,0))</f>
        <v>2386.3199999999488</v>
      </c>
      <c r="K3" s="294">
        <f>(IF('Section Load'!L6&gt;0,'Section Load'!L6,0))</f>
        <v>1434</v>
      </c>
      <c r="L3" s="294">
        <f>(IF('Section Load'!M6&gt;0,'Section Load'!M6,0))</f>
        <v>1103.5499999999884</v>
      </c>
      <c r="M3" s="294">
        <f>(IF('Section Load'!N6&gt;0,'Section Load'!N6,0))</f>
        <v>97</v>
      </c>
      <c r="N3" s="294">
        <f>(IF('Section Load'!O6&gt;0,'Section Load'!O6,0))</f>
        <v>183</v>
      </c>
      <c r="O3" s="294">
        <f>(IF('Section Load'!P6&gt;0,'Section Load'!P6,0))</f>
        <v>20.800000000000182</v>
      </c>
      <c r="P3" s="294">
        <f>(IF('Section Load'!Q6&gt;0,'Section Load'!Q6,0))</f>
        <v>239.11999999999534</v>
      </c>
      <c r="Q3" s="294">
        <f>(IF('Section Load'!R6&gt;0,'Section Load'!R6,0))</f>
        <v>80.930000000000291</v>
      </c>
      <c r="R3" s="294">
        <f>(IF('Section Load'!S6&gt;0,'Section Load'!S6,0))</f>
        <v>133.63999999999942</v>
      </c>
      <c r="S3" s="294">
        <f>(IF('Section Load'!T6&gt;0,'Section Load'!T6,0))</f>
        <v>37</v>
      </c>
      <c r="T3" s="294">
        <f>(IF('Section Load'!U6&gt;0,'Section Load'!U6,0))</f>
        <v>229</v>
      </c>
      <c r="U3" s="294">
        <f>(IF('Section Load'!V6&gt;0,'Section Load'!V6,0))</f>
        <v>432.19999999995343</v>
      </c>
      <c r="V3" s="294">
        <f>(IF('Section Load'!W6&gt;0,'Section Load'!W6,0))</f>
        <v>385.88000000000466</v>
      </c>
      <c r="W3" s="294">
        <f>(IF('Section Load'!X6&gt;0,'Section Load'!X6,0))</f>
        <v>31.200000000000728</v>
      </c>
      <c r="X3" s="294">
        <f>(IF('Section Load'!Y6&gt;0,'Section Load'!Y6,0))</f>
        <v>259.08000000000175</v>
      </c>
      <c r="Y3" s="294">
        <f>(IF('Section Load'!Z6&gt;0,'Section Load'!Z6,0))</f>
        <v>291</v>
      </c>
      <c r="Z3" s="294">
        <f>(IF('Section Load'!AA6&gt;0,'Section Load'!AA6,0))</f>
        <v>134.44000000000233</v>
      </c>
      <c r="AA3" s="294">
        <f>(IF('Section Load'!AB6&gt;0,'Section Load'!AB6,0))</f>
        <v>40.30000000000291</v>
      </c>
      <c r="AB3" s="294">
        <f>(IF('Section Load'!AC6&gt;0,'Section Load'!AC6,0))</f>
        <v>0</v>
      </c>
      <c r="AC3" s="294">
        <f>(IF('Section Load'!AD6&gt;0,'Section Load'!AD6,0))</f>
        <v>6.5</v>
      </c>
      <c r="AD3" s="294">
        <f>(IF('Section Load'!AE6&gt;0,'Section Load'!AE6,0))</f>
        <v>432.31999999999243</v>
      </c>
      <c r="AE3" s="294">
        <f>(IF('Section Load'!AF6&gt;0,'Section Load'!AF6,0))</f>
        <v>282.60000000000582</v>
      </c>
      <c r="AF3" s="294">
        <f>(IF('Section Load'!AG6&gt;0,'Section Load'!AG6,0))</f>
        <v>649.14999999999418</v>
      </c>
      <c r="AG3" s="294">
        <f>(IF('Section Load'!AH6&gt;0,'Section Load'!AH6,0))</f>
        <v>12</v>
      </c>
      <c r="AH3" s="294">
        <f>(IF('Section Load'!AI6&gt;0,'Section Load'!AI6,0))</f>
        <v>410.39999999999418</v>
      </c>
      <c r="AI3" s="294">
        <f>(IF('Section Load'!AJ6&gt;0,'Section Load'!AJ6,0))</f>
        <v>433</v>
      </c>
      <c r="AJ3" s="294">
        <f>(IF('Section Load'!AK6&gt;0,'Section Load'!AK6,0))</f>
        <v>366.10000000000582</v>
      </c>
      <c r="AK3" s="294">
        <f>(IF('Section Load'!AL6&gt;0,'Section Load'!AL6,0))</f>
        <v>308.60000000000582</v>
      </c>
      <c r="AL3" s="294">
        <f>(IF('Section Load'!AM6&gt;0,'Section Load'!AM6,0))</f>
        <v>735</v>
      </c>
      <c r="AM3" s="295">
        <f>(IF('Water Report'!$E$7&gt;0,'Water Report'!$E$7,0))</f>
        <v>109</v>
      </c>
      <c r="AN3" s="295">
        <f>(IF('Water Report'!$E$8&gt;0,'Water Report'!$E$8,0))</f>
        <v>90</v>
      </c>
      <c r="AO3" s="295">
        <f>(IF('Water Report'!$E$9&gt;0,'Water Report'!$E$9,0))</f>
        <v>114</v>
      </c>
      <c r="AP3" s="295">
        <f>(IF('Water Report'!$E$10&gt;0,'Water Report'!$E$10,0))</f>
        <v>20</v>
      </c>
      <c r="AQ3" s="295">
        <f>(IF('Water Report'!$E$11&gt;0,'Water Report'!$E$11,0))</f>
        <v>16</v>
      </c>
      <c r="AR3" s="295">
        <f>(IF('Water Report'!$E$13&gt;0,'Water Report'!$E$13,0))</f>
        <v>46</v>
      </c>
      <c r="AS3" s="295">
        <f>(IF('Water Report'!$E$14&gt;0,'Water Report'!$E$14,0))</f>
        <v>3</v>
      </c>
      <c r="AT3" s="295">
        <f>(IF('Water Report'!$E$15&gt;0,'Water Report'!$E$15,0))</f>
        <v>11</v>
      </c>
      <c r="AU3" s="295">
        <f>(IF('Water Report'!$E$17&gt;0,'Water Report'!$E$17,0))</f>
        <v>4</v>
      </c>
      <c r="AV3" s="295">
        <f>(IF('Water Report'!$E$18&gt;0,'Water Report'!$E$18,0))</f>
        <v>13</v>
      </c>
      <c r="AW3" s="295">
        <f>(IF('Water Report'!$E$19&gt;0,'Water Report'!$E$19,0))</f>
        <v>13</v>
      </c>
      <c r="AX3" s="301">
        <f>(IF('Water Report'!$E$21&gt;0,'Water Report'!$E$21,0))</f>
        <v>105</v>
      </c>
      <c r="AY3" s="301">
        <f>(IF('Water Report'!$E$22&gt;0,'Water Report'!$E$22,0))</f>
        <v>0</v>
      </c>
      <c r="AZ3" s="301">
        <f>(IF('Water Report'!$E$23&gt;0,'Water Report'!$E$23,0))</f>
        <v>0</v>
      </c>
      <c r="BA3" s="301">
        <f>(IF('Water Report'!$E$14&gt;0,'Water Report'!$E$14,0))</f>
        <v>3</v>
      </c>
      <c r="BB3" s="301">
        <f>(IF('Water Report'!$E$15&gt;0,'Water Report'!$E$15,0))</f>
        <v>11</v>
      </c>
      <c r="BC3" s="301">
        <f>(IF('Water Report'!$E$13&gt;0,'Water Report'!$E$13,0))</f>
        <v>46</v>
      </c>
      <c r="BD3" s="301">
        <f>(IF('Water Report'!$E$24&gt;0,'Water Report'!$E$24,0))</f>
        <v>313</v>
      </c>
      <c r="BE3" s="301">
        <f>(IF('Water Report'!$E$25&gt;0,'Water Report'!$E$25,0))</f>
        <v>164</v>
      </c>
      <c r="BF3" s="301">
        <f>(IF('Water Report'!$E$27&gt;0,'Water Report'!$E$27,0))</f>
        <v>151</v>
      </c>
      <c r="BG3" s="296">
        <f>(IF('Section Load'!AN6&gt;0,'Section Load'!AN6,0))</f>
        <v>1119.9500000001863</v>
      </c>
      <c r="BH3" s="296">
        <f>(IF('Section Load'!AO6&gt;0,'Section Load'!AO6,0))</f>
        <v>291.76000000000931</v>
      </c>
      <c r="BI3" s="296">
        <f>(IF('Section Load'!AP6&gt;0,'Section Load'!AP6,0))</f>
        <v>0</v>
      </c>
      <c r="BJ3" s="296">
        <f>(IF('Section Load'!AQ6&gt;0,'Section Load'!AQ6,0))</f>
        <v>144</v>
      </c>
      <c r="BK3" s="296">
        <f>(IF('Section Load'!AR6&gt;0,'Section Load'!AR6,0))</f>
        <v>56.80000000000291</v>
      </c>
      <c r="BL3" s="296">
        <f>(IF('Section Load'!AS6&gt;0,'Section Load'!AS6,0))</f>
        <v>0</v>
      </c>
      <c r="BM3" s="296">
        <f>(IF('Section Load'!AT6&gt;0,'Section Load'!AT6,0))</f>
        <v>627.79000000017368</v>
      </c>
    </row>
    <row r="4" spans="1:65">
      <c r="A4" s="287" t="s">
        <v>268</v>
      </c>
      <c r="B4" s="288">
        <f t="shared" ref="B4:B32" si="0">B3+1</f>
        <v>3</v>
      </c>
      <c r="C4" s="288">
        <v>12</v>
      </c>
      <c r="D4" s="288">
        <v>2022</v>
      </c>
      <c r="E4" s="294">
        <f>(IF('Section Load'!F7&gt;0,'Section Load'!F7,0))</f>
        <v>3215.9899999999907</v>
      </c>
      <c r="F4" s="294">
        <f>(IF('Section Load'!G7&gt;0,'Section Load'!G7,0))</f>
        <v>1030.820000000007</v>
      </c>
      <c r="G4" s="294">
        <f>(IF('Section Load'!H7&gt;0,'Section Load'!H7,0))</f>
        <v>2376.7899999999299</v>
      </c>
      <c r="H4" s="294">
        <f>(IF('Section Load'!I7&gt;0,'Section Load'!I7,0))</f>
        <v>4054.7999999999302</v>
      </c>
      <c r="I4" s="294">
        <f>(IF('Section Load'!J7&gt;0,'Section Load'!J7,0))</f>
        <v>3387.9000000000233</v>
      </c>
      <c r="J4" s="294">
        <f>(IF('Section Load'!K7&gt;0,'Section Load'!K7,0))</f>
        <v>2408.4400000000605</v>
      </c>
      <c r="K4" s="294">
        <f>(IF('Section Load'!L7&gt;0,'Section Load'!L7,0))</f>
        <v>1803.179999999993</v>
      </c>
      <c r="L4" s="294">
        <f>(IF('Section Load'!M7&gt;0,'Section Load'!M7,0))</f>
        <v>1154.7200000000303</v>
      </c>
      <c r="M4" s="294">
        <f>(IF('Section Load'!N7&gt;0,'Section Load'!N7,0))</f>
        <v>110</v>
      </c>
      <c r="N4" s="294">
        <f>(IF('Section Load'!O7&gt;0,'Section Load'!O7,0))</f>
        <v>162</v>
      </c>
      <c r="O4" s="294">
        <f>(IF('Section Load'!P7&gt;0,'Section Load'!P7,0))</f>
        <v>20</v>
      </c>
      <c r="P4" s="294">
        <f>(IF('Section Load'!Q7&gt;0,'Section Load'!Q7,0))</f>
        <v>238.1200000000099</v>
      </c>
      <c r="Q4" s="294">
        <f>(IF('Section Load'!R7&gt;0,'Section Load'!R7,0))</f>
        <v>87.669999999998254</v>
      </c>
      <c r="R4" s="294">
        <f>(IF('Section Load'!S7&gt;0,'Section Load'!S7,0))</f>
        <v>109.86000000000058</v>
      </c>
      <c r="S4" s="294">
        <f>(IF('Section Load'!T7&gt;0,'Section Load'!T7,0))</f>
        <v>45</v>
      </c>
      <c r="T4" s="294">
        <f>(IF('Section Load'!U7&gt;0,'Section Load'!U7,0))</f>
        <v>251</v>
      </c>
      <c r="U4" s="294">
        <f>(IF('Section Load'!V7&gt;0,'Section Load'!V7,0))</f>
        <v>481</v>
      </c>
      <c r="V4" s="294">
        <f>(IF('Section Load'!W7&gt;0,'Section Load'!W7,0))</f>
        <v>439</v>
      </c>
      <c r="W4" s="294">
        <f>(IF('Section Load'!X7&gt;0,'Section Load'!X7,0))</f>
        <v>33.299999999999272</v>
      </c>
      <c r="X4" s="294">
        <f>(IF('Section Load'!Y7&gt;0,'Section Load'!Y7,0))</f>
        <v>254.44999999999709</v>
      </c>
      <c r="Y4" s="294">
        <f>(IF('Section Load'!Z7&gt;0,'Section Load'!Z7,0))</f>
        <v>257</v>
      </c>
      <c r="Z4" s="294">
        <f>(IF('Section Load'!AA7&gt;0,'Section Load'!AA7,0))</f>
        <v>126.35999999998603</v>
      </c>
      <c r="AA4" s="294">
        <f>(IF('Section Load'!AB7&gt;0,'Section Load'!AB7,0))</f>
        <v>42.80000000000291</v>
      </c>
      <c r="AB4" s="294">
        <f>(IF('Section Load'!AC7&gt;0,'Section Load'!AC7,0))</f>
        <v>0</v>
      </c>
      <c r="AC4" s="294">
        <f>(IF('Section Load'!AD7&gt;0,'Section Load'!AD7,0))</f>
        <v>8.3000000000001819</v>
      </c>
      <c r="AD4" s="294">
        <f>(IF('Section Load'!AE7&gt;0,'Section Load'!AE7,0))</f>
        <v>362.90000000000873</v>
      </c>
      <c r="AE4" s="294">
        <f>(IF('Section Load'!AF7&gt;0,'Section Load'!AF7,0))</f>
        <v>252</v>
      </c>
      <c r="AF4" s="294">
        <f>(IF('Section Load'!AG7&gt;0,'Section Load'!AG7,0))</f>
        <v>631.94000000000233</v>
      </c>
      <c r="AG4" s="294">
        <f>(IF('Section Load'!AH7&gt;0,'Section Load'!AH7,0))</f>
        <v>12</v>
      </c>
      <c r="AH4" s="294">
        <f>(IF('Section Load'!AI7&gt;0,'Section Load'!AI7,0))</f>
        <v>410.5</v>
      </c>
      <c r="AI4" s="294">
        <f>(IF('Section Load'!AJ7&gt;0,'Section Load'!AJ7,0))</f>
        <v>421.19999999999709</v>
      </c>
      <c r="AJ4" s="294">
        <f>(IF('Section Load'!AK7&gt;0,'Section Load'!AK7,0))</f>
        <v>338.80000000000291</v>
      </c>
      <c r="AK4" s="294">
        <f>(IF('Section Load'!AL7&gt;0,'Section Load'!AL7,0))</f>
        <v>317.27000000000407</v>
      </c>
      <c r="AL4" s="294">
        <f>(IF('Section Load'!AM7&gt;0,'Section Load'!AM7,0))</f>
        <v>778</v>
      </c>
      <c r="AM4" s="295">
        <f>(IF('Water Report'!$F$7&gt;0,'Water Report'!$F$7,0))</f>
        <v>109</v>
      </c>
      <c r="AN4" s="295">
        <f>(IF('Water Report'!$F$8&gt;0,'Water Report'!$F$8,0))</f>
        <v>80</v>
      </c>
      <c r="AO4" s="295">
        <f>(IF('Water Report'!$F$9&gt;0,'Water Report'!$G$9,0))</f>
        <v>122</v>
      </c>
      <c r="AP4" s="295">
        <f>(IF('Water Report'!$F$10&gt;0,'Water Report'!$F$10,0))</f>
        <v>9</v>
      </c>
      <c r="AQ4" s="295">
        <f>(IF('Water Report'!$F$11&gt;0,'Water Report'!$F$11,0))</f>
        <v>32</v>
      </c>
      <c r="AR4" s="295">
        <f>(IF('Water Report'!$F$13&gt;0,'Water Report'!$F$13,0))</f>
        <v>19</v>
      </c>
      <c r="AS4" s="295">
        <f>(IF('Water Report'!$F$14&gt;0,'Water Report'!$F$14,0))</f>
        <v>5</v>
      </c>
      <c r="AT4" s="295">
        <f>(IF('Water Report'!$F$15&gt;0,'Water Report'!$F$15,0))</f>
        <v>6</v>
      </c>
      <c r="AU4" s="295">
        <f>(IF('Water Report'!$F$17&gt;0,'Water Report'!$F$17,0))</f>
        <v>2</v>
      </c>
      <c r="AV4" s="295">
        <f>(IF('Water Report'!$F$18&gt;0,'Water Report'!$F$18,0))</f>
        <v>12</v>
      </c>
      <c r="AW4" s="295">
        <f>(IF('Water Report'!$F$19&gt;0,'Water Report'!$F$19,0))</f>
        <v>11</v>
      </c>
      <c r="AX4" s="301">
        <f>(IF('Water Report'!$F$21&gt;0,'Water Report'!$F$21,0))</f>
        <v>75</v>
      </c>
      <c r="AY4" s="301">
        <f>(IF('Water Report'!$F$22&gt;0,'Water Report'!$F$22,0))</f>
        <v>0</v>
      </c>
      <c r="AZ4" s="301">
        <f>(IF('Water Report'!$F$23&gt;0,'Water Report'!$F$23,0))</f>
        <v>8</v>
      </c>
      <c r="BA4" s="301">
        <f>(IF('Water Report'!$F$14&gt;0,'Water Report'!$F$14,0))</f>
        <v>5</v>
      </c>
      <c r="BB4" s="301">
        <f>(IF('Water Report'!$F$15&gt;0,'Water Report'!$F$15,0))</f>
        <v>6</v>
      </c>
      <c r="BC4" s="301">
        <f>(IF('Water Report'!$F$13&gt;0,'Water Report'!$F$13,0))</f>
        <v>19</v>
      </c>
      <c r="BD4" s="301">
        <f>(IF('Water Report'!$F$24&gt;0,'Water Report'!$F$24,0))</f>
        <v>326</v>
      </c>
      <c r="BE4" s="301">
        <f>(IF('Water Report'!$F$25&gt;0,'Water Report'!$F$25,0))</f>
        <v>173</v>
      </c>
      <c r="BF4" s="301">
        <f>(IF('Water Report'!$F$27&gt;0,'Water Report'!$F$27,0))</f>
        <v>102</v>
      </c>
      <c r="BG4" s="296">
        <f>(IF('Section Load'!AN7&gt;0,'Section Load'!AN7,0))</f>
        <v>1133.6499999999069</v>
      </c>
      <c r="BH4" s="296">
        <f>(IF('Section Load'!AO7&gt;0,'Section Load'!AO7,0))</f>
        <v>287.0899999999674</v>
      </c>
      <c r="BI4" s="296">
        <f>(IF('Section Load'!AP7&gt;0,'Section Load'!AP7,0))</f>
        <v>0</v>
      </c>
      <c r="BJ4" s="296">
        <f>(IF('Section Load'!AQ7&gt;0,'Section Load'!AQ7,0))</f>
        <v>155</v>
      </c>
      <c r="BK4" s="296">
        <f>(IF('Section Load'!AR7&gt;0,'Section Load'!AR7,0))</f>
        <v>71.19999999999709</v>
      </c>
      <c r="BL4" s="296">
        <f>(IF('Section Load'!AS7&gt;0,'Section Load'!AS7,0))</f>
        <v>0</v>
      </c>
      <c r="BM4" s="296">
        <f>(IF('Section Load'!AT7&gt;0,'Section Load'!AT7,0))</f>
        <v>620.35999999994237</v>
      </c>
    </row>
    <row r="5" spans="1:65">
      <c r="A5" s="287" t="s">
        <v>268</v>
      </c>
      <c r="B5" s="288">
        <f t="shared" si="0"/>
        <v>4</v>
      </c>
      <c r="C5" s="288">
        <v>12</v>
      </c>
      <c r="D5" s="288">
        <v>2022</v>
      </c>
      <c r="E5" s="294">
        <f>(IF('Section Load'!F8&gt;0,'Section Load'!F8,0))</f>
        <v>3375.5300000000861</v>
      </c>
      <c r="F5" s="294">
        <f>(IF('Section Load'!G8&gt;0,'Section Load'!G8,0))</f>
        <v>1092.7299999999814</v>
      </c>
      <c r="G5" s="294">
        <f>(IF('Section Load'!H8&gt;0,'Section Load'!H8,0))</f>
        <v>2388.0799999999581</v>
      </c>
      <c r="H5" s="294">
        <f>(IF('Section Load'!I8&gt;0,'Section Load'!I8,0))</f>
        <v>4044.2399999999907</v>
      </c>
      <c r="I5" s="294">
        <f>(IF('Section Load'!J8&gt;0,'Section Load'!J8,0))</f>
        <v>3975.9300000000512</v>
      </c>
      <c r="J5" s="294">
        <f>(IF('Section Load'!K8&gt;0,'Section Load'!K8,0))</f>
        <v>2485.5999999999767</v>
      </c>
      <c r="K5" s="294">
        <f>(IF('Section Load'!L8&gt;0,'Section Load'!L8,0))</f>
        <v>1479.1300000000047</v>
      </c>
      <c r="L5" s="294">
        <f>(IF('Section Load'!M8&gt;0,'Section Load'!M8,0))</f>
        <v>1308.4400000000023</v>
      </c>
      <c r="M5" s="294">
        <f>(IF('Section Load'!N8&gt;0,'Section Load'!N8,0))</f>
        <v>87</v>
      </c>
      <c r="N5" s="294">
        <f>(IF('Section Load'!O8&gt;0,'Section Load'!O8,0))</f>
        <v>155</v>
      </c>
      <c r="O5" s="294">
        <f>(IF('Section Load'!P8&gt;0,'Section Load'!P8,0))</f>
        <v>20.900000000000091</v>
      </c>
      <c r="P5" s="294">
        <f>(IF('Section Load'!Q8&gt;0,'Section Load'!Q8,0))</f>
        <v>236.39999999999418</v>
      </c>
      <c r="Q5" s="294">
        <f>(IF('Section Load'!R8&gt;0,'Section Load'!R8,0))</f>
        <v>88.5</v>
      </c>
      <c r="R5" s="294">
        <f>(IF('Section Load'!S8&gt;0,'Section Load'!S8,0))</f>
        <v>126.5</v>
      </c>
      <c r="S5" s="294">
        <f>(IF('Section Load'!T8&gt;0,'Section Load'!T8,0))</f>
        <v>29</v>
      </c>
      <c r="T5" s="294">
        <f>(IF('Section Load'!U8&gt;0,'Section Load'!U8,0))</f>
        <v>206</v>
      </c>
      <c r="U5" s="294">
        <f>(IF('Section Load'!V8&gt;0,'Section Load'!V8,0))</f>
        <v>464</v>
      </c>
      <c r="V5" s="294">
        <f>(IF('Section Load'!W8&gt;0,'Section Load'!W8,0))</f>
        <v>526.64000000001397</v>
      </c>
      <c r="W5" s="294">
        <f>(IF('Section Load'!X8&gt;0,'Section Load'!X8,0))</f>
        <v>27.799999999999272</v>
      </c>
      <c r="X5" s="294">
        <f>(IF('Section Load'!Y8&gt;0,'Section Load'!Y8,0))</f>
        <v>256.19000000000233</v>
      </c>
      <c r="Y5" s="294">
        <f>(IF('Section Load'!Z8&gt;0,'Section Load'!Z8,0))</f>
        <v>230</v>
      </c>
      <c r="Z5" s="294">
        <f>(IF('Section Load'!AA8&gt;0,'Section Load'!AA8,0))</f>
        <v>77.600000000034925</v>
      </c>
      <c r="AA5" s="294">
        <f>(IF('Section Load'!AB8&gt;0,'Section Load'!AB8,0))</f>
        <v>22.899999999994179</v>
      </c>
      <c r="AB5" s="294">
        <f>(IF('Section Load'!AC8&gt;0,'Section Load'!AC8,0))</f>
        <v>0</v>
      </c>
      <c r="AC5" s="294">
        <f>(IF('Section Load'!AD8&gt;0,'Section Load'!AD8,0))</f>
        <v>3.8000000000001819</v>
      </c>
      <c r="AD5" s="294">
        <f>(IF('Section Load'!AE8&gt;0,'Section Load'!AE8,0))</f>
        <v>391.47999999999593</v>
      </c>
      <c r="AE5" s="294">
        <f>(IF('Section Load'!AF8&gt;0,'Section Load'!AF8,0))</f>
        <v>249.89999999999418</v>
      </c>
      <c r="AF5" s="294">
        <f>(IF('Section Load'!AG8&gt;0,'Section Load'!AG8,0))</f>
        <v>585.85999999998603</v>
      </c>
      <c r="AG5" s="294">
        <f>(IF('Section Load'!AH8&gt;0,'Section Load'!AH8,0))</f>
        <v>12</v>
      </c>
      <c r="AH5" s="294">
        <f>(IF('Section Load'!AI8&gt;0,'Section Load'!AI8,0))</f>
        <v>427.10000000000582</v>
      </c>
      <c r="AI5" s="294">
        <f>(IF('Section Load'!AJ8&gt;0,'Section Load'!AJ8,0))</f>
        <v>406.90000000000873</v>
      </c>
      <c r="AJ5" s="294">
        <f>(IF('Section Load'!AK8&gt;0,'Section Load'!AK8,0))</f>
        <v>330</v>
      </c>
      <c r="AK5" s="294">
        <f>(IF('Section Load'!AL8&gt;0,'Section Load'!AL8,0))</f>
        <v>316.02999999999884</v>
      </c>
      <c r="AL5" s="294">
        <f>(IF('Section Load'!AM8&gt;0,'Section Load'!AM8,0))</f>
        <v>730</v>
      </c>
      <c r="AM5" s="295">
        <f>(IF('Water Report'!$G$7&gt;0,'Water Report'!$F$7,0))</f>
        <v>109</v>
      </c>
      <c r="AN5" s="295">
        <f>(IF('Water Report'!$G$8&gt;0,'Water Report'!$F$8,0))</f>
        <v>80</v>
      </c>
      <c r="AO5" s="295">
        <f>(IF('Water Report'!$G$9&gt;0,'Water Report'!$H$9,0))</f>
        <v>128</v>
      </c>
      <c r="AP5" s="295">
        <f>(IF('Water Report'!$G$10&gt;0,'Water Report'!$G$10,0))</f>
        <v>9</v>
      </c>
      <c r="AQ5" s="295">
        <f>(IF('Water Report'!$G$11&gt;0,'Water Report'!$G$11,0))</f>
        <v>26</v>
      </c>
      <c r="AR5" s="295">
        <f>(IF('Water Report'!$G$13&gt;0,'Water Report'!$G$13,0))</f>
        <v>31</v>
      </c>
      <c r="AS5" s="295">
        <f>(IF('Water Report'!$G$14&gt;0,'Water Report'!$G$14,0))</f>
        <v>2</v>
      </c>
      <c r="AT5" s="295">
        <f>(IF('Water Report'!$G$15&gt;0,'Water Report'!$G$15,0))</f>
        <v>8</v>
      </c>
      <c r="AU5" s="295">
        <f>(IF('Water Report'!$G$17&gt;0,'Water Report'!$G$17,0))</f>
        <v>1</v>
      </c>
      <c r="AV5" s="295">
        <f>(IF('Water Report'!$G$18&gt;0,'Water Report'!$G$18,0))</f>
        <v>13</v>
      </c>
      <c r="AW5" s="295">
        <f>(IF('Water Report'!$G$19&gt;0,'Water Report'!$G$19,0))</f>
        <v>13</v>
      </c>
      <c r="AX5" s="301">
        <f>(IF('Water Report'!$G$21&gt;0,'Water Report'!$G$21,0))</f>
        <v>48</v>
      </c>
      <c r="AY5" s="301">
        <f>(IF('Water Report'!$G$22&gt;0,'Water Report'!$G$22,0))</f>
        <v>0</v>
      </c>
      <c r="AZ5" s="301">
        <f>(IF('Water Report'!$G$23&gt;0,'Water Report'!$G$23,0))</f>
        <v>0</v>
      </c>
      <c r="BA5" s="301">
        <f>(IF('Water Report'!$G$14&gt;0,'Water Report'!$G$14,0))</f>
        <v>2</v>
      </c>
      <c r="BB5" s="301">
        <f>(IF('Water Report'!$G$15&gt;0,'Water Report'!$G$15,0))</f>
        <v>8</v>
      </c>
      <c r="BC5" s="301">
        <f>(IF('Water Report'!$G$13&gt;0,'Water Report'!$G$13,0))</f>
        <v>31</v>
      </c>
      <c r="BD5" s="301">
        <f>(IF('Water Report'!$G$24&gt;0,'Water Report'!$G$24,0))</f>
        <v>269</v>
      </c>
      <c r="BE5" s="301">
        <f>(IF('Water Report'!$G$25&gt;0,'Water Report'!$G$25,0))</f>
        <v>167</v>
      </c>
      <c r="BF5" s="301">
        <f>(IF('Water Report'!$G$27&gt;0,'Water Report'!$G$27,0))</f>
        <v>79</v>
      </c>
      <c r="BG5" s="296">
        <f>(IF('Section Load'!AN8&gt;0,'Section Load'!AN8,0))</f>
        <v>1075.7000000001863</v>
      </c>
      <c r="BH5" s="296">
        <f>(IF('Section Load'!AO8&gt;0,'Section Load'!AO8,0))</f>
        <v>306.84000000008382</v>
      </c>
      <c r="BI5" s="296">
        <f>(IF('Section Load'!AP8&gt;0,'Section Load'!AP8,0))</f>
        <v>0</v>
      </c>
      <c r="BJ5" s="296">
        <f>(IF('Section Load'!AQ8&gt;0,'Section Load'!AQ8,0))</f>
        <v>124</v>
      </c>
      <c r="BK5" s="296">
        <f>(IF('Section Load'!AR8&gt;0,'Section Load'!AR8,0))</f>
        <v>21</v>
      </c>
      <c r="BL5" s="296">
        <f>(IF('Section Load'!AS8&gt;0,'Section Load'!AS8,0))</f>
        <v>0</v>
      </c>
      <c r="BM5" s="296">
        <f>(IF('Section Load'!AT8&gt;0,'Section Load'!AT8,0))</f>
        <v>623.86000000010245</v>
      </c>
    </row>
    <row r="6" spans="1:65">
      <c r="A6" s="287" t="s">
        <v>268</v>
      </c>
      <c r="B6" s="288">
        <f t="shared" si="0"/>
        <v>5</v>
      </c>
      <c r="C6" s="288">
        <v>12</v>
      </c>
      <c r="D6" s="288">
        <v>2022</v>
      </c>
      <c r="E6" s="294">
        <f>(IF('Section Load'!F9&gt;0,'Section Load'!F9,0))</f>
        <v>3180.8199999999488</v>
      </c>
      <c r="F6" s="294">
        <f>(IF('Section Load'!G9&gt;0,'Section Load'!G9,0))</f>
        <v>1082.570000000007</v>
      </c>
      <c r="G6" s="294">
        <f>(IF('Section Load'!H9&gt;0,'Section Load'!H9,0))</f>
        <v>2268.8200000000561</v>
      </c>
      <c r="H6" s="294">
        <f>(IF('Section Load'!I9&gt;0,'Section Load'!I9,0))</f>
        <v>3946.8600000001024</v>
      </c>
      <c r="I6" s="294">
        <f>(IF('Section Load'!J9&gt;0,'Section Load'!J9,0))</f>
        <v>4224.8499999998603</v>
      </c>
      <c r="J6" s="294">
        <f>(IF('Section Load'!K9&gt;0,'Section Load'!K9,0))</f>
        <v>2443.7299999999814</v>
      </c>
      <c r="K6" s="294">
        <f>(IF('Section Load'!L9&gt;0,'Section Load'!L9,0))</f>
        <v>1596.5</v>
      </c>
      <c r="L6" s="294">
        <f>(IF('Section Load'!M9&gt;0,'Section Load'!M9,0))</f>
        <v>1200.4899999999907</v>
      </c>
      <c r="M6" s="294">
        <f>(IF('Section Load'!N9&gt;0,'Section Load'!N9,0))</f>
        <v>150</v>
      </c>
      <c r="N6" s="294">
        <f>(IF('Section Load'!O9&gt;0,'Section Load'!O9,0))</f>
        <v>159</v>
      </c>
      <c r="O6" s="294">
        <f>(IF('Section Load'!P9&gt;0,'Section Load'!P9,0))</f>
        <v>19.099999999999909</v>
      </c>
      <c r="P6" s="294">
        <f>(IF('Section Load'!Q9&gt;0,'Section Load'!Q9,0))</f>
        <v>237</v>
      </c>
      <c r="Q6" s="294">
        <f>(IF('Section Load'!R9&gt;0,'Section Load'!R9,0))</f>
        <v>82</v>
      </c>
      <c r="R6" s="294">
        <f>(IF('Section Load'!S9&gt;0,'Section Load'!S9,0))</f>
        <v>160</v>
      </c>
      <c r="S6" s="294">
        <f>(IF('Section Load'!T9&gt;0,'Section Load'!T9,0))</f>
        <v>40</v>
      </c>
      <c r="T6" s="294">
        <f>(IF('Section Load'!U9&gt;0,'Section Load'!U9,0))</f>
        <v>233</v>
      </c>
      <c r="U6" s="294">
        <f>(IF('Section Load'!V9&gt;0,'Section Load'!V9,0))</f>
        <v>433</v>
      </c>
      <c r="V6" s="294">
        <f>(IF('Section Load'!W9&gt;0,'Section Load'!W9,0))</f>
        <v>407.35999999998603</v>
      </c>
      <c r="W6" s="294">
        <f>(IF('Section Load'!X9&gt;0,'Section Load'!X9,0))</f>
        <v>29.200000000000728</v>
      </c>
      <c r="X6" s="294">
        <f>(IF('Section Load'!Y9&gt;0,'Section Load'!Y9,0))</f>
        <v>233.72999999999593</v>
      </c>
      <c r="Y6" s="294">
        <f>(IF('Section Load'!Z9&gt;0,'Section Load'!Z9,0))</f>
        <v>214</v>
      </c>
      <c r="Z6" s="294">
        <f>(IF('Section Load'!AA9&gt;0,'Section Load'!AA9,0))</f>
        <v>253.03999999997905</v>
      </c>
      <c r="AA6" s="294">
        <f>(IF('Section Load'!AB9&gt;0,'Section Load'!AB9,0))</f>
        <v>44.30000000000291</v>
      </c>
      <c r="AB6" s="294">
        <f>(IF('Section Load'!AC9&gt;0,'Section Load'!AC9,0))</f>
        <v>0</v>
      </c>
      <c r="AC6" s="294">
        <f>(IF('Section Load'!AD9&gt;0,'Section Load'!AD9,0))</f>
        <v>6.8999999999996362</v>
      </c>
      <c r="AD6" s="294">
        <f>(IF('Section Load'!AE9&gt;0,'Section Load'!AE9,0))</f>
        <v>387.5</v>
      </c>
      <c r="AE6" s="294">
        <f>(IF('Section Load'!AF9&gt;0,'Section Load'!AF9,0))</f>
        <v>251.60000000000582</v>
      </c>
      <c r="AF6" s="294">
        <f>(IF('Section Load'!AG9&gt;0,'Section Load'!AG9,0))</f>
        <v>593.20000000001164</v>
      </c>
      <c r="AG6" s="294">
        <f>(IF('Section Load'!AH9&gt;0,'Section Load'!AH9,0))</f>
        <v>12</v>
      </c>
      <c r="AH6" s="294">
        <f>(IF('Section Load'!AI9&gt;0,'Section Load'!AI9,0))</f>
        <v>382.39999999999418</v>
      </c>
      <c r="AI6" s="294">
        <f>(IF('Section Load'!AJ9&gt;0,'Section Load'!AJ9,0))</f>
        <v>407.89999999999418</v>
      </c>
      <c r="AJ6" s="294">
        <f>(IF('Section Load'!AK9&gt;0,'Section Load'!AK9,0))</f>
        <v>337.19999999999709</v>
      </c>
      <c r="AK6" s="294">
        <f>(IF('Section Load'!AL9&gt;0,'Section Load'!AL9,0))</f>
        <v>303.69999999999709</v>
      </c>
      <c r="AL6" s="294">
        <f>(IF('Section Load'!AM9&gt;0,'Section Load'!AM9,0))</f>
        <v>746</v>
      </c>
      <c r="AM6" s="295">
        <f>(IF('Water Report'!$H$7&gt;0,'Water Report'!$H$7,0))</f>
        <v>96</v>
      </c>
      <c r="AN6" s="295">
        <f>(IF('Water Report'!$H$8&gt;0,'Water Report'!$H$8,0))</f>
        <v>48</v>
      </c>
      <c r="AO6" s="295">
        <f>(IF('Water Report'!$H$9&gt;0,'Water Report'!$H$9,0))</f>
        <v>128</v>
      </c>
      <c r="AP6" s="295">
        <f>(IF('Water Report'!$H$10&gt;0,'Water Report'!$H$10,0))</f>
        <v>7</v>
      </c>
      <c r="AQ6" s="295">
        <f>(IF('Water Report'!$H$11&gt;0,'Water Report'!$H$11,0))</f>
        <v>14</v>
      </c>
      <c r="AR6" s="295">
        <f>(IF('Water Report'!$H$13&gt;0,'Water Report'!$H$13,0))</f>
        <v>18</v>
      </c>
      <c r="AS6" s="295">
        <f>(IF('Water Report'!$H$14&gt;0,'Water Report'!$H$14,0))</f>
        <v>3</v>
      </c>
      <c r="AT6" s="295">
        <f>(IF('Water Report'!$H$15&gt;0,'Water Report'!$H$15,0))</f>
        <v>5</v>
      </c>
      <c r="AU6" s="295">
        <f>(IF('Water Report'!$H$17&gt;0,'Water Report'!$H$17,0))</f>
        <v>0</v>
      </c>
      <c r="AV6" s="295">
        <f>(IF('Water Report'!$H$18&gt;0,'Water Report'!$H$18,0))</f>
        <v>10</v>
      </c>
      <c r="AW6" s="295">
        <f>(IF('Water Report'!$H$19&gt;0,'Water Report'!$H$19,0))</f>
        <v>11</v>
      </c>
      <c r="AX6" s="301">
        <f>(IF('Water Report'!$H$21&gt;0,'Water Report'!$H$21,0))</f>
        <v>18</v>
      </c>
      <c r="AY6" s="301">
        <f>(IF('Water Report'!$H$22&gt;0,'Water Report'!$H$22,0))</f>
        <v>0</v>
      </c>
      <c r="AZ6" s="301">
        <f>(IF('Water Report'!$H$23&gt;0,'Water Report'!$H$23,0))</f>
        <v>11</v>
      </c>
      <c r="BA6" s="301">
        <f>(IF('Water Report'!$H$14&gt;0,'Water Report'!$H$14,0))</f>
        <v>3</v>
      </c>
      <c r="BB6" s="301">
        <f>(IF('Water Report'!$H$15&gt;0,'Water Report'!$H$15,0))</f>
        <v>5</v>
      </c>
      <c r="BC6" s="301">
        <f>(IF('Water Report'!$H$13&gt;0,'Water Report'!$H$13,0))</f>
        <v>18</v>
      </c>
      <c r="BD6" s="301">
        <f>(IF('Water Report'!$H$24&gt;0,'Water Report'!$H$24,0))</f>
        <v>311</v>
      </c>
      <c r="BE6" s="301">
        <f>(IF('Water Report'!$H$25&gt;0,'Water Report'!$H$25,0))</f>
        <v>157</v>
      </c>
      <c r="BF6" s="301">
        <f>(IF('Water Report'!$H$27&gt;0,'Water Report'!$H$27,0))</f>
        <v>47</v>
      </c>
      <c r="BG6" s="296">
        <f>(IF('Section Load'!AN9&gt;0,'Section Load'!AN9,0))</f>
        <v>1103.2999999998137</v>
      </c>
      <c r="BH6" s="296">
        <f>(IF('Section Load'!AO9&gt;0,'Section Load'!AO9,0))</f>
        <v>302.69999999995343</v>
      </c>
      <c r="BI6" s="296">
        <f>(IF('Section Load'!AP9&gt;0,'Section Load'!AP9,0))</f>
        <v>0</v>
      </c>
      <c r="BJ6" s="296">
        <f>(IF('Section Load'!AQ9&gt;0,'Section Load'!AQ9,0))</f>
        <v>146</v>
      </c>
      <c r="BK6" s="296">
        <f>(IF('Section Load'!AR9&gt;0,'Section Load'!AR9,0))</f>
        <v>76</v>
      </c>
      <c r="BL6" s="296">
        <f>(IF('Section Load'!AS9&gt;0,'Section Load'!AS9,0))</f>
        <v>0.3999999999996362</v>
      </c>
      <c r="BM6" s="296">
        <f>(IF('Section Load'!AT9&gt;0,'Section Load'!AT9,0))</f>
        <v>578.19999999986067</v>
      </c>
    </row>
    <row r="7" spans="1:65">
      <c r="A7" s="287" t="s">
        <v>268</v>
      </c>
      <c r="B7" s="288">
        <f t="shared" si="0"/>
        <v>6</v>
      </c>
      <c r="C7" s="288">
        <v>12</v>
      </c>
      <c r="D7" s="288">
        <v>2022</v>
      </c>
      <c r="E7" s="294">
        <f>(IF('Section Load'!F10&gt;0,'Section Load'!F10,0))</f>
        <v>3102.5499999999884</v>
      </c>
      <c r="F7" s="294">
        <f>(IF('Section Load'!G10&gt;0,'Section Load'!G10,0))</f>
        <v>1091.7099999999919</v>
      </c>
      <c r="G7" s="294">
        <f>(IF('Section Load'!H10&gt;0,'Section Load'!H10,0))</f>
        <v>2350.9499999999534</v>
      </c>
      <c r="H7" s="294">
        <f>(IF('Section Load'!I10&gt;0,'Section Load'!I10,0))</f>
        <v>4047.7799999999115</v>
      </c>
      <c r="I7" s="294">
        <f>(IF('Section Load'!J10&gt;0,'Section Load'!J10,0))</f>
        <v>3777.7000000000698</v>
      </c>
      <c r="J7" s="294">
        <f>(IF('Section Load'!K10&gt;0,'Section Load'!K10,0))</f>
        <v>2370.5999999999767</v>
      </c>
      <c r="K7" s="294">
        <f>(IF('Section Load'!L10&gt;0,'Section Load'!L10,0))</f>
        <v>1360.9899999999907</v>
      </c>
      <c r="L7" s="294">
        <f>(IF('Section Load'!M10&gt;0,'Section Load'!M10,0))</f>
        <v>944.98999999999069</v>
      </c>
      <c r="M7" s="294">
        <f>(IF('Section Load'!N10&gt;0,'Section Load'!N10,0))</f>
        <v>134</v>
      </c>
      <c r="N7" s="294">
        <f>(IF('Section Load'!O10&gt;0,'Section Load'!O10,0))</f>
        <v>159</v>
      </c>
      <c r="O7" s="294">
        <f>(IF('Section Load'!P10&gt;0,'Section Load'!P10,0))</f>
        <v>23.869999999999891</v>
      </c>
      <c r="P7" s="294">
        <f>(IF('Section Load'!Q10&gt;0,'Section Load'!Q10,0))</f>
        <v>245.24000000000524</v>
      </c>
      <c r="Q7" s="294">
        <f>(IF('Section Load'!R10&gt;0,'Section Load'!R10,0))</f>
        <v>92.370000000002619</v>
      </c>
      <c r="R7" s="294">
        <f>(IF('Section Load'!S10&gt;0,'Section Load'!S10,0))</f>
        <v>161.09999999999854</v>
      </c>
      <c r="S7" s="294">
        <f>(IF('Section Load'!T10&gt;0,'Section Load'!T10,0))</f>
        <v>31</v>
      </c>
      <c r="T7" s="294">
        <f>(IF('Section Load'!U10&gt;0,'Section Load'!U10,0))</f>
        <v>236</v>
      </c>
      <c r="U7" s="294">
        <f>(IF('Section Load'!V10&gt;0,'Section Load'!V10,0))</f>
        <v>380.59999999997672</v>
      </c>
      <c r="V7" s="294">
        <f>(IF('Section Load'!W10&gt;0,'Section Load'!W10,0))</f>
        <v>357.52000000001863</v>
      </c>
      <c r="W7" s="294">
        <f>(IF('Section Load'!X10&gt;0,'Section Load'!X10,0))</f>
        <v>36.799999999999272</v>
      </c>
      <c r="X7" s="294">
        <f>(IF('Section Load'!Y10&gt;0,'Section Load'!Y10,0))</f>
        <v>252.00999999999476</v>
      </c>
      <c r="Y7" s="294">
        <f>(IF('Section Load'!Z10&gt;0,'Section Load'!Z10,0))</f>
        <v>218</v>
      </c>
      <c r="Z7" s="294">
        <f>(IF('Section Load'!AA10&gt;0,'Section Load'!AA10,0))</f>
        <v>236.03999999997905</v>
      </c>
      <c r="AA7" s="294">
        <f>(IF('Section Load'!AB10&gt;0,'Section Load'!AB10,0))</f>
        <v>44.5</v>
      </c>
      <c r="AB7" s="294">
        <f>(IF('Section Load'!AC10&gt;0,'Section Load'!AC10,0))</f>
        <v>0</v>
      </c>
      <c r="AC7" s="294">
        <f>(IF('Section Load'!AD10&gt;0,'Section Load'!AD10,0))</f>
        <v>9.3000000000001819</v>
      </c>
      <c r="AD7" s="294">
        <f>(IF('Section Load'!AE10&gt;0,'Section Load'!AE10,0))</f>
        <v>376.07000000000698</v>
      </c>
      <c r="AE7" s="294">
        <f>(IF('Section Load'!AF10&gt;0,'Section Load'!AF10,0))</f>
        <v>258.5</v>
      </c>
      <c r="AF7" s="294">
        <f>(IF('Section Load'!AG10&gt;0,'Section Load'!AG10,0))</f>
        <v>624.88000000000466</v>
      </c>
      <c r="AG7" s="294">
        <f>(IF('Section Load'!AH10&gt;0,'Section Load'!AH10,0))</f>
        <v>11.599999999998545</v>
      </c>
      <c r="AH7" s="294">
        <f>(IF('Section Load'!AI10&gt;0,'Section Load'!AI10,0))</f>
        <v>411.30000000000291</v>
      </c>
      <c r="AI7" s="294">
        <f>(IF('Section Load'!AJ10&gt;0,'Section Load'!AJ10,0))</f>
        <v>413.72999999999593</v>
      </c>
      <c r="AJ7" s="294">
        <f>(IF('Section Load'!AK10&gt;0,'Section Load'!AK10,0))</f>
        <v>366.16999999999825</v>
      </c>
      <c r="AK7" s="294">
        <f>(IF('Section Load'!AL10&gt;0,'Section Load'!AL10,0))</f>
        <v>312.39999999999418</v>
      </c>
      <c r="AL7" s="294">
        <f>(IF('Section Load'!AM10&gt;0,'Section Load'!AM10,0))</f>
        <v>709</v>
      </c>
      <c r="AM7" s="295">
        <f>(IF('Water Report'!$I$7&gt;0,'Water Report'!$I$7,0))</f>
        <v>113</v>
      </c>
      <c r="AN7" s="295">
        <f>(IF('Water Report'!$I$8&gt;0,'Water Report'!$I$8,0))</f>
        <v>46</v>
      </c>
      <c r="AO7" s="295">
        <f>(IF('Water Report'!$I$9&gt;0,'Water Report'!$I$9,0))</f>
        <v>153</v>
      </c>
      <c r="AP7" s="295">
        <f>(IF('Water Report'!$I$10&gt;0,'Water Report'!$I$10,0))</f>
        <v>5</v>
      </c>
      <c r="AQ7" s="295">
        <f>(IF('Water Report'!$I$11&gt;0,'Water Report'!$I$11,0))</f>
        <v>17</v>
      </c>
      <c r="AR7" s="295">
        <f>(IF('Water Report'!$I$13&gt;0,'Water Report'!$I$13,0))</f>
        <v>18</v>
      </c>
      <c r="AS7" s="295">
        <f>(IF('Water Report'!$I$14&gt;0,'Water Report'!$I$14,0))</f>
        <v>3</v>
      </c>
      <c r="AT7" s="295">
        <f>(IF('Water Report'!$I$15&gt;0,'Water Report'!$I$15,0))</f>
        <v>5</v>
      </c>
      <c r="AU7" s="295">
        <f>(IF('Water Report'!$I$17&gt;0,'Water Report'!$I$17,0))</f>
        <v>1</v>
      </c>
      <c r="AV7" s="295">
        <f>(IF('Water Report'!$I$18&gt;0,'Water Report'!$I$18,0))</f>
        <v>10</v>
      </c>
      <c r="AW7" s="295">
        <f>(IF('Water Report'!$I$19&gt;0,'Water Report'!$I$19,0))</f>
        <v>16</v>
      </c>
      <c r="AX7" s="301">
        <f>(IF('Water Report'!$I$21&gt;0,'Water Report'!$I$21,0))</f>
        <v>56</v>
      </c>
      <c r="AY7" s="301">
        <f>(IF('Water Report'!$I$22&gt;0,'Water Report'!$I$22,0))</f>
        <v>0</v>
      </c>
      <c r="AZ7" s="301">
        <f>(IF('Water Report'!$I$23&gt;0,'Water Report'!$I$23,0))</f>
        <v>0</v>
      </c>
      <c r="BA7" s="301">
        <f>(IF('Water Report'!$I$14&gt;0,'Water Report'!$I$14,0))</f>
        <v>3</v>
      </c>
      <c r="BB7" s="301">
        <f>(IF('Water Report'!$I$15&gt;0,'Water Report'!$I$15,0))</f>
        <v>5</v>
      </c>
      <c r="BC7" s="301">
        <f>(IF('Water Report'!$I$13&gt;0,'Water Report'!$I$13,0))</f>
        <v>18</v>
      </c>
      <c r="BD7" s="301">
        <f>(IF('Water Report'!$I$24&gt;0,'Water Report'!$I$24,0))</f>
        <v>363</v>
      </c>
      <c r="BE7" s="301">
        <f>(IF('Water Report'!$I$25&gt;0,'Water Report'!$I$25,0))</f>
        <v>183</v>
      </c>
      <c r="BF7" s="301">
        <f>(IF('Water Report'!$I$27&gt;0,'Water Report'!$I$27,0))</f>
        <v>74</v>
      </c>
      <c r="BG7" s="296">
        <f>(IF('Section Load'!AN10&gt;0,'Section Load'!AN10,0))</f>
        <v>1119.3999999999069</v>
      </c>
      <c r="BH7" s="296">
        <f>(IF('Section Load'!AO10&gt;0,'Section Load'!AO10,0))</f>
        <v>291.9320000000298</v>
      </c>
      <c r="BI7" s="296">
        <f>(IF('Section Load'!AP10&gt;0,'Section Load'!AP10,0))</f>
        <v>0</v>
      </c>
      <c r="BJ7" s="296">
        <f>(IF('Section Load'!AQ10&gt;0,'Section Load'!AQ10,0))</f>
        <v>106</v>
      </c>
      <c r="BK7" s="296">
        <f>(IF('Section Load'!AR10&gt;0,'Section Load'!AR10,0))</f>
        <v>54</v>
      </c>
      <c r="BL7" s="296">
        <f>(IF('Section Load'!AS10&gt;0,'Section Load'!AS10,0))</f>
        <v>0</v>
      </c>
      <c r="BM7" s="296">
        <f>(IF('Section Load'!AT10&gt;0,'Section Load'!AT10,0))</f>
        <v>667.46799999987707</v>
      </c>
    </row>
    <row r="8" spans="1:65">
      <c r="A8" s="287" t="s">
        <v>268</v>
      </c>
      <c r="B8" s="288">
        <f t="shared" si="0"/>
        <v>7</v>
      </c>
      <c r="C8" s="288">
        <v>12</v>
      </c>
      <c r="D8" s="288">
        <v>2022</v>
      </c>
      <c r="E8" s="294">
        <f>(IF('Section Load'!F11&gt;0,'Section Load'!F11,0))</f>
        <v>2378.3500000000349</v>
      </c>
      <c r="F8" s="294">
        <f>(IF('Section Load'!G11&gt;0,'Section Load'!G11,0))</f>
        <v>1099.4300000000221</v>
      </c>
      <c r="G8" s="294">
        <f>(IF('Section Load'!H11&gt;0,'Section Load'!H11,0))</f>
        <v>2462.4800000000978</v>
      </c>
      <c r="H8" s="294">
        <f>(IF('Section Load'!I11&gt;0,'Section Load'!I11,0))</f>
        <v>4041.4100000000326</v>
      </c>
      <c r="I8" s="294">
        <f>(IF('Section Load'!J11&gt;0,'Section Load'!J11,0))</f>
        <v>3991.2199999999139</v>
      </c>
      <c r="J8" s="294">
        <f>(IF('Section Load'!K11&gt;0,'Section Load'!K11,0))</f>
        <v>2477.0700000000652</v>
      </c>
      <c r="K8" s="294">
        <f>(IF('Section Load'!L11&gt;0,'Section Load'!L11,0))</f>
        <v>1309.359999999986</v>
      </c>
      <c r="L8" s="294">
        <f>(IF('Section Load'!M11&gt;0,'Section Load'!M11,0))</f>
        <v>907.22000000003027</v>
      </c>
      <c r="M8" s="294">
        <f>(IF('Section Load'!N11&gt;0,'Section Load'!N11,0))</f>
        <v>110</v>
      </c>
      <c r="N8" s="294">
        <f>(IF('Section Load'!O11&gt;0,'Section Load'!O11,0))</f>
        <v>158</v>
      </c>
      <c r="O8" s="294">
        <f>(IF('Section Load'!P11&gt;0,'Section Load'!P11,0))</f>
        <v>27.730000000000018</v>
      </c>
      <c r="P8" s="294">
        <f>(IF('Section Load'!Q11&gt;0,'Section Load'!Q11,0))</f>
        <v>229.75999999999476</v>
      </c>
      <c r="Q8" s="294">
        <f>(IF('Section Load'!R11&gt;0,'Section Load'!R11,0))</f>
        <v>94.059999999997672</v>
      </c>
      <c r="R8" s="294">
        <f>(IF('Section Load'!S11&gt;0,'Section Load'!S11,0))</f>
        <v>172</v>
      </c>
      <c r="S8" s="294">
        <f>(IF('Section Load'!T11&gt;0,'Section Load'!T11,0))</f>
        <v>29</v>
      </c>
      <c r="T8" s="294">
        <f>(IF('Section Load'!U11&gt;0,'Section Load'!U11,0))</f>
        <v>234</v>
      </c>
      <c r="U8" s="294">
        <f>(IF('Section Load'!V11&gt;0,'Section Load'!V11,0))</f>
        <v>405.68000000005122</v>
      </c>
      <c r="V8" s="294">
        <f>(IF('Section Load'!W11&gt;0,'Section Load'!W11,0))</f>
        <v>346.47999999998137</v>
      </c>
      <c r="W8" s="294">
        <f>(IF('Section Load'!X11&gt;0,'Section Load'!X11,0))</f>
        <v>29.200000000000728</v>
      </c>
      <c r="X8" s="294">
        <f>(IF('Section Load'!Y11&gt;0,'Section Load'!Y11,0))</f>
        <v>190.59000000001106</v>
      </c>
      <c r="Y8" s="294">
        <f>(IF('Section Load'!Z11&gt;0,'Section Load'!Z11,0))</f>
        <v>228</v>
      </c>
      <c r="Z8" s="294">
        <f>(IF('Section Load'!AA11&gt;0,'Section Load'!AA11,0))</f>
        <v>157.48000000003958</v>
      </c>
      <c r="AA8" s="294">
        <f>(IF('Section Load'!AB11&gt;0,'Section Load'!AB11,0))</f>
        <v>43.69999999999709</v>
      </c>
      <c r="AB8" s="294">
        <f>(IF('Section Load'!AC11&gt;0,'Section Load'!AC11,0))</f>
        <v>0</v>
      </c>
      <c r="AC8" s="294">
        <f>(IF('Section Load'!AD11&gt;0,'Section Load'!AD11,0))</f>
        <v>10.599999999999454</v>
      </c>
      <c r="AD8" s="294">
        <f>(IF('Section Load'!AE11&gt;0,'Section Load'!AE11,0))</f>
        <v>379.92999999999302</v>
      </c>
      <c r="AE8" s="294">
        <f>(IF('Section Load'!AF11&gt;0,'Section Load'!AF11,0))</f>
        <v>253.5</v>
      </c>
      <c r="AF8" s="294">
        <f>(IF('Section Load'!AG11&gt;0,'Section Load'!AG11,0))</f>
        <v>615.01999999998952</v>
      </c>
      <c r="AG8" s="294">
        <f>(IF('Section Load'!AH11&gt;0,'Section Load'!AH11,0))</f>
        <v>11.400000000001455</v>
      </c>
      <c r="AH8" s="294">
        <f>(IF('Section Load'!AI11&gt;0,'Section Load'!AI11,0))</f>
        <v>396.69999999999709</v>
      </c>
      <c r="AI8" s="294">
        <f>(IF('Section Load'!AJ11&gt;0,'Section Load'!AJ11,0))</f>
        <v>416.8700000000099</v>
      </c>
      <c r="AJ8" s="294">
        <f>(IF('Section Load'!AK11&gt;0,'Section Load'!AK11,0))</f>
        <v>347.43000000000757</v>
      </c>
      <c r="AK8" s="294">
        <f>(IF('Section Load'!AL11&gt;0,'Section Load'!AL11,0))</f>
        <v>311.60000000000582</v>
      </c>
      <c r="AL8" s="294">
        <f>(IF('Section Load'!AM11&gt;0,'Section Load'!AM11,0))</f>
        <v>732</v>
      </c>
      <c r="AM8" s="295">
        <f>(IF('Water Report'!$J$7&gt;0,'Water Report'!$J$7,0))</f>
        <v>122</v>
      </c>
      <c r="AN8" s="295">
        <f>(IF('Water Report'!$J$8&gt;0,'Water Report'!$J$8,0))</f>
        <v>70</v>
      </c>
      <c r="AO8" s="295">
        <f>(IF('Water Report'!$J$9&gt;0,'Water Report'!$J$9,0))</f>
        <v>125</v>
      </c>
      <c r="AP8" s="295">
        <f>(IF('Water Report'!$J$10&gt;0,'Water Report'!$J$10,0))</f>
        <v>55455</v>
      </c>
      <c r="AQ8" s="295">
        <f>(IF('Water Report'!$J$11&gt;0,'Water Report'!$J$11,0))</f>
        <v>16</v>
      </c>
      <c r="AR8" s="295">
        <f>(IF('Water Report'!$J$13&gt;0,'Water Report'!$J$13,0))</f>
        <v>23</v>
      </c>
      <c r="AS8" s="295">
        <f>(IF('Water Report'!$J$14&gt;0,'Water Report'!$J$14,0))</f>
        <v>3</v>
      </c>
      <c r="AT8" s="295">
        <f>(IF('Water Report'!$J$15&gt;0,'Water Report'!$J$15,0))</f>
        <v>8</v>
      </c>
      <c r="AU8" s="295">
        <f>(IF('Water Report'!$J$17&gt;0,'Water Report'!$J$17,0))</f>
        <v>2</v>
      </c>
      <c r="AV8" s="295">
        <f>(IF('Water Report'!$J$18&gt;0,'Water Report'!$J$18,0))</f>
        <v>10</v>
      </c>
      <c r="AW8" s="295">
        <f>(IF('Water Report'!$J$19&gt;0,'Water Report'!$J$19,0))</f>
        <v>16</v>
      </c>
      <c r="AX8" s="301">
        <f>(IF('Water Report'!$J$21&gt;0,'Water Report'!$J$21,0))</f>
        <v>45</v>
      </c>
      <c r="AY8" s="301">
        <f>(IF('Water Report'!$J$22&gt;0,'Water Report'!$J$22,0))</f>
        <v>0</v>
      </c>
      <c r="AZ8" s="301">
        <f>(IF('Water Report'!$J$23&gt;0,'Water Report'!$J$23,0))</f>
        <v>0</v>
      </c>
      <c r="BA8" s="301">
        <f>(IF('Water Report'!$J$14&gt;0,'Water Report'!$J$14,0))</f>
        <v>3</v>
      </c>
      <c r="BB8" s="301">
        <f>(IF('Water Report'!$J$15&gt;0,'Water Report'!$J$15,0))</f>
        <v>8</v>
      </c>
      <c r="BC8" s="301">
        <f>(IF('Water Report'!$J$13&gt;0,'Water Report'!$J$13,0))</f>
        <v>23</v>
      </c>
      <c r="BD8" s="301">
        <f>(IF('Water Report'!$J$24&gt;0,'Water Report'!$J$24,0))</f>
        <v>269</v>
      </c>
      <c r="BE8" s="301">
        <f>(IF('Water Report'!$J$25&gt;0,'Water Report'!$J$25,0))</f>
        <v>55607</v>
      </c>
      <c r="BF8" s="301">
        <f>(IF('Water Report'!$J$27&gt;0,'Water Report'!$J$27,0))</f>
        <v>68</v>
      </c>
      <c r="BG8" s="296">
        <f>(IF('Section Load'!AN11&gt;0,'Section Load'!AN11,0))</f>
        <v>1104.6000000000931</v>
      </c>
      <c r="BH8" s="296">
        <f>(IF('Section Load'!AO11&gt;0,'Section Load'!AO11,0))</f>
        <v>270.04200000001583</v>
      </c>
      <c r="BI8" s="296">
        <f>(IF('Section Load'!AP11&gt;0,'Section Load'!AP11,0))</f>
        <v>0</v>
      </c>
      <c r="BJ8" s="296">
        <f>(IF('Section Load'!AQ11&gt;0,'Section Load'!AQ11,0))</f>
        <v>124.70000000001164</v>
      </c>
      <c r="BK8" s="296">
        <f>(IF('Section Load'!AR11&gt;0,'Section Load'!AR11,0))</f>
        <v>56</v>
      </c>
      <c r="BL8" s="296">
        <f>(IF('Section Load'!AS11&gt;0,'Section Load'!AS11,0))</f>
        <v>0</v>
      </c>
      <c r="BM8" s="296">
        <f>(IF('Section Load'!AT11&gt;0,'Section Load'!AT11,0))</f>
        <v>654.25800000006529</v>
      </c>
    </row>
    <row r="9" spans="1:65">
      <c r="A9" s="287" t="s">
        <v>268</v>
      </c>
      <c r="B9" s="288">
        <f t="shared" si="0"/>
        <v>8</v>
      </c>
      <c r="C9" s="288">
        <v>12</v>
      </c>
      <c r="D9" s="288">
        <v>2022</v>
      </c>
      <c r="E9" s="294">
        <f>(IF('Section Load'!F12&gt;0,'Section Load'!F12,0))</f>
        <v>3949</v>
      </c>
      <c r="F9" s="294">
        <f>(IF('Section Load'!G12&gt;0,'Section Load'!G12,0))</f>
        <v>1129.9399999999732</v>
      </c>
      <c r="G9" s="294">
        <f>(IF('Section Load'!H12&gt;0,'Section Load'!H12,0))</f>
        <v>2509.359999999986</v>
      </c>
      <c r="H9" s="294">
        <f>(IF('Section Load'!I12&gt;0,'Section Load'!I12,0))</f>
        <v>4125.7900000000373</v>
      </c>
      <c r="I9" s="294">
        <f>(IF('Section Load'!J12&gt;0,'Section Load'!J12,0))</f>
        <v>4345.6600000000326</v>
      </c>
      <c r="J9" s="294">
        <f>(IF('Section Load'!K12&gt;0,'Section Load'!K12,0))</f>
        <v>2578.2399999999907</v>
      </c>
      <c r="K9" s="294">
        <f>(IF('Section Load'!L12&gt;0,'Section Load'!L12,0))</f>
        <v>1624.8800000000047</v>
      </c>
      <c r="L9" s="294">
        <f>(IF('Section Load'!M12&gt;0,'Section Load'!M12,0))</f>
        <v>1015.0799999999581</v>
      </c>
      <c r="M9" s="294">
        <f>(IF('Section Load'!N12&gt;0,'Section Load'!N12,0))</f>
        <v>125</v>
      </c>
      <c r="N9" s="294">
        <f>(IF('Section Load'!O12&gt;0,'Section Load'!O12,0))</f>
        <v>161</v>
      </c>
      <c r="O9" s="294">
        <f>(IF('Section Load'!P12&gt;0,'Section Load'!P12,0))</f>
        <v>28.050000000000182</v>
      </c>
      <c r="P9" s="294">
        <f>(IF('Section Load'!Q12&gt;0,'Section Load'!Q12,0))</f>
        <v>228.69999999999709</v>
      </c>
      <c r="Q9" s="294">
        <f>(IF('Section Load'!R12&gt;0,'Section Load'!R12,0))</f>
        <v>97.040000000000873</v>
      </c>
      <c r="R9" s="294">
        <f>(IF('Section Load'!S12&gt;0,'Section Load'!S12,0))</f>
        <v>175.90000000000146</v>
      </c>
      <c r="S9" s="294">
        <f>(IF('Section Load'!T12&gt;0,'Section Load'!T12,0))</f>
        <v>31</v>
      </c>
      <c r="T9" s="294">
        <f>(IF('Section Load'!U12&gt;0,'Section Load'!U12,0))</f>
        <v>236</v>
      </c>
      <c r="U9" s="294">
        <f>(IF('Section Load'!V12&gt;0,'Section Load'!V12,0))</f>
        <v>452.71999999997206</v>
      </c>
      <c r="V9" s="294">
        <f>(IF('Section Load'!W12&gt;0,'Section Load'!W12,0))</f>
        <v>363</v>
      </c>
      <c r="W9" s="294">
        <f>(IF('Section Load'!X12&gt;0,'Section Load'!X12,0))</f>
        <v>33</v>
      </c>
      <c r="X9" s="294">
        <f>(IF('Section Load'!Y12&gt;0,'Section Load'!Y12,0))</f>
        <v>215.97999999999593</v>
      </c>
      <c r="Y9" s="294">
        <f>(IF('Section Load'!Z12&gt;0,'Section Load'!Z12,0))</f>
        <v>226</v>
      </c>
      <c r="Z9" s="294">
        <f>(IF('Section Load'!AA12&gt;0,'Section Load'!AA12,0))</f>
        <v>195.9199999999837</v>
      </c>
      <c r="AA9" s="294">
        <f>(IF('Section Load'!AB12&gt;0,'Section Load'!AB12,0))</f>
        <v>41.400000000008731</v>
      </c>
      <c r="AB9" s="294">
        <f>(IF('Section Load'!AC12&gt;0,'Section Load'!AC12,0))</f>
        <v>0</v>
      </c>
      <c r="AC9" s="294">
        <f>(IF('Section Load'!AD12&gt;0,'Section Load'!AD12,0))</f>
        <v>7.1000000000003638</v>
      </c>
      <c r="AD9" s="294">
        <f>(IF('Section Load'!AE12&gt;0,'Section Load'!AE12,0))</f>
        <v>338.57000000000698</v>
      </c>
      <c r="AE9" s="294">
        <f>(IF('Section Load'!AF12&gt;0,'Section Load'!AF12,0))</f>
        <v>255.44000000000233</v>
      </c>
      <c r="AF9" s="294">
        <f>(IF('Section Load'!AG12&gt;0,'Section Load'!AG12,0))</f>
        <v>644.91000000000349</v>
      </c>
      <c r="AG9" s="294">
        <f>(IF('Section Load'!AH12&gt;0,'Section Load'!AH12,0))</f>
        <v>12.330000000001746</v>
      </c>
      <c r="AH9" s="294">
        <f>(IF('Section Load'!AI12&gt;0,'Section Load'!AI12,0))</f>
        <v>420.58999999999651</v>
      </c>
      <c r="AI9" s="294">
        <f>(IF('Section Load'!AJ12&gt;0,'Section Load'!AJ12,0))</f>
        <v>438.11000000000058</v>
      </c>
      <c r="AJ9" s="294">
        <f>(IF('Section Load'!AK12&gt;0,'Section Load'!AK12,0))</f>
        <v>344.66999999999825</v>
      </c>
      <c r="AK9" s="294">
        <f>(IF('Section Load'!AL12&gt;0,'Section Load'!AL12,0))</f>
        <v>324.86000000000058</v>
      </c>
      <c r="AL9" s="294">
        <f>(IF('Section Load'!AM12&gt;0,'Section Load'!AM12,0))</f>
        <v>786</v>
      </c>
      <c r="AM9" s="295">
        <f>(IF('Water Report'!$K$7&gt;0,'Water Report'!$K$7,0))</f>
        <v>112</v>
      </c>
      <c r="AN9" s="295">
        <f>(IF('Water Report'!$K$8&gt;0,'Water Report'!$K$8,0))</f>
        <v>53</v>
      </c>
      <c r="AO9" s="295">
        <f>(IF('Water Report'!$K$9&gt;0,'Water Report'!$K$9,0))</f>
        <v>129</v>
      </c>
      <c r="AP9" s="295">
        <f>(IF('Water Report'!$K$10&gt;0,'Water Report'!$K$10,0))</f>
        <v>6</v>
      </c>
      <c r="AQ9" s="295">
        <f>(IF('Water Report'!$K$11&gt;0,'Water Report'!$K$11,0))</f>
        <v>15</v>
      </c>
      <c r="AR9" s="295">
        <f>(IF('Water Report'!$K$13&gt;0,'Water Report'!$K$13,0))</f>
        <v>34</v>
      </c>
      <c r="AS9" s="295">
        <f>(IF('Water Report'!$K$14&gt;0,'Water Report'!$K$14,0))</f>
        <v>3</v>
      </c>
      <c r="AT9" s="295">
        <f>(IF('Water Report'!$K$15&gt;0,'Water Report'!$K$15,0))</f>
        <v>5</v>
      </c>
      <c r="AU9" s="295">
        <f>(IF('Water Report'!$K$17&gt;0,'Water Report'!$K$17,0))</f>
        <v>0</v>
      </c>
      <c r="AV9" s="295">
        <f>(IF('Water Report'!$K$18&gt;0,'Water Report'!$K$18,0))</f>
        <v>12</v>
      </c>
      <c r="AW9" s="295">
        <f>(IF('Water Report'!$K$19&gt;0,'Water Report'!$K$19,0))</f>
        <v>12</v>
      </c>
      <c r="AX9" s="301">
        <f>(IF('Water Report'!$K$21&gt;0,'Water Report'!$K$21,0))</f>
        <v>76</v>
      </c>
      <c r="AY9" s="301">
        <f>(IF('Water Report'!$K$22&gt;0,'Water Report'!$K$22,0))</f>
        <v>0</v>
      </c>
      <c r="AZ9" s="301">
        <f>(IF('Water Report'!$K$23&gt;0,'Water Report'!$K$23,0))</f>
        <v>0</v>
      </c>
      <c r="BA9" s="301">
        <f>(IF('Water Report'!$K$14&gt;0,'Water Report'!$K$14,0))</f>
        <v>3</v>
      </c>
      <c r="BB9" s="301">
        <f>(IF('Water Report'!$K$15&gt;0,'Water Report'!$K$15,0))</f>
        <v>5</v>
      </c>
      <c r="BC9" s="301">
        <f>(IF('Water Report'!$K$13&gt;0,'Water Report'!$K$13,0))</f>
        <v>34</v>
      </c>
      <c r="BD9" s="301">
        <f>(IF('Water Report'!$K$24&gt;0,'Water Report'!$K$24,0))</f>
        <v>293</v>
      </c>
      <c r="BE9" s="301">
        <f>(IF('Water Report'!$K$25&gt;0,'Water Report'!$K$25,0))</f>
        <v>158</v>
      </c>
      <c r="BF9" s="301">
        <f>(IF('Water Report'!$K$27&gt;0,'Water Report'!$K$27,0))</f>
        <v>110</v>
      </c>
      <c r="BG9" s="296">
        <f>(IF('Section Load'!AN12&gt;0,'Section Load'!AN12,0))</f>
        <v>1148.1699999999255</v>
      </c>
      <c r="BH9" s="296">
        <f>(IF('Section Load'!AO12&gt;0,'Section Load'!AO12,0))</f>
        <v>320.7259999999078</v>
      </c>
      <c r="BI9" s="296">
        <f>(IF('Section Load'!AP12&gt;0,'Section Load'!AP12,0))</f>
        <v>0</v>
      </c>
      <c r="BJ9" s="296">
        <f>(IF('Section Load'!AQ12&gt;0,'Section Load'!AQ12,0))</f>
        <v>156.29999999998836</v>
      </c>
      <c r="BK9" s="296">
        <f>(IF('Section Load'!AR12&gt;0,'Section Load'!AR12,0))</f>
        <v>49.900000000001455</v>
      </c>
      <c r="BL9" s="296">
        <f>(IF('Section Load'!AS12&gt;0,'Section Load'!AS12,0))</f>
        <v>0.3999999999996362</v>
      </c>
      <c r="BM9" s="296">
        <f>(IF('Section Load'!AT12&gt;0,'Section Load'!AT12,0))</f>
        <v>620.84400000002825</v>
      </c>
    </row>
    <row r="10" spans="1:65">
      <c r="A10" s="287" t="s">
        <v>268</v>
      </c>
      <c r="B10" s="288">
        <f t="shared" si="0"/>
        <v>9</v>
      </c>
      <c r="C10" s="288">
        <v>12</v>
      </c>
      <c r="D10" s="288">
        <v>2022</v>
      </c>
      <c r="E10" s="294">
        <f>(IF('Section Load'!F13&gt;0,'Section Load'!F13,0))</f>
        <v>3484.2799999999697</v>
      </c>
      <c r="F10" s="294">
        <f>(IF('Section Load'!G13&gt;0,'Section Load'!G13,0))</f>
        <v>1153.4300000000221</v>
      </c>
      <c r="G10" s="294">
        <f>(IF('Section Load'!H13&gt;0,'Section Load'!H13,0))</f>
        <v>2664.7999999999302</v>
      </c>
      <c r="H10" s="294">
        <f>(IF('Section Load'!I13&gt;0,'Section Load'!I13,0))</f>
        <v>4238.1599999999162</v>
      </c>
      <c r="I10" s="294">
        <f>(IF('Section Load'!J13&gt;0,'Section Load'!J13,0))</f>
        <v>3719.7200000000303</v>
      </c>
      <c r="J10" s="294">
        <f>(IF('Section Load'!K13&gt;0,'Section Load'!K13,0))</f>
        <v>2540.5999999999767</v>
      </c>
      <c r="K10" s="294">
        <f>(IF('Section Load'!L13&gt;0,'Section Load'!L13,0))</f>
        <v>1680.2399999999907</v>
      </c>
      <c r="L10" s="294">
        <f>(IF('Section Load'!M13&gt;0,'Section Load'!M13,0))</f>
        <v>1217.3400000000256</v>
      </c>
      <c r="M10" s="294">
        <f>(IF('Section Load'!N13&gt;0,'Section Load'!N13,0))</f>
        <v>172</v>
      </c>
      <c r="N10" s="294">
        <f>(IF('Section Load'!O13&gt;0,'Section Load'!O13,0))</f>
        <v>189</v>
      </c>
      <c r="O10" s="294">
        <f>(IF('Section Load'!P13&gt;0,'Section Load'!P13,0))</f>
        <v>27.159999999999854</v>
      </c>
      <c r="P10" s="294">
        <f>(IF('Section Load'!Q13&gt;0,'Section Load'!Q13,0))</f>
        <v>224.6200000000099</v>
      </c>
      <c r="Q10" s="294">
        <f>(IF('Section Load'!R13&gt;0,'Section Load'!R13,0))</f>
        <v>111.59999999999854</v>
      </c>
      <c r="R10" s="294">
        <f>(IF('Section Load'!S13&gt;0,'Section Load'!S13,0))</f>
        <v>152.06999999999971</v>
      </c>
      <c r="S10" s="294">
        <f>(IF('Section Load'!T13&gt;0,'Section Load'!T13,0))</f>
        <v>36</v>
      </c>
      <c r="T10" s="294">
        <f>(IF('Section Load'!U13&gt;0,'Section Load'!U13,0))</f>
        <v>229</v>
      </c>
      <c r="U10" s="294">
        <f>(IF('Section Load'!V13&gt;0,'Section Load'!V13,0))</f>
        <v>499.92000000004191</v>
      </c>
      <c r="V10" s="294">
        <f>(IF('Section Load'!W13&gt;0,'Section Load'!W13,0))</f>
        <v>504</v>
      </c>
      <c r="W10" s="294">
        <f>(IF('Section Load'!X13&gt;0,'Section Load'!X13,0))</f>
        <v>29.350000000000364</v>
      </c>
      <c r="X10" s="294">
        <f>(IF('Section Load'!Y13&gt;0,'Section Load'!Y13,0))</f>
        <v>238.47000000000116</v>
      </c>
      <c r="Y10" s="294">
        <f>(IF('Section Load'!Z13&gt;0,'Section Load'!Z13,0))</f>
        <v>281</v>
      </c>
      <c r="Z10" s="294">
        <f>(IF('Section Load'!AA13&gt;0,'Section Load'!AA13,0))</f>
        <v>127.52000000001863</v>
      </c>
      <c r="AA10" s="294">
        <f>(IF('Section Load'!AB13&gt;0,'Section Load'!AB13,0))</f>
        <v>45.399999999994179</v>
      </c>
      <c r="AB10" s="294">
        <f>(IF('Section Load'!AC13&gt;0,'Section Load'!AC13,0))</f>
        <v>0</v>
      </c>
      <c r="AC10" s="294">
        <f>(IF('Section Load'!AD13&gt;0,'Section Load'!AD13,0))</f>
        <v>27</v>
      </c>
      <c r="AD10" s="294">
        <f>(IF('Section Load'!AE13&gt;0,'Section Load'!AE13,0))</f>
        <v>433.60999999998603</v>
      </c>
      <c r="AE10" s="294">
        <f>(IF('Section Load'!AF13&gt;0,'Section Load'!AF13,0))</f>
        <v>290.20999999999185</v>
      </c>
      <c r="AF10" s="294">
        <f>(IF('Section Load'!AG13&gt;0,'Section Load'!AG13,0))</f>
        <v>656.07000000000698</v>
      </c>
      <c r="AG10" s="294">
        <f>(IF('Section Load'!AH13&gt;0,'Section Load'!AH13,0))</f>
        <v>11.239999999997963</v>
      </c>
      <c r="AH10" s="294">
        <f>(IF('Section Load'!AI13&gt;0,'Section Load'!AI13,0))</f>
        <v>441.52000000000407</v>
      </c>
      <c r="AI10" s="294">
        <f>(IF('Section Load'!AJ13&gt;0,'Section Load'!AJ13,0))</f>
        <v>434.91999999999825</v>
      </c>
      <c r="AJ10" s="294">
        <f>(IF('Section Load'!AK13&gt;0,'Section Load'!AK13,0))</f>
        <v>325.67999999999302</v>
      </c>
      <c r="AK10" s="294">
        <f>(IF('Section Load'!AL13&gt;0,'Section Load'!AL13,0))</f>
        <v>322.00999999999476</v>
      </c>
      <c r="AL10" s="294">
        <f>(IF('Section Load'!AM13&gt;0,'Section Load'!AM13,0))</f>
        <v>715</v>
      </c>
      <c r="AM10" s="295">
        <f>(IF('Water Report'!$L$7&gt;0,'Water Report'!$L$7,0))</f>
        <v>136</v>
      </c>
      <c r="AN10" s="295">
        <f>(IF('Water Report'!$L$8&gt;0,'Water Report'!$L$8,0))</f>
        <v>92</v>
      </c>
      <c r="AO10" s="295">
        <f>(IF('Water Report'!$L$9&gt;0,'Water Report'!$L$9,0))</f>
        <v>155</v>
      </c>
      <c r="AP10" s="295">
        <f>(IF('Water Report'!$L$10&gt;0,'Water Report'!$L$10,0))</f>
        <v>17</v>
      </c>
      <c r="AQ10" s="295">
        <f>(IF('Water Report'!$L$11&gt;0,'Water Report'!$L$11,0))</f>
        <v>21</v>
      </c>
      <c r="AR10" s="295">
        <f>(IF('Water Report'!$L$13&gt;0,'Water Report'!$L$13,0))</f>
        <v>20</v>
      </c>
      <c r="AS10" s="295">
        <f>(IF('Water Report'!$L$14&gt;0,'Water Report'!$L$14,0))</f>
        <v>7</v>
      </c>
      <c r="AT10" s="295">
        <f>(IF('Water Report'!$L$15&gt;0,'Water Report'!$L$15,0))</f>
        <v>8</v>
      </c>
      <c r="AU10" s="295">
        <f>(IF('Water Report'!$L$17&gt;0,'Water Report'!$L$17,0))</f>
        <v>0</v>
      </c>
      <c r="AV10" s="295">
        <f>(IF('Water Report'!$L$18&gt;0,'Water Report'!$L$18,0))</f>
        <v>13</v>
      </c>
      <c r="AW10" s="295">
        <f>(IF('Water Report'!$L$19&gt;0,'Water Report'!$L$19,0))</f>
        <v>12</v>
      </c>
      <c r="AX10" s="301">
        <f>(IF('Water Report'!$L$21&gt;0,'Water Report'!$L$21,0))</f>
        <v>80</v>
      </c>
      <c r="AY10" s="301">
        <f>(IF('Water Report'!$L$22&gt;0,'Water Report'!$L$22,0))</f>
        <v>0</v>
      </c>
      <c r="AZ10" s="301">
        <f>(IF('Water Report'!$L$23&gt;0,'Water Report'!$L$23,0))</f>
        <v>0</v>
      </c>
      <c r="BA10" s="301">
        <f>(IF('Water Report'!$L$14&gt;0,'Water Report'!$L$14,0))</f>
        <v>7</v>
      </c>
      <c r="BB10" s="301">
        <f>(IF('Water Report'!$L$15&gt;0,'Water Report'!$L$15,0))</f>
        <v>8</v>
      </c>
      <c r="BC10" s="301">
        <f>(IF('Water Report'!$L$13&gt;0,'Water Report'!$L$13,0))</f>
        <v>20</v>
      </c>
      <c r="BD10" s="301">
        <f>(IF('Water Report'!$L$24&gt;0,'Water Report'!$L$24,0))</f>
        <v>336</v>
      </c>
      <c r="BE10" s="301">
        <f>(IF('Water Report'!$L$25&gt;0,'Water Report'!$L$25,0))</f>
        <v>208</v>
      </c>
      <c r="BF10" s="301">
        <f>(IF('Water Report'!$L$27&gt;0,'Water Report'!$L$27,0))</f>
        <v>100</v>
      </c>
      <c r="BG10" s="296">
        <f>(IF('Section Load'!AN13&gt;0,'Section Load'!AN13,0))</f>
        <v>1100.8300000000745</v>
      </c>
      <c r="BH10" s="296">
        <f>(IF('Section Load'!AO13&gt;0,'Section Load'!AO13,0))</f>
        <v>311.30000000004657</v>
      </c>
      <c r="BI10" s="296">
        <f>(IF('Section Load'!AP13&gt;0,'Section Load'!AP13,0))</f>
        <v>0</v>
      </c>
      <c r="BJ10" s="296">
        <f>(IF('Section Load'!AQ13&gt;0,'Section Load'!AQ13,0))</f>
        <v>169.07000000000698</v>
      </c>
      <c r="BK10" s="296">
        <f>(IF('Section Load'!AR13&gt;0,'Section Load'!AR13,0))</f>
        <v>57.099999999998545</v>
      </c>
      <c r="BL10" s="296">
        <f>(IF('Section Load'!AS13&gt;0,'Section Load'!AS13,0))</f>
        <v>0</v>
      </c>
      <c r="BM10" s="296">
        <f>(IF('Section Load'!AT13&gt;0,'Section Load'!AT13,0))</f>
        <v>563.36000000002241</v>
      </c>
    </row>
    <row r="11" spans="1:65">
      <c r="A11" s="287" t="s">
        <v>268</v>
      </c>
      <c r="B11" s="288">
        <f t="shared" si="0"/>
        <v>10</v>
      </c>
      <c r="C11" s="288">
        <v>12</v>
      </c>
      <c r="D11" s="288">
        <v>2022</v>
      </c>
      <c r="E11" s="294">
        <f>(IF('Section Load'!F14&gt;0,'Section Load'!F14,0))</f>
        <v>3178.3999999999651</v>
      </c>
      <c r="F11" s="294">
        <f>(IF('Section Load'!G14&gt;0,'Section Load'!G14,0))</f>
        <v>1099.9100000000035</v>
      </c>
      <c r="G11" s="294">
        <f>(IF('Section Load'!H14&gt;0,'Section Load'!H14,0))</f>
        <v>2586</v>
      </c>
      <c r="H11" s="294">
        <f>(IF('Section Load'!I14&gt;0,'Section Load'!I14,0))</f>
        <v>4085.2800000000279</v>
      </c>
      <c r="I11" s="294">
        <f>(IF('Section Load'!J14&gt;0,'Section Load'!J14,0))</f>
        <v>3216.140000000014</v>
      </c>
      <c r="J11" s="294">
        <f>(IF('Section Load'!K14&gt;0,'Section Load'!K14,0))</f>
        <v>2560.8000000000466</v>
      </c>
      <c r="K11" s="294">
        <f>(IF('Section Load'!L14&gt;0,'Section Load'!L14,0))</f>
        <v>1718.7600000000093</v>
      </c>
      <c r="L11" s="294">
        <f>(IF('Section Load'!M14&gt;0,'Section Load'!M14,0))</f>
        <v>1092.5800000000163</v>
      </c>
      <c r="M11" s="294">
        <f>(IF('Section Load'!N14&gt;0,'Section Load'!N14,0))</f>
        <v>120</v>
      </c>
      <c r="N11" s="294">
        <f>(IF('Section Load'!O14&gt;0,'Section Load'!O14,0))</f>
        <v>153</v>
      </c>
      <c r="O11" s="294">
        <f>(IF('Section Load'!P14&gt;0,'Section Load'!P14,0))</f>
        <v>27.190000000000055</v>
      </c>
      <c r="P11" s="294">
        <f>(IF('Section Load'!Q14&gt;0,'Section Load'!Q14,0))</f>
        <v>219.67999999999302</v>
      </c>
      <c r="Q11" s="294">
        <f>(IF('Section Load'!R14&gt;0,'Section Load'!R14,0))</f>
        <v>131.93000000000029</v>
      </c>
      <c r="R11" s="294">
        <f>(IF('Section Load'!S14&gt;0,'Section Load'!S14,0))</f>
        <v>113.93000000000029</v>
      </c>
      <c r="S11" s="294">
        <f>(IF('Section Load'!T14&gt;0,'Section Load'!T14,0))</f>
        <v>57</v>
      </c>
      <c r="T11" s="294">
        <f>(IF('Section Load'!U14&gt;0,'Section Load'!U14,0))</f>
        <v>220</v>
      </c>
      <c r="U11" s="294">
        <f>(IF('Section Load'!V14&gt;0,'Section Load'!V14,0))</f>
        <v>473.07999999995809</v>
      </c>
      <c r="V11" s="294">
        <f>(IF('Section Load'!W14&gt;0,'Section Load'!W14,0))</f>
        <v>398</v>
      </c>
      <c r="W11" s="294">
        <f>(IF('Section Load'!X14&gt;0,'Section Load'!X14,0))</f>
        <v>35.649999999999636</v>
      </c>
      <c r="X11" s="294">
        <f>(IF('Section Load'!Y14&gt;0,'Section Load'!Y14,0))</f>
        <v>219.23999999999069</v>
      </c>
      <c r="Y11" s="294">
        <f>(IF('Section Load'!Z14&gt;0,'Section Load'!Z14,0))</f>
        <v>282</v>
      </c>
      <c r="Z11" s="294">
        <f>(IF('Section Load'!AA14&gt;0,'Section Load'!AA14,0))</f>
        <v>134.03999999997905</v>
      </c>
      <c r="AA11" s="294">
        <f>(IF('Section Load'!AB14&gt;0,'Section Load'!AB14,0))</f>
        <v>20</v>
      </c>
      <c r="AB11" s="294">
        <f>(IF('Section Load'!AC14&gt;0,'Section Load'!AC14,0))</f>
        <v>0</v>
      </c>
      <c r="AC11" s="294">
        <f>(IF('Section Load'!AD14&gt;0,'Section Load'!AD14,0))</f>
        <v>5</v>
      </c>
      <c r="AD11" s="294">
        <f>(IF('Section Load'!AE14&gt;0,'Section Load'!AE14,0))</f>
        <v>406.82000000000698</v>
      </c>
      <c r="AE11" s="294">
        <f>(IF('Section Load'!AF14&gt;0,'Section Load'!AF14,0))</f>
        <v>256.60000000000582</v>
      </c>
      <c r="AF11" s="294">
        <f>(IF('Section Load'!AG14&gt;0,'Section Load'!AG14,0))</f>
        <v>639.11999999999534</v>
      </c>
      <c r="AG11" s="294">
        <f>(IF('Section Load'!AH14&gt;0,'Section Load'!AH14,0))</f>
        <v>11.430000000000291</v>
      </c>
      <c r="AH11" s="294">
        <f>(IF('Section Load'!AI14&gt;0,'Section Load'!AI14,0))</f>
        <v>422.88999999999942</v>
      </c>
      <c r="AI11" s="294">
        <f>(IF('Section Load'!AJ14&gt;0,'Section Load'!AJ14,0))</f>
        <v>418.36999999999534</v>
      </c>
      <c r="AJ11" s="294">
        <f>(IF('Section Load'!AK14&gt;0,'Section Load'!AK14,0))</f>
        <v>309.05000000000291</v>
      </c>
      <c r="AK11" s="294">
        <f>(IF('Section Load'!AL14&gt;0,'Section Load'!AL14,0))</f>
        <v>318.57000000000698</v>
      </c>
      <c r="AL11" s="294">
        <f>(IF('Section Load'!AM14&gt;0,'Section Load'!AM14,0))</f>
        <v>640</v>
      </c>
      <c r="AM11" s="295">
        <f>(IF('Water Report'!$M$7&gt;0,'Water Report'!$M$7,0))</f>
        <v>143</v>
      </c>
      <c r="AN11" s="295">
        <f>(IF('Water Report'!$M$8&gt;0,'Water Report'!$M$8,0))</f>
        <v>102</v>
      </c>
      <c r="AO11" s="295">
        <f>(IF('Water Report'!$M$9&gt;0,'Water Report'!$M$9,0))</f>
        <v>152</v>
      </c>
      <c r="AP11" s="295">
        <f>(IF('Water Report'!$M$10&gt;0,'Water Report'!$M$10,0))</f>
        <v>9</v>
      </c>
      <c r="AQ11" s="295">
        <f>(IF('Water Report'!$M$11&gt;0,'Water Report'!$M$11,0))</f>
        <v>30</v>
      </c>
      <c r="AR11" s="295">
        <f>(IF('Water Report'!$M$13&gt;0,'Water Report'!$M$13,0))</f>
        <v>41</v>
      </c>
      <c r="AS11" s="295">
        <f>(IF('Water Report'!$M$14&gt;0,'Water Report'!$M$14,0))</f>
        <v>6</v>
      </c>
      <c r="AT11" s="295">
        <f>(IF('Water Report'!$M$15&gt;0,'Water Report'!$M$15,0))</f>
        <v>8</v>
      </c>
      <c r="AU11" s="295">
        <f>(IF('Water Report'!$M$17&gt;0,'Water Report'!$M$17,0))</f>
        <v>4</v>
      </c>
      <c r="AV11" s="295">
        <f>(IF('Water Report'!$M$18&gt;0,'Water Report'!$M$18,0))</f>
        <v>12</v>
      </c>
      <c r="AW11" s="295">
        <f>(IF('Water Report'!$M$19&gt;0,'Water Report'!$M$19,0))</f>
        <v>12</v>
      </c>
      <c r="AX11" s="301">
        <f>(IF('Water Report'!$M$21&gt;0,'Water Report'!$M$21,0))</f>
        <v>152</v>
      </c>
      <c r="AY11" s="301">
        <f>(IF('Water Report'!$M$22&gt;0,'Water Report'!$M$22,0))</f>
        <v>0</v>
      </c>
      <c r="AZ11" s="301">
        <f>(IF('Water Report'!$M$23&gt;0,'Water Report'!$M$23,0))</f>
        <v>0</v>
      </c>
      <c r="BA11" s="301">
        <f>(IF('Water Report'!$M$14&gt;0,'Water Report'!$M$14,0))</f>
        <v>6</v>
      </c>
      <c r="BB11" s="301">
        <f>(IF('Water Report'!$M$15&gt;0,'Water Report'!$M$15,0))</f>
        <v>8</v>
      </c>
      <c r="BC11" s="301">
        <f>(IF('Water Report'!$M$13&gt;0,'Water Report'!$M$13,0))</f>
        <v>41</v>
      </c>
      <c r="BD11" s="301">
        <f>(IF('Water Report'!$M$24&gt;0,'Water Report'!$M$24,0))</f>
        <v>325</v>
      </c>
      <c r="BE11" s="301">
        <f>(IF('Water Report'!$M$25&gt;0,'Water Report'!$M$25,0))</f>
        <v>205</v>
      </c>
      <c r="BF11" s="301">
        <f>(IF('Water Report'!$M$27&gt;0,'Water Report'!$M$27,0))</f>
        <v>193</v>
      </c>
      <c r="BG11" s="296">
        <f>(IF('Section Load'!AN14&gt;0,'Section Load'!AN14,0))</f>
        <v>1067.4500000001863</v>
      </c>
      <c r="BH11" s="296">
        <f>(IF('Section Load'!AO14&gt;0,'Section Load'!AO14,0))</f>
        <v>272.73999999999069</v>
      </c>
      <c r="BI11" s="296">
        <f>(IF('Section Load'!AP14&gt;0,'Section Load'!AP14,0))</f>
        <v>0</v>
      </c>
      <c r="BJ11" s="296">
        <f>(IF('Section Load'!AQ14&gt;0,'Section Load'!AQ14,0))</f>
        <v>122.92999999999302</v>
      </c>
      <c r="BK11" s="296">
        <f>(IF('Section Load'!AR14&gt;0,'Section Load'!AR14,0))</f>
        <v>54</v>
      </c>
      <c r="BL11" s="296">
        <f>(IF('Section Load'!AS14&gt;0,'Section Load'!AS14,0))</f>
        <v>0</v>
      </c>
      <c r="BM11" s="296">
        <f>(IF('Section Load'!AT14&gt;0,'Section Load'!AT14,0))</f>
        <v>618.1800000002022</v>
      </c>
    </row>
    <row r="12" spans="1:65">
      <c r="A12" s="287" t="s">
        <v>268</v>
      </c>
      <c r="B12" s="288">
        <f t="shared" si="0"/>
        <v>11</v>
      </c>
      <c r="C12" s="288">
        <v>12</v>
      </c>
      <c r="D12" s="288">
        <v>2022</v>
      </c>
      <c r="E12" s="294">
        <f>(IF('Section Load'!F15&gt;0,'Section Load'!F15,0))</f>
        <v>3185.9200000001001</v>
      </c>
      <c r="F12" s="294">
        <f>(IF('Section Load'!G15&gt;0,'Section Load'!G15,0))</f>
        <v>1031.9199999999837</v>
      </c>
      <c r="G12" s="294">
        <f>(IF('Section Load'!H15&gt;0,'Section Load'!H15,0))</f>
        <v>2507.7299999999814</v>
      </c>
      <c r="H12" s="294">
        <f>(IF('Section Load'!I15&gt;0,'Section Load'!I15,0))</f>
        <v>3897.7600000000093</v>
      </c>
      <c r="I12" s="294">
        <f>(IF('Section Load'!J15&gt;0,'Section Load'!J15,0))</f>
        <v>3042.6599999999744</v>
      </c>
      <c r="J12" s="294">
        <f>(IF('Section Load'!K15&gt;0,'Section Load'!K15,0))</f>
        <v>2372.6399999998976</v>
      </c>
      <c r="K12" s="294">
        <f>(IF('Section Load'!L15&gt;0,'Section Load'!L15,0))</f>
        <v>1424.2000000000116</v>
      </c>
      <c r="L12" s="294">
        <f>(IF('Section Load'!M15&gt;0,'Section Load'!M15,0))</f>
        <v>1133.6399999999558</v>
      </c>
      <c r="M12" s="294">
        <f>(IF('Section Load'!N15&gt;0,'Section Load'!N15,0))</f>
        <v>112</v>
      </c>
      <c r="N12" s="294">
        <f>(IF('Section Load'!O15&gt;0,'Section Load'!O15,0))</f>
        <v>182</v>
      </c>
      <c r="O12" s="294">
        <f>(IF('Section Load'!P15&gt;0,'Section Load'!P15,0))</f>
        <v>22.519999999999982</v>
      </c>
      <c r="P12" s="294">
        <f>(IF('Section Load'!Q15&gt;0,'Section Load'!Q15,0))</f>
        <v>235</v>
      </c>
      <c r="Q12" s="294">
        <f>(IF('Section Load'!R15&gt;0,'Section Load'!R15,0))</f>
        <v>113</v>
      </c>
      <c r="R12" s="294">
        <f>(IF('Section Load'!S15&gt;0,'Section Load'!S15,0))</f>
        <v>113</v>
      </c>
      <c r="S12" s="294">
        <f>(IF('Section Load'!T15&gt;0,'Section Load'!T15,0))</f>
        <v>56</v>
      </c>
      <c r="T12" s="294">
        <f>(IF('Section Load'!U15&gt;0,'Section Load'!U15,0))</f>
        <v>226</v>
      </c>
      <c r="U12" s="294">
        <f>(IF('Section Load'!V15&gt;0,'Section Load'!V15,0))</f>
        <v>396</v>
      </c>
      <c r="V12" s="294">
        <f>(IF('Section Load'!W15&gt;0,'Section Load'!W15,0))</f>
        <v>446</v>
      </c>
      <c r="W12" s="294">
        <f>(IF('Section Load'!X15&gt;0,'Section Load'!X15,0))</f>
        <v>33.3799999999992</v>
      </c>
      <c r="X12" s="294">
        <f>(IF('Section Load'!Y15&gt;0,'Section Load'!Y15,0))</f>
        <v>235.53000000001339</v>
      </c>
      <c r="Y12" s="294">
        <f>(IF('Section Load'!Z15&gt;0,'Section Load'!Z15,0))</f>
        <v>283</v>
      </c>
      <c r="Z12" s="294">
        <f>(IF('Section Load'!AA15&gt;0,'Section Load'!AA15,0))</f>
        <v>70</v>
      </c>
      <c r="AA12" s="294">
        <f>(IF('Section Load'!AB15&gt;0,'Section Load'!AB15,0))</f>
        <v>18.80000000000291</v>
      </c>
      <c r="AB12" s="294">
        <f>(IF('Section Load'!AC15&gt;0,'Section Load'!AC15,0))</f>
        <v>0</v>
      </c>
      <c r="AC12" s="294">
        <f>(IF('Section Load'!AD15&gt;0,'Section Load'!AD15,0))</f>
        <v>5</v>
      </c>
      <c r="AD12" s="294">
        <f>(IF('Section Load'!AE15&gt;0,'Section Load'!AE15,0))</f>
        <v>376.61000000000058</v>
      </c>
      <c r="AE12" s="294">
        <f>(IF('Section Load'!AF15&gt;0,'Section Load'!AF15,0))</f>
        <v>251.61999999999534</v>
      </c>
      <c r="AF12" s="294">
        <f>(IF('Section Load'!AG15&gt;0,'Section Load'!AG15,0))</f>
        <v>602.45999999999185</v>
      </c>
      <c r="AG12" s="294">
        <f>(IF('Section Load'!AH15&gt;0,'Section Load'!AH15,0))</f>
        <v>10.790000000000873</v>
      </c>
      <c r="AH12" s="294">
        <f>(IF('Section Load'!AI15&gt;0,'Section Load'!AI15,0))</f>
        <v>397.33000000000175</v>
      </c>
      <c r="AI12" s="294">
        <f>(IF('Section Load'!AJ15&gt;0,'Section Load'!AJ15,0))</f>
        <v>418.69999999999709</v>
      </c>
      <c r="AJ12" s="294">
        <f>(IF('Section Load'!AK15&gt;0,'Section Load'!AK15,0))</f>
        <v>313.30999999999767</v>
      </c>
      <c r="AK12" s="294">
        <f>(IF('Section Load'!AL15&gt;0,'Section Load'!AL15,0))</f>
        <v>267.42999999999302</v>
      </c>
      <c r="AL12" s="294">
        <f>(IF('Section Load'!AM15&gt;0,'Section Load'!AM15,0))</f>
        <v>750</v>
      </c>
      <c r="AM12" s="295">
        <f>(IF('Water Report'!$N$7&gt;0,'Water Report'!$N$7,0))</f>
        <v>121</v>
      </c>
      <c r="AN12" s="295">
        <f>(IF('Water Report'!$N$8&gt;0,'Water Report'!$N$8,0))</f>
        <v>51</v>
      </c>
      <c r="AO12" s="295">
        <f>(IF('Water Report'!$N$9&gt;0,'Water Report'!$N$9,0))</f>
        <v>131</v>
      </c>
      <c r="AP12" s="295">
        <f>(IF('Water Report'!$N$10&gt;0,'Water Report'!$N$10,0))</f>
        <v>11</v>
      </c>
      <c r="AQ12" s="295">
        <f>(IF('Water Report'!$N$11&gt;0,'Water Report'!$N$11,0))</f>
        <v>18</v>
      </c>
      <c r="AR12" s="295">
        <f>(IF('Water Report'!$N$13&gt;0,'Water Report'!$N$13,0))</f>
        <v>22</v>
      </c>
      <c r="AS12" s="295">
        <f>(IF('Water Report'!$N$14&gt;0,'Water Report'!$N$14,0))</f>
        <v>6</v>
      </c>
      <c r="AT12" s="295">
        <f>(IF('Water Report'!$N$15&gt;0,'Water Report'!$N$15,0))</f>
        <v>6</v>
      </c>
      <c r="AU12" s="295">
        <f>(IF('Water Report'!$N$17&gt;0,'Water Report'!$N$17,0))</f>
        <v>0</v>
      </c>
      <c r="AV12" s="295">
        <f>(IF('Water Report'!$N$18&gt;0,'Water Report'!$N$18,0))</f>
        <v>13</v>
      </c>
      <c r="AW12" s="295">
        <f>(IF('Water Report'!$N$19&gt;0,'Water Report'!$N$19,0))</f>
        <v>13</v>
      </c>
      <c r="AX12" s="301">
        <f>(IF('Water Report'!$N$21&gt;0,'Water Report'!$N$21,0))</f>
        <v>140</v>
      </c>
      <c r="AY12" s="301">
        <f>(IF('Water Report'!$N$22&gt;0,'Water Report'!$N$22,0))</f>
        <v>0</v>
      </c>
      <c r="AZ12" s="301">
        <f>(IF('Water Report'!$N$23&gt;0,'Water Report'!$N$23,0))</f>
        <v>0</v>
      </c>
      <c r="BA12" s="301">
        <f>(IF('Water Report'!$N$14&gt;0,'Water Report'!$N$14,0))</f>
        <v>6</v>
      </c>
      <c r="BB12" s="301">
        <f>(IF('Water Report'!$N$15&gt;0,'Water Report'!$N$15,0))</f>
        <v>6</v>
      </c>
      <c r="BC12" s="301">
        <f>(IF('Water Report'!$N$13&gt;0,'Water Report'!$N$13,0))</f>
        <v>22</v>
      </c>
      <c r="BD12" s="301">
        <f>(IF('Water Report'!$N$24&gt;0,'Water Report'!$N$24,0))</f>
        <v>296</v>
      </c>
      <c r="BE12" s="301">
        <f>(IF('Water Report'!$N$25&gt;0,'Water Report'!$N$25,0))</f>
        <v>172</v>
      </c>
      <c r="BF12" s="301">
        <f>(IF('Water Report'!$N$27&gt;0,'Water Report'!$N$27,0))</f>
        <v>162</v>
      </c>
      <c r="BG12" s="296">
        <f>(IF('Section Load'!AN15&gt;0,'Section Load'!AN15,0))</f>
        <v>1121.5499999998137</v>
      </c>
      <c r="BH12" s="296">
        <f>(IF('Section Load'!AO15&gt;0,'Section Load'!AO15,0))</f>
        <v>265.35999999998603</v>
      </c>
      <c r="BI12" s="296">
        <f>(IF('Section Load'!AP15&gt;0,'Section Load'!AP15,0))</f>
        <v>0</v>
      </c>
      <c r="BJ12" s="296">
        <f>(IF('Section Load'!AQ15&gt;0,'Section Load'!AQ15,0))</f>
        <v>118.33999999999651</v>
      </c>
      <c r="BK12" s="296">
        <f>(IF('Section Load'!AR15&gt;0,'Section Load'!AR15,0))</f>
        <v>62.19999999999709</v>
      </c>
      <c r="BL12" s="296">
        <f>(IF('Section Load'!AS15&gt;0,'Section Load'!AS15,0))</f>
        <v>0</v>
      </c>
      <c r="BM12" s="296">
        <f>(IF('Section Load'!AT15&gt;0,'Section Load'!AT15,0))</f>
        <v>675.64999999983411</v>
      </c>
    </row>
    <row r="13" spans="1:65">
      <c r="A13" s="287" t="s">
        <v>268</v>
      </c>
      <c r="B13" s="288">
        <f t="shared" si="0"/>
        <v>12</v>
      </c>
      <c r="C13" s="288">
        <v>12</v>
      </c>
      <c r="D13" s="288">
        <v>2022</v>
      </c>
      <c r="E13" s="294">
        <f>(IF('Section Load'!F16&gt;0,'Section Load'!F16,0))</f>
        <v>3424.4999999999418</v>
      </c>
      <c r="F13" s="294">
        <f>(IF('Section Load'!G16&gt;0,'Section Load'!G16,0))</f>
        <v>1048.6600000000035</v>
      </c>
      <c r="G13" s="294">
        <f>(IF('Section Load'!H16&gt;0,'Section Load'!H16,0))</f>
        <v>2429.920000000051</v>
      </c>
      <c r="H13" s="294">
        <f>(IF('Section Load'!I16&gt;0,'Section Load'!I16,0))</f>
        <v>4085.8200000000652</v>
      </c>
      <c r="I13" s="294">
        <f>(IF('Section Load'!J16&gt;0,'Section Load'!J16,0))</f>
        <v>3707.4500000000116</v>
      </c>
      <c r="J13" s="294">
        <f>(IF('Section Load'!K16&gt;0,'Section Load'!K16,0))</f>
        <v>2405.0500000000466</v>
      </c>
      <c r="K13" s="294">
        <f>(IF('Section Load'!L16&gt;0,'Section Load'!L16,0))</f>
        <v>1380.570000000007</v>
      </c>
      <c r="L13" s="294">
        <f>(IF('Section Load'!M16&gt;0,'Section Load'!M16,0))</f>
        <v>1112.1500000000233</v>
      </c>
      <c r="M13" s="294">
        <f>(IF('Section Load'!N16&gt;0,'Section Load'!N16,0))</f>
        <v>106</v>
      </c>
      <c r="N13" s="294">
        <f>(IF('Section Load'!O16&gt;0,'Section Load'!O16,0))</f>
        <v>169</v>
      </c>
      <c r="O13" s="294">
        <f>(IF('Section Load'!P16&gt;0,'Section Load'!P16,0))</f>
        <v>21.599999999999909</v>
      </c>
      <c r="P13" s="294">
        <f>(IF('Section Load'!Q16&gt;0,'Section Load'!Q16,0))</f>
        <v>226</v>
      </c>
      <c r="Q13" s="294">
        <f>(IF('Section Load'!R16&gt;0,'Section Load'!R16,0))</f>
        <v>92.934999999997672</v>
      </c>
      <c r="R13" s="294">
        <f>(IF('Section Load'!S16&gt;0,'Section Load'!S16,0))</f>
        <v>120</v>
      </c>
      <c r="S13" s="294">
        <f>(IF('Section Load'!T16&gt;0,'Section Load'!T16,0))</f>
        <v>57</v>
      </c>
      <c r="T13" s="294">
        <f>(IF('Section Load'!U16&gt;0,'Section Load'!U16,0))</f>
        <v>243</v>
      </c>
      <c r="U13" s="294">
        <f>(IF('Section Load'!V16&gt;0,'Section Load'!V16,0))</f>
        <v>391.95999999996275</v>
      </c>
      <c r="V13" s="294">
        <f>(IF('Section Load'!W16&gt;0,'Section Load'!W16,0))</f>
        <v>451.88000000000466</v>
      </c>
      <c r="W13" s="294">
        <f>(IF('Section Load'!X16&gt;0,'Section Load'!X16,0))</f>
        <v>26.6200000000008</v>
      </c>
      <c r="X13" s="294">
        <f>(IF('Section Load'!Y16&gt;0,'Section Load'!Y16,0))</f>
        <v>195.17999999999302</v>
      </c>
      <c r="Y13" s="294">
        <f>(IF('Section Load'!Z16&gt;0,'Section Load'!Z16,0))</f>
        <v>250</v>
      </c>
      <c r="Z13" s="294">
        <f>(IF('Section Load'!AA16&gt;0,'Section Load'!AA16,0))</f>
        <v>227.40000000002328</v>
      </c>
      <c r="AA13" s="294">
        <f>(IF('Section Load'!AB16&gt;0,'Section Load'!AB16,0))</f>
        <v>41.19999999999709</v>
      </c>
      <c r="AB13" s="294">
        <f>(IF('Section Load'!AC16&gt;0,'Section Load'!AC16,0))</f>
        <v>0</v>
      </c>
      <c r="AC13" s="294">
        <f>(IF('Section Load'!AD16&gt;0,'Section Load'!AD16,0))</f>
        <v>7.5</v>
      </c>
      <c r="AD13" s="294">
        <f>(IF('Section Load'!AE16&gt;0,'Section Load'!AE16,0))</f>
        <v>341.38999999999942</v>
      </c>
      <c r="AE13" s="294">
        <f>(IF('Section Load'!AF16&gt;0,'Section Load'!AF16,0))</f>
        <v>255.13000000000466</v>
      </c>
      <c r="AF13" s="294">
        <f>(IF('Section Load'!AG16&gt;0,'Section Load'!AG16,0))</f>
        <v>643.54000000000815</v>
      </c>
      <c r="AG13" s="294">
        <f>(IF('Section Load'!AH16&gt;0,'Section Load'!AH16,0))</f>
        <v>11.209999999999127</v>
      </c>
      <c r="AH13" s="294">
        <f>(IF('Section Load'!AI16&gt;0,'Section Load'!AI16,0))</f>
        <v>399.66999999999825</v>
      </c>
      <c r="AI13" s="294">
        <f>(IF('Section Load'!AJ16&gt;0,'Section Load'!AJ16,0))</f>
        <v>433.30000000000291</v>
      </c>
      <c r="AJ13" s="294">
        <f>(IF('Section Load'!AK16&gt;0,'Section Load'!AK16,0))</f>
        <v>359.69000000000233</v>
      </c>
      <c r="AK13" s="294">
        <f>(IF('Section Load'!AL16&gt;0,'Section Load'!AL16,0))</f>
        <v>309.13000000000466</v>
      </c>
      <c r="AL13" s="294">
        <f>(IF('Section Load'!AM16&gt;0,'Section Load'!AM16,0))</f>
        <v>720</v>
      </c>
      <c r="AM13" s="295">
        <f>(IF('Water Report'!$O$7&gt;0,'Water Report'!$O$7,0))</f>
        <v>101</v>
      </c>
      <c r="AN13" s="295">
        <f>(IF('Water Report'!$O$8&gt;0,'Water Report'!$O$8,0))</f>
        <v>1</v>
      </c>
      <c r="AO13" s="295">
        <f>(IF('Water Report'!$O$9&gt;0,'Water Report'!$O$9,0))</f>
        <v>123</v>
      </c>
      <c r="AP13" s="295">
        <f>(IF('Water Report'!$O$10&gt;0,'Water Report'!$O$10,0))</f>
        <v>7</v>
      </c>
      <c r="AQ13" s="295">
        <f>(IF('Water Report'!$O$11&gt;0,'Water Report'!$O$11,0))</f>
        <v>16</v>
      </c>
      <c r="AR13" s="295">
        <f>(IF('Water Report'!$O$13&gt;0,'Water Report'!$O$13,0))</f>
        <v>34</v>
      </c>
      <c r="AS13" s="295">
        <f>(IF('Water Report'!$O$14&gt;0,'Water Report'!$O$14,0))</f>
        <v>6</v>
      </c>
      <c r="AT13" s="295">
        <f>(IF('Water Report'!$O$15&gt;0,'Water Report'!$O$15,0))</f>
        <v>5</v>
      </c>
      <c r="AU13" s="295">
        <f>(IF('Water Report'!$O$17&gt;0,'Water Report'!$O$17,0))</f>
        <v>0</v>
      </c>
      <c r="AV13" s="295">
        <f>(IF('Water Report'!$O$18&gt;0,'Water Report'!$O$18,0))</f>
        <v>11</v>
      </c>
      <c r="AW13" s="295">
        <f>(IF('Water Report'!$O$19&gt;0,'Water Report'!$O$19,0))</f>
        <v>12</v>
      </c>
      <c r="AX13" s="301">
        <f>(IF('Water Report'!$O$21&gt;0,'Water Report'!$O$21,0))</f>
        <v>124</v>
      </c>
      <c r="AY13" s="301">
        <f>(IF('Water Report'!$O$22&gt;0,'Water Report'!$O$22,0))</f>
        <v>0</v>
      </c>
      <c r="AZ13" s="301">
        <f>(IF('Water Report'!$O$23&gt;0,'Water Report'!$O$23,0))</f>
        <v>0</v>
      </c>
      <c r="BA13" s="301">
        <f>(IF('Water Report'!$O$14&gt;0,'Water Report'!$O$14,0))</f>
        <v>6</v>
      </c>
      <c r="BB13" s="301">
        <f>(IF('Water Report'!$O$15&gt;0,'Water Report'!$O$15,0))</f>
        <v>5</v>
      </c>
      <c r="BC13" s="301">
        <f>(IF('Water Report'!$O$13&gt;0,'Water Report'!$O$13,0))</f>
        <v>34</v>
      </c>
      <c r="BD13" s="301">
        <f>(IF('Water Report'!$O$24&gt;0,'Water Report'!$O$24,0))</f>
        <v>411</v>
      </c>
      <c r="BE13" s="301">
        <f>(IF('Water Report'!$O$25&gt;0,'Water Report'!$O$25,0))</f>
        <v>157</v>
      </c>
      <c r="BF13" s="301">
        <f>(IF('Water Report'!$O$27&gt;0,'Water Report'!$O$27,0))</f>
        <v>158</v>
      </c>
      <c r="BG13" s="296">
        <f>(IF('Section Load'!AN16&gt;0,'Section Load'!AN16,0))</f>
        <v>1100</v>
      </c>
      <c r="BH13" s="296">
        <f>(IF('Section Load'!AO16&gt;0,'Section Load'!AO16,0))</f>
        <v>297.90000000002328</v>
      </c>
      <c r="BI13" s="296">
        <f>(IF('Section Load'!AP16&gt;0,'Section Load'!AP16,0))</f>
        <v>0.19999999999708962</v>
      </c>
      <c r="BJ13" s="296">
        <f>(IF('Section Load'!AQ16&gt;0,'Section Load'!AQ16,0))</f>
        <v>124.66000000000349</v>
      </c>
      <c r="BK13" s="296">
        <f>(IF('Section Load'!AR16&gt;0,'Section Load'!AR16,0))</f>
        <v>49.80000000000291</v>
      </c>
      <c r="BL13" s="296">
        <f>(IF('Section Load'!AS16&gt;0,'Section Load'!AS16,0))</f>
        <v>0</v>
      </c>
      <c r="BM13" s="296">
        <f>(IF('Section Load'!AT16&gt;0,'Section Load'!AT16,0))</f>
        <v>627.43999999997322</v>
      </c>
    </row>
    <row r="14" spans="1:65">
      <c r="A14" s="287" t="s">
        <v>268</v>
      </c>
      <c r="B14" s="288">
        <f t="shared" si="0"/>
        <v>13</v>
      </c>
      <c r="C14" s="288">
        <v>12</v>
      </c>
      <c r="D14" s="288">
        <v>2022</v>
      </c>
      <c r="E14" s="294">
        <f>(IF('Section Load'!F17&gt;0,'Section Load'!F17,0))</f>
        <v>3155.3100000000559</v>
      </c>
      <c r="F14" s="294">
        <f>(IF('Section Load'!G17&gt;0,'Section Load'!G17,0))</f>
        <v>989</v>
      </c>
      <c r="G14" s="294">
        <f>(IF('Section Load'!H17&gt;0,'Section Load'!H17,0))</f>
        <v>2439</v>
      </c>
      <c r="H14" s="294">
        <f>(IF('Section Load'!I17&gt;0,'Section Load'!I17,0))</f>
        <v>3939</v>
      </c>
      <c r="I14" s="294">
        <f>(IF('Section Load'!J17&gt;0,'Section Load'!J17,0))</f>
        <v>3994.1899999999441</v>
      </c>
      <c r="J14" s="294">
        <f>(IF('Section Load'!K17&gt;0,'Section Load'!K17,0))</f>
        <v>2292.1500000000233</v>
      </c>
      <c r="K14" s="294">
        <f>(IF('Section Load'!L17&gt;0,'Section Load'!L17,0))</f>
        <v>1259</v>
      </c>
      <c r="L14" s="294">
        <f>(IF('Section Load'!M17&gt;0,'Section Load'!M17,0))</f>
        <v>1045</v>
      </c>
      <c r="M14" s="294">
        <f>(IF('Section Load'!N17&gt;0,'Section Load'!N17,0))</f>
        <v>132</v>
      </c>
      <c r="N14" s="294">
        <f>(IF('Section Load'!O17&gt;0,'Section Load'!O17,0))</f>
        <v>179</v>
      </c>
      <c r="O14" s="294">
        <f>(IF('Section Load'!P17&gt;0,'Section Load'!P17,0))</f>
        <v>19.880000000000109</v>
      </c>
      <c r="P14" s="294">
        <f>(IF('Section Load'!Q17&gt;0,'Section Load'!Q17,0))</f>
        <v>233</v>
      </c>
      <c r="Q14" s="294">
        <f>(IF('Section Load'!R17&gt;0,'Section Load'!R17,0))</f>
        <v>93.065000000002328</v>
      </c>
      <c r="R14" s="294">
        <f>(IF('Section Load'!S17&gt;0,'Section Load'!S17,0))</f>
        <v>152</v>
      </c>
      <c r="S14" s="294">
        <f>(IF('Section Load'!T17&gt;0,'Section Load'!T17,0))</f>
        <v>52</v>
      </c>
      <c r="T14" s="294">
        <f>(IF('Section Load'!U17&gt;0,'Section Load'!U17,0))</f>
        <v>242</v>
      </c>
      <c r="U14" s="294">
        <f>(IF('Section Load'!V17&gt;0,'Section Load'!V17,0))</f>
        <v>393.92000000004191</v>
      </c>
      <c r="V14" s="294">
        <f>(IF('Section Load'!W17&gt;0,'Section Load'!W17,0))</f>
        <v>407.04000000003725</v>
      </c>
      <c r="W14" s="294">
        <f>(IF('Section Load'!X17&gt;0,'Section Load'!X17,0))</f>
        <v>31</v>
      </c>
      <c r="X14" s="294">
        <f>(IF('Section Load'!Y17&gt;0,'Section Load'!Y17,0))</f>
        <v>205.66999999999825</v>
      </c>
      <c r="Y14" s="294">
        <f>(IF('Section Load'!Z17&gt;0,'Section Load'!Z17,0))</f>
        <v>242</v>
      </c>
      <c r="Z14" s="294">
        <f>(IF('Section Load'!AA17&gt;0,'Section Load'!AA17,0))</f>
        <v>189.44000000000233</v>
      </c>
      <c r="AA14" s="294">
        <f>(IF('Section Load'!AB17&gt;0,'Section Load'!AB17,0))</f>
        <v>16</v>
      </c>
      <c r="AB14" s="294">
        <f>(IF('Section Load'!AC17&gt;0,'Section Load'!AC17,0))</f>
        <v>0</v>
      </c>
      <c r="AC14" s="294">
        <f>(IF('Section Load'!AD17&gt;0,'Section Load'!AD17,0))</f>
        <v>7.6999999999998181</v>
      </c>
      <c r="AD14" s="294">
        <f>(IF('Section Load'!AE17&gt;0,'Section Load'!AE17,0))</f>
        <v>314</v>
      </c>
      <c r="AE14" s="294">
        <f>(IF('Section Load'!AF17&gt;0,'Section Load'!AF17,0))</f>
        <v>225</v>
      </c>
      <c r="AF14" s="294">
        <f>(IF('Section Load'!AG17&gt;0,'Section Load'!AG17,0))</f>
        <v>631</v>
      </c>
      <c r="AG14" s="294">
        <f>(IF('Section Load'!AH17&gt;0,'Section Load'!AH17,0))</f>
        <v>13</v>
      </c>
      <c r="AH14" s="294">
        <f>(IF('Section Load'!AI17&gt;0,'Section Load'!AI17,0))</f>
        <v>404</v>
      </c>
      <c r="AI14" s="294">
        <f>(IF('Section Load'!AJ17&gt;0,'Section Load'!AJ17,0))</f>
        <v>429</v>
      </c>
      <c r="AJ14" s="294">
        <f>(IF('Section Load'!AK17&gt;0,'Section Load'!AK17,0))</f>
        <v>362</v>
      </c>
      <c r="AK14" s="294">
        <f>(IF('Section Load'!AL17&gt;0,'Section Load'!AL17,0))</f>
        <v>296</v>
      </c>
      <c r="AL14" s="294">
        <f>(IF('Section Load'!AM17&gt;0,'Section Load'!AM17,0))</f>
        <v>727</v>
      </c>
      <c r="AM14" s="295">
        <f>(IF('Water Report'!$P$7&gt;0,'Water Report'!$P$7,0))</f>
        <v>100</v>
      </c>
      <c r="AN14" s="295">
        <f>(IF('Water Report'!$P$8&gt;0,'Water Report'!$P$8,0))</f>
        <v>20</v>
      </c>
      <c r="AO14" s="295">
        <f>(IF('Water Report'!$P$9&gt;0,'Water Report'!$P$9,0))</f>
        <v>125</v>
      </c>
      <c r="AP14" s="295">
        <f>(IF('Water Report'!$P$10&gt;0,'Water Report'!$P$10,0))</f>
        <v>8</v>
      </c>
      <c r="AQ14" s="295">
        <f>(IF('Water Report'!$P$11&gt;0,'Water Report'!$P$11,0))</f>
        <v>18</v>
      </c>
      <c r="AR14" s="295">
        <f>(IF('Water Report'!$P$13&gt;0,'Water Report'!$P$13,0))</f>
        <v>30</v>
      </c>
      <c r="AS14" s="295">
        <f>(IF('Water Report'!$P$14&gt;0,'Water Report'!$P$14,0))</f>
        <v>5</v>
      </c>
      <c r="AT14" s="295">
        <f>(IF('Water Report'!$P$15&gt;0,'Water Report'!$P$15,0))</f>
        <v>7</v>
      </c>
      <c r="AU14" s="295">
        <f>(IF('Water Report'!$P$17&gt;0,'Water Report'!$P$17,0))</f>
        <v>0</v>
      </c>
      <c r="AV14" s="295">
        <f>(IF('Water Report'!$P$18&gt;0,'Water Report'!$P$18,0))</f>
        <v>12</v>
      </c>
      <c r="AW14" s="295">
        <f>(IF('Water Report'!$P$19&gt;0,'Water Report'!$P$19,0))</f>
        <v>13</v>
      </c>
      <c r="AX14" s="301">
        <f>(IF('Water Report'!$P$21&gt;0,'Water Report'!$P$21,0))</f>
        <v>110</v>
      </c>
      <c r="AY14" s="301">
        <f>(IF('Water Report'!$P$22&gt;0,'Water Report'!$P$22,0))</f>
        <v>0</v>
      </c>
      <c r="AZ14" s="301">
        <f>(IF('Water Report'!$P$23&gt;0,'Water Report'!$P$23,0))</f>
        <v>0</v>
      </c>
      <c r="BA14" s="301">
        <f>(IF('Water Report'!$P$14&gt;0,'Water Report'!$P$14,0))</f>
        <v>5</v>
      </c>
      <c r="BB14" s="301">
        <f>(IF('Water Report'!$P$15&gt;0,'Water Report'!$P$15,0))</f>
        <v>7</v>
      </c>
      <c r="BC14" s="301">
        <f>(IF('Water Report'!$P$13&gt;0,'Water Report'!$P$13,0))</f>
        <v>30</v>
      </c>
      <c r="BD14" s="301">
        <f>(IF('Water Report'!$P$24&gt;0,'Water Report'!$P$24,0))</f>
        <v>378</v>
      </c>
      <c r="BE14" s="301">
        <f>(IF('Water Report'!$P$25&gt;0,'Water Report'!$P$25,0))</f>
        <v>163</v>
      </c>
      <c r="BF14" s="301">
        <f>(IF('Water Report'!$P$27&gt;0,'Water Report'!$P$27,0))</f>
        <v>140</v>
      </c>
      <c r="BG14" s="296">
        <f>(IF('Section Load'!AN17&gt;0,'Section Load'!AN17,0))</f>
        <v>1014</v>
      </c>
      <c r="BH14" s="296">
        <f>(IF('Section Load'!AO17&gt;0,'Section Load'!AO17,0))</f>
        <v>298</v>
      </c>
      <c r="BI14" s="296">
        <f>(IF('Section Load'!AP17&gt;0,'Section Load'!AP17,0))</f>
        <v>0</v>
      </c>
      <c r="BJ14" s="296">
        <f>(IF('Section Load'!AQ17&gt;0,'Section Load'!AQ17,0))</f>
        <v>111</v>
      </c>
      <c r="BK14" s="296">
        <f>(IF('Section Load'!AR17&gt;0,'Section Load'!AR17,0))</f>
        <v>47</v>
      </c>
      <c r="BL14" s="296">
        <f>(IF('Section Load'!AS17&gt;0,'Section Load'!AS17,0))</f>
        <v>0</v>
      </c>
      <c r="BM14" s="296">
        <f>(IF('Section Load'!AT17&gt;0,'Section Load'!AT17,0))</f>
        <v>558.39999999999418</v>
      </c>
    </row>
    <row r="15" spans="1:65">
      <c r="A15" s="287" t="s">
        <v>268</v>
      </c>
      <c r="B15" s="288">
        <f t="shared" si="0"/>
        <v>14</v>
      </c>
      <c r="C15" s="288">
        <v>12</v>
      </c>
      <c r="D15" s="288">
        <v>2022</v>
      </c>
      <c r="E15" s="294">
        <f>(IF('Section Load'!F18&gt;0,'Section Load'!F18,0))</f>
        <v>3419.6899999999441</v>
      </c>
      <c r="F15" s="294">
        <f>(IF('Section Load'!G18&gt;0,'Section Load'!G18,0))</f>
        <v>1067</v>
      </c>
      <c r="G15" s="294">
        <f>(IF('Section Load'!H18&gt;0,'Section Load'!H18,0))</f>
        <v>2633</v>
      </c>
      <c r="H15" s="294">
        <f>(IF('Section Load'!I18&gt;0,'Section Load'!I18,0))</f>
        <v>3636</v>
      </c>
      <c r="I15" s="294">
        <f>(IF('Section Load'!J18&gt;0,'Section Load'!J18,0))</f>
        <v>7314.8100000000559</v>
      </c>
      <c r="J15" s="294">
        <f>(IF('Section Load'!K18&gt;0,'Section Load'!K18,0))</f>
        <v>2841.8499999999767</v>
      </c>
      <c r="K15" s="294">
        <f>(IF('Section Load'!L18&gt;0,'Section Load'!L18,0))</f>
        <v>1665</v>
      </c>
      <c r="L15" s="294">
        <f>(IF('Section Load'!M18&gt;0,'Section Load'!M18,0))</f>
        <v>1258</v>
      </c>
      <c r="M15" s="294">
        <f>(IF('Section Load'!N18&gt;0,'Section Load'!N18,0))</f>
        <v>146</v>
      </c>
      <c r="N15" s="294">
        <f>(IF('Section Load'!O18&gt;0,'Section Load'!O18,0))</f>
        <v>162</v>
      </c>
      <c r="O15" s="294">
        <f>(IF('Section Load'!P18&gt;0,'Section Load'!P18,0))</f>
        <v>22</v>
      </c>
      <c r="P15" s="294">
        <f>(IF('Section Load'!Q18&gt;0,'Section Load'!Q18,0))</f>
        <v>239</v>
      </c>
      <c r="Q15" s="294">
        <f>(IF('Section Load'!R18&gt;0,'Section Load'!R18,0))</f>
        <v>86</v>
      </c>
      <c r="R15" s="294">
        <f>(IF('Section Load'!S18&gt;0,'Section Load'!S18,0))</f>
        <v>201</v>
      </c>
      <c r="S15" s="294">
        <f>(IF('Section Load'!T18&gt;0,'Section Load'!T18,0))</f>
        <v>58</v>
      </c>
      <c r="T15" s="294">
        <f>(IF('Section Load'!U18&gt;0,'Section Load'!U18,0))</f>
        <v>234</v>
      </c>
      <c r="U15" s="294">
        <f>(IF('Section Load'!V18&gt;0,'Section Load'!V18,0))</f>
        <v>406.11999999999534</v>
      </c>
      <c r="V15" s="294">
        <f>(IF('Section Load'!W18&gt;0,'Section Load'!W18,0))</f>
        <v>450.07999999995809</v>
      </c>
      <c r="W15" s="294">
        <f>(IF('Section Load'!X18&gt;0,'Section Load'!X18,0))</f>
        <v>31</v>
      </c>
      <c r="X15" s="294">
        <f>(IF('Section Load'!Y18&gt;0,'Section Load'!Y18,0))</f>
        <v>191.72000000000116</v>
      </c>
      <c r="Y15" s="294">
        <f>(IF('Section Load'!Z18&gt;0,'Section Load'!Z18,0))</f>
        <v>273</v>
      </c>
      <c r="Z15" s="294">
        <f>(IF('Section Load'!AA18&gt;0,'Section Load'!AA18,0))</f>
        <v>283.11999999999534</v>
      </c>
      <c r="AA15" s="294">
        <f>(IF('Section Load'!AB18&gt;0,'Section Load'!AB18,0))</f>
        <v>64</v>
      </c>
      <c r="AB15" s="294">
        <f>(IF('Section Load'!AC18&gt;0,'Section Load'!AC18,0))</f>
        <v>0</v>
      </c>
      <c r="AC15" s="294">
        <f>(IF('Section Load'!AD18&gt;0,'Section Load'!AD18,0))</f>
        <v>7.4000000000005457</v>
      </c>
      <c r="AD15" s="294">
        <f>(IF('Section Load'!AE18&gt;0,'Section Load'!AE18,0))</f>
        <v>380</v>
      </c>
      <c r="AE15" s="294">
        <f>(IF('Section Load'!AF18&gt;0,'Section Load'!AF18,0))</f>
        <v>247</v>
      </c>
      <c r="AF15" s="294">
        <f>(IF('Section Load'!AG18&gt;0,'Section Load'!AG18,0))</f>
        <v>663</v>
      </c>
      <c r="AG15" s="294">
        <f>(IF('Section Load'!AH18&gt;0,'Section Load'!AH18,0))</f>
        <v>13</v>
      </c>
      <c r="AH15" s="294">
        <f>(IF('Section Load'!AI18&gt;0,'Section Load'!AI18,0))</f>
        <v>419</v>
      </c>
      <c r="AI15" s="294">
        <f>(IF('Section Load'!AJ18&gt;0,'Section Load'!AJ18,0))</f>
        <v>462</v>
      </c>
      <c r="AJ15" s="294">
        <f>(IF('Section Load'!AK18&gt;0,'Section Load'!AK18,0))</f>
        <v>380</v>
      </c>
      <c r="AK15" s="294">
        <f>(IF('Section Load'!AL18&gt;0,'Section Load'!AL18,0))</f>
        <v>299</v>
      </c>
      <c r="AL15" s="294">
        <f>(IF('Section Load'!AM18&gt;0,'Section Load'!AM18,0))</f>
        <v>830</v>
      </c>
      <c r="AM15" s="295">
        <f>(IF('Water Report'!$Q$7&gt;0,'Water Report'!$Q$7,0))</f>
        <v>123</v>
      </c>
      <c r="AN15" s="295">
        <f>(IF('Water Report'!$Q$8&gt;0,'Water Report'!$Q$8,0))</f>
        <v>26</v>
      </c>
      <c r="AO15" s="295">
        <f>(IF('Water Report'!$Q$9&gt;0,'Water Report'!$Q$9,0))</f>
        <v>149</v>
      </c>
      <c r="AP15" s="295">
        <f>(IF('Water Report'!$Q$10&gt;0,'Water Report'!$Q$10,0))</f>
        <v>13</v>
      </c>
      <c r="AQ15" s="295">
        <f>(IF('Water Report'!$Q$11&gt;0,'Water Report'!$Q$11,0))</f>
        <v>22</v>
      </c>
      <c r="AR15" s="295">
        <f>(IF('Water Report'!$Q$13&gt;0,'Water Report'!$Q$13,0))</f>
        <v>29</v>
      </c>
      <c r="AS15" s="295">
        <f>(IF('Water Report'!$Q$14&gt;0,'Water Report'!$Q$14,0))</f>
        <v>10</v>
      </c>
      <c r="AT15" s="295">
        <f>(IF('Water Report'!$Q$15&gt;0,'Water Report'!$Q$15,0))</f>
        <v>8</v>
      </c>
      <c r="AU15" s="295">
        <f>(IF('Water Report'!$Q$17&gt;0,'Water Report'!$Q$17,0))</f>
        <v>0</v>
      </c>
      <c r="AV15" s="295">
        <f>(IF('Water Report'!$Q$18&gt;0,'Water Report'!$Q$18,0))</f>
        <v>11</v>
      </c>
      <c r="AW15" s="295">
        <f>(IF('Water Report'!$Q$19&gt;0,'Water Report'!$Q$19,0))</f>
        <v>12</v>
      </c>
      <c r="AX15" s="301">
        <f>(IF('Water Report'!$Q$21&gt;0,'Water Report'!$Q$21,0))</f>
        <v>135</v>
      </c>
      <c r="AY15" s="301">
        <f>(IF('Water Report'!$Q$22&gt;0,'Water Report'!$Q$22,0))</f>
        <v>0</v>
      </c>
      <c r="AZ15" s="301">
        <f>(IF('Water Report'!$Q$23&gt;0,'Water Report'!$Q$23,0))</f>
        <v>39</v>
      </c>
      <c r="BA15" s="301">
        <f>(IF('Water Report'!$Q$14&gt;0,'Water Report'!$Q$14,0))</f>
        <v>10</v>
      </c>
      <c r="BB15" s="301">
        <f>(IF('Water Report'!$Q$15&gt;0,'Water Report'!$Q$15,0))</f>
        <v>8</v>
      </c>
      <c r="BC15" s="301">
        <f>(IF('Water Report'!$Q$13&gt;0,'Water Report'!$Q$13,0))</f>
        <v>29</v>
      </c>
      <c r="BD15" s="301">
        <f>(IF('Water Report'!$Q$24&gt;0,'Water Report'!$Q$24,0))</f>
        <v>377</v>
      </c>
      <c r="BE15" s="301">
        <f>(IF('Water Report'!$Q$25&gt;0,'Water Report'!$Q$25,0))</f>
        <v>202</v>
      </c>
      <c r="BF15" s="301">
        <f>(IF('Water Report'!$Q$27&gt;0,'Water Report'!$Q$27,0))</f>
        <v>203</v>
      </c>
      <c r="BG15" s="296">
        <f>(IF('Section Load'!AN18&gt;0,'Section Load'!AN18,0))</f>
        <v>1060</v>
      </c>
      <c r="BH15" s="296">
        <f>(IF('Section Load'!AO18&gt;0,'Section Load'!AO18,0))</f>
        <v>291</v>
      </c>
      <c r="BI15" s="296">
        <f>(IF('Section Load'!AP18&gt;0,'Section Load'!AP18,0))</f>
        <v>0.19999999999708962</v>
      </c>
      <c r="BJ15" s="296">
        <f>(IF('Section Load'!AQ18&gt;0,'Section Load'!AQ18,0))</f>
        <v>122</v>
      </c>
      <c r="BK15" s="296">
        <f>(IF('Section Load'!AR18&gt;0,'Section Load'!AR18,0))</f>
        <v>47</v>
      </c>
      <c r="BL15" s="296">
        <f>(IF('Section Load'!AS18&gt;0,'Section Load'!AS18,0))</f>
        <v>0</v>
      </c>
      <c r="BM15" s="296">
        <f>(IF('Section Load'!AT18&gt;0,'Section Load'!AT18,0))</f>
        <v>599.80000000000291</v>
      </c>
    </row>
    <row r="16" spans="1:65">
      <c r="A16" s="287" t="s">
        <v>268</v>
      </c>
      <c r="B16" s="288">
        <f t="shared" si="0"/>
        <v>15</v>
      </c>
      <c r="C16" s="288">
        <v>12</v>
      </c>
      <c r="D16" s="288">
        <v>2022</v>
      </c>
      <c r="E16" s="294">
        <f>(IF('Section Load'!F19&gt;0,'Section Load'!F19,0))</f>
        <v>3092</v>
      </c>
      <c r="F16" s="294">
        <f>(IF('Section Load'!G19&gt;0,'Section Load'!G19,0))</f>
        <v>1075</v>
      </c>
      <c r="G16" s="294">
        <f>(IF('Section Load'!H19&gt;0,'Section Load'!H19,0))</f>
        <v>591.76</v>
      </c>
      <c r="H16" s="294">
        <f>(IF('Section Load'!I19&gt;0,'Section Load'!I19,0))</f>
        <v>4668</v>
      </c>
      <c r="I16" s="294">
        <f>(IF('Section Load'!J19&gt;0,'Section Load'!J19,0))</f>
        <v>6679.4499999999534</v>
      </c>
      <c r="J16" s="294">
        <f>(IF('Section Load'!K19&gt;0,'Section Load'!K19,0))</f>
        <v>4668</v>
      </c>
      <c r="K16" s="294">
        <f>(IF('Section Load'!L19&gt;0,'Section Load'!L19,0))</f>
        <v>1451</v>
      </c>
      <c r="L16" s="294">
        <f>(IF('Section Load'!M19&gt;0,'Section Load'!M19,0))</f>
        <v>1125</v>
      </c>
      <c r="M16" s="294">
        <f>(IF('Section Load'!N19&gt;0,'Section Load'!N19,0))</f>
        <v>107</v>
      </c>
      <c r="N16" s="294">
        <f>(IF('Section Load'!O19&gt;0,'Section Load'!O19,0))</f>
        <v>161</v>
      </c>
      <c r="O16" s="294">
        <f>(IF('Section Load'!P19&gt;0,'Section Load'!P19,0))</f>
        <v>21</v>
      </c>
      <c r="P16" s="294">
        <f>(IF('Section Load'!Q19&gt;0,'Section Load'!Q19,0))</f>
        <v>228</v>
      </c>
      <c r="Q16" s="294">
        <f>(IF('Section Load'!R19&gt;0,'Section Load'!R19,0))</f>
        <v>84</v>
      </c>
      <c r="R16" s="294">
        <f>(IF('Section Load'!S19&gt;0,'Section Load'!S19,0))</f>
        <v>188</v>
      </c>
      <c r="S16" s="294">
        <f>(IF('Section Load'!T19&gt;0,'Section Load'!T19,0))</f>
        <v>43</v>
      </c>
      <c r="T16" s="294">
        <f>(IF('Section Load'!U19&gt;0,'Section Load'!U19,0))</f>
        <v>244</v>
      </c>
      <c r="U16" s="294">
        <f>(IF('Section Load'!V19&gt;0,'Section Load'!V19,0))</f>
        <v>419</v>
      </c>
      <c r="V16" s="294">
        <f>(IF('Section Load'!W19&gt;0,'Section Load'!W19,0))</f>
        <v>411</v>
      </c>
      <c r="W16" s="294">
        <f>(IF('Section Load'!X19&gt;0,'Section Load'!X19,0))</f>
        <v>27</v>
      </c>
      <c r="X16" s="294">
        <f>(IF('Section Load'!Y19&gt;0,'Section Load'!Y19,0))</f>
        <v>189.61000000000058</v>
      </c>
      <c r="Y16" s="294">
        <f>(IF('Section Load'!Z19&gt;0,'Section Load'!Z19,0))</f>
        <v>248</v>
      </c>
      <c r="Z16" s="294">
        <f>(IF('Section Load'!AA19&gt;0,'Section Load'!AA19,0))</f>
        <v>260.03999999997905</v>
      </c>
      <c r="AA16" s="294">
        <f>(IF('Section Load'!AB19&gt;0,'Section Load'!AB19,0))</f>
        <v>56</v>
      </c>
      <c r="AB16" s="294">
        <f>(IF('Section Load'!AC19&gt;0,'Section Load'!AC19,0))</f>
        <v>0</v>
      </c>
      <c r="AC16" s="294">
        <f>(IF('Section Load'!AD19&gt;0,'Section Load'!AD19,0))</f>
        <v>10.399999999999636</v>
      </c>
      <c r="AD16" s="294">
        <f>(IF('Section Load'!AE19&gt;0,'Section Load'!AE19,0))</f>
        <v>372</v>
      </c>
      <c r="AE16" s="294">
        <f>(IF('Section Load'!AF19&gt;0,'Section Load'!AF19,0))</f>
        <v>265</v>
      </c>
      <c r="AF16" s="294">
        <f>(IF('Section Load'!AG19&gt;0,'Section Load'!AG19,0))</f>
        <v>640</v>
      </c>
      <c r="AG16" s="294">
        <f>(IF('Section Load'!AH19&gt;0,'Section Load'!AH19,0))</f>
        <v>12</v>
      </c>
      <c r="AH16" s="294">
        <f>(IF('Section Load'!AI19&gt;0,'Section Load'!AI19,0))</f>
        <v>394</v>
      </c>
      <c r="AI16" s="294">
        <f>(IF('Section Load'!AJ19&gt;0,'Section Load'!AJ19,0))</f>
        <v>439</v>
      </c>
      <c r="AJ16" s="294">
        <f>(IF('Section Load'!AK19&gt;0,'Section Load'!AK19,0))</f>
        <v>364</v>
      </c>
      <c r="AK16" s="294">
        <f>(IF('Section Load'!AL19&gt;0,'Section Load'!AL19,0))</f>
        <v>298</v>
      </c>
      <c r="AL16" s="294">
        <f>(IF('Section Load'!AM19&gt;0,'Section Load'!AM19,0))</f>
        <v>738</v>
      </c>
      <c r="AM16" s="295">
        <f>(IF('Water Report'!$R$7&gt;0,'Water Report'!$R$7,0))</f>
        <v>107</v>
      </c>
      <c r="AN16" s="295">
        <f>(IF('Water Report'!$R$8&gt;0,'Water Report'!$R$8,0))</f>
        <v>81</v>
      </c>
      <c r="AO16" s="295">
        <f>(IF('Water Report'!$R$9&gt;0,'Water Report'!$R$9,0))</f>
        <v>142</v>
      </c>
      <c r="AP16" s="295">
        <f>(IF('Water Report'!$R$10&gt;0,'Water Report'!$R$10,0))</f>
        <v>8</v>
      </c>
      <c r="AQ16" s="295">
        <f>(IF('Water Report'!$R$11&gt;0,'Water Report'!$R$11,0))</f>
        <v>25</v>
      </c>
      <c r="AR16" s="295">
        <f>(IF('Water Report'!$R$13&gt;0,'Water Report'!$R$13,0))</f>
        <v>34</v>
      </c>
      <c r="AS16" s="295">
        <f>(IF('Water Report'!$R$14&gt;0,'Water Report'!$R$14,0))</f>
        <v>7</v>
      </c>
      <c r="AT16" s="295">
        <f>(IF('Water Report'!$R$15&gt;0,'Water Report'!$R$15,0))</f>
        <v>11</v>
      </c>
      <c r="AU16" s="295">
        <f>(IF('Water Report'!$R$17&gt;0,'Water Report'!$R$17,0))</f>
        <v>0</v>
      </c>
      <c r="AV16" s="295">
        <f>(IF('Water Report'!$R$18&gt;0,'Water Report'!$R$18,0))</f>
        <v>10</v>
      </c>
      <c r="AW16" s="295">
        <f>(IF('Water Report'!$R$19&gt;0,'Water Report'!$R$19,0))</f>
        <v>13</v>
      </c>
      <c r="AX16" s="301">
        <f>(IF('Water Report'!$R$21&gt;0,'Water Report'!$R$21,0))</f>
        <v>121</v>
      </c>
      <c r="AY16" s="301">
        <f>(IF('Water Report'!$R$22&gt;0,'Water Report'!$R$22,0))</f>
        <v>0</v>
      </c>
      <c r="AZ16" s="301">
        <f>(IF('Water Report'!$R$23&gt;0,'Water Report'!$R$23,0))</f>
        <v>2</v>
      </c>
      <c r="BA16" s="301">
        <f>(IF('Water Report'!$R$14&gt;0,'Water Report'!$R$14,0))</f>
        <v>7</v>
      </c>
      <c r="BB16" s="301">
        <f>(IF('Water Report'!$R$15&gt;0,'Water Report'!$R$15,0))</f>
        <v>11</v>
      </c>
      <c r="BC16" s="301">
        <f>(IF('Water Report'!$R$13&gt;0,'Water Report'!$R$13,0))</f>
        <v>34</v>
      </c>
      <c r="BD16" s="301">
        <f>(IF('Water Report'!$R$24&gt;0,'Water Report'!$R$24,0))</f>
        <v>382</v>
      </c>
      <c r="BE16" s="301">
        <f>(IF('Water Report'!$R$25&gt;0,'Water Report'!$R$25,0))</f>
        <v>193</v>
      </c>
      <c r="BF16" s="301">
        <f>(IF('Water Report'!$R$27&gt;0,'Water Report'!$R$27,0))</f>
        <v>157</v>
      </c>
      <c r="BG16" s="296">
        <f>(IF('Section Load'!AN19&gt;0,'Section Load'!AN19,0))</f>
        <v>1060</v>
      </c>
      <c r="BH16" s="296">
        <f>(IF('Section Load'!AO19&gt;0,'Section Load'!AO19,0))</f>
        <v>113</v>
      </c>
      <c r="BI16" s="296">
        <f>(IF('Section Load'!AP19&gt;0,'Section Load'!AP19,0))</f>
        <v>0</v>
      </c>
      <c r="BJ16" s="296">
        <f>(IF('Section Load'!AQ19&gt;0,'Section Load'!AQ19,0))</f>
        <v>117</v>
      </c>
      <c r="BK16" s="296">
        <f>(IF('Section Load'!AR19&gt;0,'Section Load'!AR19,0))</f>
        <v>59</v>
      </c>
      <c r="BL16" s="296">
        <f>(IF('Section Load'!AS19&gt;0,'Section Load'!AS19,0))</f>
        <v>0</v>
      </c>
      <c r="BM16" s="296">
        <f>(IF('Section Load'!AT19&gt;0,'Section Load'!AT19,0))</f>
        <v>771</v>
      </c>
    </row>
    <row r="17" spans="1:65">
      <c r="A17" s="287" t="s">
        <v>268</v>
      </c>
      <c r="B17" s="288">
        <f t="shared" si="0"/>
        <v>16</v>
      </c>
      <c r="C17" s="288">
        <v>12</v>
      </c>
      <c r="D17" s="288">
        <v>2022</v>
      </c>
      <c r="E17" s="294">
        <f>(IF('Section Load'!F20&gt;0,'Section Load'!F20,0))</f>
        <v>3286.1199999999953</v>
      </c>
      <c r="F17" s="294">
        <f>(IF('Section Load'!G20&gt;0,'Section Load'!G20,0))</f>
        <v>1038.429999999993</v>
      </c>
      <c r="G17" s="294">
        <f>(IF('Section Load'!H20&gt;0,'Section Load'!H20,0))</f>
        <v>0.58999999996740371</v>
      </c>
      <c r="H17" s="294">
        <f>(IF('Section Load'!I20&gt;0,'Section Load'!I20,0))</f>
        <v>4071.4599999999627</v>
      </c>
      <c r="I17" s="294">
        <f>(IF('Section Load'!J20&gt;0,'Section Load'!J20,0))</f>
        <v>6364.6599999999744</v>
      </c>
      <c r="J17" s="294">
        <f>(IF('Section Load'!K20&gt;0,'Section Load'!K20,0))</f>
        <v>5085</v>
      </c>
      <c r="K17" s="294">
        <f>(IF('Section Load'!L20&gt;0,'Section Load'!L20,0))</f>
        <v>1329.2700000000186</v>
      </c>
      <c r="L17" s="294">
        <f>(IF('Section Load'!M20&gt;0,'Section Load'!M20,0))</f>
        <v>1024.789999999979</v>
      </c>
      <c r="M17" s="294">
        <f>(IF('Section Load'!N20&gt;0,'Section Load'!N20,0))</f>
        <v>150</v>
      </c>
      <c r="N17" s="294">
        <f>(IF('Section Load'!O20&gt;0,'Section Load'!O20,0))</f>
        <v>183</v>
      </c>
      <c r="O17" s="294">
        <f>(IF('Section Load'!P20&gt;0,'Section Load'!P20,0))</f>
        <v>24.199999999999818</v>
      </c>
      <c r="P17" s="294">
        <f>(IF('Section Load'!Q20&gt;0,'Section Load'!Q20,0))</f>
        <v>246.69000000000233</v>
      </c>
      <c r="Q17" s="294">
        <f>(IF('Section Load'!R20&gt;0,'Section Load'!R20,0))</f>
        <v>104.62999999999738</v>
      </c>
      <c r="R17" s="294">
        <f>(IF('Section Load'!S20&gt;0,'Section Load'!S20,0))</f>
        <v>176.29999999999927</v>
      </c>
      <c r="S17" s="294">
        <f>(IF('Section Load'!T20&gt;0,'Section Load'!T20,0))</f>
        <v>28</v>
      </c>
      <c r="T17" s="294">
        <f>(IF('Section Load'!U20&gt;0,'Section Load'!U20,0))</f>
        <v>240</v>
      </c>
      <c r="U17" s="294">
        <f>(IF('Section Load'!V20&gt;0,'Section Load'!V20,0))</f>
        <v>403.14000000001397</v>
      </c>
      <c r="V17" s="294">
        <f>(IF('Section Load'!W20&gt;0,'Section Load'!W20,0))</f>
        <v>360.52000000001863</v>
      </c>
      <c r="W17" s="294">
        <f>(IF('Section Load'!X20&gt;0,'Section Load'!X20,0))</f>
        <v>29.899999999999636</v>
      </c>
      <c r="X17" s="294">
        <f>(IF('Section Load'!Y20&gt;0,'Section Load'!Y20,0))</f>
        <v>273.36999999999534</v>
      </c>
      <c r="Y17" s="294">
        <f>(IF('Section Load'!Z20&gt;0,'Section Load'!Z20,0))</f>
        <v>347</v>
      </c>
      <c r="Z17" s="294">
        <f>(IF('Section Load'!AA20&gt;0,'Section Load'!AA20,0))</f>
        <v>193.71999999997206</v>
      </c>
      <c r="AA17" s="294">
        <f>(IF('Section Load'!AB20&gt;0,'Section Load'!AB20,0))</f>
        <v>64</v>
      </c>
      <c r="AB17" s="294">
        <f>(IF('Section Load'!AC20&gt;0,'Section Load'!AC20,0))</f>
        <v>0</v>
      </c>
      <c r="AC17" s="294">
        <f>(IF('Section Load'!AD20&gt;0,'Section Load'!AD20,0))</f>
        <v>2.1999999999998181</v>
      </c>
      <c r="AD17" s="294">
        <f>(IF('Section Load'!AE20&gt;0,'Section Load'!AE20,0))</f>
        <v>329.89999999999418</v>
      </c>
      <c r="AE17" s="294">
        <f>(IF('Section Load'!AF20&gt;0,'Section Load'!AF20,0))</f>
        <v>276.72999999999593</v>
      </c>
      <c r="AF17" s="294">
        <f>(IF('Section Load'!AG20&gt;0,'Section Load'!AG20,0))</f>
        <v>632.07999999998719</v>
      </c>
      <c r="AG17" s="294">
        <f>(IF('Section Load'!AH20&gt;0,'Section Load'!AH20,0))</f>
        <v>13.900000000001455</v>
      </c>
      <c r="AH17" s="294">
        <f>(IF('Section Load'!AI20&gt;0,'Section Load'!AI20,0))</f>
        <v>419.30000000000291</v>
      </c>
      <c r="AI17" s="294">
        <f>(IF('Section Load'!AJ20&gt;0,'Section Load'!AJ20,0))</f>
        <v>451.69999999999709</v>
      </c>
      <c r="AJ17" s="294">
        <f>(IF('Section Load'!AK20&gt;0,'Section Load'!AK20,0))</f>
        <v>348.60000000000582</v>
      </c>
      <c r="AK17" s="294">
        <f>(IF('Section Load'!AL20&gt;0,'Section Load'!AL20,0))</f>
        <v>305.47000000000116</v>
      </c>
      <c r="AL17" s="294">
        <f>(IF('Section Load'!AM20&gt;0,'Section Load'!AM20,0))</f>
        <v>697</v>
      </c>
      <c r="AM17" s="295">
        <f>(IF('Water Report'!$S$7&gt;0,'Water Report'!$S$7,0))</f>
        <v>161.40000000002328</v>
      </c>
      <c r="AN17" s="295">
        <f>(IF('Water Report'!$S$8&gt;0,'Water Report'!$S$8,0))</f>
        <v>59</v>
      </c>
      <c r="AO17" s="295">
        <f>(IF('Water Report'!$S$9&gt;0,'Water Report'!$S$9,0))</f>
        <v>149</v>
      </c>
      <c r="AP17" s="295">
        <f>(IF('Water Report'!$S$10&gt;0,'Water Report'!$D$10,0))</f>
        <v>10</v>
      </c>
      <c r="AQ17" s="295">
        <f>(IF('Water Report'!$S$11&gt;0,'Water Report'!$D$11,0))</f>
        <v>19</v>
      </c>
      <c r="AR17" s="295">
        <f>(IF('Water Report'!$S$13&gt;0,'Water Report'!$D$13,0))</f>
        <v>45</v>
      </c>
      <c r="AS17" s="295">
        <f>(IF('Water Report'!$S$14&gt;0,'Water Report'!$D$14,0))</f>
        <v>5</v>
      </c>
      <c r="AT17" s="295">
        <f>(IF('Water Report'!$S$15&gt;0,'Water Report'!$D$15,0))</f>
        <v>8</v>
      </c>
      <c r="AU17" s="295">
        <f>(IF('Water Report'!$S$17&gt;0,'Water Report'!$D$17,0))</f>
        <v>2</v>
      </c>
      <c r="AV17" s="295">
        <f>(IF('Water Report'!$S$18&gt;0,'Water Report'!$D$18,0))</f>
        <v>11</v>
      </c>
      <c r="AW17" s="295">
        <f>(IF('Water Report'!$S$19&gt;0,'Water Report'!$D$19,0))</f>
        <v>13</v>
      </c>
      <c r="AX17" s="301">
        <f>(IF('Water Report'!$S$21&gt;0,'Water Report'!$D$21,0))</f>
        <v>42</v>
      </c>
      <c r="AY17" s="301">
        <f>(IF('Water Report'!$S$22&gt;0,'Water Report'!$D$22,0))</f>
        <v>0</v>
      </c>
      <c r="AZ17" s="301">
        <f>(IF('Water Report'!$S$23&gt;0,'Water Report'!$D$23,0))</f>
        <v>0</v>
      </c>
      <c r="BA17" s="301">
        <f>(IF('Water Report'!$S$14&gt;0,'Water Report'!$D$14,0))</f>
        <v>5</v>
      </c>
      <c r="BB17" s="301">
        <f>(IF('Water Report'!$S$15&gt;0,'Water Report'!$D$15,0))</f>
        <v>8</v>
      </c>
      <c r="BC17" s="301">
        <f>(IF('Water Report'!$S$13&gt;0,'Water Report'!$D$13,0))</f>
        <v>45</v>
      </c>
      <c r="BD17" s="301">
        <f>(IF('Water Report'!$S$24&gt;0,'Water Report'!$D$24,0))</f>
        <v>303</v>
      </c>
      <c r="BE17" s="301">
        <f>(IF('Water Report'!$S$25&gt;0,'Water Report'!$D$25,0))</f>
        <v>183</v>
      </c>
      <c r="BF17" s="301">
        <f>(IF('Water Report'!$S$27&gt;0,'Water Report'!$D$27,0))</f>
        <v>87</v>
      </c>
      <c r="BG17" s="296">
        <f>(IF('Section Load'!AN20&gt;0,'Section Load'!AN20,0))</f>
        <v>1026</v>
      </c>
      <c r="BH17" s="296">
        <f>(IF('Section Load'!AO20&gt;0,'Section Load'!AO20,0))</f>
        <v>476</v>
      </c>
      <c r="BI17" s="296">
        <f>(IF('Section Load'!AP20&gt;0,'Section Load'!AP20,0))</f>
        <v>0</v>
      </c>
      <c r="BJ17" s="296">
        <f>(IF('Section Load'!AQ20&gt;0,'Section Load'!AQ20,0))</f>
        <v>104.98000000001048</v>
      </c>
      <c r="BK17" s="296">
        <f>(IF('Section Load'!AR20&gt;0,'Section Load'!AR20,0))</f>
        <v>47</v>
      </c>
      <c r="BL17" s="296">
        <f>(IF('Section Load'!AS20&gt;0,'Section Load'!AS20,0))</f>
        <v>0</v>
      </c>
      <c r="BM17" s="296">
        <f>(IF('Section Load'!AT20&gt;0,'Section Load'!AT20,0))</f>
        <v>398.01999999998952</v>
      </c>
    </row>
    <row r="18" spans="1:65">
      <c r="A18" s="287" t="s">
        <v>268</v>
      </c>
      <c r="B18" s="288">
        <f t="shared" si="0"/>
        <v>17</v>
      </c>
      <c r="C18" s="288">
        <v>12</v>
      </c>
      <c r="D18" s="288">
        <v>2022</v>
      </c>
      <c r="E18" s="294">
        <f>(IF('Section Load'!F21&gt;0,'Section Load'!F21,0))</f>
        <v>3112.3399999999674</v>
      </c>
      <c r="F18" s="294">
        <f>(IF('Section Load'!G21&gt;0,'Section Load'!G21,0))</f>
        <v>1046.1900000000023</v>
      </c>
      <c r="G18" s="294">
        <f>(IF('Section Load'!H21&gt;0,'Section Load'!H21,0))</f>
        <v>0</v>
      </c>
      <c r="H18" s="294">
        <f>(IF('Section Load'!I21&gt;0,'Section Load'!I21,0))</f>
        <v>4177.5200000000186</v>
      </c>
      <c r="I18" s="294">
        <f>(IF('Section Load'!J21&gt;0,'Section Load'!J21,0))</f>
        <v>5853.0000000001164</v>
      </c>
      <c r="J18" s="294">
        <f>(IF('Section Load'!K21&gt;0,'Section Load'!K21,0))</f>
        <v>2554.5900000000256</v>
      </c>
      <c r="K18" s="294">
        <f>(IF('Section Load'!L21&gt;0,'Section Load'!L21,0))</f>
        <v>1633.6399999999558</v>
      </c>
      <c r="L18" s="294">
        <f>(IF('Section Load'!M21&gt;0,'Section Load'!M21,0))</f>
        <v>1147.0200000000186</v>
      </c>
      <c r="M18" s="294">
        <f>(IF('Section Load'!N21&gt;0,'Section Load'!N21,0))</f>
        <v>158</v>
      </c>
      <c r="N18" s="294">
        <f>(IF('Section Load'!O21&gt;0,'Section Load'!O21,0))</f>
        <v>184</v>
      </c>
      <c r="O18" s="294">
        <f>(IF('Section Load'!P21&gt;0,'Section Load'!P21,0))</f>
        <v>22.200000000000273</v>
      </c>
      <c r="P18" s="294">
        <f>(IF('Section Load'!Q21&gt;0,'Section Load'!Q21,0))</f>
        <v>237.00999999999476</v>
      </c>
      <c r="Q18" s="294">
        <f>(IF('Section Load'!R21&gt;0,'Section Load'!R21,0))</f>
        <v>135.49000000000524</v>
      </c>
      <c r="R18" s="294">
        <f>(IF('Section Load'!S21&gt;0,'Section Load'!S21,0))</f>
        <v>184.70000000000073</v>
      </c>
      <c r="S18" s="294">
        <f>(IF('Section Load'!T21&gt;0,'Section Load'!T21,0))</f>
        <v>36</v>
      </c>
      <c r="T18" s="294">
        <f>(IF('Section Load'!U21&gt;0,'Section Load'!U21,0))</f>
        <v>254</v>
      </c>
      <c r="U18" s="294">
        <f>(IF('Section Load'!V21&gt;0,'Section Load'!V21,0))</f>
        <v>394.63000000000466</v>
      </c>
      <c r="V18" s="294">
        <f>(IF('Section Load'!W21&gt;0,'Section Load'!W21,0))</f>
        <v>447.80999999993946</v>
      </c>
      <c r="W18" s="294">
        <f>(IF('Section Load'!X21&gt;0,'Section Load'!X21,0))</f>
        <v>27.899999999999636</v>
      </c>
      <c r="X18" s="294">
        <f>(IF('Section Load'!Y21&gt;0,'Section Load'!Y21,0))</f>
        <v>260.58000000000175</v>
      </c>
      <c r="Y18" s="294">
        <f>(IF('Section Load'!Z21&gt;0,'Section Load'!Z21,0))</f>
        <v>293</v>
      </c>
      <c r="Z18" s="294">
        <f>(IF('Section Load'!AA21&gt;0,'Section Load'!AA21,0))</f>
        <v>207.28000000002794</v>
      </c>
      <c r="AA18" s="294">
        <f>(IF('Section Load'!AB21&gt;0,'Section Load'!AB21,0))</f>
        <v>47.300000000000011</v>
      </c>
      <c r="AB18" s="294">
        <f>(IF('Section Load'!AC21&gt;0,'Section Load'!AC21,0))</f>
        <v>0</v>
      </c>
      <c r="AC18" s="294">
        <f>(IF('Section Load'!AD21&gt;0,'Section Load'!AD21,0))</f>
        <v>3.6999999999998181</v>
      </c>
      <c r="AD18" s="294">
        <f>(IF('Section Load'!AE21&gt;0,'Section Load'!AE21,0))</f>
        <v>355.5</v>
      </c>
      <c r="AE18" s="294">
        <f>(IF('Section Load'!AF21&gt;0,'Section Load'!AF21,0))</f>
        <v>252.16999999999825</v>
      </c>
      <c r="AF18" s="294">
        <f>(IF('Section Load'!AG21&gt;0,'Section Load'!AG21,0))</f>
        <v>621.42000000001281</v>
      </c>
      <c r="AG18" s="294">
        <f>(IF('Section Load'!AH21&gt;0,'Section Load'!AH21,0))</f>
        <v>14.299999999995634</v>
      </c>
      <c r="AH18" s="294">
        <f>(IF('Section Load'!AI21&gt;0,'Section Load'!AI21,0))</f>
        <v>438.3799999999901</v>
      </c>
      <c r="AI18" s="294">
        <f>(IF('Section Load'!AJ21&gt;0,'Section Load'!AJ21,0))</f>
        <v>472.5</v>
      </c>
      <c r="AJ18" s="294">
        <f>(IF('Section Load'!AK21&gt;0,'Section Load'!AK21,0))</f>
        <v>337.5</v>
      </c>
      <c r="AK18" s="294">
        <f>(IF('Section Load'!AL21&gt;0,'Section Load'!AL21,0))</f>
        <v>318.92999999999302</v>
      </c>
      <c r="AL18" s="294">
        <f>(IF('Section Load'!AM21&gt;0,'Section Load'!AM21,0))</f>
        <v>818</v>
      </c>
      <c r="AM18" s="295">
        <f>(IF('Water Report'!$T$7&gt;0,'Water Report'!$T$7,0))</f>
        <v>163.59999999997672</v>
      </c>
      <c r="AN18" s="295">
        <f>(IF('Water Report'!$T$8&gt;0,'Water Report'!$T$8,0))</f>
        <v>83</v>
      </c>
      <c r="AO18" s="295">
        <f>(IF('Water Report'!$T$9&gt;0,'Water Report'!$T$9,0))</f>
        <v>153</v>
      </c>
      <c r="AP18" s="295">
        <f>(IF('Water Report'!$T$10&gt;0,'Water Report'!$T$10,0))</f>
        <v>14</v>
      </c>
      <c r="AQ18" s="295">
        <f>(IF('Water Report'!$T$11&gt;0,'Water Report'!$T$11,0))</f>
        <v>33</v>
      </c>
      <c r="AR18" s="295">
        <f>(IF('Water Report'!$T$13&gt;0,'Water Report'!$T$13,0))</f>
        <v>39</v>
      </c>
      <c r="AS18" s="295">
        <f>(IF('Water Report'!$T$14&gt;0,'Water Report'!$T$14,0))</f>
        <v>12</v>
      </c>
      <c r="AT18" s="295">
        <f>(IF('Water Report'!$T$15&gt;0,'Water Report'!$T$15,0))</f>
        <v>6</v>
      </c>
      <c r="AU18" s="295">
        <f>(IF('Water Report'!$T$17&gt;0,'Water Report'!$T$17,0))</f>
        <v>2</v>
      </c>
      <c r="AV18" s="295">
        <f>(IF('Water Report'!$T$18&gt;0,'Water Report'!$T$18,0))</f>
        <v>11</v>
      </c>
      <c r="AW18" s="295">
        <f>(IF('Water Report'!$T$19&gt;0,'Water Report'!$T$19,0))</f>
        <v>14</v>
      </c>
      <c r="AX18" s="301">
        <f>(IF('Water Report'!$T$21&gt;0,'Water Report'!$T$21,0))</f>
        <v>140</v>
      </c>
      <c r="AY18" s="301">
        <f>(IF('Water Report'!$T$22&gt;0,'Water Report'!$T$22,0))</f>
        <v>0</v>
      </c>
      <c r="AZ18" s="301">
        <f>(IF('Water Report'!$T$23&gt;0,'Water Report'!$T$23,0))</f>
        <v>0</v>
      </c>
      <c r="BA18" s="301">
        <f>(IF('Water Report'!$T$14&gt;0,'Water Report'!$T$14,0))</f>
        <v>12</v>
      </c>
      <c r="BB18" s="301">
        <f>(IF('Water Report'!$T$15&gt;0,'Water Report'!$T$15,0))</f>
        <v>6</v>
      </c>
      <c r="BC18" s="301">
        <f>(IF('Water Report'!$T$13&gt;0,'Water Report'!$T$13,0))</f>
        <v>39</v>
      </c>
      <c r="BD18" s="301">
        <f>(IF('Water Report'!$T$24&gt;0,'Water Report'!$T$24,0))</f>
        <v>353</v>
      </c>
      <c r="BE18" s="301">
        <f>(IF('Water Report'!$T$25&gt;0,'Water Report'!$T$25,0))</f>
        <v>218</v>
      </c>
      <c r="BF18" s="301">
        <f>(IF('Water Report'!$T$27&gt;0,'Water Report'!$T$27,0))</f>
        <v>179</v>
      </c>
      <c r="BG18" s="296">
        <f>(IF('Section Load'!AN21&gt;0,'Section Load'!AN21,0))</f>
        <v>1093</v>
      </c>
      <c r="BH18" s="296">
        <f>(IF('Section Load'!AO21&gt;0,'Section Load'!AO21,0))</f>
        <v>299.34999999997672</v>
      </c>
      <c r="BI18" s="296">
        <f>(IF('Section Load'!AP21&gt;0,'Section Load'!AP21,0))</f>
        <v>0</v>
      </c>
      <c r="BJ18" s="296">
        <f>(IF('Section Load'!AQ21&gt;0,'Section Load'!AQ21,0))</f>
        <v>126.01999999998952</v>
      </c>
      <c r="BK18" s="296">
        <f>(IF('Section Load'!AR21&gt;0,'Section Load'!AR21,0))</f>
        <v>48</v>
      </c>
      <c r="BL18" s="296">
        <f>(IF('Section Load'!AS21&gt;0,'Section Load'!AS21,0))</f>
        <v>0</v>
      </c>
      <c r="BM18" s="296">
        <f>(IF('Section Load'!AT21&gt;0,'Section Load'!AT21,0))</f>
        <v>619.63000000003376</v>
      </c>
    </row>
    <row r="19" spans="1:65">
      <c r="A19" s="287" t="s">
        <v>268</v>
      </c>
      <c r="B19" s="288">
        <f t="shared" si="0"/>
        <v>18</v>
      </c>
      <c r="C19" s="288">
        <v>12</v>
      </c>
      <c r="D19" s="288">
        <v>2022</v>
      </c>
      <c r="E19" s="294">
        <f>(IF('Section Load'!F22&gt;0,'Section Load'!F22,0))</f>
        <v>3141.4799999999814</v>
      </c>
      <c r="F19" s="294">
        <f>(IF('Section Load'!G22&gt;0,'Section Load'!G22,0))</f>
        <v>1024.2900000000081</v>
      </c>
      <c r="G19" s="294">
        <f>(IF('Section Load'!H22&gt;0,'Section Load'!H22,0))</f>
        <v>0</v>
      </c>
      <c r="H19" s="294">
        <f>(IF('Section Load'!I22&gt;0,'Section Load'!I22,0))</f>
        <v>4065.2099999999627</v>
      </c>
      <c r="I19" s="294">
        <f>(IF('Section Load'!J22&gt;0,'Section Load'!J22,0))</f>
        <v>4692.3299999999581</v>
      </c>
      <c r="J19" s="294">
        <f>(IF('Section Load'!K22&gt;0,'Section Load'!K22,0))</f>
        <v>2839.4799999999814</v>
      </c>
      <c r="K19" s="294">
        <f>(IF('Section Load'!L22&gt;0,'Section Load'!L22,0))</f>
        <v>1261.0900000000256</v>
      </c>
      <c r="L19" s="294">
        <f>(IF('Section Load'!M22&gt;0,'Section Load'!M22,0))</f>
        <v>1445.0900000000256</v>
      </c>
      <c r="M19" s="294">
        <f>(IF('Section Load'!N22&gt;0,'Section Load'!N22,0))</f>
        <v>158</v>
      </c>
      <c r="N19" s="294">
        <f>(IF('Section Load'!O22&gt;0,'Section Load'!O22,0))</f>
        <v>166</v>
      </c>
      <c r="O19" s="294">
        <f>(IF('Section Load'!P22&gt;0,'Section Load'!P22,0))</f>
        <v>21.099999999999909</v>
      </c>
      <c r="P19" s="294">
        <f>(IF('Section Load'!Q22&gt;0,'Section Load'!Q22,0))</f>
        <v>233.90000000000873</v>
      </c>
      <c r="Q19" s="294">
        <f>(IF('Section Load'!R22&gt;0,'Section Load'!R22,0))</f>
        <v>95.680000000000291</v>
      </c>
      <c r="R19" s="294">
        <f>(IF('Section Load'!S22&gt;0,'Section Load'!S22,0))</f>
        <v>179.59999999999854</v>
      </c>
      <c r="S19" s="294">
        <f>(IF('Section Load'!T22&gt;0,'Section Load'!T22,0))</f>
        <v>36</v>
      </c>
      <c r="T19" s="294">
        <f>(IF('Section Load'!U22&gt;0,'Section Load'!U22,0))</f>
        <v>238</v>
      </c>
      <c r="U19" s="294">
        <f>(IF('Section Load'!V22&gt;0,'Section Load'!V22,0))</f>
        <v>425.27000000001863</v>
      </c>
      <c r="V19" s="294">
        <f>(IF('Section Load'!W22&gt;0,'Section Load'!W22,0))</f>
        <v>575.55000000004657</v>
      </c>
      <c r="W19" s="294">
        <f>(IF('Section Load'!X22&gt;0,'Section Load'!X22,0))</f>
        <v>32.400000000001455</v>
      </c>
      <c r="X19" s="294">
        <f>(IF('Section Load'!Y22&gt;0,'Section Load'!Y22,0))</f>
        <v>241.65000000000873</v>
      </c>
      <c r="Y19" s="294">
        <f>(IF('Section Load'!Z22&gt;0,'Section Load'!Z22,0))</f>
        <v>309</v>
      </c>
      <c r="Z19" s="294">
        <f>(IF('Section Load'!AA22&gt;0,'Section Load'!AA22,0))</f>
        <v>72.159999999974389</v>
      </c>
      <c r="AA19" s="294">
        <f>(IF('Section Load'!AB22&gt;0,'Section Load'!AB22,0))</f>
        <v>26</v>
      </c>
      <c r="AB19" s="294">
        <f>(IF('Section Load'!AC22&gt;0,'Section Load'!AC22,0))</f>
        <v>0</v>
      </c>
      <c r="AC19" s="294">
        <f>(IF('Section Load'!AD22&gt;0,'Section Load'!AD22,0))</f>
        <v>3.7000000000007276</v>
      </c>
      <c r="AD19" s="294">
        <f>(IF('Section Load'!AE22&gt;0,'Section Load'!AE22,0))</f>
        <v>419.60000000000582</v>
      </c>
      <c r="AE19" s="294">
        <f>(IF('Section Load'!AF22&gt;0,'Section Load'!AF22,0))</f>
        <v>259</v>
      </c>
      <c r="AF19" s="294">
        <f>(IF('Section Load'!AG22&gt;0,'Section Load'!AG22,0))</f>
        <v>594.5</v>
      </c>
      <c r="AG19" s="294">
        <f>(IF('Section Load'!AH22&gt;0,'Section Load'!AH22,0))</f>
        <v>12.80000000000291</v>
      </c>
      <c r="AH19" s="294">
        <f>(IF('Section Load'!AI22&gt;0,'Section Load'!AI22,0))</f>
        <v>427.32000000000698</v>
      </c>
      <c r="AI19" s="294">
        <f>(IF('Section Load'!AJ22&gt;0,'Section Load'!AJ22,0))</f>
        <v>440.80000000000291</v>
      </c>
      <c r="AJ19" s="294">
        <f>(IF('Section Load'!AK22&gt;0,'Section Load'!AK22,0))</f>
        <v>300</v>
      </c>
      <c r="AK19" s="294">
        <f>(IF('Section Load'!AL22&gt;0,'Section Load'!AL22,0))</f>
        <v>309.20000000001164</v>
      </c>
      <c r="AL19" s="294">
        <f>(IF('Section Load'!AM22&gt;0,'Section Load'!AM22,0))</f>
        <v>831</v>
      </c>
      <c r="AM19" s="295">
        <f>(IF('Water Report'!$U$7&gt;0,'Water Report'!$U$7,0))</f>
        <v>112.5</v>
      </c>
      <c r="AN19" s="295">
        <f>(IF('Water Report'!$U$8&gt;0,'Water Report'!$U$8,0))</f>
        <v>76</v>
      </c>
      <c r="AO19" s="295">
        <f>(IF('Water Report'!$U$9&gt;0,'Water Report'!$U$9,0))</f>
        <v>140</v>
      </c>
      <c r="AP19" s="295">
        <f>(IF('Water Report'!$U$10&gt;0,'Water Report'!$U$10,0))</f>
        <v>10</v>
      </c>
      <c r="AQ19" s="295">
        <f>(IF('Water Report'!$U$11&gt;0,'Water Report'!$U$11,0))</f>
        <v>22</v>
      </c>
      <c r="AR19" s="295">
        <f>(IF('Water Report'!$U$13&gt;0,'Water Report'!$U$13,0))</f>
        <v>21</v>
      </c>
      <c r="AS19" s="295">
        <f>(IF('Water Report'!$U$14&gt;0,'Water Report'!$U$14,0))</f>
        <v>5</v>
      </c>
      <c r="AT19" s="295">
        <f>(IF('Water Report'!$U$15&gt;0,'Water Report'!$U$15,0))</f>
        <v>7</v>
      </c>
      <c r="AU19" s="295">
        <f>(IF('Water Report'!$U$17&gt;0,'Water Report'!$U$17,0))</f>
        <v>2</v>
      </c>
      <c r="AV19" s="295">
        <f>(IF('Water Report'!$U$18&gt;0,'Water Report'!$U$18,0))</f>
        <v>12</v>
      </c>
      <c r="AW19" s="295">
        <f>(IF('Water Report'!$U$19&gt;0,'Water Report'!$U$19,0))</f>
        <v>13</v>
      </c>
      <c r="AX19" s="301">
        <f>(IF('Water Report'!$U$21&gt;0,'Water Report'!$U$21,0))</f>
        <v>183</v>
      </c>
      <c r="AY19" s="301">
        <f>(IF('Water Report'!$U$22&gt;0,'Water Report'!$U$22,0))</f>
        <v>0</v>
      </c>
      <c r="AZ19" s="301">
        <f>(IF('Water Report'!$U$23&gt;0,'Water Report'!$U$23,0))</f>
        <v>0</v>
      </c>
      <c r="BA19" s="301">
        <f>(IF('Water Report'!$U$14&gt;0,'Water Report'!$U$14,0))</f>
        <v>5</v>
      </c>
      <c r="BB19" s="301">
        <f>(IF('Water Report'!$U$15&gt;0,'Water Report'!$U$15,0))</f>
        <v>7</v>
      </c>
      <c r="BC19" s="301">
        <f>(IF('Water Report'!$U$13&gt;0,'Water Report'!$U$13,0))</f>
        <v>21</v>
      </c>
      <c r="BD19" s="301">
        <f>(IF('Water Report'!$U$24&gt;0,'Water Report'!$U$24,0))</f>
        <v>307</v>
      </c>
      <c r="BE19" s="301">
        <f>(IF('Water Report'!$U$25&gt;0,'Water Report'!$U$25,0))</f>
        <v>184</v>
      </c>
      <c r="BF19" s="301">
        <f>(IF('Water Report'!$U$27&gt;0,'Water Report'!$U$27,0))</f>
        <v>204</v>
      </c>
      <c r="BG19" s="296">
        <f>(IF('Section Load'!AN22&gt;0,'Section Load'!AN22,0))</f>
        <v>1164</v>
      </c>
      <c r="BH19" s="296">
        <f>(IF('Section Load'!AO22&gt;0,'Section Load'!AO22,0))</f>
        <v>292.18000000005122</v>
      </c>
      <c r="BI19" s="296">
        <f>(IF('Section Load'!AP22&gt;0,'Section Load'!AP22,0))</f>
        <v>0</v>
      </c>
      <c r="BJ19" s="296">
        <f>(IF('Section Load'!AQ22&gt;0,'Section Load'!AQ22,0))</f>
        <v>148</v>
      </c>
      <c r="BK19" s="296">
        <f>(IF('Section Load'!AR22&gt;0,'Section Load'!AR22,0))</f>
        <v>55</v>
      </c>
      <c r="BL19" s="296">
        <f>(IF('Section Load'!AS22&gt;0,'Section Load'!AS22,0))</f>
        <v>0</v>
      </c>
      <c r="BM19" s="296">
        <f>(IF('Section Load'!AT22&gt;0,'Section Load'!AT22,0))</f>
        <v>668.81999999994878</v>
      </c>
    </row>
    <row r="20" spans="1:65">
      <c r="A20" s="287" t="s">
        <v>268</v>
      </c>
      <c r="B20" s="288">
        <f t="shared" si="0"/>
        <v>19</v>
      </c>
      <c r="C20" s="288">
        <v>12</v>
      </c>
      <c r="D20" s="288">
        <v>2022</v>
      </c>
      <c r="E20" s="294">
        <f>(IF('Section Load'!F23&gt;0,'Section Load'!F23,0))</f>
        <v>3279.5700000000652</v>
      </c>
      <c r="F20" s="294">
        <f>(IF('Section Load'!G23&gt;0,'Section Load'!G23,0))</f>
        <v>1033.4499999999825</v>
      </c>
      <c r="G20" s="294">
        <f>(IF('Section Load'!H23&gt;0,'Section Load'!H23,0))</f>
        <v>0</v>
      </c>
      <c r="H20" s="294">
        <f>(IF('Section Load'!I23&gt;0,'Section Load'!I23,0))</f>
        <v>4100.4300000000512</v>
      </c>
      <c r="I20" s="294">
        <f>(IF('Section Load'!J23&gt;0,'Section Load'!J23,0))</f>
        <v>3758.0799999999581</v>
      </c>
      <c r="J20" s="294">
        <f>(IF('Section Load'!K23&gt;0,'Section Load'!K23,0))</f>
        <v>2408.1199999999953</v>
      </c>
      <c r="K20" s="294">
        <f>(IF('Section Load'!L23&gt;0,'Section Load'!L23,0))</f>
        <v>1329.5900000000256</v>
      </c>
      <c r="L20" s="294">
        <f>(IF('Section Load'!M23&gt;0,'Section Load'!M23,0))</f>
        <v>956.59999999997672</v>
      </c>
      <c r="M20" s="294">
        <f>(IF('Section Load'!N23&gt;0,'Section Load'!N23,0))</f>
        <v>125</v>
      </c>
      <c r="N20" s="294">
        <f>(IF('Section Load'!O23&gt;0,'Section Load'!O23,0))</f>
        <v>143</v>
      </c>
      <c r="O20" s="294">
        <f>(IF('Section Load'!P23&gt;0,'Section Load'!P23,0))</f>
        <v>21.699999999999818</v>
      </c>
      <c r="P20" s="294">
        <f>(IF('Section Load'!Q23&gt;0,'Section Load'!Q23,0))</f>
        <v>231.58999999999651</v>
      </c>
      <c r="Q20" s="294">
        <f>(IF('Section Load'!R23&gt;0,'Section Load'!R23,0))</f>
        <v>110.09999999999854</v>
      </c>
      <c r="R20" s="294">
        <f>(IF('Section Load'!S23&gt;0,'Section Load'!S23,0))</f>
        <v>2</v>
      </c>
      <c r="S20" s="294">
        <f>(IF('Section Load'!T23&gt;0,'Section Load'!T23,0))</f>
        <v>52</v>
      </c>
      <c r="T20" s="294">
        <f>(IF('Section Load'!U23&gt;0,'Section Load'!U23,0))</f>
        <v>221</v>
      </c>
      <c r="U20" s="294">
        <f>(IF('Section Load'!V23&gt;0,'Section Load'!V23,0))</f>
        <v>363.59999999997672</v>
      </c>
      <c r="V20" s="294">
        <f>(IF('Section Load'!W23&gt;0,'Section Load'!W23,0))</f>
        <v>380.63000000000466</v>
      </c>
      <c r="W20" s="294">
        <f>(IF('Section Load'!X23&gt;0,'Section Load'!X23,0))</f>
        <v>30.599999999998545</v>
      </c>
      <c r="X20" s="294">
        <f>(IF('Section Load'!Y23&gt;0,'Section Load'!Y23,0))</f>
        <v>256.39999999999418</v>
      </c>
      <c r="Y20" s="294">
        <f>(IF('Section Load'!Z23&gt;0,'Section Load'!Z23,0))</f>
        <v>245</v>
      </c>
      <c r="Z20" s="294">
        <f>(IF('Section Load'!AA23&gt;0,'Section Load'!AA23,0))</f>
        <v>196.40000000002328</v>
      </c>
      <c r="AA20" s="294">
        <f>(IF('Section Load'!AB23&gt;0,'Section Load'!AB23,0))</f>
        <v>34.699999999999989</v>
      </c>
      <c r="AB20" s="294">
        <f>(IF('Section Load'!AC23&gt;0,'Section Load'!AC23,0))</f>
        <v>0</v>
      </c>
      <c r="AC20" s="294">
        <f>(IF('Section Load'!AD23&gt;0,'Section Load'!AD23,0))</f>
        <v>5.5</v>
      </c>
      <c r="AD20" s="294">
        <f>(IF('Section Load'!AE23&gt;0,'Section Load'!AE23,0))</f>
        <v>260.39999999999418</v>
      </c>
      <c r="AE20" s="294">
        <f>(IF('Section Load'!AF23&gt;0,'Section Load'!AF23,0))</f>
        <v>270.10000000000582</v>
      </c>
      <c r="AF20" s="294">
        <f>(IF('Section Load'!AG23&gt;0,'Section Load'!AG23,0))</f>
        <v>680.29999999998836</v>
      </c>
      <c r="AG20" s="294">
        <f>(IF('Section Load'!AH23&gt;0,'Section Load'!AH23,0))</f>
        <v>20</v>
      </c>
      <c r="AH20" s="294">
        <f>(IF('Section Load'!AI23&gt;0,'Section Load'!AI23,0))</f>
        <v>425.80000000000291</v>
      </c>
      <c r="AI20" s="294">
        <f>(IF('Section Load'!AJ23&gt;0,'Section Load'!AJ23,0))</f>
        <v>440</v>
      </c>
      <c r="AJ20" s="294">
        <f>(IF('Section Load'!AK23&gt;0,'Section Load'!AK23,0))</f>
        <v>361.5</v>
      </c>
      <c r="AK20" s="294">
        <f>(IF('Section Load'!AL23&gt;0,'Section Load'!AL23,0))</f>
        <v>324.39999999999418</v>
      </c>
      <c r="AL20" s="294">
        <f>(IF('Section Load'!AM23&gt;0,'Section Load'!AM23,0))</f>
        <v>713</v>
      </c>
      <c r="AM20" s="295">
        <f>(IF('Water Report'!$V$7&gt;0,'Water Report'!$V$7,0))</f>
        <v>102.5</v>
      </c>
      <c r="AN20" s="295">
        <f>(IF('Water Report'!$V$8&gt;0,'Water Report'!$V$8,0))</f>
        <v>43</v>
      </c>
      <c r="AO20" s="295">
        <f>(IF('Water Report'!$V$9&gt;0,'Water Report'!$V$9,0))</f>
        <v>121</v>
      </c>
      <c r="AP20" s="295">
        <f>(IF('Water Report'!$V$10&gt;0,'Water Report'!$V$10,0))</f>
        <v>8</v>
      </c>
      <c r="AQ20" s="295">
        <f>(IF('Water Report'!$V$11&gt;0,'Water Report'!$V$11,0))</f>
        <v>19</v>
      </c>
      <c r="AR20" s="295">
        <f>(IF('Water Report'!$V$13&gt;0,'Water Report'!$V$13,0))</f>
        <v>26</v>
      </c>
      <c r="AS20" s="295">
        <f>(IF('Water Report'!$V$14&gt;0,'Water Report'!$V$14,0))</f>
        <v>5</v>
      </c>
      <c r="AT20" s="295">
        <f>(IF('Water Report'!$V$15&gt;0,'Water Report'!$V$15,0))</f>
        <v>7</v>
      </c>
      <c r="AU20" s="295">
        <f>(IF('Water Report'!$V$17&gt;0,'Water Report'!$V$17,0))</f>
        <v>2</v>
      </c>
      <c r="AV20" s="295">
        <f>(IF('Water Report'!$V$18&gt;0,'Water Report'!$V$18,0))</f>
        <v>12</v>
      </c>
      <c r="AW20" s="295">
        <f>(IF('Water Report'!$V$19&gt;0,'Water Report'!$V$19,0))</f>
        <v>12</v>
      </c>
      <c r="AX20" s="301">
        <f>(IF('Water Report'!$V$21&gt;0,'Water Report'!$V$21,0))</f>
        <v>92</v>
      </c>
      <c r="AY20" s="301">
        <f>(IF('Water Report'!$V$22&gt;0,'Water Report'!$V$22,0))</f>
        <v>0</v>
      </c>
      <c r="AZ20" s="301">
        <f>(IF('Water Report'!$V$23&gt;0,'Water Report'!$V$23,0))</f>
        <v>0</v>
      </c>
      <c r="BA20" s="301">
        <f>(IF('Water Report'!$V$14&gt;0,'Water Report'!$V$14,0))</f>
        <v>5</v>
      </c>
      <c r="BB20" s="301">
        <f>(IF('Water Report'!$V$15&gt;0,'Water Report'!$V$15,0))</f>
        <v>7</v>
      </c>
      <c r="BC20" s="301">
        <f>(IF('Water Report'!$V$13&gt;0,'Water Report'!$V$13,0))</f>
        <v>26</v>
      </c>
      <c r="BD20" s="301">
        <f>(IF('Water Report'!$V$24&gt;0,'Water Report'!$V$24,0))</f>
        <v>388</v>
      </c>
      <c r="BE20" s="301">
        <f>(IF('Water Report'!$V$25&gt;0,'Water Report'!$V$25,0))</f>
        <v>160</v>
      </c>
      <c r="BF20" s="301">
        <f>(IF('Water Report'!$V$27&gt;0,'Water Report'!$V$27,0))</f>
        <v>118</v>
      </c>
      <c r="BG20" s="296">
        <f>(IF('Section Load'!AN23&gt;0,'Section Load'!AN23,0))</f>
        <v>1022</v>
      </c>
      <c r="BH20" s="296">
        <f>(IF('Section Load'!AO23&gt;0,'Section Load'!AO23,0))</f>
        <v>298.35999999998603</v>
      </c>
      <c r="BI20" s="296">
        <f>(IF('Section Load'!AP23&gt;0,'Section Load'!AP23,0))</f>
        <v>0</v>
      </c>
      <c r="BJ20" s="296">
        <f>(IF('Section Load'!AQ23&gt;0,'Section Load'!AQ23,0))</f>
        <v>91</v>
      </c>
      <c r="BK20" s="296">
        <f>(IF('Section Load'!AR23&gt;0,'Section Load'!AR23,0))</f>
        <v>56</v>
      </c>
      <c r="BL20" s="296">
        <f>(IF('Section Load'!AS23&gt;0,'Section Load'!AS23,0))</f>
        <v>0</v>
      </c>
      <c r="BM20" s="296">
        <f>(IF('Section Load'!AT23&gt;0,'Section Load'!AT23,0))</f>
        <v>576.64000000001397</v>
      </c>
    </row>
    <row r="21" spans="1:65">
      <c r="A21" s="287" t="s">
        <v>268</v>
      </c>
      <c r="B21" s="288">
        <f t="shared" si="0"/>
        <v>20</v>
      </c>
      <c r="C21" s="288">
        <v>12</v>
      </c>
      <c r="D21" s="288">
        <v>2022</v>
      </c>
      <c r="E21" s="294">
        <f>(IF('Section Load'!F24&gt;0,'Section Load'!F24,0))</f>
        <v>3272.0799999999581</v>
      </c>
      <c r="F21" s="294">
        <f>(IF('Section Load'!G24&gt;0,'Section Load'!G24,0))</f>
        <v>1016.640000000014</v>
      </c>
      <c r="G21" s="294">
        <f>(IF('Section Load'!H24&gt;0,'Section Load'!H24,0))</f>
        <v>0</v>
      </c>
      <c r="H21" s="294">
        <f>(IF('Section Load'!I24&gt;0,'Section Load'!I24,0))</f>
        <v>4036.3800000000047</v>
      </c>
      <c r="I21" s="294">
        <f>(IF('Section Load'!J24&gt;0,'Section Load'!J24,0))</f>
        <v>3723.7200000000303</v>
      </c>
      <c r="J21" s="294">
        <f>(IF('Section Load'!K24&gt;0,'Section Load'!K24,0))</f>
        <v>2528.8099999999977</v>
      </c>
      <c r="K21" s="294">
        <f>(IF('Section Load'!L24&gt;0,'Section Load'!L24,0))</f>
        <v>1771.4099999999744</v>
      </c>
      <c r="L21" s="294">
        <f>(IF('Section Load'!M24&gt;0,'Section Load'!M24,0))</f>
        <v>796.5</v>
      </c>
      <c r="M21" s="294">
        <f>(IF('Section Load'!N24&gt;0,'Section Load'!N24,0))</f>
        <v>115</v>
      </c>
      <c r="N21" s="294">
        <f>(IF('Section Load'!O24&gt;0,'Section Load'!O24,0))</f>
        <v>160</v>
      </c>
      <c r="O21" s="294">
        <f>(IF('Section Load'!P24&gt;0,'Section Load'!P24,0))</f>
        <v>20.800000000000182</v>
      </c>
      <c r="P21" s="294">
        <f>(IF('Section Load'!Q24&gt;0,'Section Load'!Q24,0))</f>
        <v>216.80999999999767</v>
      </c>
      <c r="Q21" s="294">
        <f>(IF('Section Load'!R24&gt;0,'Section Load'!R24,0))</f>
        <v>90.099999999998545</v>
      </c>
      <c r="R21" s="294">
        <f>(IF('Section Load'!S24&gt;0,'Section Load'!S24,0))</f>
        <v>130.40000000000146</v>
      </c>
      <c r="S21" s="294">
        <f>(IF('Section Load'!T24&gt;0,'Section Load'!T24,0))</f>
        <v>29</v>
      </c>
      <c r="T21" s="294">
        <f>(IF('Section Load'!U24&gt;0,'Section Load'!U24,0))</f>
        <v>216</v>
      </c>
      <c r="U21" s="294">
        <f>(IF('Section Load'!V24&gt;0,'Section Load'!V24,0))</f>
        <v>357.35999999998603</v>
      </c>
      <c r="V21" s="294">
        <f>(IF('Section Load'!W24&gt;0,'Section Load'!W24,0))</f>
        <v>334.48999999999069</v>
      </c>
      <c r="W21" s="294">
        <f>(IF('Section Load'!X24&gt;0,'Section Load'!X24,0))</f>
        <v>29.200000000000728</v>
      </c>
      <c r="X21" s="294">
        <f>(IF('Section Load'!Y24&gt;0,'Section Load'!Y24,0))</f>
        <v>274</v>
      </c>
      <c r="Y21" s="294">
        <f>(IF('Section Load'!Z24&gt;0,'Section Load'!Z24,0))</f>
        <v>299</v>
      </c>
      <c r="Z21" s="294">
        <f>(IF('Section Load'!AA24&gt;0,'Section Load'!AA24,0))</f>
        <v>178.44000000000233</v>
      </c>
      <c r="AA21" s="294">
        <f>(IF('Section Load'!AB24&gt;0,'Section Load'!AB24,0))</f>
        <v>42.800000000000011</v>
      </c>
      <c r="AB21" s="294">
        <f>(IF('Section Load'!AC24&gt;0,'Section Load'!AC24,0))</f>
        <v>1.2000000000007276</v>
      </c>
      <c r="AC21" s="294">
        <f>(IF('Section Load'!AD24&gt;0,'Section Load'!AD24,0))</f>
        <v>3.8999999999996362</v>
      </c>
      <c r="AD21" s="294">
        <f>(IF('Section Load'!AE24&gt;0,'Section Load'!AE24,0))</f>
        <v>294.60000000000582</v>
      </c>
      <c r="AE21" s="294">
        <f>(IF('Section Load'!AF24&gt;0,'Section Load'!AF24,0))</f>
        <v>292</v>
      </c>
      <c r="AF21" s="294">
        <f>(IF('Section Load'!AG24&gt;0,'Section Load'!AG24,0))</f>
        <v>624.70000000001164</v>
      </c>
      <c r="AG21" s="294">
        <f>(IF('Section Load'!AH24&gt;0,'Section Load'!AH24,0))</f>
        <v>23</v>
      </c>
      <c r="AH21" s="294">
        <f>(IF('Section Load'!AI24&gt;0,'Section Load'!AI24,0))</f>
        <v>404.19999999999709</v>
      </c>
      <c r="AI21" s="294">
        <f>(IF('Section Load'!AJ24&gt;0,'Section Load'!AJ24,0))</f>
        <v>442</v>
      </c>
      <c r="AJ21" s="294">
        <f>(IF('Section Load'!AK24&gt;0,'Section Load'!AK24,0))</f>
        <v>324.39999999999418</v>
      </c>
      <c r="AK21" s="294">
        <f>(IF('Section Load'!AL24&gt;0,'Section Load'!AL24,0))</f>
        <v>317</v>
      </c>
      <c r="AL21" s="294">
        <f>(IF('Section Load'!AM24&gt;0,'Section Load'!AM24,0))</f>
        <v>718</v>
      </c>
      <c r="AM21" s="295">
        <f>(IF('Water Report'!$W$7&gt;0,'Water Report'!$W$7,0))</f>
        <v>116</v>
      </c>
      <c r="AN21" s="295">
        <f>(IF('Water Report'!$W$8&gt;0,'Water Report'!$W$8,0))</f>
        <v>32</v>
      </c>
      <c r="AO21" s="295">
        <f>(IF('Water Report'!$W$9&gt;0,'Water Report'!$W$9,0))</f>
        <v>140</v>
      </c>
      <c r="AP21" s="295">
        <f>(IF('Water Report'!$W$10&gt;0,'Water Report'!$W$10,0))</f>
        <v>12</v>
      </c>
      <c r="AQ21" s="295">
        <f>(IF('Water Report'!$W$11&gt;0,'Water Report'!$W$11,0))</f>
        <v>22</v>
      </c>
      <c r="AR21" s="295">
        <f>(IF('Water Report'!$W$13&gt;0,'Water Report'!$W$13,0))</f>
        <v>32</v>
      </c>
      <c r="AS21" s="295">
        <f>(IF('Water Report'!$W$14&gt;0,'Water Report'!$W$14,0))</f>
        <v>3</v>
      </c>
      <c r="AT21" s="295">
        <f>(IF('Water Report'!$W$15&gt;0,'Water Report'!$W$15,0))</f>
        <v>6</v>
      </c>
      <c r="AU21" s="295">
        <f>(IF('Water Report'!$W$17&gt;0,'Water Report'!$W$17,0))</f>
        <v>1</v>
      </c>
      <c r="AV21" s="295">
        <f>(IF('Water Report'!$W$18&gt;0,'Water Report'!$W$18,0))</f>
        <v>12</v>
      </c>
      <c r="AW21" s="295">
        <f>(IF('Water Report'!$W$19&gt;0,'Water Report'!$W$19,0))</f>
        <v>15</v>
      </c>
      <c r="AX21" s="301">
        <f>(IF('Water Report'!$W$21&gt;0,'Water Report'!$W$21,0))</f>
        <v>152</v>
      </c>
      <c r="AY21" s="301">
        <f>(IF('Water Report'!$W$22&gt;0,'Water Report'!$W$22,0))</f>
        <v>0</v>
      </c>
      <c r="AZ21" s="301">
        <f>(IF('Water Report'!$W$23&gt;0,'Water Report'!$W$23,0))</f>
        <v>0</v>
      </c>
      <c r="BA21" s="301">
        <f>(IF('Water Report'!$W$14&gt;0,'Water Report'!$W$14,0))</f>
        <v>3</v>
      </c>
      <c r="BB21" s="301">
        <f>(IF('Water Report'!$W$15&gt;0,'Water Report'!$W$15,0))</f>
        <v>6</v>
      </c>
      <c r="BC21" s="301">
        <f>(IF('Water Report'!$W$13&gt;0,'Water Report'!$W$13,0))</f>
        <v>32</v>
      </c>
      <c r="BD21" s="301">
        <f>(IF('Water Report'!$W$24&gt;0,'Water Report'!$W$24,0))</f>
        <v>289</v>
      </c>
      <c r="BE21" s="301">
        <f>(IF('Water Report'!$W$25&gt;0,'Water Report'!$W$25,0))</f>
        <v>183</v>
      </c>
      <c r="BF21" s="301">
        <f>(IF('Water Report'!$W$27&gt;0,'Water Report'!$W$27,0))</f>
        <v>184</v>
      </c>
      <c r="BG21" s="296">
        <f>(IF('Section Load'!AN24&gt;0,'Section Load'!AN24,0))</f>
        <v>1116</v>
      </c>
      <c r="BH21" s="296">
        <f>(IF('Section Load'!AO24&gt;0,'Section Load'!AO24,0))</f>
        <v>286.10999999998603</v>
      </c>
      <c r="BI21" s="296">
        <f>(IF('Section Load'!AP24&gt;0,'Section Load'!AP24,0))</f>
        <v>0</v>
      </c>
      <c r="BJ21" s="296">
        <f>(IF('Section Load'!AQ24&gt;0,'Section Load'!AQ24,0))</f>
        <v>94</v>
      </c>
      <c r="BK21" s="296">
        <f>(IF('Section Load'!AR24&gt;0,'Section Load'!AR24,0))</f>
        <v>40</v>
      </c>
      <c r="BL21" s="296">
        <f>(IF('Section Load'!AS24&gt;0,'Section Load'!AS24,0))</f>
        <v>0</v>
      </c>
      <c r="BM21" s="296">
        <f>(IF('Section Load'!AT24&gt;0,'Section Load'!AT24,0))</f>
        <v>695.89000000001397</v>
      </c>
    </row>
    <row r="22" spans="1:65">
      <c r="A22" s="287" t="s">
        <v>268</v>
      </c>
      <c r="B22" s="288">
        <f t="shared" si="0"/>
        <v>21</v>
      </c>
      <c r="C22" s="288">
        <v>12</v>
      </c>
      <c r="D22" s="288">
        <v>2022</v>
      </c>
      <c r="E22" s="294">
        <f>(IF('Section Load'!F25&gt;0,'Section Load'!F25,0))</f>
        <v>3207.4100000000326</v>
      </c>
      <c r="F22" s="294">
        <f>(IF('Section Load'!G25&gt;0,'Section Load'!G25,0))</f>
        <v>1355.3099999999977</v>
      </c>
      <c r="G22" s="294">
        <f>(IF('Section Load'!H25&gt;0,'Section Load'!H25,0))</f>
        <v>1247.4100000000326</v>
      </c>
      <c r="H22" s="294">
        <f>(IF('Section Load'!I25&gt;0,'Section Load'!I25,0))</f>
        <v>3398</v>
      </c>
      <c r="I22" s="294">
        <f>(IF('Section Load'!J25&gt;0,'Section Load'!J25,0))</f>
        <v>3921</v>
      </c>
      <c r="J22" s="294">
        <f>(IF('Section Load'!K25&gt;0,'Section Load'!K25,0))</f>
        <v>2438</v>
      </c>
      <c r="K22" s="294">
        <f>(IF('Section Load'!L25&gt;0,'Section Load'!L25,0))</f>
        <v>1174</v>
      </c>
      <c r="L22" s="294">
        <f>(IF('Section Load'!M25&gt;0,'Section Load'!M25,0))</f>
        <v>863</v>
      </c>
      <c r="M22" s="294">
        <f>(IF('Section Load'!N25&gt;0,'Section Load'!N25,0))</f>
        <v>125</v>
      </c>
      <c r="N22" s="294">
        <f>(IF('Section Load'!O25&gt;0,'Section Load'!O25,0))</f>
        <v>157</v>
      </c>
      <c r="O22" s="294">
        <f>(IF('Section Load'!P25&gt;0,'Section Load'!P25,0))</f>
        <v>28</v>
      </c>
      <c r="P22" s="294">
        <f>(IF('Section Load'!Q25&gt;0,'Section Load'!Q25,0))</f>
        <v>238</v>
      </c>
      <c r="Q22" s="294">
        <f>(IF('Section Load'!R25&gt;0,'Section Load'!R25,0))</f>
        <v>113</v>
      </c>
      <c r="R22" s="294">
        <f>(IF('Section Load'!S25&gt;0,'Section Load'!S25,0))</f>
        <v>112</v>
      </c>
      <c r="S22" s="294">
        <f>(IF('Section Load'!T25&gt;0,'Section Load'!T25,0))</f>
        <v>28</v>
      </c>
      <c r="T22" s="294">
        <f>(IF('Section Load'!U25&gt;0,'Section Load'!U25,0))</f>
        <v>229</v>
      </c>
      <c r="U22" s="294">
        <f>(IF('Section Load'!V25&gt;0,'Section Load'!V25,0))</f>
        <v>363</v>
      </c>
      <c r="V22" s="294">
        <f>(IF('Section Load'!W25&gt;0,'Section Load'!W25,0))</f>
        <v>337</v>
      </c>
      <c r="W22" s="294">
        <f>(IF('Section Load'!X25&gt;0,'Section Load'!X25,0))</f>
        <v>32</v>
      </c>
      <c r="X22" s="294">
        <f>(IF('Section Load'!Y25&gt;0,'Section Load'!Y25,0))</f>
        <v>255</v>
      </c>
      <c r="Y22" s="294">
        <f>(IF('Section Load'!Z25&gt;0,'Section Load'!Z25,0))</f>
        <v>278</v>
      </c>
      <c r="Z22" s="294">
        <f>(IF('Section Load'!AA25&gt;0,'Section Load'!AA25,0))</f>
        <v>168</v>
      </c>
      <c r="AA22" s="294">
        <f>(IF('Section Load'!AB25&gt;0,'Section Load'!AB25,0))</f>
        <v>46</v>
      </c>
      <c r="AB22" s="294">
        <f>(IF('Section Load'!AC25&gt;0,'Section Load'!AC25,0))</f>
        <v>9.5900000000001455</v>
      </c>
      <c r="AC22" s="294">
        <f>(IF('Section Load'!AD25&gt;0,'Section Load'!AD25,0))</f>
        <v>5</v>
      </c>
      <c r="AD22" s="294">
        <f>(IF('Section Load'!AE25&gt;0,'Section Load'!AE25,0))</f>
        <v>233</v>
      </c>
      <c r="AE22" s="294">
        <f>(IF('Section Load'!AF25&gt;0,'Section Load'!AF25,0))</f>
        <v>293</v>
      </c>
      <c r="AF22" s="294">
        <f>(IF('Section Load'!AG25&gt;0,'Section Load'!AG25,0))</f>
        <v>650</v>
      </c>
      <c r="AG22" s="294">
        <f>(IF('Section Load'!AH25&gt;0,'Section Load'!AH25,0))</f>
        <v>21</v>
      </c>
      <c r="AH22" s="294">
        <f>(IF('Section Load'!AI25&gt;0,'Section Load'!AI25,0))</f>
        <v>412</v>
      </c>
      <c r="AI22" s="294">
        <f>(IF('Section Load'!AJ25&gt;0,'Section Load'!AJ25,0))</f>
        <v>430</v>
      </c>
      <c r="AJ22" s="294">
        <f>(IF('Section Load'!AK25&gt;0,'Section Load'!AK25,0))</f>
        <v>309</v>
      </c>
      <c r="AK22" s="294">
        <f>(IF('Section Load'!AL25&gt;0,'Section Load'!AL25,0))</f>
        <v>318</v>
      </c>
      <c r="AL22" s="294">
        <f>(IF('Section Load'!AM25&gt;0,'Section Load'!AM25,0))</f>
        <v>788</v>
      </c>
      <c r="AM22" s="295">
        <f>(IF('Water Report'!$X$7&gt;0,'Water Report'!$X$7,0))</f>
        <v>112</v>
      </c>
      <c r="AN22" s="295">
        <f>(IF('Water Report'!$X$8&gt;0,'Water Report'!$X$8,0))</f>
        <v>70</v>
      </c>
      <c r="AO22" s="295">
        <f>(IF('Water Report'!$X$9&gt;0,'Water Report'!$X$9,0))</f>
        <v>128</v>
      </c>
      <c r="AP22" s="295">
        <f>(IF('Water Report'!$X$10&gt;0,'Water Report'!$X$10,0))</f>
        <v>8</v>
      </c>
      <c r="AQ22" s="295">
        <f>(IF('Water Report'!$X$11&gt;0,'Water Report'!$X$11,0))</f>
        <v>21</v>
      </c>
      <c r="AR22" s="295">
        <f>(IF('Water Report'!$X$13&gt;0,'Water Report'!$X$13,0))</f>
        <v>22</v>
      </c>
      <c r="AS22" s="295">
        <f>(IF('Water Report'!$X$14&gt;0,'Water Report'!$X$14,0))</f>
        <v>8</v>
      </c>
      <c r="AT22" s="295">
        <f>(IF('Water Report'!$X$15&gt;0,'Water Report'!$X$15,0))</f>
        <v>11</v>
      </c>
      <c r="AU22" s="295">
        <f>(IF('Water Report'!$X$17&gt;0,'Water Report'!$X$17,0))</f>
        <v>0</v>
      </c>
      <c r="AV22" s="295">
        <f>(IF('Water Report'!$X$18&gt;0,'Water Report'!$X$18,0))</f>
        <v>14</v>
      </c>
      <c r="AW22" s="295">
        <f>(IF('Water Report'!$X$19&gt;0,'Water Report'!$X$19,0))</f>
        <v>12</v>
      </c>
      <c r="AX22" s="301">
        <f>(IF('Water Report'!$X$21&gt;0,'Water Report'!$X$21,0))</f>
        <v>137</v>
      </c>
      <c r="AY22" s="301">
        <f>(IF('Water Report'!$X$22&gt;0,'Water Report'!$X$22,0))</f>
        <v>0</v>
      </c>
      <c r="AZ22" s="301">
        <f>(IF('Water Report'!$X$23&gt;0,'Water Report'!$X$23,0))</f>
        <v>24</v>
      </c>
      <c r="BA22" s="301">
        <f>(IF('Water Report'!$X$14&gt;0,'Water Report'!$X$14,0))</f>
        <v>8</v>
      </c>
      <c r="BB22" s="301">
        <f>(IF('Water Report'!$X$15&gt;0,'Water Report'!$X$15,0))</f>
        <v>11</v>
      </c>
      <c r="BC22" s="301">
        <f>(IF('Water Report'!$X$13&gt;0,'Water Report'!$X$13,0))</f>
        <v>22</v>
      </c>
      <c r="BD22" s="301">
        <f>(IF('Water Report'!$X$24&gt;0,'Water Report'!$X$24,0))</f>
        <v>360</v>
      </c>
      <c r="BE22" s="301">
        <f>(IF('Water Report'!$X$25&gt;0,'Water Report'!$X$25,0))</f>
        <v>176</v>
      </c>
      <c r="BF22" s="301">
        <f>(IF('Water Report'!$X$27&gt;0,'Water Report'!$X$27,0))</f>
        <v>183</v>
      </c>
      <c r="BG22" s="296">
        <f>(IF('Section Load'!AN25&gt;0,'Section Load'!AN25,0))</f>
        <v>1103</v>
      </c>
      <c r="BH22" s="296">
        <f>(IF('Section Load'!AO25&gt;0,'Section Load'!AO25,0))</f>
        <v>290</v>
      </c>
      <c r="BI22" s="296">
        <f>(IF('Section Load'!AP25&gt;0,'Section Load'!AP25,0))</f>
        <v>0</v>
      </c>
      <c r="BJ22" s="296">
        <f>(IF('Section Load'!AQ25&gt;0,'Section Load'!AQ25,0))</f>
        <v>115</v>
      </c>
      <c r="BK22" s="296">
        <f>(IF('Section Load'!AR25&gt;0,'Section Load'!AR25,0))</f>
        <v>60</v>
      </c>
      <c r="BL22" s="296">
        <f>(IF('Section Load'!AS25&gt;0,'Section Load'!AS25,0))</f>
        <v>0</v>
      </c>
      <c r="BM22" s="296">
        <f>(IF('Section Load'!AT25&gt;0,'Section Load'!AT25,0))</f>
        <v>638</v>
      </c>
    </row>
    <row r="23" spans="1:65">
      <c r="A23" s="287" t="s">
        <v>268</v>
      </c>
      <c r="B23" s="288">
        <f t="shared" si="0"/>
        <v>22</v>
      </c>
      <c r="C23" s="288">
        <v>12</v>
      </c>
      <c r="D23" s="288">
        <v>2022</v>
      </c>
      <c r="E23" s="294">
        <f>(IF('Section Load'!F26&gt;0,'Section Load'!F26,0))</f>
        <v>3070</v>
      </c>
      <c r="F23" s="294">
        <f>(IF('Section Load'!G26&gt;0,'Section Load'!G26,0))</f>
        <v>1505</v>
      </c>
      <c r="G23" s="294">
        <f>(IF('Section Load'!H26&gt;0,'Section Load'!H26,0))</f>
        <v>2573</v>
      </c>
      <c r="H23" s="294">
        <f>(IF('Section Load'!I26&gt;0,'Section Load'!I26,0))</f>
        <v>2823</v>
      </c>
      <c r="I23" s="294">
        <f>(IF('Section Load'!J26&gt;0,'Section Load'!J26,0))</f>
        <v>3700</v>
      </c>
      <c r="J23" s="294">
        <f>(IF('Section Load'!K26&gt;0,'Section Load'!K26,0))</f>
        <v>2564</v>
      </c>
      <c r="K23" s="294">
        <f>(IF('Section Load'!L26&gt;0,'Section Load'!L26,0))</f>
        <v>1260</v>
      </c>
      <c r="L23" s="294">
        <f>(IF('Section Load'!M26&gt;0,'Section Load'!M26,0))</f>
        <v>1016</v>
      </c>
      <c r="M23" s="294">
        <f>(IF('Section Load'!N26&gt;0,'Section Load'!N26,0))</f>
        <v>112</v>
      </c>
      <c r="N23" s="294">
        <f>(IF('Section Load'!O26&gt;0,'Section Load'!O26,0))</f>
        <v>160</v>
      </c>
      <c r="O23" s="294">
        <f>(IF('Section Load'!P26&gt;0,'Section Load'!P26,0))</f>
        <v>39</v>
      </c>
      <c r="P23" s="294">
        <f>(IF('Section Load'!Q26&gt;0,'Section Load'!Q26,0))</f>
        <v>222</v>
      </c>
      <c r="Q23" s="294">
        <f>(IF('Section Load'!R26&gt;0,'Section Load'!R26,0))</f>
        <v>123</v>
      </c>
      <c r="R23" s="294">
        <f>(IF('Section Load'!S26&gt;0,'Section Load'!S26,0))</f>
        <v>222</v>
      </c>
      <c r="S23" s="294">
        <f>(IF('Section Load'!T26&gt;0,'Section Load'!T26,0))</f>
        <v>30</v>
      </c>
      <c r="T23" s="294">
        <f>(IF('Section Load'!U26&gt;0,'Section Load'!U26,0))</f>
        <v>232</v>
      </c>
      <c r="U23" s="294">
        <f>(IF('Section Load'!V26&gt;0,'Section Load'!V26,0))</f>
        <v>384</v>
      </c>
      <c r="V23" s="294">
        <f>(IF('Section Load'!W26&gt;0,'Section Load'!W26,0))</f>
        <v>370</v>
      </c>
      <c r="W23" s="294">
        <f>(IF('Section Load'!X26&gt;0,'Section Load'!X26,0))</f>
        <v>29</v>
      </c>
      <c r="X23" s="294">
        <f>(IF('Section Load'!Y26&gt;0,'Section Load'!Y26,0))</f>
        <v>272</v>
      </c>
      <c r="Y23" s="294">
        <f>(IF('Section Load'!Z26&gt;0,'Section Load'!Z26,0))</f>
        <v>282</v>
      </c>
      <c r="Z23" s="294">
        <f>(IF('Section Load'!AA26&gt;0,'Section Load'!AA26,0))</f>
        <v>186</v>
      </c>
      <c r="AA23" s="294">
        <f>(IF('Section Load'!AB26&gt;0,'Section Load'!AB26,0))</f>
        <v>42</v>
      </c>
      <c r="AB23" s="294">
        <f>(IF('Section Load'!AC26&gt;0,'Section Load'!AC26,0))</f>
        <v>10.889999999999418</v>
      </c>
      <c r="AC23" s="294">
        <f>(IF('Section Load'!AD26&gt;0,'Section Load'!AD26,0))</f>
        <v>12</v>
      </c>
      <c r="AD23" s="294">
        <f>(IF('Section Load'!AE26&gt;0,'Section Load'!AE26,0))</f>
        <v>365</v>
      </c>
      <c r="AE23" s="294">
        <f>(IF('Section Load'!AF26&gt;0,'Section Load'!AF26,0))</f>
        <v>341</v>
      </c>
      <c r="AF23" s="294">
        <f>(IF('Section Load'!AG26&gt;0,'Section Load'!AG26,0))</f>
        <v>672</v>
      </c>
      <c r="AG23" s="294">
        <f>(IF('Section Load'!AH26&gt;0,'Section Load'!AH26,0))</f>
        <v>24</v>
      </c>
      <c r="AH23" s="294">
        <f>(IF('Section Load'!AI26&gt;0,'Section Load'!AI26,0))</f>
        <v>405</v>
      </c>
      <c r="AI23" s="294">
        <f>(IF('Section Load'!AJ26&gt;0,'Section Load'!AJ26,0))</f>
        <v>454</v>
      </c>
      <c r="AJ23" s="294">
        <f>(IF('Section Load'!AK26&gt;0,'Section Load'!AK26,0))</f>
        <v>314</v>
      </c>
      <c r="AK23" s="294">
        <f>(IF('Section Load'!AL26&gt;0,'Section Load'!AL26,0))</f>
        <v>313</v>
      </c>
      <c r="AL23" s="294">
        <f>(IF('Section Load'!AM26&gt;0,'Section Load'!AM26,0))</f>
        <v>773</v>
      </c>
      <c r="AM23" s="295">
        <f>(IF('Water Report'!$Y$7&gt;0,'Water Report'!$Y$7,0))</f>
        <v>153</v>
      </c>
      <c r="AN23" s="295">
        <f>(IF('Water Report'!$Y$8&gt;0,'Water Report'!$Y$8,0))</f>
        <v>85</v>
      </c>
      <c r="AO23" s="295">
        <f>(IF('Water Report'!$Y$9&gt;0,'Water Report'!$Y$9,0))</f>
        <v>121</v>
      </c>
      <c r="AP23" s="295">
        <f>(IF('Water Report'!$Y$10&gt;0,'Water Report'!$Y$10,0))</f>
        <v>18</v>
      </c>
      <c r="AQ23" s="295">
        <f>(IF('Water Report'!$Y$11&gt;0,'Water Report'!$Y$11,0))</f>
        <v>23</v>
      </c>
      <c r="AR23" s="295">
        <f>(IF('Water Report'!$Y$13&gt;0,'Water Report'!$Y$13,0))</f>
        <v>29</v>
      </c>
      <c r="AS23" s="295">
        <f>(IF('Water Report'!$Y$14&gt;0,'Water Report'!$Y$14,0))</f>
        <v>4</v>
      </c>
      <c r="AT23" s="295">
        <f>(IF('Water Report'!$Y$15&gt;0,'Water Report'!$Y$15,0))</f>
        <v>10</v>
      </c>
      <c r="AU23" s="295">
        <f>(IF('Water Report'!$Y$17&gt;0,'Water Report'!$Y$17,0))</f>
        <v>0</v>
      </c>
      <c r="AV23" s="295">
        <f>(IF('Water Report'!$Y$18&gt;0,'Water Report'!$Y$18,0))</f>
        <v>11</v>
      </c>
      <c r="AW23" s="295">
        <f>(IF('Water Report'!$Y$19&gt;0,'Water Report'!$Y$19,0))</f>
        <v>13</v>
      </c>
      <c r="AX23" s="301">
        <f>(IF('Water Report'!$Y$21&gt;0,'Water Report'!$Y$21,0))</f>
        <v>113</v>
      </c>
      <c r="AY23" s="301">
        <f>(IF('Water Report'!$Y$22&gt;0,'Water Report'!$Y$22,0))</f>
        <v>0</v>
      </c>
      <c r="AZ23" s="301">
        <f>(IF('Water Report'!$Y$23&gt;0,'Water Report'!$Y$23,0))</f>
        <v>11</v>
      </c>
      <c r="BA23" s="301">
        <f>(IF('Water Report'!$Y$14&gt;0,'Water Report'!$Y$14,0))</f>
        <v>4</v>
      </c>
      <c r="BB23" s="301">
        <f>(IF('Water Report'!$Y$15&gt;0,'Water Report'!$Y$15,0))</f>
        <v>10</v>
      </c>
      <c r="BC23" s="301">
        <f>(IF('Water Report'!$Y$13&gt;0,'Water Report'!$Y$13,0))</f>
        <v>29</v>
      </c>
      <c r="BD23" s="301">
        <f>(IF('Water Report'!$Y$24&gt;0,'Water Report'!$Y$24,0))</f>
        <v>279</v>
      </c>
      <c r="BE23" s="301">
        <f>(IF('Water Report'!$Y$25&gt;0,'Water Report'!$Y$25,0))</f>
        <v>176</v>
      </c>
      <c r="BF23" s="301">
        <f>(IF('Water Report'!$Y$27&gt;0,'Water Report'!$Y$27,0))</f>
        <v>153</v>
      </c>
      <c r="BG23" s="296">
        <f>(IF('Section Load'!AN26&gt;0,'Section Load'!AN26,0))</f>
        <v>1107</v>
      </c>
      <c r="BH23" s="296">
        <f>(IF('Section Load'!AO26&gt;0,'Section Load'!AO26,0))</f>
        <v>295</v>
      </c>
      <c r="BI23" s="296">
        <f>(IF('Section Load'!AP26&gt;0,'Section Load'!AP26,0))</f>
        <v>0</v>
      </c>
      <c r="BJ23" s="296">
        <f>(IF('Section Load'!AQ26&gt;0,'Section Load'!AQ26,0))</f>
        <v>99</v>
      </c>
      <c r="BK23" s="296">
        <f>(IF('Section Load'!AR26&gt;0,'Section Load'!AR26,0))</f>
        <v>53</v>
      </c>
      <c r="BL23" s="296">
        <f>(IF('Section Load'!AS26&gt;0,'Section Load'!AS26,0))</f>
        <v>0</v>
      </c>
      <c r="BM23" s="296">
        <f>(IF('Section Load'!AT26&gt;0,'Section Load'!AT26,0))</f>
        <v>660</v>
      </c>
    </row>
    <row r="24" spans="1:65">
      <c r="A24" s="287" t="s">
        <v>268</v>
      </c>
      <c r="B24" s="288">
        <f t="shared" si="0"/>
        <v>23</v>
      </c>
      <c r="C24" s="288">
        <v>12</v>
      </c>
      <c r="D24" s="288">
        <v>2022</v>
      </c>
      <c r="E24" s="294">
        <f>(IF('Section Load'!F27&gt;0,'Section Load'!F27,0))</f>
        <v>3019</v>
      </c>
      <c r="F24" s="294">
        <f>(IF('Section Load'!G27&gt;0,'Section Load'!G27,0))</f>
        <v>1455</v>
      </c>
      <c r="G24" s="294">
        <f>(IF('Section Load'!H27&gt;0,'Section Load'!H27,0))</f>
        <v>2361</v>
      </c>
      <c r="H24" s="294">
        <f>(IF('Section Load'!I27&gt;0,'Section Load'!I27,0))</f>
        <v>2721</v>
      </c>
      <c r="I24" s="294">
        <f>(IF('Section Load'!J27&gt;0,'Section Load'!J27,0))</f>
        <v>3018.6300000000047</v>
      </c>
      <c r="J24" s="294">
        <f>(IF('Section Load'!K27&gt;0,'Section Load'!K27,0))</f>
        <v>2563</v>
      </c>
      <c r="K24" s="294">
        <f>(IF('Section Load'!L27&gt;0,'Section Load'!L27,0))</f>
        <v>1163</v>
      </c>
      <c r="L24" s="294">
        <f>(IF('Section Load'!M27&gt;0,'Section Load'!M27,0))</f>
        <v>794</v>
      </c>
      <c r="M24" s="294">
        <f>(IF('Section Load'!N27&gt;0,'Section Load'!N27,0))</f>
        <v>139</v>
      </c>
      <c r="N24" s="294">
        <f>(IF('Section Load'!O27&gt;0,'Section Load'!O27,0))</f>
        <v>157</v>
      </c>
      <c r="O24" s="294">
        <f>(IF('Section Load'!P27&gt;0,'Section Load'!P27,0))</f>
        <v>27</v>
      </c>
      <c r="P24" s="294">
        <f>(IF('Section Load'!Q27&gt;0,'Section Load'!Q27,0))</f>
        <v>217</v>
      </c>
      <c r="Q24" s="294">
        <f>(IF('Section Load'!R27&gt;0,'Section Load'!R27,0))</f>
        <v>90</v>
      </c>
      <c r="R24" s="294">
        <f>(IF('Section Load'!S27&gt;0,'Section Load'!S27,0))</f>
        <v>197</v>
      </c>
      <c r="S24" s="294">
        <f>(IF('Section Load'!T27&gt;0,'Section Load'!T27,0))</f>
        <v>26</v>
      </c>
      <c r="T24" s="294">
        <f>(IF('Section Load'!U27&gt;0,'Section Load'!U27,0))</f>
        <v>230</v>
      </c>
      <c r="U24" s="294">
        <f>(IF('Section Load'!V27&gt;0,'Section Load'!V27,0))</f>
        <v>350</v>
      </c>
      <c r="V24" s="294">
        <f>(IF('Section Load'!W27&gt;0,'Section Load'!W27,0))</f>
        <v>251</v>
      </c>
      <c r="W24" s="294">
        <f>(IF('Section Load'!X27&gt;0,'Section Load'!X27,0))</f>
        <v>34</v>
      </c>
      <c r="X24" s="294">
        <f>(IF('Section Load'!Y27&gt;0,'Section Load'!Y27,0))</f>
        <v>260</v>
      </c>
      <c r="Y24" s="294">
        <f>(IF('Section Load'!Z27&gt;0,'Section Load'!Z27,0))</f>
        <v>286</v>
      </c>
      <c r="Z24" s="294">
        <f>(IF('Section Load'!AA27&gt;0,'Section Load'!AA27,0))</f>
        <v>133</v>
      </c>
      <c r="AA24" s="294">
        <f>(IF('Section Load'!AB27&gt;0,'Section Load'!AB27,0))</f>
        <v>39</v>
      </c>
      <c r="AB24" s="294">
        <f>(IF('Section Load'!AC27&gt;0,'Section Load'!AC27,0))</f>
        <v>7.5200000000004366</v>
      </c>
      <c r="AC24" s="294">
        <f>(IF('Section Load'!AD27&gt;0,'Section Load'!AD27,0))</f>
        <v>2</v>
      </c>
      <c r="AD24" s="294">
        <f>(IF('Section Load'!AE27&gt;0,'Section Load'!AE27,0))</f>
        <v>319</v>
      </c>
      <c r="AE24" s="294">
        <f>(IF('Section Load'!AF27&gt;0,'Section Load'!AF27,0))</f>
        <v>297</v>
      </c>
      <c r="AF24" s="294">
        <f>(IF('Section Load'!AG27&gt;0,'Section Load'!AG27,0))</f>
        <v>614</v>
      </c>
      <c r="AG24" s="294">
        <f>(IF('Section Load'!AH27&gt;0,'Section Load'!AH27,0))</f>
        <v>19</v>
      </c>
      <c r="AH24" s="294">
        <f>(IF('Section Load'!AI27&gt;0,'Section Load'!AI27,0))</f>
        <v>412</v>
      </c>
      <c r="AI24" s="294">
        <f>(IF('Section Load'!AJ27&gt;0,'Section Load'!AJ27,0))</f>
        <v>470</v>
      </c>
      <c r="AJ24" s="294">
        <f>(IF('Section Load'!AK27&gt;0,'Section Load'!AK27,0))</f>
        <v>305</v>
      </c>
      <c r="AK24" s="294">
        <f>(IF('Section Load'!AL27&gt;0,'Section Load'!AL27,0))</f>
        <v>333</v>
      </c>
      <c r="AL24" s="294">
        <f>(IF('Section Load'!AM27&gt;0,'Section Load'!AM27,0))</f>
        <v>732</v>
      </c>
      <c r="AM24" s="295">
        <f>(IF('Water Report'!$Z$7&gt;0,'Water Report'!$Z$7,0))</f>
        <v>64</v>
      </c>
      <c r="AN24" s="295">
        <f>(IF('Water Report'!$Z$8&gt;0,'Water Report'!$Z$8,0))</f>
        <v>73</v>
      </c>
      <c r="AO24" s="295">
        <f>(IF('Water Report'!$Z$9&gt;0,'Water Report'!$Z$9,0))</f>
        <v>111</v>
      </c>
      <c r="AP24" s="295">
        <f>(IF('Water Report'!$Z$10&gt;0,'Water Report'!$Z$10,0))</f>
        <v>9</v>
      </c>
      <c r="AQ24" s="295">
        <f>(IF('Water Report'!$Z$11&gt;0,'Water Report'!$Z$11,0))</f>
        <v>24</v>
      </c>
      <c r="AR24" s="295">
        <f>(IF('Water Report'!$Z$13&gt;0,'Water Report'!$Z$13,0))</f>
        <v>24</v>
      </c>
      <c r="AS24" s="295">
        <f>(IF('Water Report'!$Z$14&gt;0,'Water Report'!$Z$14,0))</f>
        <v>5</v>
      </c>
      <c r="AT24" s="295">
        <f>(IF('Water Report'!$Z$15&gt;0,'Water Report'!$Z$15,0))</f>
        <v>8</v>
      </c>
      <c r="AU24" s="295">
        <f>(IF('Water Report'!$Z$17&gt;0,'Water Report'!$Z$17,0))</f>
        <v>0</v>
      </c>
      <c r="AV24" s="295">
        <f>(IF('Water Report'!$Z$18&gt;0,'Water Report'!$Z$18,0))</f>
        <v>12</v>
      </c>
      <c r="AW24" s="295">
        <f>(IF('Water Report'!$Z$19&gt;0,'Water Report'!$Z$19,0))</f>
        <v>14</v>
      </c>
      <c r="AX24" s="301">
        <f>(IF('Water Report'!$Z$21&gt;0,'Water Report'!$Z$21,0))</f>
        <v>141</v>
      </c>
      <c r="AY24" s="301">
        <f>(IF('Water Report'!$Z$22&gt;0,'Water Report'!$Z$22,0))</f>
        <v>0</v>
      </c>
      <c r="AZ24" s="301">
        <f>(IF('Water Report'!$Z$23&gt;0,'Water Report'!$Z$23,0))</f>
        <v>0</v>
      </c>
      <c r="BA24" s="301">
        <f>(IF('Water Report'!$Z$14&gt;0,'Water Report'!$Z$14,0))</f>
        <v>5</v>
      </c>
      <c r="BB24" s="301">
        <f>(IF('Water Report'!$Z$15&gt;0,'Water Report'!$Z$15,0))</f>
        <v>8</v>
      </c>
      <c r="BC24" s="301">
        <f>(IF('Water Report'!$Z$13&gt;0,'Water Report'!$Z$13,0))</f>
        <v>24</v>
      </c>
      <c r="BD24" s="301">
        <f>(IF('Water Report'!$Z$24&gt;0,'Water Report'!$Z$24,0))</f>
        <v>258</v>
      </c>
      <c r="BE24" s="301">
        <f>(IF('Water Report'!$Z$25&gt;0,'Water Report'!$Z$25,0))</f>
        <v>157</v>
      </c>
      <c r="BF24" s="301">
        <f>(IF('Water Report'!$Z$27&gt;0,'Water Report'!$Z$27,0))</f>
        <v>165</v>
      </c>
      <c r="BG24" s="296">
        <f>(IF('Section Load'!AN27&gt;0,'Section Load'!AN27,0))</f>
        <v>1104</v>
      </c>
      <c r="BH24" s="296">
        <f>(IF('Section Load'!AO27&gt;0,'Section Load'!AO27,0))</f>
        <v>297</v>
      </c>
      <c r="BI24" s="296">
        <f>(IF('Section Load'!AP27&gt;0,'Section Load'!AP27,0))</f>
        <v>0</v>
      </c>
      <c r="BJ24" s="296">
        <f>(IF('Section Load'!AQ27&gt;0,'Section Load'!AQ27,0))</f>
        <v>98</v>
      </c>
      <c r="BK24" s="296">
        <f>(IF('Section Load'!AR27&gt;0,'Section Load'!AR27,0))</f>
        <v>46</v>
      </c>
      <c r="BL24" s="296">
        <f>(IF('Section Load'!AS27&gt;0,'Section Load'!AS27,0))</f>
        <v>0</v>
      </c>
      <c r="BM24" s="296">
        <f>(IF('Section Load'!AT27&gt;0,'Section Load'!AT27,0))</f>
        <v>663</v>
      </c>
    </row>
    <row r="25" spans="1:65">
      <c r="A25" s="287" t="s">
        <v>268</v>
      </c>
      <c r="B25" s="288">
        <f t="shared" si="0"/>
        <v>24</v>
      </c>
      <c r="C25" s="288">
        <v>12</v>
      </c>
      <c r="D25" s="288">
        <v>2022</v>
      </c>
      <c r="E25" s="294">
        <f>(IF('Section Load'!F28&gt;0,'Section Load'!F28,0))</f>
        <v>2944.2999999999884</v>
      </c>
      <c r="F25" s="294">
        <f>(IF('Section Load'!G28&gt;0,'Section Load'!G28,0))</f>
        <v>1476.9500000000116</v>
      </c>
      <c r="G25" s="294">
        <f>(IF('Section Load'!H28&gt;0,'Section Load'!H28,0))</f>
        <v>2452.3499999999767</v>
      </c>
      <c r="H25" s="294">
        <f>(IF('Section Load'!I28&gt;0,'Section Load'!I28,0))</f>
        <v>2731.0200000000186</v>
      </c>
      <c r="I25" s="294">
        <f>(IF('Section Load'!J28&gt;0,'Section Load'!J28,0))</f>
        <v>2892.3900000000722</v>
      </c>
      <c r="J25" s="294">
        <f>(IF('Section Load'!K28&gt;0,'Section Load'!K28,0))</f>
        <v>2087.0300000000279</v>
      </c>
      <c r="K25" s="294">
        <f>(IF('Section Load'!L28&gt;0,'Section Load'!L28,0))</f>
        <v>1346.9099999999744</v>
      </c>
      <c r="L25" s="294">
        <f>(IF('Section Load'!M28&gt;0,'Section Load'!M28,0))</f>
        <v>731.63000000000466</v>
      </c>
      <c r="M25" s="294">
        <f>(IF('Section Load'!N28&gt;0,'Section Load'!N28,0))</f>
        <v>127</v>
      </c>
      <c r="N25" s="294">
        <f>(IF('Section Load'!O28&gt;0,'Section Load'!O28,0))</f>
        <v>155</v>
      </c>
      <c r="O25" s="294">
        <f>(IF('Section Load'!P28&gt;0,'Section Load'!P28,0))</f>
        <v>21.710000000000036</v>
      </c>
      <c r="P25" s="294">
        <f>(IF('Section Load'!Q28&gt;0,'Section Load'!Q28,0))</f>
        <v>224</v>
      </c>
      <c r="Q25" s="294">
        <f>(IF('Section Load'!R28&gt;0,'Section Load'!R28,0))</f>
        <v>82</v>
      </c>
      <c r="R25" s="294">
        <f>(IF('Section Load'!S28&gt;0,'Section Load'!S28,0))</f>
        <v>183.83000000000175</v>
      </c>
      <c r="S25" s="294">
        <f>(IF('Section Load'!T28&gt;0,'Section Load'!T28,0))</f>
        <v>59</v>
      </c>
      <c r="T25" s="294">
        <f>(IF('Section Load'!U28&gt;0,'Section Load'!U28,0))</f>
        <v>218</v>
      </c>
      <c r="U25" s="294">
        <f>(IF('Section Load'!V28&gt;0,'Section Load'!V28,0))</f>
        <v>377.14000000001397</v>
      </c>
      <c r="V25" s="294">
        <f>(IF('Section Load'!W28&gt;0,'Section Load'!W28,0))</f>
        <v>234</v>
      </c>
      <c r="W25" s="294">
        <f>(IF('Section Load'!X28&gt;0,'Section Load'!X28,0))</f>
        <v>32</v>
      </c>
      <c r="X25" s="294">
        <f>(IF('Section Load'!Y28&gt;0,'Section Load'!Y28,0))</f>
        <v>254.72999999999593</v>
      </c>
      <c r="Y25" s="294">
        <f>(IF('Section Load'!Z28&gt;0,'Section Load'!Z28,0))</f>
        <v>295</v>
      </c>
      <c r="Z25" s="294">
        <f>(IF('Section Load'!AA28&gt;0,'Section Load'!AA28,0))</f>
        <v>81</v>
      </c>
      <c r="AA25" s="294">
        <f>(IF('Section Load'!AB28&gt;0,'Section Load'!AB28,0))</f>
        <v>22</v>
      </c>
      <c r="AB25" s="294">
        <f>(IF('Section Load'!AC28&gt;0,'Section Load'!AC28,0))</f>
        <v>9</v>
      </c>
      <c r="AC25" s="294">
        <f>(IF('Section Load'!AD28&gt;0,'Section Load'!AD28,0))</f>
        <v>6</v>
      </c>
      <c r="AD25" s="294">
        <f>(IF('Section Load'!AE28&gt;0,'Section Load'!AE28,0))</f>
        <v>441.61999999999534</v>
      </c>
      <c r="AE25" s="294">
        <f>(IF('Section Load'!AF28&gt;0,'Section Load'!AF28,0))</f>
        <v>334</v>
      </c>
      <c r="AF25" s="294">
        <f>(IF('Section Load'!AG28&gt;0,'Section Load'!AG28,0))</f>
        <v>592</v>
      </c>
      <c r="AG25" s="294">
        <f>(IF('Section Load'!AH28&gt;0,'Section Load'!AH28,0))</f>
        <v>23</v>
      </c>
      <c r="AH25" s="294">
        <f>(IF('Section Load'!AI28&gt;0,'Section Load'!AI28,0))</f>
        <v>409</v>
      </c>
      <c r="AI25" s="294">
        <f>(IF('Section Load'!AJ28&gt;0,'Section Load'!AJ28,0))</f>
        <v>421</v>
      </c>
      <c r="AJ25" s="294">
        <f>(IF('Section Load'!AK28&gt;0,'Section Load'!AK28,0))</f>
        <v>300</v>
      </c>
      <c r="AK25" s="294">
        <f>(IF('Section Load'!AL28&gt;0,'Section Load'!AL28,0))</f>
        <v>334</v>
      </c>
      <c r="AL25" s="294">
        <f>(IF('Section Load'!AM28&gt;0,'Section Load'!AM28,0))</f>
        <v>642</v>
      </c>
      <c r="AM25" s="295">
        <f>(IF('Water Report'!$AA$7&gt;0,'Water Report'!$AA$7,0))</f>
        <v>100.40000000002328</v>
      </c>
      <c r="AN25" s="295">
        <f>(IF('Water Report'!$AA$8&gt;0,'Water Report'!$AA$8,0))</f>
        <v>90</v>
      </c>
      <c r="AO25" s="295">
        <f>(IF('Water Report'!$AA$9&gt;0,'Water Report'!$AA$9,0))</f>
        <v>124</v>
      </c>
      <c r="AP25" s="295">
        <f>(IF('Water Report'!$AA$10&gt;0,'Water Report'!$AA$10,0))</f>
        <v>16</v>
      </c>
      <c r="AQ25" s="295">
        <f>(IF('Water Report'!$AA$11&gt;0,'Water Report'!$AA$11,0))</f>
        <v>29</v>
      </c>
      <c r="AR25" s="295">
        <f>(IF('Water Report'!$AA$13&gt;0,'Water Report'!$AA$13,0))</f>
        <v>35</v>
      </c>
      <c r="AS25" s="295">
        <f>(IF('Water Report'!$AA$14&gt;0,'Water Report'!$AA$14,0))</f>
        <v>1</v>
      </c>
      <c r="AT25" s="295">
        <f>(IF('Water Report'!$AA$15&gt;0,'Water Report'!$AA$15,0))</f>
        <v>8</v>
      </c>
      <c r="AU25" s="295">
        <f>(IF('Water Report'!$AA$17&gt;0,'Water Report'!$AA$17,0))</f>
        <v>2</v>
      </c>
      <c r="AV25" s="295">
        <f>(IF('Water Report'!$AA$18&gt;0,'Water Report'!$AA$18,0))</f>
        <v>12</v>
      </c>
      <c r="AW25" s="295">
        <f>(IF('Water Report'!$AA$19&gt;0,'Water Report'!$AA$19,0))</f>
        <v>16</v>
      </c>
      <c r="AX25" s="301">
        <f>(IF('Water Report'!$AA$21&gt;0,'Water Report'!$AA$21,0))</f>
        <v>104</v>
      </c>
      <c r="AY25" s="301">
        <f>(IF('Water Report'!$AA$22&gt;0,'Water Report'!$AA$22,0))</f>
        <v>0</v>
      </c>
      <c r="AZ25" s="301">
        <f>(IF('Water Report'!$AA$23&gt;0,'Water Report'!$AA$23,0))</f>
        <v>5</v>
      </c>
      <c r="BA25" s="301">
        <f>(IF('Water Report'!$AA$14&gt;0,'Water Report'!$AA$14,0))</f>
        <v>1</v>
      </c>
      <c r="BB25" s="301">
        <f>(IF('Water Report'!$AA$15&gt;0,'Water Report'!$AA$15,0))</f>
        <v>8</v>
      </c>
      <c r="BC25" s="301">
        <f>(IF('Water Report'!$AA$13&gt;0,'Water Report'!$AA$13,0))</f>
        <v>35</v>
      </c>
      <c r="BD25" s="301">
        <f>(IF('Water Report'!$AA$24&gt;0,'Water Report'!$AA$24,0))</f>
        <v>277</v>
      </c>
      <c r="BE25" s="301">
        <f>(IF('Water Report'!$AA$25&gt;0,'Water Report'!$AA$25,0))</f>
        <v>178</v>
      </c>
      <c r="BF25" s="301">
        <f>(IF('Water Report'!$AA$27&gt;0,'Water Report'!$AA$27,0))</f>
        <v>144</v>
      </c>
      <c r="BG25" s="296">
        <f>(IF('Section Load'!AN28&gt;0,'Section Load'!AN28,0))</f>
        <v>1128</v>
      </c>
      <c r="BH25" s="296">
        <f>(IF('Section Load'!AO28&gt;0,'Section Load'!AO28,0))</f>
        <v>296</v>
      </c>
      <c r="BI25" s="296">
        <f>(IF('Section Load'!AP28&gt;0,'Section Load'!AP28,0))</f>
        <v>0</v>
      </c>
      <c r="BJ25" s="296">
        <f>(IF('Section Load'!AQ28&gt;0,'Section Load'!AQ28,0))</f>
        <v>93</v>
      </c>
      <c r="BK25" s="296">
        <f>(IF('Section Load'!AR28&gt;0,'Section Load'!AR28,0))</f>
        <v>59</v>
      </c>
      <c r="BL25" s="296">
        <f>(IF('Section Load'!AS28&gt;0,'Section Load'!AS28,0))</f>
        <v>0</v>
      </c>
      <c r="BM25" s="296">
        <f>(IF('Section Load'!AT28&gt;0,'Section Load'!AT28,0))</f>
        <v>680</v>
      </c>
    </row>
    <row r="26" spans="1:65">
      <c r="A26" s="287" t="s">
        <v>268</v>
      </c>
      <c r="B26" s="288">
        <f>B25+1</f>
        <v>25</v>
      </c>
      <c r="C26" s="288">
        <v>12</v>
      </c>
      <c r="D26" s="288">
        <v>2022</v>
      </c>
      <c r="E26" s="294">
        <f>(IF('Section Load'!F29&gt;0,'Section Load'!F29,0))</f>
        <v>2945.6900000000023</v>
      </c>
      <c r="F26" s="294">
        <f>(IF('Section Load'!G29&gt;0,'Section Load'!G29,0))</f>
        <v>1461.0499999999884</v>
      </c>
      <c r="G26" s="294">
        <f>(IF('Section Load'!H29&gt;0,'Section Load'!H29,0))</f>
        <v>2575.6500000000233</v>
      </c>
      <c r="H26" s="294">
        <f>(IF('Section Load'!I29&gt;0,'Section Load'!I29,0))</f>
        <v>2669.9799999999814</v>
      </c>
      <c r="I26" s="294">
        <f>(IF('Section Load'!J29&gt;0,'Section Load'!J29,0))</f>
        <v>4330.0099999999511</v>
      </c>
      <c r="J26" s="294">
        <f>(IF('Section Load'!K29&gt;0,'Section Load'!K29,0))</f>
        <v>2749.8699999999953</v>
      </c>
      <c r="K26" s="294">
        <f>(IF('Section Load'!L29&gt;0,'Section Load'!L29,0))</f>
        <v>1417.390000000014</v>
      </c>
      <c r="L26" s="294">
        <f>(IF('Section Load'!M29&gt;0,'Section Load'!M29,0))</f>
        <v>771.36999999999534</v>
      </c>
      <c r="M26" s="294">
        <f>(IF('Section Load'!N29&gt;0,'Section Load'!N29,0))</f>
        <v>160</v>
      </c>
      <c r="N26" s="294">
        <f>(IF('Section Load'!O29&gt;0,'Section Load'!O29,0))</f>
        <v>144</v>
      </c>
      <c r="O26" s="294">
        <f>(IF('Section Load'!P29&gt;0,'Section Load'!P29,0))</f>
        <v>20.289999999999964</v>
      </c>
      <c r="P26" s="294">
        <f>(IF('Section Load'!Q29&gt;0,'Section Load'!Q29,0))</f>
        <v>219</v>
      </c>
      <c r="Q26" s="294">
        <f>(IF('Section Load'!R29&gt;0,'Section Load'!R29,0))</f>
        <v>100</v>
      </c>
      <c r="R26" s="294">
        <f>(IF('Section Load'!S29&gt;0,'Section Load'!S29,0))</f>
        <v>134.16999999999825</v>
      </c>
      <c r="S26" s="294">
        <f>(IF('Section Load'!T29&gt;0,'Section Load'!T29,0))</f>
        <v>21</v>
      </c>
      <c r="T26" s="294">
        <f>(IF('Section Load'!U29&gt;0,'Section Load'!U29,0))</f>
        <v>218</v>
      </c>
      <c r="U26" s="294">
        <f>(IF('Section Load'!V29&gt;0,'Section Load'!V29,0))</f>
        <v>378.85999999998603</v>
      </c>
      <c r="V26" s="294">
        <f>(IF('Section Load'!W29&gt;0,'Section Load'!W29,0))</f>
        <v>368</v>
      </c>
      <c r="W26" s="294">
        <f>(IF('Section Load'!X29&gt;0,'Section Load'!X29,0))</f>
        <v>32</v>
      </c>
      <c r="X26" s="294">
        <f>(IF('Section Load'!Y29&gt;0,'Section Load'!Y29,0))</f>
        <v>270.8700000000099</v>
      </c>
      <c r="Y26" s="294">
        <f>(IF('Section Load'!Z29&gt;0,'Section Load'!Z29,0))</f>
        <v>253</v>
      </c>
      <c r="Z26" s="294">
        <f>(IF('Section Load'!AA29&gt;0,'Section Load'!AA29,0))</f>
        <v>67</v>
      </c>
      <c r="AA26" s="294">
        <f>(IF('Section Load'!AB29&gt;0,'Section Load'!AB29,0))</f>
        <v>20</v>
      </c>
      <c r="AB26" s="294">
        <f>(IF('Section Load'!AC29&gt;0,'Section Load'!AC29,0))</f>
        <v>10</v>
      </c>
      <c r="AC26" s="294">
        <f>(IF('Section Load'!AD29&gt;0,'Section Load'!AD29,0))</f>
        <v>4</v>
      </c>
      <c r="AD26" s="294">
        <f>(IF('Section Load'!AE29&gt;0,'Section Load'!AE29,0))</f>
        <v>486.38000000000466</v>
      </c>
      <c r="AE26" s="294">
        <f>(IF('Section Load'!AF29&gt;0,'Section Load'!AF29,0))</f>
        <v>298.80000000000291</v>
      </c>
      <c r="AF26" s="294">
        <f>(IF('Section Load'!AG29&gt;0,'Section Load'!AG29,0))</f>
        <v>550</v>
      </c>
      <c r="AG26" s="294">
        <f>(IF('Section Load'!AH29&gt;0,'Section Load'!AH29,0))</f>
        <v>28</v>
      </c>
      <c r="AH26" s="294">
        <f>(IF('Section Load'!AI29&gt;0,'Section Load'!AI29,0))</f>
        <v>398</v>
      </c>
      <c r="AI26" s="294">
        <f>(IF('Section Load'!AJ29&gt;0,'Section Load'!AJ29,0))</f>
        <v>418</v>
      </c>
      <c r="AJ26" s="294">
        <f>(IF('Section Load'!AK29&gt;0,'Section Load'!AK29,0))</f>
        <v>298</v>
      </c>
      <c r="AK26" s="294">
        <f>(IF('Section Load'!AL29&gt;0,'Section Load'!AL29,0))</f>
        <v>318</v>
      </c>
      <c r="AL26" s="294">
        <f>(IF('Section Load'!AM29&gt;0,'Section Load'!AM29,0))</f>
        <v>550</v>
      </c>
      <c r="AM26" s="295">
        <f>(IF('Water Report'!$AB$7&gt;0,'Water Report'!$AB$7,0))</f>
        <v>157.59999999997672</v>
      </c>
      <c r="AN26" s="295">
        <f>(IF('Water Report'!$AB$8&gt;0,'Water Report'!$AB$8,0))</f>
        <v>68</v>
      </c>
      <c r="AO26" s="295">
        <f>(IF('Water Report'!$AB$9&gt;0,'Water Report'!$AB$9,0))</f>
        <v>136</v>
      </c>
      <c r="AP26" s="295">
        <f>(IF('Water Report'!$AB$10&gt;0,'Water Report'!$AB$10,0))</f>
        <v>13</v>
      </c>
      <c r="AQ26" s="295">
        <f>(IF('Water Report'!$AB$11&gt;0,'Water Report'!$AB$11,0))</f>
        <v>26</v>
      </c>
      <c r="AR26" s="295">
        <f>(IF('Water Report'!$AB$13&gt;0,'Water Report'!$AB$13,0))</f>
        <v>31</v>
      </c>
      <c r="AS26" s="295">
        <f>(IF('Water Report'!$AB$14&gt;0,'Water Report'!$AB$14,0))</f>
        <v>3</v>
      </c>
      <c r="AT26" s="295">
        <f>(IF('Water Report'!$AB$15&gt;0,'Water Report'!$AB$15,0))</f>
        <v>8</v>
      </c>
      <c r="AU26" s="295">
        <f>(IF('Water Report'!$AB$17&gt;0,'Water Report'!$AB$17,0))</f>
        <v>0</v>
      </c>
      <c r="AV26" s="295">
        <f>(IF('Water Report'!$AB$18&gt;0,'Water Report'!$AB$18,0))</f>
        <v>15</v>
      </c>
      <c r="AW26" s="295">
        <f>(IF('Water Report'!$AB$19&gt;0,'Water Report'!$AB$19,0))</f>
        <v>14</v>
      </c>
      <c r="AX26" s="301">
        <f>(IF('Water Report'!$AB$21&gt;0,'Water Report'!$AB$21,0))</f>
        <v>102</v>
      </c>
      <c r="AY26" s="301">
        <f>(IF('Water Report'!$AB$22&gt;0,'Water Report'!$AB$22,0))</f>
        <v>0</v>
      </c>
      <c r="AZ26" s="301">
        <f>(IF('Water Report'!$AB$23&gt;0,'Water Report'!$AB$23,0))</f>
        <v>9</v>
      </c>
      <c r="BA26" s="301">
        <f>(IF('Water Report'!$AB$14&gt;0,'Water Report'!$AB$14,0))</f>
        <v>3</v>
      </c>
      <c r="BB26" s="301">
        <f>(IF('Water Report'!$AB$15&gt;0,'Water Report'!$AB$15,0))</f>
        <v>8</v>
      </c>
      <c r="BC26" s="301">
        <f>(IF('Water Report'!$AB$13&gt;0,'Water Report'!$AB$13,0))</f>
        <v>31</v>
      </c>
      <c r="BD26" s="301">
        <f>(IF('Water Report'!$AB$24&gt;0,'Water Report'!$AB$24,0))</f>
        <v>279</v>
      </c>
      <c r="BE26" s="301">
        <f>(IF('Water Report'!$AB$25&gt;0,'Water Report'!$AB$25,0))</f>
        <v>186</v>
      </c>
      <c r="BF26" s="301">
        <f>(IF('Water Report'!$AB$27&gt;0,'Water Report'!$AB$27,0))</f>
        <v>142</v>
      </c>
      <c r="BG26" s="296">
        <f>(IF('Section Load'!AN29&gt;0,'Section Load'!AN29,0))</f>
        <v>1127.7999999998137</v>
      </c>
      <c r="BH26" s="296">
        <f>(IF('Section Load'!AO29&gt;0,'Section Load'!AO29,0))</f>
        <v>299</v>
      </c>
      <c r="BI26" s="296">
        <f>(IF('Section Load'!AP29&gt;0,'Section Load'!AP29,0))</f>
        <v>0</v>
      </c>
      <c r="BJ26" s="296">
        <f>(IF('Section Load'!AQ29&gt;0,'Section Load'!AQ29,0))</f>
        <v>90</v>
      </c>
      <c r="BK26" s="296">
        <f>(IF('Section Load'!AR29&gt;0,'Section Load'!AR29,0))</f>
        <v>49</v>
      </c>
      <c r="BL26" s="296">
        <f>(IF('Section Load'!AS29&gt;0,'Section Load'!AS29,0))</f>
        <v>0</v>
      </c>
      <c r="BM26" s="296">
        <f>(IF('Section Load'!AT29&gt;0,'Section Load'!AT29,0))</f>
        <v>689.79999999981374</v>
      </c>
    </row>
    <row r="27" spans="1:65">
      <c r="A27" s="287" t="s">
        <v>268</v>
      </c>
      <c r="B27" s="288">
        <f t="shared" si="0"/>
        <v>26</v>
      </c>
      <c r="C27" s="288">
        <v>12</v>
      </c>
      <c r="D27" s="288">
        <v>2022</v>
      </c>
      <c r="E27" s="294">
        <f>(IF('Section Load'!F30&gt;0,'Section Load'!F30,0))</f>
        <v>2882.9900000000489</v>
      </c>
      <c r="F27" s="294">
        <f>(IF('Section Load'!G30&gt;0,'Section Load'!G30,0))</f>
        <v>1374</v>
      </c>
      <c r="G27" s="294">
        <f>(IF('Section Load'!H30&gt;0,'Section Load'!H30,0))</f>
        <v>2378.030000000037</v>
      </c>
      <c r="H27" s="294">
        <f>(IF('Section Load'!I30&gt;0,'Section Load'!I30,0))</f>
        <v>2707.8200000000652</v>
      </c>
      <c r="I27" s="294">
        <f>(IF('Section Load'!J30&gt;0,'Section Load'!J30,0))</f>
        <v>3943.2799999999697</v>
      </c>
      <c r="J27" s="294">
        <f>(IF('Section Load'!K30&gt;0,'Section Load'!K30,0))</f>
        <v>2584.5300000000279</v>
      </c>
      <c r="K27" s="294">
        <f>(IF('Section Load'!L30&gt;0,'Section Load'!L30,0))</f>
        <v>1151.6900000000023</v>
      </c>
      <c r="L27" s="294">
        <f>(IF('Section Load'!M30&gt;0,'Section Load'!M30,0))</f>
        <v>666.6699999999837</v>
      </c>
      <c r="M27" s="294">
        <f>(IF('Section Load'!N30&gt;0,'Section Load'!N30,0))</f>
        <v>223</v>
      </c>
      <c r="N27" s="294">
        <f>(IF('Section Load'!O30&gt;0,'Section Load'!O30,0))</f>
        <v>324</v>
      </c>
      <c r="O27" s="294">
        <f>(IF('Section Load'!P30&gt;0,'Section Load'!P30,0))</f>
        <v>21.590000000000146</v>
      </c>
      <c r="P27" s="294">
        <f>(IF('Section Load'!Q30&gt;0,'Section Load'!Q30,0))</f>
        <v>209.32000000000698</v>
      </c>
      <c r="Q27" s="294">
        <f>(IF('Section Load'!R30&gt;0,'Section Load'!R30,0))</f>
        <v>126</v>
      </c>
      <c r="R27" s="294">
        <f>(IF('Section Load'!S30&gt;0,'Section Load'!S30,0))</f>
        <v>108</v>
      </c>
      <c r="S27" s="294">
        <f>(IF('Section Load'!T30&gt;0,'Section Load'!T30,0))</f>
        <v>27</v>
      </c>
      <c r="T27" s="294">
        <f>(IF('Section Load'!U30&gt;0,'Section Load'!U30,0))</f>
        <v>207</v>
      </c>
      <c r="U27" s="294">
        <f>(IF('Section Load'!V30&gt;0,'Section Load'!V30,0))</f>
        <v>745</v>
      </c>
      <c r="V27" s="294">
        <f>(IF('Section Load'!W30&gt;0,'Section Load'!W30,0))</f>
        <v>592.64000000001397</v>
      </c>
      <c r="W27" s="294">
        <f>(IF('Section Load'!X30&gt;0,'Section Load'!X30,0))</f>
        <v>34.590000000000146</v>
      </c>
      <c r="X27" s="294">
        <f>(IF('Section Load'!Y30&gt;0,'Section Load'!Y30,0))</f>
        <v>260.58299999999872</v>
      </c>
      <c r="Y27" s="294">
        <f>(IF('Section Load'!Z30&gt;0,'Section Load'!Z30,0))</f>
        <v>264</v>
      </c>
      <c r="Z27" s="294">
        <f>(IF('Section Load'!AA30&gt;0,'Section Load'!AA30,0))</f>
        <v>151</v>
      </c>
      <c r="AA27" s="294">
        <f>(IF('Section Load'!AB30&gt;0,'Section Load'!AB30,0))</f>
        <v>35.700000000000045</v>
      </c>
      <c r="AB27" s="294">
        <f>(IF('Section Load'!AC30&gt;0,'Section Load'!AC30,0))</f>
        <v>10.709999999999127</v>
      </c>
      <c r="AC27" s="294">
        <f>(IF('Section Load'!AD30&gt;0,'Section Load'!AD30,0))</f>
        <v>9.3000000000001819</v>
      </c>
      <c r="AD27" s="294">
        <f>(IF('Section Load'!AE30&gt;0,'Section Load'!AE30,0))</f>
        <v>453</v>
      </c>
      <c r="AE27" s="294">
        <f>(IF('Section Load'!AF30&gt;0,'Section Load'!AF30,0))</f>
        <v>308.19999999999709</v>
      </c>
      <c r="AF27" s="294">
        <f>(IF('Section Load'!AG30&gt;0,'Section Load'!AG30,0))</f>
        <v>552</v>
      </c>
      <c r="AG27" s="294">
        <f>(IF('Section Load'!AH30&gt;0,'Section Load'!AH30,0))</f>
        <v>33.660000000003492</v>
      </c>
      <c r="AH27" s="294">
        <f>(IF('Section Load'!AI30&gt;0,'Section Load'!AI30,0))</f>
        <v>398</v>
      </c>
      <c r="AI27" s="294">
        <f>(IF('Section Load'!AJ30&gt;0,'Section Load'!AJ30,0))</f>
        <v>440</v>
      </c>
      <c r="AJ27" s="294">
        <f>(IF('Section Load'!AK30&gt;0,'Section Load'!AK30,0))</f>
        <v>287.22999999999593</v>
      </c>
      <c r="AK27" s="294">
        <f>(IF('Section Load'!AL30&gt;0,'Section Load'!AL30,0))</f>
        <v>317.02999999999884</v>
      </c>
      <c r="AL27" s="294">
        <f>(IF('Section Load'!AM30&gt;0,'Section Load'!AM30,0))</f>
        <v>1335</v>
      </c>
      <c r="AM27" s="295">
        <f>(IF('Water Report'!$AC$7&gt;0,'Water Report'!$AC$7,0))</f>
        <v>147</v>
      </c>
      <c r="AN27" s="295">
        <f>(IF('Water Report'!$AC$8&gt;0,'Water Report'!$AC$8,0))</f>
        <v>41</v>
      </c>
      <c r="AO27" s="295">
        <f>(IF('Water Report'!$AC$9&gt;0,'Water Report'!$AC$9,0))</f>
        <v>165</v>
      </c>
      <c r="AP27" s="295">
        <f>(IF('Water Report'!$AC$10&gt;0,'Water Report'!$AC$10,0))</f>
        <v>15</v>
      </c>
      <c r="AQ27" s="295">
        <f>(IF('Water Report'!$AC$11&gt;0,'Water Report'!$AC$11,0))</f>
        <v>23</v>
      </c>
      <c r="AR27" s="295">
        <f>(IF('Water Report'!$AC$13&gt;0,'Water Report'!$AC$13,0))</f>
        <v>27</v>
      </c>
      <c r="AS27" s="295">
        <f>(IF('Water Report'!$AC$14&gt;0,'Water Report'!$AC$14,0))</f>
        <v>3</v>
      </c>
      <c r="AT27" s="295">
        <f>(IF('Water Report'!$AC$15&gt;0,'Water Report'!$AC$15,0))</f>
        <v>5</v>
      </c>
      <c r="AU27" s="295">
        <f>(IF('Water Report'!$AC$17&gt;0,'Water Report'!$AC$17,0))</f>
        <v>0</v>
      </c>
      <c r="AV27" s="295">
        <f>(IF('Water Report'!$AC$18&gt;0,'Water Report'!$AC$18,0))</f>
        <v>32</v>
      </c>
      <c r="AW27" s="295">
        <f>(IF('Water Report'!$AC$19&gt;0,'Water Report'!$AC$19,0))</f>
        <v>18</v>
      </c>
      <c r="AX27" s="301">
        <f>(IF('Water Report'!$AC$21&gt;0,'Water Report'!$AC$21,0))</f>
        <v>114</v>
      </c>
      <c r="AY27" s="301">
        <f>(IF('Water Report'!$AC$22&gt;0,'Water Report'!$AC$22,0))</f>
        <v>0</v>
      </c>
      <c r="AZ27" s="301">
        <f>(IF('Water Report'!$AC$23&gt;0,'Water Report'!$AC$23,0))</f>
        <v>6</v>
      </c>
      <c r="BA27" s="301">
        <f>(IF('Water Report'!$AC$14&gt;0,'Water Report'!$AC$14,0))</f>
        <v>3</v>
      </c>
      <c r="BB27" s="301">
        <f>(IF('Water Report'!$AC$15&gt;0,'Water Report'!$AC$15,0))</f>
        <v>5</v>
      </c>
      <c r="BC27" s="301">
        <f>(IF('Water Report'!$AC$13&gt;0,'Water Report'!$AC$13,0))</f>
        <v>27</v>
      </c>
      <c r="BD27" s="301">
        <f>(IF('Water Report'!$AC$24&gt;0,'Water Report'!$AC$24,0))</f>
        <v>291</v>
      </c>
      <c r="BE27" s="301">
        <f>(IF('Water Report'!$AC$25&gt;0,'Water Report'!$AC$25,0))</f>
        <v>211</v>
      </c>
      <c r="BF27" s="301">
        <f>(IF('Water Report'!$AC$27&gt;0,'Water Report'!$AC$27,0))</f>
        <v>147</v>
      </c>
      <c r="BG27" s="296">
        <f>(IF('Section Load'!AN30&gt;0,'Section Load'!AN30,0))</f>
        <v>1135.9900000002235</v>
      </c>
      <c r="BH27" s="296">
        <f>(IF('Section Load'!AO30&gt;0,'Section Load'!AO30,0))</f>
        <v>221</v>
      </c>
      <c r="BI27" s="296">
        <f>(IF('Section Load'!AP30&gt;0,'Section Load'!AP30,0))</f>
        <v>0</v>
      </c>
      <c r="BJ27" s="296">
        <f>(IF('Section Load'!AQ30&gt;0,'Section Load'!AQ30,0))</f>
        <v>105.70000000001164</v>
      </c>
      <c r="BK27" s="296">
        <f>(IF('Section Load'!AR30&gt;0,'Section Load'!AR30,0))</f>
        <v>46</v>
      </c>
      <c r="BL27" s="296">
        <f>(IF('Section Load'!AS30&gt;0,'Section Load'!AS30,0))</f>
        <v>0</v>
      </c>
      <c r="BM27" s="296">
        <f>(IF('Section Load'!AT30&gt;0,'Section Load'!AT30,0))</f>
        <v>763.29000000021188</v>
      </c>
    </row>
    <row r="28" spans="1:65">
      <c r="A28" s="287" t="s">
        <v>268</v>
      </c>
      <c r="B28" s="288">
        <f t="shared" si="0"/>
        <v>27</v>
      </c>
      <c r="C28" s="288">
        <v>12</v>
      </c>
      <c r="D28" s="288">
        <v>2022</v>
      </c>
      <c r="E28" s="294">
        <f>(IF('Section Load'!F31&gt;0,'Section Load'!F31,0))</f>
        <v>2961.4399999999441</v>
      </c>
      <c r="F28" s="294">
        <f>(IF('Section Load'!G31&gt;0,'Section Load'!G31,0))</f>
        <v>1445.4400000000023</v>
      </c>
      <c r="G28" s="294">
        <f>(IF('Section Load'!H31&gt;0,'Section Load'!H31,0))</f>
        <v>2563.1999999999534</v>
      </c>
      <c r="H28" s="294">
        <f>(IF('Section Load'!I31&gt;0,'Section Load'!I31,0))</f>
        <v>2738.2399999999907</v>
      </c>
      <c r="I28" s="294">
        <f>(IF('Section Load'!J31&gt;0,'Section Load'!J31,0))</f>
        <v>4580.3400000000256</v>
      </c>
      <c r="J28" s="294">
        <f>(IF('Section Load'!K31&gt;0,'Section Load'!K31,0))</f>
        <v>2773.5699999999488</v>
      </c>
      <c r="K28" s="294">
        <f>(IF('Section Load'!L31&gt;0,'Section Load'!L31,0))</f>
        <v>1151.320000000007</v>
      </c>
      <c r="L28" s="294">
        <f>(IF('Section Load'!M31&gt;0,'Section Load'!M31,0))</f>
        <v>774.3300000000163</v>
      </c>
      <c r="M28" s="294">
        <f>(IF('Section Load'!N31&gt;0,'Section Load'!N31,0))</f>
        <v>30</v>
      </c>
      <c r="N28" s="294">
        <f>(IF('Section Load'!O31&gt;0,'Section Load'!O31,0))</f>
        <v>108</v>
      </c>
      <c r="O28" s="294">
        <f>(IF('Section Load'!P31&gt;0,'Section Load'!P31,0))</f>
        <v>21.929999999999836</v>
      </c>
      <c r="P28" s="294">
        <f>(IF('Section Load'!Q31&gt;0,'Section Load'!Q31,0))</f>
        <v>227.42999999999302</v>
      </c>
      <c r="Q28" s="294">
        <f>(IF('Section Load'!R31&gt;0,'Section Load'!R31,0))</f>
        <v>62</v>
      </c>
      <c r="R28" s="294">
        <f>(IF('Section Load'!S31&gt;0,'Section Load'!S31,0))</f>
        <v>175.54000000000087</v>
      </c>
      <c r="S28" s="294">
        <f>(IF('Section Load'!T31&gt;0,'Section Load'!T31,0))</f>
        <v>0</v>
      </c>
      <c r="T28" s="294">
        <f>(IF('Section Load'!U31&gt;0,'Section Load'!U31,0))</f>
        <v>220</v>
      </c>
      <c r="U28" s="294">
        <f>(IF('Section Load'!V31&gt;0,'Section Load'!V31,0))</f>
        <v>0</v>
      </c>
      <c r="V28" s="294">
        <f>(IF('Section Load'!W31&gt;0,'Section Load'!W31,0))</f>
        <v>526.35999999998603</v>
      </c>
      <c r="W28" s="294">
        <f>(IF('Section Load'!X31&gt;0,'Section Load'!X31,0))</f>
        <v>32.459999999999127</v>
      </c>
      <c r="X28" s="294">
        <f>(IF('Section Load'!Y31&gt;0,'Section Load'!Y31,0))</f>
        <v>305.81699999999546</v>
      </c>
      <c r="Y28" s="294">
        <f>(IF('Section Load'!Z31&gt;0,'Section Load'!Z31,0))</f>
        <v>279</v>
      </c>
      <c r="Z28" s="294">
        <f>(IF('Section Load'!AA31&gt;0,'Section Load'!AA31,0))</f>
        <v>110</v>
      </c>
      <c r="AA28" s="294">
        <f>(IF('Section Load'!AB31&gt;0,'Section Load'!AB31,0))</f>
        <v>12.6099999999999</v>
      </c>
      <c r="AB28" s="294">
        <f>(IF('Section Load'!AC31&gt;0,'Section Load'!AC31,0))</f>
        <v>11.290000000000873</v>
      </c>
      <c r="AC28" s="294">
        <f>(IF('Section Load'!AD31&gt;0,'Section Load'!AD31,0))</f>
        <v>2.6999999999998181</v>
      </c>
      <c r="AD28" s="294">
        <f>(IF('Section Load'!AE31&gt;0,'Section Load'!AE31,0))</f>
        <v>364</v>
      </c>
      <c r="AE28" s="294">
        <f>(IF('Section Load'!AF31&gt;0,'Section Load'!AF31,0))</f>
        <v>380.66999999999825</v>
      </c>
      <c r="AF28" s="294">
        <f>(IF('Section Load'!AG31&gt;0,'Section Load'!AG31,0))</f>
        <v>574</v>
      </c>
      <c r="AG28" s="294">
        <f>(IF('Section Load'!AH31&gt;0,'Section Load'!AH31,0))</f>
        <v>34.379999999997381</v>
      </c>
      <c r="AH28" s="294">
        <f>(IF('Section Load'!AI31&gt;0,'Section Load'!AI31,0))</f>
        <v>419.58000000000175</v>
      </c>
      <c r="AI28" s="294">
        <f>(IF('Section Load'!AJ31&gt;0,'Section Load'!AJ31,0))</f>
        <v>442.88999999999942</v>
      </c>
      <c r="AJ28" s="294">
        <f>(IF('Section Load'!AK31&gt;0,'Section Load'!AK31,0))</f>
        <v>321.05000000000291</v>
      </c>
      <c r="AK28" s="294">
        <f>(IF('Section Load'!AL31&gt;0,'Section Load'!AL31,0))</f>
        <v>336.91999999999825</v>
      </c>
      <c r="AL28" s="294">
        <f>(IF('Section Load'!AM31&gt;0,'Section Load'!AM31,0))</f>
        <v>0</v>
      </c>
      <c r="AM28" s="295">
        <f>(IF('Water Report'!$AD$7&gt;0,'Water Report'!$AD$7,0))</f>
        <v>172</v>
      </c>
      <c r="AN28" s="295">
        <f>(IF('Water Report'!$AD$8&gt;0,'Water Report'!$AD$8,0))</f>
        <v>37</v>
      </c>
      <c r="AO28" s="295">
        <f>(IF('Water Report'!$AD$9&gt;0,'Water Report'!$AD$9,0))</f>
        <v>183</v>
      </c>
      <c r="AP28" s="295">
        <f>(IF('Water Report'!$AD$10&gt;0,'Water Report'!AD$10,0))</f>
        <v>18</v>
      </c>
      <c r="AQ28" s="295">
        <f>(IF('Water Report'!$AD$11&gt;0,'Water Report'!AE$11,0))</f>
        <v>44</v>
      </c>
      <c r="AR28" s="295">
        <f>(IF('Water Report'!$AD$13&gt;0,'Water Report'!AF$13,0))</f>
        <v>27</v>
      </c>
      <c r="AS28" s="295">
        <f>(IF('Water Report'!$AD$14&gt;0,'Water Report'!AG$14,0))</f>
        <v>36</v>
      </c>
      <c r="AT28" s="295">
        <f>(IF('Water Report'!$AD$15&gt;0,'Water Report'!AH$15,0))</f>
        <v>6</v>
      </c>
      <c r="AU28" s="295">
        <f>(IF('Water Report'!$AD$17&gt;0,'Water Report'!AI$17,0))</f>
        <v>0</v>
      </c>
      <c r="AV28" s="295">
        <f>(IF('Water Report'!$AD$18&gt;0,'Water Report'!AJ$18,0))</f>
        <v>0</v>
      </c>
      <c r="AW28" s="295">
        <f>(IF('Water Report'!$AD$19&gt;0,'Water Report'!AK$19,0))</f>
        <v>0</v>
      </c>
      <c r="AX28" s="301">
        <f>(IF('Water Report'!$AD$21&gt;0,'Water Report'!AL$21,0))</f>
        <v>0</v>
      </c>
      <c r="AY28" s="301">
        <f>(IF('Water Report'!$AD$22&gt;0,'Water Report'!AM$22,0))</f>
        <v>0</v>
      </c>
      <c r="AZ28" s="301">
        <f>(IF('Water Report'!$AD$23&gt;0,'Water Report'!AN$23,0))</f>
        <v>0</v>
      </c>
      <c r="BA28" s="301">
        <f>(IF('Water Report'!$AD$14&gt;0,'Water Report'!AO$14,0))</f>
        <v>0</v>
      </c>
      <c r="BB28" s="301">
        <f>(IF('Water Report'!$AD$15&gt;0,'Water Report'!AP$15,0))</f>
        <v>0</v>
      </c>
      <c r="BC28" s="301">
        <f>(IF('Water Report'!$AD$13&gt;0,'Water Report'!AQ$13,0))</f>
        <v>0</v>
      </c>
      <c r="BD28" s="301">
        <f>(IF('Water Report'!$AD$24&gt;0,'Water Report'!AR$24,0))</f>
        <v>0</v>
      </c>
      <c r="BE28" s="301">
        <f>(IF('Water Report'!$AD$25&gt;0,'Water Report'!AS$25,0))</f>
        <v>0</v>
      </c>
      <c r="BF28" s="301">
        <f>(IF('Water Report'!$AD$27&gt;0,'Water Report'!AT$27,0))</f>
        <v>0</v>
      </c>
      <c r="BG28" s="296">
        <f>(IF('Section Load'!AN31&gt;0,'Section Load'!AN31,0))</f>
        <v>1195.3599999998696</v>
      </c>
      <c r="BH28" s="296">
        <f>(IF('Section Load'!AO31&gt;0,'Section Load'!AO31,0))</f>
        <v>213</v>
      </c>
      <c r="BI28" s="296">
        <f>(IF('Section Load'!AP31&gt;0,'Section Load'!AP31,0))</f>
        <v>0</v>
      </c>
      <c r="BJ28" s="296">
        <f>(IF('Section Load'!AQ31&gt;0,'Section Load'!AQ31,0))</f>
        <v>104.29999999998836</v>
      </c>
      <c r="BK28" s="296">
        <f>(IF('Section Load'!AR31&gt;0,'Section Load'!AR31,0))</f>
        <v>53</v>
      </c>
      <c r="BL28" s="296">
        <f>(IF('Section Load'!AS31&gt;0,'Section Load'!AS31,0))</f>
        <v>0</v>
      </c>
      <c r="BM28" s="296">
        <f>(IF('Section Load'!AT31&gt;0,'Section Load'!AT31,0))</f>
        <v>825.05999999988126</v>
      </c>
    </row>
    <row r="29" spans="1:65">
      <c r="A29" s="287" t="s">
        <v>268</v>
      </c>
      <c r="B29" s="288">
        <f t="shared" si="0"/>
        <v>28</v>
      </c>
      <c r="C29" s="288">
        <v>12</v>
      </c>
      <c r="D29" s="288">
        <v>2022</v>
      </c>
      <c r="E29" s="294">
        <f>(IF('Section Load'!F32&gt;0,'Section Load'!F32,0))</f>
        <v>2854.5800000000163</v>
      </c>
      <c r="F29" s="294">
        <f>(IF('Section Load'!G32&gt;0,'Section Load'!G32,0))</f>
        <v>1409.5599999999977</v>
      </c>
      <c r="G29" s="294">
        <f>(IF('Section Load'!H32&gt;0,'Section Load'!H32,0))</f>
        <v>2515.0100000000093</v>
      </c>
      <c r="H29" s="294">
        <f>(IF('Section Load'!I32&gt;0,'Section Load'!I32,0))</f>
        <v>2685.9399999999441</v>
      </c>
      <c r="I29" s="294">
        <f>(IF('Section Load'!J32&gt;0,'Section Load'!J32,0))</f>
        <v>4973.4799999999814</v>
      </c>
      <c r="J29" s="294">
        <f>(IF('Section Load'!K32&gt;0,'Section Load'!K32,0))</f>
        <v>2592</v>
      </c>
      <c r="K29" s="294">
        <f>(IF('Section Load'!L32&gt;0,'Section Load'!L32,0))</f>
        <v>1360.6900000000023</v>
      </c>
      <c r="L29" s="294">
        <f>(IF('Section Load'!M32&gt;0,'Section Load'!M32,0))</f>
        <v>1102</v>
      </c>
      <c r="M29" s="294">
        <f>(IF('Section Load'!N32&gt;0,'Section Load'!N32,0))</f>
        <v>105</v>
      </c>
      <c r="N29" s="294">
        <f>(IF('Section Load'!O32&gt;0,'Section Load'!O32,0))</f>
        <v>182</v>
      </c>
      <c r="O29" s="294">
        <f>(IF('Section Load'!P32&gt;0,'Section Load'!P32,0))</f>
        <v>19.4699999999998</v>
      </c>
      <c r="P29" s="294">
        <f>(IF('Section Load'!Q32&gt;0,'Section Load'!Q32,0))</f>
        <v>211.25</v>
      </c>
      <c r="Q29" s="294">
        <f>(IF('Section Load'!R32&gt;0,'Section Load'!R32,0))</f>
        <v>116</v>
      </c>
      <c r="R29" s="294">
        <f>(IF('Section Load'!S32&gt;0,'Section Load'!S32,0))</f>
        <v>127.45999999999913</v>
      </c>
      <c r="S29" s="294">
        <f>(IF('Section Load'!T32&gt;0,'Section Load'!T32,0))</f>
        <v>115</v>
      </c>
      <c r="T29" s="294">
        <f>(IF('Section Load'!U32&gt;0,'Section Load'!U32,0))</f>
        <v>281</v>
      </c>
      <c r="U29" s="294">
        <f>(IF('Section Load'!V32&gt;0,'Section Load'!V32,0))</f>
        <v>391</v>
      </c>
      <c r="V29" s="294">
        <f>(IF('Section Load'!W32&gt;0,'Section Load'!W32,0))</f>
        <v>135</v>
      </c>
      <c r="W29" s="294">
        <f>(IF('Section Load'!X32&gt;0,'Section Load'!X32,0))</f>
        <v>28.950000000000728</v>
      </c>
      <c r="X29" s="294">
        <f>(IF('Section Load'!Y32&gt;0,'Section Load'!Y32,0))</f>
        <v>336</v>
      </c>
      <c r="Y29" s="294">
        <f>(IF('Section Load'!Z32&gt;0,'Section Load'!Z32,0))</f>
        <v>307</v>
      </c>
      <c r="Z29" s="294">
        <f>(IF('Section Load'!AA32&gt;0,'Section Load'!AA32,0))</f>
        <v>180</v>
      </c>
      <c r="AA29" s="294">
        <f>(IF('Section Load'!AB32&gt;0,'Section Load'!AB32,0))</f>
        <v>36.910000000000082</v>
      </c>
      <c r="AB29" s="294">
        <f>(IF('Section Load'!AC32&gt;0,'Section Load'!AC32,0))</f>
        <v>7.4700000000011642</v>
      </c>
      <c r="AC29" s="294">
        <f>(IF('Section Load'!AD32&gt;0,'Section Load'!AD32,0))</f>
        <v>1.6999999999998181</v>
      </c>
      <c r="AD29" s="294">
        <f>(IF('Section Load'!AE32&gt;0,'Section Load'!AE32,0))</f>
        <v>323</v>
      </c>
      <c r="AE29" s="294">
        <f>(IF('Section Load'!AF32&gt;0,'Section Load'!AF32,0))</f>
        <v>323.33000000000175</v>
      </c>
      <c r="AF29" s="294">
        <f>(IF('Section Load'!AG32&gt;0,'Section Load'!AG32,0))</f>
        <v>595</v>
      </c>
      <c r="AG29" s="294">
        <f>(IF('Section Load'!AH32&gt;0,'Section Load'!AH32,0))</f>
        <v>34.089999999996508</v>
      </c>
      <c r="AH29" s="294">
        <f>(IF('Section Load'!AI32&gt;0,'Section Load'!AI32,0))</f>
        <v>402.41999999999825</v>
      </c>
      <c r="AI29" s="294">
        <f>(IF('Section Load'!AJ32&gt;0,'Section Load'!AJ32,0))</f>
        <v>408.11000000000058</v>
      </c>
      <c r="AJ29" s="294">
        <f>(IF('Section Load'!AK32&gt;0,'Section Load'!AK32,0))</f>
        <v>300.72000000000116</v>
      </c>
      <c r="AK29" s="294">
        <f>(IF('Section Load'!AL32&gt;0,'Section Load'!AL32,0))</f>
        <v>303.5</v>
      </c>
      <c r="AL29" s="294">
        <f>(IF('Section Load'!AM32&gt;0,'Section Load'!AM32,0))</f>
        <v>700</v>
      </c>
      <c r="AM29" s="295">
        <f>(IF('Water Report'!$AE$7&gt;0,'Water Report'!$AE$7,0))</f>
        <v>3</v>
      </c>
      <c r="AN29" s="295">
        <f>(IF('Water Report'!$AE$8&gt;0,'Water Report'!$AE$8,0))</f>
        <v>178</v>
      </c>
      <c r="AO29" s="295">
        <f>(IF('Water Report'!$AE$9&gt;0,'Water Report'!$AE$9,0))</f>
        <v>42</v>
      </c>
      <c r="AP29" s="295">
        <f>(IF('Water Report'!$AE$10&gt;0,'Water Report'!$AE$10,0))</f>
        <v>8</v>
      </c>
      <c r="AQ29" s="295">
        <f>(IF('Water Report'!$AE$11&gt;0,'Water Report'!$AE$11,0))</f>
        <v>44</v>
      </c>
      <c r="AR29" s="295">
        <f>(IF('Water Report'!$AE$13&gt;0,'Water Report'!$AE$13,0))</f>
        <v>30</v>
      </c>
      <c r="AS29" s="295">
        <f>(IF('Water Report'!$AE$14&gt;0,'Water Report'!$AE$14,0))</f>
        <v>3</v>
      </c>
      <c r="AT29" s="295">
        <f>(IF('Water Report'!$AE$15&gt;0,'Water Report'!$AE$15,0))</f>
        <v>16</v>
      </c>
      <c r="AU29" s="295">
        <f>(IF('Water Report'!$AE$17&gt;0,'Water Report'!$AE$17,0))</f>
        <v>0</v>
      </c>
      <c r="AV29" s="295">
        <f>(IF('Water Report'!$AE$18&gt;0,'Water Report'!$AE$18,0))</f>
        <v>9</v>
      </c>
      <c r="AW29" s="295">
        <f>(IF('Water Report'!$AE$19&gt;0,'Water Report'!$AE$19,0))</f>
        <v>12</v>
      </c>
      <c r="AX29" s="301">
        <f>(IF('Water Report'!$AE$21&gt;0,'Water Report'!$AE$21,0))</f>
        <v>121</v>
      </c>
      <c r="AY29" s="301">
        <f>(IF('Water Report'!$AE$22&gt;0,'Water Report'!$AE$22,0))</f>
        <v>0</v>
      </c>
      <c r="AZ29" s="301">
        <f>(IF('Water Report'!$AE$23&gt;0,'Water Report'!$AE$23,0))</f>
        <v>2</v>
      </c>
      <c r="BA29" s="301">
        <f>(IF('Water Report'!$AE$14&gt;0,'Water Report'!$AE$14,0))</f>
        <v>3</v>
      </c>
      <c r="BB29" s="301">
        <f>(IF('Water Report'!$AE$15&gt;0,'Water Report'!$AE$15,0))</f>
        <v>16</v>
      </c>
      <c r="BC29" s="301">
        <f>(IF('Water Report'!$AE$13&gt;0,'Water Report'!$AE$13,0))</f>
        <v>30</v>
      </c>
      <c r="BD29" s="301">
        <f>(IF('Water Report'!$AE$24&gt;0,'Water Report'!$AE$24,0))</f>
        <v>308</v>
      </c>
      <c r="BE29" s="301">
        <f>(IF('Water Report'!$AE$25&gt;0,'Water Report'!$AE$25,0))</f>
        <v>113</v>
      </c>
      <c r="BF29" s="301">
        <f>(IF('Water Report'!$AE$27&gt;0,'Water Report'!$AE$27,0))</f>
        <v>153</v>
      </c>
      <c r="BG29" s="296">
        <f>(IF('Section Load'!AN32&gt;0,'Section Load'!AN32,0))</f>
        <v>1167.570000000298</v>
      </c>
      <c r="BH29" s="296">
        <f>(IF('Section Load'!AO32&gt;0,'Section Load'!AO32,0))</f>
        <v>205</v>
      </c>
      <c r="BI29" s="296">
        <f>(IF('Section Load'!AP32&gt;0,'Section Load'!AP32,0))</f>
        <v>0</v>
      </c>
      <c r="BJ29" s="296">
        <f>(IF('Section Load'!AQ32&gt;0,'Section Load'!AQ32,0))</f>
        <v>131</v>
      </c>
      <c r="BK29" s="296">
        <f>(IF('Section Load'!AR32&gt;0,'Section Load'!AR32,0))</f>
        <v>44</v>
      </c>
      <c r="BL29" s="296">
        <f>(IF('Section Load'!AS32&gt;0,'Section Load'!AS32,0))</f>
        <v>0</v>
      </c>
      <c r="BM29" s="296">
        <f>(IF('Section Load'!AT32&gt;0,'Section Load'!AT32,0))</f>
        <v>787.57000000029802</v>
      </c>
    </row>
    <row r="30" spans="1:65">
      <c r="A30" s="287" t="s">
        <v>268</v>
      </c>
      <c r="B30" s="288">
        <f t="shared" si="0"/>
        <v>29</v>
      </c>
      <c r="C30" s="288">
        <v>12</v>
      </c>
      <c r="D30" s="288">
        <v>2022</v>
      </c>
      <c r="E30" s="294">
        <f>(IF('Section Load'!F33&gt;0,'Section Load'!F33,0))</f>
        <v>3224.4699999999721</v>
      </c>
      <c r="F30" s="294">
        <f>(IF('Section Load'!G33&gt;0,'Section Load'!G33,0))</f>
        <v>1446.4400000000023</v>
      </c>
      <c r="G30" s="294">
        <f>(IF('Section Load'!H33&gt;0,'Section Load'!H33,0))</f>
        <v>2745</v>
      </c>
      <c r="H30" s="294">
        <f>(IF('Section Load'!I33&gt;0,'Section Load'!I33,0))</f>
        <v>2857</v>
      </c>
      <c r="I30" s="294">
        <f>(IF('Section Load'!J33&gt;0,'Section Load'!J33,0))</f>
        <v>5058.1799999999348</v>
      </c>
      <c r="J30" s="294">
        <f>(IF('Section Load'!K33&gt;0,'Section Load'!K33,0))</f>
        <v>2596</v>
      </c>
      <c r="K30" s="294">
        <f>(IF('Section Load'!L33&gt;0,'Section Load'!L33,0))</f>
        <v>1528</v>
      </c>
      <c r="L30" s="294">
        <f>(IF('Section Load'!M33&gt;0,'Section Load'!M33,0))</f>
        <v>1275</v>
      </c>
      <c r="M30" s="294">
        <f>(IF('Section Load'!N33&gt;0,'Section Load'!N33,0))</f>
        <v>100</v>
      </c>
      <c r="N30" s="294">
        <f>(IF('Section Load'!O33&gt;0,'Section Load'!O33,0))</f>
        <v>38</v>
      </c>
      <c r="O30" s="294">
        <f>(IF('Section Load'!P33&gt;0,'Section Load'!P33,0))</f>
        <v>19.080000000000382</v>
      </c>
      <c r="P30" s="294">
        <f>(IF('Section Load'!Q33&gt;0,'Section Load'!Q33,0))</f>
        <v>193</v>
      </c>
      <c r="Q30" s="294">
        <f>(IF('Section Load'!R33&gt;0,'Section Load'!R33,0))</f>
        <v>84</v>
      </c>
      <c r="R30" s="294">
        <f>(IF('Section Load'!S33&gt;0,'Section Load'!S33,0))</f>
        <v>130.70000000000073</v>
      </c>
      <c r="S30" s="294">
        <f>(IF('Section Load'!T33&gt;0,'Section Load'!T33,0))</f>
        <v>0</v>
      </c>
      <c r="T30" s="294">
        <f>(IF('Section Load'!U33&gt;0,'Section Load'!U33,0))</f>
        <v>255</v>
      </c>
      <c r="U30" s="294">
        <f>(IF('Section Load'!V33&gt;0,'Section Load'!V33,0))</f>
        <v>412</v>
      </c>
      <c r="V30" s="294">
        <f>(IF('Section Load'!W33&gt;0,'Section Load'!W33,0))</f>
        <v>453.19999999995343</v>
      </c>
      <c r="W30" s="294">
        <f>(IF('Section Load'!X33&gt;0,'Section Load'!X33,0))</f>
        <v>36</v>
      </c>
      <c r="X30" s="294">
        <f>(IF('Section Load'!Y33&gt;0,'Section Load'!Y33,0))</f>
        <v>375.55100000000675</v>
      </c>
      <c r="Y30" s="294">
        <f>(IF('Section Load'!Z33&gt;0,'Section Load'!Z33,0))</f>
        <v>363</v>
      </c>
      <c r="Z30" s="294">
        <f>(IF('Section Load'!AA33&gt;0,'Section Load'!AA33,0))</f>
        <v>167.96000000002095</v>
      </c>
      <c r="AA30" s="294">
        <f>(IF('Section Load'!AB33&gt;0,'Section Load'!AB33,0))</f>
        <v>38.379999999999995</v>
      </c>
      <c r="AB30" s="294">
        <f>(IF('Section Load'!AC33&gt;0,'Section Load'!AC33,0))</f>
        <v>8.8799999999973807</v>
      </c>
      <c r="AC30" s="294">
        <f>(IF('Section Load'!AD33&gt;0,'Section Load'!AD33,0))</f>
        <v>1</v>
      </c>
      <c r="AD30" s="294">
        <f>(IF('Section Load'!AE33&gt;0,'Section Load'!AE33,0))</f>
        <v>469</v>
      </c>
      <c r="AE30" s="294">
        <f>(IF('Section Load'!AF33&gt;0,'Section Load'!AF33,0))</f>
        <v>362.42999999999302</v>
      </c>
      <c r="AF30" s="294">
        <f>(IF('Section Load'!AG33&gt;0,'Section Load'!AG33,0))</f>
        <v>643</v>
      </c>
      <c r="AG30" s="294">
        <f>(IF('Section Load'!AH33&gt;0,'Section Load'!AH33,0))</f>
        <v>35.870000000002619</v>
      </c>
      <c r="AH30" s="294">
        <f>(IF('Section Load'!AI33&gt;0,'Section Load'!AI33,0))</f>
        <v>411</v>
      </c>
      <c r="AI30" s="294">
        <f>(IF('Section Load'!AJ33&gt;0,'Section Load'!AJ33,0))</f>
        <v>437</v>
      </c>
      <c r="AJ30" s="294">
        <f>(IF('Section Load'!AK33&gt;0,'Section Load'!AK33,0))</f>
        <v>306.69000000000233</v>
      </c>
      <c r="AK30" s="294">
        <f>(IF('Section Load'!AL33&gt;0,'Section Load'!AL33,0))</f>
        <v>312.22999999999593</v>
      </c>
      <c r="AL30" s="294">
        <f>(IF('Section Load'!AM33&gt;0,'Section Load'!AM33,0))</f>
        <v>1393</v>
      </c>
      <c r="AM30" s="295">
        <f>(IF('Water Report'!$AF$7&gt;0,'Water Report'!$AF$7,0))</f>
        <v>155</v>
      </c>
      <c r="AN30" s="295">
        <f>(IF('Water Report'!$AF$8&gt;0,'Water Report'!$AF$8,0))</f>
        <v>113</v>
      </c>
      <c r="AO30" s="295">
        <f>(IF('Water Report'!$AF$9&gt;0,'Water Report'!$AF$9,0))</f>
        <v>139</v>
      </c>
      <c r="AP30" s="295">
        <f>(IF('Water Report'!$AF$10&gt;0,'Water Report'!$AF$10,0))</f>
        <v>14</v>
      </c>
      <c r="AQ30" s="295">
        <f>(IF('Water Report'!$AF$11&gt;0,'Water Report'!$AF$11,0))</f>
        <v>26</v>
      </c>
      <c r="AR30" s="295">
        <f>(IF('Water Report'!$AF$13&gt;0,'Water Report'!$AF$13,0))</f>
        <v>27</v>
      </c>
      <c r="AS30" s="295">
        <f>(IF('Water Report'!$AF$14&gt;0,'Water Report'!$AF$14,0))</f>
        <v>6</v>
      </c>
      <c r="AT30" s="295">
        <f>(IF('Water Report'!$AF$15&gt;0,'Water Report'!$AF$15,0))</f>
        <v>6</v>
      </c>
      <c r="AU30" s="295">
        <f>(IF('Water Report'!$AF$17&gt;0,'Water Report'!$AF$17,0))</f>
        <v>0</v>
      </c>
      <c r="AV30" s="295">
        <f>(IF('Water Report'!$AF$18&gt;0,'Water Report'!$AF$18,0))</f>
        <v>14</v>
      </c>
      <c r="AW30" s="295">
        <f>(IF('Water Report'!$AF$19&gt;0,'Water Report'!$AF$19,0))</f>
        <v>8</v>
      </c>
      <c r="AX30" s="301">
        <f>(IF('Water Report'!$AF$21&gt;0,'Water Report'!$AF$21,0))</f>
        <v>138</v>
      </c>
      <c r="AY30" s="301">
        <f>(IF('Water Report'!$AF$22&gt;0,'Water Report'!$AF$22,0))</f>
        <v>0</v>
      </c>
      <c r="AZ30" s="301">
        <f>(IF('Water Report'!$AF$23&gt;0,'Water Report'!$AF$23,0))</f>
        <v>11</v>
      </c>
      <c r="BA30" s="301">
        <f>(IF('Water Report'!$AF$14&gt;0,'Water Report'!$AF$14,0))</f>
        <v>6</v>
      </c>
      <c r="BB30" s="301">
        <f>(IF('Water Report'!$AF$15&gt;0,'Water Report'!$AF$15,0))</f>
        <v>6</v>
      </c>
      <c r="BC30" s="301">
        <f>(IF('Water Report'!$AF$13&gt;0,'Water Report'!$AF$13,0))</f>
        <v>27</v>
      </c>
      <c r="BD30" s="301">
        <f>(IF('Water Report'!$AF$24&gt;0,'Water Report'!$AF$24,0))</f>
        <v>268</v>
      </c>
      <c r="BE30" s="301">
        <f>(IF('Water Report'!$AF$25&gt;0,'Water Report'!$AF$25,0))</f>
        <v>191</v>
      </c>
      <c r="BF30" s="301">
        <f>(IF('Water Report'!$AF$27&gt;0,'Water Report'!$AF$27,0))</f>
        <v>176</v>
      </c>
      <c r="BG30" s="296">
        <f>(IF('Section Load'!AN33&gt;0,'Section Load'!AN33,0))</f>
        <v>1254.9899999997579</v>
      </c>
      <c r="BH30" s="296">
        <f>(IF('Section Load'!AO33&gt;0,'Section Load'!AO33,0))</f>
        <v>309</v>
      </c>
      <c r="BI30" s="296">
        <f>(IF('Section Load'!AP33&gt;0,'Section Load'!AP33,0))</f>
        <v>0</v>
      </c>
      <c r="BJ30" s="296">
        <f>(IF('Section Load'!AQ33&gt;0,'Section Load'!AQ33,0))</f>
        <v>119</v>
      </c>
      <c r="BK30" s="296">
        <f>(IF('Section Load'!AR33&gt;0,'Section Load'!AR33,0))</f>
        <v>56</v>
      </c>
      <c r="BL30" s="296">
        <f>(IF('Section Load'!AS33&gt;0,'Section Load'!AS33,0))</f>
        <v>0</v>
      </c>
      <c r="BM30" s="296">
        <f>(IF('Section Load'!AT33&gt;0,'Section Load'!AT33,0))</f>
        <v>770.98999999975786</v>
      </c>
    </row>
    <row r="31" spans="1:65">
      <c r="A31" s="287" t="s">
        <v>268</v>
      </c>
      <c r="B31" s="288">
        <f t="shared" si="0"/>
        <v>30</v>
      </c>
      <c r="C31" s="288">
        <v>12</v>
      </c>
      <c r="D31" s="288">
        <v>2022</v>
      </c>
      <c r="E31" s="294">
        <f>(IF('Section Load'!F34&gt;0,'Section Load'!F34,0))</f>
        <v>3235.5300000000279</v>
      </c>
      <c r="F31" s="294">
        <f>(IF('Section Load'!G34&gt;0,'Section Load'!G34,0))</f>
        <v>1447.5599999999977</v>
      </c>
      <c r="G31" s="294">
        <f>(IF('Section Load'!H34&gt;0,'Section Load'!H34,0))</f>
        <v>7190</v>
      </c>
      <c r="H31" s="294">
        <f>(IF('Section Load'!I34&gt;0,'Section Load'!I34,0))</f>
        <v>2631.1899999999441</v>
      </c>
      <c r="I31" s="294">
        <f>(IF('Section Load'!J34&gt;0,'Section Load'!J34,0))</f>
        <v>4680.8200000000652</v>
      </c>
      <c r="J31" s="294">
        <f>(IF('Section Load'!K34&gt;0,'Section Load'!K34,0))</f>
        <v>2488</v>
      </c>
      <c r="K31" s="294">
        <f>(IF('Section Load'!L34&gt;0,'Section Load'!L34,0))</f>
        <v>1238</v>
      </c>
      <c r="L31" s="294">
        <f>(IF('Section Load'!M34&gt;0,'Section Load'!M34,0))</f>
        <v>917</v>
      </c>
      <c r="M31" s="294">
        <f>(IF('Section Load'!N34&gt;0,'Section Load'!N34,0))</f>
        <v>112</v>
      </c>
      <c r="N31" s="294">
        <f>(IF('Section Load'!O34&gt;0,'Section Load'!O34,0))</f>
        <v>162</v>
      </c>
      <c r="O31" s="294">
        <f>(IF('Section Load'!P34&gt;0,'Section Load'!P34,0))</f>
        <v>15.960000000000036</v>
      </c>
      <c r="P31" s="294">
        <f>(IF('Section Load'!Q34&gt;0,'Section Load'!Q34,0))</f>
        <v>192</v>
      </c>
      <c r="Q31" s="294">
        <f>(IF('Section Load'!R34&gt;0,'Section Load'!R34,0))</f>
        <v>97.589999999996508</v>
      </c>
      <c r="R31" s="294">
        <f>(IF('Section Load'!S34&gt;0,'Section Load'!S34,0))</f>
        <v>84.299999999999272</v>
      </c>
      <c r="S31" s="294">
        <f>(IF('Section Load'!T34&gt;0,'Section Load'!T34,0))</f>
        <v>45</v>
      </c>
      <c r="T31" s="294">
        <f>(IF('Section Load'!U34&gt;0,'Section Load'!U34,0))</f>
        <v>272</v>
      </c>
      <c r="U31" s="294">
        <f>(IF('Section Load'!V34&gt;0,'Section Load'!V34,0))</f>
        <v>361.31999999994878</v>
      </c>
      <c r="V31" s="294">
        <f>(IF('Section Load'!W34&gt;0,'Section Load'!W34,0))</f>
        <v>48.320000000065193</v>
      </c>
      <c r="W31" s="294">
        <f>(IF('Section Load'!X34&gt;0,'Section Load'!X34,0))</f>
        <v>36.530000000000655</v>
      </c>
      <c r="X31" s="294">
        <f>(IF('Section Load'!Y34&gt;0,'Section Load'!Y34,0))</f>
        <v>291.94899999999325</v>
      </c>
      <c r="Y31" s="294">
        <f>(IF('Section Load'!Z34&gt;0,'Section Load'!Z34,0))</f>
        <v>293</v>
      </c>
      <c r="Z31" s="294">
        <f>(IF('Section Load'!AA34&gt;0,'Section Load'!AA34,0))</f>
        <v>183.67999999999302</v>
      </c>
      <c r="AA31" s="294">
        <f>(IF('Section Load'!AB34&gt;0,'Section Load'!AB34,0))</f>
        <v>31</v>
      </c>
      <c r="AB31" s="294">
        <f>(IF('Section Load'!AC34&gt;0,'Section Load'!AC34,0))</f>
        <v>2.6500000000014552</v>
      </c>
      <c r="AC31" s="294">
        <f>(IF('Section Load'!AD34&gt;0,'Section Load'!AD34,0))</f>
        <v>11</v>
      </c>
      <c r="AD31" s="294">
        <f>(IF('Section Load'!AE34&gt;0,'Section Load'!AE34,0))</f>
        <v>244</v>
      </c>
      <c r="AE31" s="294">
        <f>(IF('Section Load'!AF34&gt;0,'Section Load'!AF34,0))</f>
        <v>349.57000000000698</v>
      </c>
      <c r="AF31" s="294">
        <f>(IF('Section Load'!AG34&gt;0,'Section Load'!AG34,0))</f>
        <v>628</v>
      </c>
      <c r="AG31" s="294">
        <f>(IF('Section Load'!AH34&gt;0,'Section Load'!AH34,0))</f>
        <v>35.839999999996508</v>
      </c>
      <c r="AH31" s="294">
        <f>(IF('Section Load'!AI34&gt;0,'Section Load'!AI34,0))</f>
        <v>409</v>
      </c>
      <c r="AI31" s="294">
        <f>(IF('Section Load'!AJ34&gt;0,'Section Load'!AJ34,0))</f>
        <v>423.2100000000064</v>
      </c>
      <c r="AJ31" s="294">
        <f>(IF('Section Load'!AK34&gt;0,'Section Load'!AK34,0))</f>
        <v>297.97999999999593</v>
      </c>
      <c r="AK31" s="294">
        <f>(IF('Section Load'!AL34&gt;0,'Section Load'!AL34,0))</f>
        <v>300.32000000000698</v>
      </c>
      <c r="AL31" s="294">
        <f>(IF('Section Load'!AM34&gt;0,'Section Load'!AM34,0))</f>
        <v>216</v>
      </c>
      <c r="AM31" s="295">
        <f>(IF('Water Report'!$AG$7&gt;0,'Water Report'!$AG$7,0))</f>
        <v>140</v>
      </c>
      <c r="AN31" s="295">
        <f>(IF('Water Report'!$AG$8&gt;0,'Water Report'!$AG$8,0))</f>
        <v>115</v>
      </c>
      <c r="AO31" s="295">
        <f>(IF('Water Report'!$AG$9&gt;0,'Water Report'!$AG$9,0))</f>
        <v>127</v>
      </c>
      <c r="AP31" s="295">
        <f>(IF('Water Report'!$AG$10&gt;0,'Water Report'!$DAG$10,0))</f>
        <v>0</v>
      </c>
      <c r="AQ31" s="295">
        <f>(IF('Water Report'!$AG$11&gt;0,'Water Report'!$DAG$11,0))</f>
        <v>0</v>
      </c>
      <c r="AR31" s="295">
        <f>(IF('Water Report'!$AG$13&gt;0,'Water Report'!$DAG$13,0))</f>
        <v>0</v>
      </c>
      <c r="AS31" s="295">
        <f>(IF('Water Report'!$AG$14&gt;0,'Water Report'!$DAG$14,0))</f>
        <v>0</v>
      </c>
      <c r="AT31" s="295">
        <f>(IF('Water Report'!$AG$15&gt;0,'Water Report'!$DAG$15,0))</f>
        <v>0</v>
      </c>
      <c r="AU31" s="295">
        <f>(IF('Water Report'!$AG$17&gt;0,'Water Report'!$DAG$17,0))</f>
        <v>0</v>
      </c>
      <c r="AV31" s="295">
        <f>(IF('Water Report'!$AG$18&gt;0,'Water Report'!$DAG$18,0))</f>
        <v>0</v>
      </c>
      <c r="AW31" s="295">
        <f>(IF('Water Report'!$AG$19&gt;0,'Water Report'!$DAG$19,0))</f>
        <v>0</v>
      </c>
      <c r="AX31" s="301">
        <f>(IF('Water Report'!$AG$21&gt;0,'Water Report'!$DAG$21,0))</f>
        <v>0</v>
      </c>
      <c r="AY31" s="301">
        <f>(IF('Water Report'!$AG$22&gt;0,'Water Report'!$DAG$22,0))</f>
        <v>0</v>
      </c>
      <c r="AZ31" s="301">
        <f>(IF('Water Report'!$AG$23&gt;0,'Water Report'!$DAG$23,0))</f>
        <v>0</v>
      </c>
      <c r="BA31" s="301">
        <f>(IF('Water Report'!$AG$14&gt;0,'Water Report'!$DAG$14,0))</f>
        <v>0</v>
      </c>
      <c r="BB31" s="301">
        <f>(IF('Water Report'!$AG$15&gt;0,'Water Report'!$DAG$15,0))</f>
        <v>0</v>
      </c>
      <c r="BC31" s="301">
        <f>(IF('Water Report'!$AG$13&gt;0,'Water Report'!$DAG$13,0))</f>
        <v>0</v>
      </c>
      <c r="BD31" s="301">
        <f>(IF('Water Report'!$AG$24&gt;0,'Water Report'!$DAG$24,0))</f>
        <v>0</v>
      </c>
      <c r="BE31" s="301">
        <f>(IF('Water Report'!$AG$25&gt;0,'Water Report'!$DAG$25,0))</f>
        <v>0</v>
      </c>
      <c r="BF31" s="301">
        <f>(IF('Water Report'!$AG$27&gt;0,'Water Report'!$DAG$27,0))</f>
        <v>0</v>
      </c>
      <c r="BG31" s="296">
        <f>(IF('Section Load'!AN34&gt;0,'Section Load'!AN34,0))</f>
        <v>1214.2900000000373</v>
      </c>
      <c r="BH31" s="296">
        <f>(IF('Section Load'!AO34&gt;0,'Section Load'!AO34,0))</f>
        <v>574</v>
      </c>
      <c r="BI31" s="296">
        <f>(IF('Section Load'!AP34&gt;0,'Section Load'!AP34,0))</f>
        <v>0</v>
      </c>
      <c r="BJ31" s="296">
        <f>(IF('Section Load'!AQ34&gt;0,'Section Load'!AQ34,0))</f>
        <v>112</v>
      </c>
      <c r="BK31" s="296">
        <f>(IF('Section Load'!AR34&gt;0,'Section Load'!AR34,0))</f>
        <v>51</v>
      </c>
      <c r="BL31" s="296">
        <f>(IF('Section Load'!AS34&gt;0,'Section Load'!AS34,0))</f>
        <v>0</v>
      </c>
      <c r="BM31" s="296">
        <f>(IF('Section Load'!AT34&gt;0,'Section Load'!AT34,0))</f>
        <v>477.29000000003725</v>
      </c>
    </row>
    <row r="32" spans="1:65">
      <c r="A32" s="287" t="s">
        <v>268</v>
      </c>
      <c r="B32" s="288">
        <f t="shared" si="0"/>
        <v>31</v>
      </c>
      <c r="C32" s="288">
        <v>12</v>
      </c>
      <c r="D32" s="288">
        <v>2022</v>
      </c>
      <c r="E32" s="294">
        <f>(IF('Section Load'!F35&gt;0,'Section Load'!F35,0))</f>
        <v>3327.140000000014</v>
      </c>
      <c r="F32" s="294">
        <f>(IF('Section Load'!G35&gt;0,'Section Load'!G35,0))</f>
        <v>1379.8699999999953</v>
      </c>
      <c r="G32" s="294">
        <f>(IF('Section Load'!H35&gt;0,'Section Load'!H35,0))</f>
        <v>177.34999999997672</v>
      </c>
      <c r="H32" s="294">
        <f>(IF('Section Load'!I35&gt;0,'Section Load'!I35,0))</f>
        <v>2837.8400000000838</v>
      </c>
      <c r="I32" s="294">
        <f>(IF('Section Load'!J35&gt;0,'Section Load'!J35,0))</f>
        <v>4675.6900000000023</v>
      </c>
      <c r="J32" s="294">
        <f>(IF('Section Load'!K35&gt;0,'Section Load'!K35,0))</f>
        <v>2607</v>
      </c>
      <c r="K32" s="294">
        <f>(IF('Section Load'!L35&gt;0,'Section Load'!L35,0))</f>
        <v>1439</v>
      </c>
      <c r="L32" s="294">
        <f>(IF('Section Load'!M35&gt;0,'Section Load'!M35,0))</f>
        <v>1010.9000000000233</v>
      </c>
      <c r="M32" s="294">
        <f>(IF('Section Load'!N35&gt;0,'Section Load'!N35,0))</f>
        <v>132</v>
      </c>
      <c r="N32" s="294">
        <f>(IF('Section Load'!O35&gt;0,'Section Load'!O35,0))</f>
        <v>159</v>
      </c>
      <c r="O32" s="294">
        <f>(IF('Section Load'!P35&gt;0,'Section Load'!P35,0))</f>
        <v>17.000999999999749</v>
      </c>
      <c r="P32" s="294">
        <f>(IF('Section Load'!Q35&gt;0,'Section Load'!Q35,0))</f>
        <v>227</v>
      </c>
      <c r="Q32" s="294">
        <f>(IF('Section Load'!R35&gt;0,'Section Load'!R35,0))</f>
        <v>114.9600000000064</v>
      </c>
      <c r="R32" s="294">
        <f>(IF('Section Load'!S35&gt;0,'Section Load'!S35,0))</f>
        <v>40.770000000000437</v>
      </c>
      <c r="S32" s="294">
        <f>(IF('Section Load'!T35&gt;0,'Section Load'!T35,0))</f>
        <v>26</v>
      </c>
      <c r="T32" s="294">
        <f>(IF('Section Load'!U35&gt;0,'Section Load'!U35,0))</f>
        <v>244</v>
      </c>
      <c r="U32" s="294">
        <f>(IF('Section Load'!V35&gt;0,'Section Load'!V35,0))</f>
        <v>421.68000000005122</v>
      </c>
      <c r="V32" s="294">
        <f>(IF('Section Load'!W35&gt;0,'Section Load'!W35,0))</f>
        <v>380.55999999993946</v>
      </c>
      <c r="W32" s="294">
        <f>(IF('Section Load'!X35&gt;0,'Section Load'!X35,0))</f>
        <v>27.469999999999345</v>
      </c>
      <c r="X32" s="294">
        <f>(IF('Section Load'!Y35&gt;0,'Section Load'!Y35,0))</f>
        <v>278.99899999999616</v>
      </c>
      <c r="Y32" s="294">
        <f>(IF('Section Load'!Z35&gt;0,'Section Load'!Z35,0))</f>
        <v>279</v>
      </c>
      <c r="Z32" s="294">
        <f>(IF('Section Load'!AA35&gt;0,'Section Load'!AA35,0))</f>
        <v>141.67999999999302</v>
      </c>
      <c r="AA32" s="294">
        <f>(IF('Section Load'!AB35&gt;0,'Section Load'!AB35,0))</f>
        <v>22</v>
      </c>
      <c r="AB32" s="294">
        <f>(IF('Section Load'!AC35&gt;0,'Section Load'!AC35,0))</f>
        <v>8.8699999999989814</v>
      </c>
      <c r="AC32" s="294">
        <f>(IF('Section Load'!AD35&gt;0,'Section Load'!AD35,0))</f>
        <v>5.3000000000001819</v>
      </c>
      <c r="AD32" s="294">
        <f>(IF('Section Load'!AE35&gt;0,'Section Load'!AE35,0))</f>
        <v>482.39000000001397</v>
      </c>
      <c r="AE32" s="294">
        <f>(IF('Section Load'!AF35&gt;0,'Section Load'!AF35,0))</f>
        <v>218</v>
      </c>
      <c r="AF32" s="294">
        <f>(IF('Section Load'!AG35&gt;0,'Section Load'!AG35,0))</f>
        <v>640.14999999999418</v>
      </c>
      <c r="AG32" s="294">
        <f>(IF('Section Load'!AH35&gt;0,'Section Load'!AH35,0))</f>
        <v>34.335000000006403</v>
      </c>
      <c r="AH32" s="294">
        <f>(IF('Section Load'!AI35&gt;0,'Section Load'!AI35,0))</f>
        <v>392.13999999999942</v>
      </c>
      <c r="AI32" s="294">
        <f>(IF('Section Load'!AJ35&gt;0,'Section Load'!AJ35,0))</f>
        <v>408.67999999999302</v>
      </c>
      <c r="AJ32" s="294">
        <f>(IF('Section Load'!AK35&gt;0,'Section Load'!AK35,0))</f>
        <v>297.69999999999709</v>
      </c>
      <c r="AK32" s="294">
        <f>(IF('Section Load'!AL35&gt;0,'Section Load'!AL35,0))</f>
        <v>218</v>
      </c>
      <c r="AL32" s="294">
        <f>(IF('Section Load'!AM35&gt;0,'Section Load'!AM35,0))</f>
        <v>793</v>
      </c>
      <c r="AM32" s="295">
        <f>(IF('Water Report'!$AH$7&gt;0,'Water Report'!$AH$7,0))</f>
        <v>190</v>
      </c>
      <c r="AN32" s="295">
        <f>(IF('Water Report'!$AH$8&gt;0,'Water Report'!$AH$8,0))</f>
        <v>99</v>
      </c>
      <c r="AO32" s="295">
        <f>(IF('Water Report'!$AH$9&gt;0,'Water Report'!$AH$9,0))</f>
        <v>140</v>
      </c>
      <c r="AP32" s="295">
        <f>(IF('Water Report'!$AH$10&gt;0,'Water Report'!$DAH$10,0))</f>
        <v>0</v>
      </c>
      <c r="AQ32" s="295">
        <f>(IF('Water Report'!$AH$11&gt;0,'Water Report'!$DAH$11,0))</f>
        <v>0</v>
      </c>
      <c r="AR32" s="295">
        <f>(IF('Water Report'!$AH$13&gt;0,'Water Report'!$DAH$13,0))</f>
        <v>0</v>
      </c>
      <c r="AS32" s="295">
        <f>(IF('Water Report'!$AH$14&gt;0,'Water Report'!$DAH$14,0))</f>
        <v>0</v>
      </c>
      <c r="AT32" s="295">
        <f>(IF('Water Report'!$AH$15&gt;0,'Water Report'!$DAH$15,0))</f>
        <v>0</v>
      </c>
      <c r="AU32" s="295">
        <f>(IF('Water Report'!$AH$17&gt;0,'Water Report'!$DAH$17,0))</f>
        <v>0</v>
      </c>
      <c r="AV32" s="295">
        <f>(IF('Water Report'!$AH$18&gt;0,'Water Report'!$DAH$18,0))</f>
        <v>0</v>
      </c>
      <c r="AW32" s="295">
        <f>(IF('Water Report'!$AH$19&gt;0,'Water Report'!$DAH$19,0))</f>
        <v>0</v>
      </c>
      <c r="AX32" s="301">
        <f>(IF('Water Report'!$AH$21&gt;0,'Water Report'!$DAH$21,0))</f>
        <v>0</v>
      </c>
      <c r="AY32" s="301">
        <f>(IF('Water Report'!$AH$22&gt;0,'Water Report'!$DAH$22,0))</f>
        <v>0</v>
      </c>
      <c r="AZ32" s="301">
        <f>(IF('Water Report'!$AH$23&gt;0,'Water Report'!$DAH$23,0))</f>
        <v>0</v>
      </c>
      <c r="BA32" s="301">
        <f>(IF('Water Report'!$AH$14&gt;0,'Water Report'!$DAH$14,0))</f>
        <v>0</v>
      </c>
      <c r="BB32" s="301">
        <f>(IF('Water Report'!$AH$15&gt;0,'Water Report'!$DAH$15,0))</f>
        <v>0</v>
      </c>
      <c r="BC32" s="301">
        <f>(IF('Water Report'!$AH$13&gt;0,'Water Report'!$DAH$13,0))</f>
        <v>0</v>
      </c>
      <c r="BD32" s="301">
        <f>(IF('Water Report'!$AH$24&gt;0,'Water Report'!$DAH$24,0))</f>
        <v>0</v>
      </c>
      <c r="BE32" s="301">
        <f>(IF('Water Report'!$AH$25&gt;0,'Water Report'!$DAH$25,0))</f>
        <v>0</v>
      </c>
      <c r="BF32" s="301">
        <f>(IF('Water Report'!$AH$27&gt;0,'Water Report'!$DAH$27,0))</f>
        <v>0</v>
      </c>
      <c r="BG32" s="296">
        <f>(IF('Section Load'!AN35&gt;0,'Section Load'!AN35,0))</f>
        <v>1090.3580000000075</v>
      </c>
      <c r="BH32" s="296">
        <f>(IF('Section Load'!AO35&gt;0,'Section Load'!AO35,0))</f>
        <v>302</v>
      </c>
      <c r="BI32" s="296">
        <f>(IF('Section Load'!AP35&gt;0,'Section Load'!AP35,0))</f>
        <v>0</v>
      </c>
      <c r="BJ32" s="296">
        <f>(IF('Section Load'!AQ35&gt;0,'Section Load'!AQ35,0))</f>
        <v>105</v>
      </c>
      <c r="BK32" s="296">
        <f>(IF('Section Load'!AR35&gt;0,'Section Load'!AR35,0))</f>
        <v>59</v>
      </c>
      <c r="BL32" s="296">
        <f>(IF('Section Load'!AS35&gt;0,'Section Load'!AS35,0))</f>
        <v>0</v>
      </c>
      <c r="BM32" s="296">
        <f>(IF('Section Load'!AT35&gt;0,'Section Load'!AT35,0))</f>
        <v>624.35800000000745</v>
      </c>
    </row>
    <row r="35" spans="45:45">
      <c r="AS35" s="31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41"/>
  <sheetViews>
    <sheetView zoomScale="70" zoomScaleNormal="70" workbookViewId="0">
      <pane xSplit="1" topLeftCell="B1" activePane="topRight" state="frozen"/>
      <selection activeCell="F104" sqref="F104"/>
      <selection pane="topRight" activeCell="V5" sqref="V5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.44140625" customWidth="1"/>
    <col min="8" max="8" width="9" customWidth="1"/>
    <col min="9" max="9" width="7.21875" customWidth="1"/>
    <col min="10" max="10" width="12.21875" style="43" customWidth="1"/>
    <col min="11" max="11" width="6.88671875" style="43" customWidth="1"/>
    <col min="12" max="12" width="10" customWidth="1"/>
    <col min="13" max="13" width="6.109375" customWidth="1"/>
    <col min="14" max="14" width="8.6640625" style="43" customWidth="1"/>
    <col min="15" max="15" width="9.21875" customWidth="1"/>
    <col min="16" max="16" width="6.109375" customWidth="1"/>
    <col min="17" max="17" width="8.5546875" style="43" customWidth="1"/>
    <col min="18" max="18" width="11.5546875" style="43" customWidth="1"/>
    <col min="19" max="20" width="6.109375" customWidth="1"/>
    <col min="21" max="21" width="10.5546875" style="43" customWidth="1"/>
    <col min="22" max="22" width="9.109375" style="37" customWidth="1"/>
    <col min="23" max="23" width="7" style="37" customWidth="1"/>
    <col min="24" max="24" width="7.44140625" style="37" customWidth="1"/>
    <col min="25" max="25" width="8.33203125" style="37" customWidth="1"/>
    <col min="26" max="29" width="6" customWidth="1"/>
    <col min="31" max="31" width="9.88671875" customWidth="1"/>
    <col min="32" max="32" width="10.6640625" customWidth="1"/>
    <col min="33" max="33" width="5.88671875" customWidth="1"/>
    <col min="34" max="34" width="6.33203125" customWidth="1"/>
    <col min="35" max="35" width="5.5546875" customWidth="1"/>
    <col min="37" max="37" width="5.77734375" customWidth="1"/>
    <col min="38" max="38" width="5.44140625" customWidth="1"/>
    <col min="39" max="39" width="5.109375" customWidth="1"/>
    <col min="40" max="40" width="7" bestFit="1" customWidth="1"/>
    <col min="41" max="41" width="8" customWidth="1"/>
    <col min="42" max="42" width="7.5546875" bestFit="1" customWidth="1"/>
    <col min="43" max="43" width="6.109375" bestFit="1" customWidth="1"/>
    <col min="44" max="45" width="7.5546875" bestFit="1" customWidth="1"/>
    <col min="46" max="46" width="7.88671875" bestFit="1" customWidth="1"/>
    <col min="47" max="47" width="7.5546875" customWidth="1"/>
    <col min="48" max="48" width="8" customWidth="1"/>
    <col min="49" max="49" width="8.21875" bestFit="1" customWidth="1"/>
    <col min="50" max="51" width="7.109375" customWidth="1"/>
    <col min="52" max="52" width="8" customWidth="1"/>
    <col min="53" max="56" width="6.6640625" customWidth="1"/>
    <col min="57" max="57" width="8.44140625" customWidth="1"/>
    <col min="58" max="58" width="7.6640625" customWidth="1"/>
    <col min="59" max="59" width="6.6640625" customWidth="1"/>
    <col min="60" max="60" width="7.6640625" customWidth="1"/>
    <col min="61" max="61" width="7.44140625" customWidth="1"/>
    <col min="62" max="62" width="9" customWidth="1"/>
    <col min="63" max="65" width="8.77734375" customWidth="1"/>
    <col min="66" max="66" width="12.5546875" customWidth="1"/>
  </cols>
  <sheetData>
    <row r="1" spans="1:69" ht="21" thickBot="1">
      <c r="A1" s="758"/>
      <c r="B1" s="758"/>
      <c r="C1" s="758"/>
      <c r="D1" s="758"/>
      <c r="E1" s="758"/>
      <c r="F1" s="758"/>
      <c r="G1" s="758"/>
      <c r="H1" s="758"/>
      <c r="I1" s="758"/>
      <c r="J1" s="758"/>
      <c r="K1" s="758"/>
      <c r="L1" s="758"/>
      <c r="M1" s="758"/>
      <c r="N1" s="758"/>
      <c r="O1" s="758"/>
      <c r="P1" s="758"/>
      <c r="Q1" s="758"/>
      <c r="R1" s="758"/>
      <c r="S1" s="758"/>
      <c r="T1" s="758"/>
      <c r="U1" s="758"/>
      <c r="V1" s="758"/>
      <c r="W1" s="758"/>
      <c r="X1" s="758"/>
      <c r="Y1" s="758"/>
      <c r="Z1" s="758"/>
      <c r="AA1" s="758"/>
      <c r="AB1" s="758"/>
      <c r="AC1" s="758"/>
      <c r="AD1" s="758"/>
      <c r="AE1" s="758"/>
      <c r="AF1" s="758"/>
      <c r="AG1" s="758"/>
      <c r="AH1" s="758"/>
      <c r="AI1" s="758"/>
      <c r="AJ1" s="758"/>
      <c r="AK1" s="758"/>
      <c r="AL1" s="758"/>
      <c r="AM1" s="758"/>
      <c r="AN1" s="758"/>
      <c r="AO1" s="758"/>
      <c r="AP1" s="758"/>
      <c r="AQ1" s="758"/>
      <c r="AR1" s="758"/>
      <c r="AS1" s="758"/>
      <c r="AT1" s="758"/>
      <c r="AU1" s="758"/>
      <c r="AV1" s="758"/>
      <c r="AW1" s="758"/>
      <c r="AX1" s="758"/>
      <c r="AY1" s="758"/>
      <c r="AZ1" s="758"/>
      <c r="BA1" s="758"/>
      <c r="BB1" s="758"/>
      <c r="BC1" s="758"/>
      <c r="BD1" s="758"/>
      <c r="BE1" s="758"/>
      <c r="BF1" s="758"/>
      <c r="BG1" s="758"/>
      <c r="BH1" s="758"/>
      <c r="BI1" s="758"/>
      <c r="BJ1" s="758"/>
      <c r="BK1" s="758"/>
      <c r="BL1" s="758"/>
      <c r="BM1" s="758"/>
      <c r="BN1" s="758"/>
    </row>
    <row r="2" spans="1:69" ht="28.5" customHeight="1">
      <c r="A2" s="1" t="s">
        <v>0</v>
      </c>
      <c r="B2" s="1" t="s">
        <v>0</v>
      </c>
      <c r="C2" s="264" t="s">
        <v>1</v>
      </c>
      <c r="D2" s="2" t="s">
        <v>2</v>
      </c>
      <c r="E2" s="3" t="s">
        <v>3</v>
      </c>
      <c r="F2" s="84" t="s">
        <v>4</v>
      </c>
      <c r="G2" s="84"/>
      <c r="H2" s="759" t="s">
        <v>5</v>
      </c>
      <c r="I2" s="759"/>
      <c r="J2" s="759"/>
      <c r="K2" s="44"/>
      <c r="L2" s="760" t="s">
        <v>6</v>
      </c>
      <c r="M2" s="760"/>
      <c r="N2" s="760"/>
      <c r="O2" s="761" t="s">
        <v>7</v>
      </c>
      <c r="P2" s="761"/>
      <c r="Q2" s="761"/>
      <c r="R2" s="44" t="s">
        <v>8</v>
      </c>
      <c r="S2" s="762" t="s">
        <v>9</v>
      </c>
      <c r="T2" s="762"/>
      <c r="U2" s="762"/>
      <c r="V2" s="763" t="s">
        <v>10</v>
      </c>
      <c r="W2" s="764"/>
      <c r="X2" s="765"/>
      <c r="Y2" s="263"/>
      <c r="Z2" s="766" t="s">
        <v>11</v>
      </c>
      <c r="AA2" s="766"/>
      <c r="AB2" s="766"/>
      <c r="AC2" s="766"/>
      <c r="AD2" s="264"/>
      <c r="AE2" s="264" t="s">
        <v>12</v>
      </c>
      <c r="AF2" s="264" t="s">
        <v>13</v>
      </c>
      <c r="AG2" s="766" t="s">
        <v>14</v>
      </c>
      <c r="AH2" s="766"/>
      <c r="AI2" s="766"/>
      <c r="AJ2" s="264" t="s">
        <v>15</v>
      </c>
      <c r="AK2" s="766" t="s">
        <v>16</v>
      </c>
      <c r="AL2" s="766"/>
      <c r="AM2" s="766"/>
      <c r="AN2" s="264" t="s">
        <v>17</v>
      </c>
      <c r="AO2" s="5" t="s">
        <v>18</v>
      </c>
      <c r="AP2" s="767" t="s">
        <v>19</v>
      </c>
      <c r="AQ2" s="768"/>
      <c r="AR2" s="768"/>
      <c r="AS2" s="768"/>
      <c r="AT2" s="768"/>
      <c r="AU2" s="768"/>
      <c r="AV2" s="768"/>
      <c r="AW2" s="768"/>
      <c r="AX2" s="768"/>
      <c r="AY2" s="769"/>
      <c r="AZ2" s="767" t="s">
        <v>20</v>
      </c>
      <c r="BA2" s="768"/>
      <c r="BB2" s="768"/>
      <c r="BC2" s="768"/>
      <c r="BD2" s="768"/>
      <c r="BE2" s="768"/>
      <c r="BF2" s="768"/>
      <c r="BG2" s="768"/>
      <c r="BH2" s="768"/>
      <c r="BI2" s="85"/>
      <c r="BJ2" s="75"/>
      <c r="BK2" s="39"/>
      <c r="BL2" s="39"/>
      <c r="BM2" s="39"/>
      <c r="BN2" s="264" t="s">
        <v>21</v>
      </c>
      <c r="BP2" t="s">
        <v>22</v>
      </c>
    </row>
    <row r="3" spans="1:69" s="15" customFormat="1" ht="33.75">
      <c r="A3" s="6"/>
      <c r="B3" s="1"/>
      <c r="C3" s="7"/>
      <c r="D3" s="8"/>
      <c r="E3" s="9"/>
      <c r="F3" s="10" t="s">
        <v>23</v>
      </c>
      <c r="G3" s="10" t="s">
        <v>315</v>
      </c>
      <c r="H3" s="11" t="s">
        <v>314</v>
      </c>
      <c r="I3" s="11" t="s">
        <v>25</v>
      </c>
      <c r="J3" s="40" t="s">
        <v>26</v>
      </c>
      <c r="K3" s="40" t="s">
        <v>27</v>
      </c>
      <c r="L3" s="11" t="s">
        <v>28</v>
      </c>
      <c r="M3" s="11" t="s">
        <v>25</v>
      </c>
      <c r="N3" s="40" t="s">
        <v>26</v>
      </c>
      <c r="O3" s="11" t="s">
        <v>29</v>
      </c>
      <c r="P3" s="11" t="s">
        <v>25</v>
      </c>
      <c r="Q3" s="40" t="s">
        <v>26</v>
      </c>
      <c r="R3" s="40"/>
      <c r="S3" s="7" t="s">
        <v>30</v>
      </c>
      <c r="T3" s="7" t="s">
        <v>25</v>
      </c>
      <c r="U3" s="40" t="s">
        <v>26</v>
      </c>
      <c r="V3" s="11" t="s">
        <v>31</v>
      </c>
      <c r="W3" s="11" t="s">
        <v>32</v>
      </c>
      <c r="X3" s="11" t="s">
        <v>33</v>
      </c>
      <c r="Y3" s="11"/>
      <c r="Z3" s="12" t="s">
        <v>34</v>
      </c>
      <c r="AA3" s="12" t="s">
        <v>35</v>
      </c>
      <c r="AB3" s="12" t="s">
        <v>36</v>
      </c>
      <c r="AC3" s="12" t="s">
        <v>37</v>
      </c>
      <c r="AD3" s="12" t="s">
        <v>38</v>
      </c>
      <c r="AE3" s="12"/>
      <c r="AF3" s="12"/>
      <c r="AG3" s="12" t="s">
        <v>39</v>
      </c>
      <c r="AH3" s="12" t="s">
        <v>40</v>
      </c>
      <c r="AI3" s="12" t="s">
        <v>41</v>
      </c>
      <c r="AJ3" s="12"/>
      <c r="AK3" s="12" t="s">
        <v>42</v>
      </c>
      <c r="AL3" s="12" t="s">
        <v>43</v>
      </c>
      <c r="AM3" s="12"/>
      <c r="AN3" s="12"/>
      <c r="AO3" s="51"/>
      <c r="AP3" s="53" t="s">
        <v>44</v>
      </c>
      <c r="AQ3" s="13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54" t="s">
        <v>53</v>
      </c>
      <c r="AZ3" s="53" t="s">
        <v>54</v>
      </c>
      <c r="BA3" s="13" t="s">
        <v>55</v>
      </c>
      <c r="BB3" s="13" t="s">
        <v>46</v>
      </c>
      <c r="BC3" s="13" t="s">
        <v>56</v>
      </c>
      <c r="BD3" s="13" t="s">
        <v>57</v>
      </c>
      <c r="BE3" s="14" t="s">
        <v>58</v>
      </c>
      <c r="BF3" s="14" t="s">
        <v>59</v>
      </c>
      <c r="BG3" s="14" t="s">
        <v>51</v>
      </c>
      <c r="BH3" s="74" t="s">
        <v>60</v>
      </c>
      <c r="BI3" s="74"/>
      <c r="BJ3" s="14" t="s">
        <v>61</v>
      </c>
      <c r="BK3" s="14" t="s">
        <v>62</v>
      </c>
      <c r="BL3" s="14" t="s">
        <v>63</v>
      </c>
      <c r="BM3" s="14" t="s">
        <v>64</v>
      </c>
      <c r="BN3" s="12"/>
      <c r="BO3" s="15" t="s">
        <v>65</v>
      </c>
    </row>
    <row r="4" spans="1:69">
      <c r="A4" s="16">
        <v>1</v>
      </c>
      <c r="B4" s="17">
        <v>1</v>
      </c>
      <c r="C4" s="18"/>
      <c r="D4" s="19">
        <f>'1'!D3</f>
        <v>26</v>
      </c>
      <c r="E4" s="50">
        <f>'1'!D4</f>
        <v>0.78</v>
      </c>
      <c r="F4" s="50">
        <f>'1'!D2</f>
        <v>0.92</v>
      </c>
      <c r="G4" s="19">
        <f>'1'!G7</f>
        <v>22493.450000000012</v>
      </c>
      <c r="H4" s="19">
        <f>'1'!G8</f>
        <v>22590.799999999988</v>
      </c>
      <c r="I4" s="19">
        <v>9</v>
      </c>
      <c r="J4" s="49">
        <f>H4*I4</f>
        <v>203317.1999999999</v>
      </c>
      <c r="K4" s="45">
        <f>H4/202</f>
        <v>111.83564356435637</v>
      </c>
      <c r="L4" s="19">
        <f>'1'!G15</f>
        <v>982.39999999990687</v>
      </c>
      <c r="M4" s="19">
        <v>56.2</v>
      </c>
      <c r="N4" s="45">
        <f>L4*M4</f>
        <v>55210.879999994766</v>
      </c>
      <c r="O4" s="19">
        <f>'1'!G20</f>
        <v>303</v>
      </c>
      <c r="P4" s="19">
        <v>108</v>
      </c>
      <c r="Q4" s="46">
        <f t="shared" ref="Q4:Q33" si="0">O4*P4</f>
        <v>32724</v>
      </c>
      <c r="R4" s="47">
        <f t="shared" ref="R4:R34" si="1">O4/(F4*202/100)</f>
        <v>163.04347826086956</v>
      </c>
      <c r="S4" s="19">
        <f>'1'!G24</f>
        <v>0</v>
      </c>
      <c r="T4" s="19">
        <v>69</v>
      </c>
      <c r="U4" s="48">
        <f>S4*T4</f>
        <v>0</v>
      </c>
      <c r="V4" s="22">
        <f>'1'!G65</f>
        <v>141</v>
      </c>
      <c r="W4" s="22">
        <f>'1'!G66</f>
        <v>10</v>
      </c>
      <c r="X4" s="22">
        <f>'1'!G67</f>
        <v>19</v>
      </c>
      <c r="Y4" s="22">
        <f>V4+W4+X4</f>
        <v>170</v>
      </c>
      <c r="Z4" s="19">
        <f>'1'!G84</f>
        <v>0</v>
      </c>
      <c r="AA4" s="19">
        <f>'1'!G85</f>
        <v>0</v>
      </c>
      <c r="AB4" s="19">
        <f>'1'!G86</f>
        <v>0</v>
      </c>
      <c r="AC4" s="19">
        <f>'1'!G87</f>
        <v>24.110000000000582</v>
      </c>
      <c r="AD4" s="19">
        <f>Z4+AA4+AB4+AC4</f>
        <v>24.110000000000582</v>
      </c>
      <c r="AE4" s="23">
        <f t="shared" ref="AE4:AE33" si="2">AU4+AV4+BE4+BF4</f>
        <v>3381.140000000014</v>
      </c>
      <c r="AF4" s="23">
        <f>AE4/AD4</f>
        <v>140.23807548734683</v>
      </c>
      <c r="AG4" s="19">
        <f>'1'!G88</f>
        <v>0</v>
      </c>
      <c r="AH4" s="19">
        <f>'1'!G89</f>
        <v>9.75</v>
      </c>
      <c r="AI4" s="19">
        <f>'1'!G90</f>
        <v>13.069999999992433</v>
      </c>
      <c r="AJ4" s="19">
        <f>AG4+AH4+AI4</f>
        <v>22.819999999992433</v>
      </c>
      <c r="AK4" s="19">
        <f>'1'!G91</f>
        <v>10.419999999999163</v>
      </c>
      <c r="AL4" s="19">
        <f>'1'!G92</f>
        <v>0</v>
      </c>
      <c r="AM4" s="19"/>
      <c r="AN4" s="19">
        <f>AK4+AL4</f>
        <v>10.419999999999163</v>
      </c>
      <c r="AO4" s="52">
        <f>'1'!G74</f>
        <v>282.57999999995809</v>
      </c>
      <c r="AP4" s="55">
        <f>'1'!G35</f>
        <v>2809.8000000000466</v>
      </c>
      <c r="AQ4" s="19">
        <f>'1'!G37</f>
        <v>-9.0000000025611371E-2</v>
      </c>
      <c r="AR4" s="19">
        <f>'1'!G38</f>
        <v>2366.5599999999395</v>
      </c>
      <c r="AS4" s="19">
        <f>'1'!G39</f>
        <v>0</v>
      </c>
      <c r="AT4" s="19">
        <f>'1'!G40</f>
        <v>452.02999999999884</v>
      </c>
      <c r="AU4" s="19">
        <f>'1'!G41</f>
        <v>0</v>
      </c>
      <c r="AV4" s="19">
        <f>'1'!G42</f>
        <v>0</v>
      </c>
      <c r="AW4" s="19">
        <f>'1'!G43</f>
        <v>0</v>
      </c>
      <c r="AX4" s="19">
        <f>'1'!G44</f>
        <v>0</v>
      </c>
      <c r="AY4" s="56">
        <f>'1'!G36</f>
        <v>961.69000000000233</v>
      </c>
      <c r="AZ4" s="55">
        <f>'1'!G49</f>
        <v>393.20000000006985</v>
      </c>
      <c r="BA4" s="19">
        <f>'1'!G51</f>
        <v>1051.460000000021</v>
      </c>
      <c r="BB4" s="19">
        <f>'1'!G52</f>
        <v>-0.24000000000000021</v>
      </c>
      <c r="BC4" s="19">
        <f>'1'!G53</f>
        <v>4254.4799999999814</v>
      </c>
      <c r="BD4" s="19">
        <f>'1'!G54</f>
        <v>163.44000000000233</v>
      </c>
      <c r="BE4" s="19">
        <f>'1'!G55</f>
        <v>0</v>
      </c>
      <c r="BF4" s="19">
        <f>'1'!G56</f>
        <v>3381.140000000014</v>
      </c>
      <c r="BG4" s="19">
        <f>'1'!G57</f>
        <v>2399.4400000000605</v>
      </c>
      <c r="BH4" s="56">
        <f>'1'!G50</f>
        <v>1742.1199999999953</v>
      </c>
      <c r="BI4" s="60">
        <f>SUM(AU4,AV4,BE4,BF4)</f>
        <v>3381.140000000014</v>
      </c>
      <c r="BJ4" s="60">
        <f>'1'!G133</f>
        <v>769</v>
      </c>
      <c r="BK4" s="23">
        <f>SUM(AP4,AU4,AV4,AW4,AZ4,BE4,BF4,BG4)/H4%</f>
        <v>39.766542132196271</v>
      </c>
      <c r="BL4" s="23">
        <f>SUM(AS4,BC4)/H4%</f>
        <v>18.832799192591601</v>
      </c>
      <c r="BM4" s="24">
        <f>(AR4+BB4)/H4</f>
        <v>0.10474706517697208</v>
      </c>
      <c r="BN4" s="25">
        <f>J4+N4+Q4+U4</f>
        <v>291252.07999999466</v>
      </c>
      <c r="BO4" s="38">
        <f>SUM(AU4,AV4,AW4,BE4,BF4,BG4,BJ4)</f>
        <v>6549.5800000000745</v>
      </c>
      <c r="BP4">
        <f>BO4/(AD4*280)</f>
        <v>0.97019316229186414</v>
      </c>
      <c r="BQ4" s="38">
        <f>SUM(AU4,AV4,BE4,BF4)/(AD4*400)</f>
        <v>0.35059518871836709</v>
      </c>
    </row>
    <row r="5" spans="1:69">
      <c r="A5" s="16">
        <v>2</v>
      </c>
      <c r="B5" s="26">
        <v>2</v>
      </c>
      <c r="C5" s="26"/>
      <c r="D5" s="19">
        <f>'2'!D3</f>
        <v>28</v>
      </c>
      <c r="E5" s="50">
        <f>'2'!D4</f>
        <v>0.79</v>
      </c>
      <c r="F5" s="50">
        <f>'2'!D2</f>
        <v>0.46</v>
      </c>
      <c r="G5" s="19">
        <f>'2'!G7</f>
        <v>22101.590000000026</v>
      </c>
      <c r="H5" s="19">
        <f>'2'!G8</f>
        <v>22181.549999999988</v>
      </c>
      <c r="I5" s="19">
        <v>9</v>
      </c>
      <c r="J5" s="49">
        <f t="shared" ref="J5:J34" si="3">H5*I5</f>
        <v>199633.9499999999</v>
      </c>
      <c r="K5" s="45">
        <f t="shared" ref="K5:K33" si="4">H5/202</f>
        <v>109.80965346534647</v>
      </c>
      <c r="L5" s="19">
        <f>'2'!G15</f>
        <v>1119.9500000001863</v>
      </c>
      <c r="M5" s="19">
        <v>56.2</v>
      </c>
      <c r="N5" s="45">
        <f t="shared" ref="N5:N33" si="5">L5*M5</f>
        <v>62941.190000010472</v>
      </c>
      <c r="O5" s="19">
        <f>'2'!G20</f>
        <v>313</v>
      </c>
      <c r="P5" s="19">
        <v>108</v>
      </c>
      <c r="Q5" s="46">
        <f t="shared" si="0"/>
        <v>33804</v>
      </c>
      <c r="R5" s="47">
        <f t="shared" si="1"/>
        <v>336.8489022815325</v>
      </c>
      <c r="S5" s="19">
        <f>'2'!G24</f>
        <v>0</v>
      </c>
      <c r="T5" s="19">
        <v>69</v>
      </c>
      <c r="U5" s="48">
        <f t="shared" ref="U5:U33" si="6">S5*T5</f>
        <v>0</v>
      </c>
      <c r="V5" s="22">
        <f>'2'!F65</f>
        <v>468156</v>
      </c>
      <c r="W5" s="22">
        <f>'2'!G66</f>
        <v>20</v>
      </c>
      <c r="X5" s="22">
        <f>'2'!G67</f>
        <v>16</v>
      </c>
      <c r="Y5" s="22">
        <f t="shared" ref="Y5:Y33" si="7">V5+W5+X5</f>
        <v>468192</v>
      </c>
      <c r="Z5" s="19">
        <f>'2'!G84</f>
        <v>0</v>
      </c>
      <c r="AA5" s="19">
        <f>'2'!G85</f>
        <v>0</v>
      </c>
      <c r="AB5" s="19">
        <f>'2'!G86</f>
        <v>0</v>
      </c>
      <c r="AC5" s="19">
        <f>'2'!G87</f>
        <v>24.400000000001455</v>
      </c>
      <c r="AD5" s="19">
        <f t="shared" ref="AD5:AD33" si="8">Z5+AA5+AB5+AC5</f>
        <v>24.400000000001455</v>
      </c>
      <c r="AE5" s="23">
        <f t="shared" si="2"/>
        <v>3267.039999999979</v>
      </c>
      <c r="AF5" s="23">
        <f t="shared" ref="AF5:AF33" si="9">AE5/AD5</f>
        <v>133.89508196720428</v>
      </c>
      <c r="AG5" s="19">
        <f>'2'!G88</f>
        <v>0</v>
      </c>
      <c r="AH5" s="19">
        <f>'2'!G89</f>
        <v>10.139999999999418</v>
      </c>
      <c r="AI5" s="19">
        <f>'2'!G90</f>
        <v>12.180000000007567</v>
      </c>
      <c r="AJ5" s="19">
        <f t="shared" ref="AJ5:AJ33" si="10">AG5+AH5+AI5</f>
        <v>22.320000000006985</v>
      </c>
      <c r="AK5" s="19">
        <f>'2'!G91</f>
        <v>11.140000000000327</v>
      </c>
      <c r="AL5" s="19">
        <f>'2'!G92</f>
        <v>0</v>
      </c>
      <c r="AM5" s="19"/>
      <c r="AN5" s="19">
        <f t="shared" ref="AN5:AN33" si="11">AK5+AL5</f>
        <v>11.140000000000327</v>
      </c>
      <c r="AO5" s="52">
        <f>'2'!G74</f>
        <v>291.76000000000931</v>
      </c>
      <c r="AP5" s="55">
        <f>'2'!G35</f>
        <v>2799.5999999999767</v>
      </c>
      <c r="AQ5" s="19">
        <f>'2'!G37</f>
        <v>9.0000000025611371E-2</v>
      </c>
      <c r="AR5" s="19">
        <f>'2'!G38</f>
        <v>2471.3600000001024</v>
      </c>
      <c r="AS5" s="19">
        <f>'2'!G39</f>
        <v>0</v>
      </c>
      <c r="AT5" s="19">
        <f>'2'!G40</f>
        <v>428.14999999999418</v>
      </c>
      <c r="AU5" s="19">
        <f>'2'!G41</f>
        <v>0</v>
      </c>
      <c r="AV5" s="19">
        <f>'2'!G42</f>
        <v>0</v>
      </c>
      <c r="AW5" s="19">
        <f>'2'!G43</f>
        <v>0</v>
      </c>
      <c r="AX5" s="19">
        <f>'2'!G44</f>
        <v>0</v>
      </c>
      <c r="AY5" s="56">
        <f>'2'!G36</f>
        <v>1103.5499999999884</v>
      </c>
      <c r="AZ5" s="55">
        <f>'2'!G49</f>
        <v>393.19999999995343</v>
      </c>
      <c r="BA5" s="19">
        <f>'2'!G51</f>
        <v>1025.8699999999953</v>
      </c>
      <c r="BB5" s="19">
        <f>'2'!G52</f>
        <v>0</v>
      </c>
      <c r="BC5" s="19">
        <f>'2'!G53</f>
        <v>4202.1600000000326</v>
      </c>
      <c r="BD5" s="19">
        <f>'2'!G54</f>
        <v>166.42999999999302</v>
      </c>
      <c r="BE5" s="19">
        <f>'2'!G55</f>
        <v>0</v>
      </c>
      <c r="BF5" s="19">
        <f>'2'!G56</f>
        <v>3267.039999999979</v>
      </c>
      <c r="BG5" s="19">
        <f>'2'!G57</f>
        <v>2386.3199999999488</v>
      </c>
      <c r="BH5" s="56">
        <f>'2'!G50</f>
        <v>1434</v>
      </c>
      <c r="BI5" s="60">
        <f t="shared" ref="BI5:BI32" si="12">SUM(AU5,AV5,BE5,BF5)</f>
        <v>3267.039999999979</v>
      </c>
      <c r="BJ5" s="60">
        <f>'2'!G133</f>
        <v>735</v>
      </c>
      <c r="BK5" s="23">
        <f t="shared" ref="BK5:BK33" si="13">SUM(AP5,AU5,AV5,AW5,AZ5,BE5,BF5,BG5)/H5%</f>
        <v>39.880711672538048</v>
      </c>
      <c r="BL5" s="23">
        <f t="shared" ref="BL5:BL33" si="14">SUM(AS5,BC5)/H5%</f>
        <v>18.944392975243098</v>
      </c>
      <c r="BM5" s="24">
        <f t="shared" ref="BM5:BM33" si="15">(AR5+BB5)/H5</f>
        <v>0.11141511751884353</v>
      </c>
      <c r="BN5" s="25">
        <f t="shared" ref="BN5:BN33" si="16">J5+N5+Q5+U5</f>
        <v>296379.14000001037</v>
      </c>
      <c r="BO5" s="38">
        <f t="shared" ref="BO5:BO35" si="17">SUM(AU5,AV5,AW5,BE5,BF5,BG5,BJ5)</f>
        <v>6388.3599999999278</v>
      </c>
      <c r="BP5">
        <f t="shared" ref="BP5:BP35" si="18">BO5/(AD5*280)</f>
        <v>0.93506440281023817</v>
      </c>
    </row>
    <row r="6" spans="1:69">
      <c r="A6" s="16">
        <v>3</v>
      </c>
      <c r="B6" s="26">
        <v>3</v>
      </c>
      <c r="C6" s="26"/>
      <c r="D6" s="19">
        <f>'3'!D3</f>
        <v>28</v>
      </c>
      <c r="E6" s="50">
        <f>'3'!D4</f>
        <v>0.9</v>
      </c>
      <c r="F6" s="50">
        <f>'3'!D2</f>
        <v>0.8</v>
      </c>
      <c r="G6" s="19">
        <f>'3'!G7</f>
        <v>22563.409999999974</v>
      </c>
      <c r="H6" s="19">
        <f>'3'!G8</f>
        <v>22630.650000000023</v>
      </c>
      <c r="I6" s="19">
        <v>9</v>
      </c>
      <c r="J6" s="49">
        <f t="shared" si="3"/>
        <v>203675.85000000021</v>
      </c>
      <c r="K6" s="45">
        <f t="shared" si="4"/>
        <v>112.03292079207932</v>
      </c>
      <c r="L6" s="19">
        <f>'3'!G15</f>
        <v>1133.6499999999069</v>
      </c>
      <c r="M6" s="19">
        <v>56.2</v>
      </c>
      <c r="N6" s="45">
        <f t="shared" si="5"/>
        <v>63711.129999994766</v>
      </c>
      <c r="O6" s="19">
        <f>'3'!G20</f>
        <v>326</v>
      </c>
      <c r="P6" s="19">
        <v>108</v>
      </c>
      <c r="Q6" s="46">
        <f t="shared" si="0"/>
        <v>35208</v>
      </c>
      <c r="R6" s="47">
        <f t="shared" si="1"/>
        <v>201.7326732673267</v>
      </c>
      <c r="S6" s="19">
        <f>'3'!G24</f>
        <v>0</v>
      </c>
      <c r="T6" s="19">
        <v>69</v>
      </c>
      <c r="U6" s="48">
        <f t="shared" si="6"/>
        <v>0</v>
      </c>
      <c r="V6" s="22">
        <f>'3'!G65</f>
        <v>121</v>
      </c>
      <c r="W6" s="22">
        <f>'3'!G66</f>
        <v>9</v>
      </c>
      <c r="X6" s="22">
        <f>'3'!G67</f>
        <v>32</v>
      </c>
      <c r="Y6" s="22">
        <f>V6+W6+X6</f>
        <v>162</v>
      </c>
      <c r="Z6" s="19">
        <f>'3'!G84</f>
        <v>0</v>
      </c>
      <c r="AA6" s="19">
        <f>'3'!G85</f>
        <v>0</v>
      </c>
      <c r="AB6" s="19">
        <f>'3'!G86</f>
        <v>0</v>
      </c>
      <c r="AC6" s="19">
        <f>'3'!G87</f>
        <v>23.769999999996799</v>
      </c>
      <c r="AD6" s="19">
        <f t="shared" si="8"/>
        <v>23.769999999996799</v>
      </c>
      <c r="AE6" s="23">
        <f t="shared" si="2"/>
        <v>3387.9000000000233</v>
      </c>
      <c r="AF6" s="23">
        <f t="shared" si="9"/>
        <v>142.52839713927133</v>
      </c>
      <c r="AG6" s="19">
        <f>'3'!G88</f>
        <v>0</v>
      </c>
      <c r="AH6" s="19">
        <f>'3'!G89</f>
        <v>8.9099999999998545</v>
      </c>
      <c r="AI6" s="19">
        <f>'3'!G90</f>
        <v>11.399999999994179</v>
      </c>
      <c r="AJ6" s="19">
        <f t="shared" si="10"/>
        <v>20.309999999994034</v>
      </c>
      <c r="AK6" s="19">
        <f>'3'!G91</f>
        <v>11.056999999999789</v>
      </c>
      <c r="AL6" s="19">
        <f>'3'!G92</f>
        <v>0</v>
      </c>
      <c r="AM6" s="19"/>
      <c r="AN6" s="19">
        <f t="shared" si="11"/>
        <v>11.056999999999789</v>
      </c>
      <c r="AO6" s="52">
        <f>'3'!G74</f>
        <v>287.0899999999674</v>
      </c>
      <c r="AP6" s="55">
        <f>'3'!G35</f>
        <v>2840.1199999999953</v>
      </c>
      <c r="AQ6" s="19">
        <f>'3'!G37</f>
        <v>0</v>
      </c>
      <c r="AR6" s="19">
        <f>'3'!G38</f>
        <v>2376.7999999999302</v>
      </c>
      <c r="AS6" s="19">
        <f>'3'!G39</f>
        <v>0</v>
      </c>
      <c r="AT6" s="19">
        <f>'3'!G40</f>
        <v>395.74000000001979</v>
      </c>
      <c r="AU6" s="19">
        <f>'3'!G41</f>
        <v>0</v>
      </c>
      <c r="AV6" s="19">
        <f>'3'!G42</f>
        <v>2.0000000018626451E-2</v>
      </c>
      <c r="AW6" s="19">
        <f>'3'!G43</f>
        <v>0</v>
      </c>
      <c r="AX6" s="19">
        <f>'3'!G44</f>
        <v>0</v>
      </c>
      <c r="AY6" s="56">
        <f>'3'!G36</f>
        <v>1154.7200000000303</v>
      </c>
      <c r="AZ6" s="55">
        <f>'3'!G49</f>
        <v>375.86999999999534</v>
      </c>
      <c r="BA6" s="19">
        <f>'3'!G51</f>
        <v>1030.820000000007</v>
      </c>
      <c r="BB6" s="19">
        <f>'3'!G52</f>
        <v>-9.9999999999997868E-3</v>
      </c>
      <c r="BC6" s="19">
        <f>'3'!G53</f>
        <v>4054.7999999999302</v>
      </c>
      <c r="BD6" s="19">
        <f>'3'!G54</f>
        <v>162.7100000000064</v>
      </c>
      <c r="BE6" s="19">
        <f>'3'!G55</f>
        <v>0</v>
      </c>
      <c r="BF6" s="19">
        <f>'3'!G56</f>
        <v>3387.8800000000047</v>
      </c>
      <c r="BG6" s="19">
        <f>'3'!G57</f>
        <v>2408.4400000000605</v>
      </c>
      <c r="BH6" s="56">
        <f>'3'!G50</f>
        <v>1803.179999999993</v>
      </c>
      <c r="BI6" s="60">
        <f t="shared" si="12"/>
        <v>3387.9000000000233</v>
      </c>
      <c r="BJ6" s="60">
        <f>'3'!G133</f>
        <v>778</v>
      </c>
      <c r="BK6" s="23">
        <f t="shared" si="13"/>
        <v>39.823557873945582</v>
      </c>
      <c r="BL6" s="23">
        <f t="shared" si="14"/>
        <v>17.917293581933908</v>
      </c>
      <c r="BM6" s="24">
        <f t="shared" si="15"/>
        <v>0.10502526440910569</v>
      </c>
      <c r="BN6" s="25">
        <f t="shared" si="16"/>
        <v>302594.97999999498</v>
      </c>
      <c r="BO6" s="38">
        <f t="shared" si="17"/>
        <v>6574.3400000000838</v>
      </c>
      <c r="BP6">
        <f t="shared" si="18"/>
        <v>0.98779073261628847</v>
      </c>
    </row>
    <row r="7" spans="1:69">
      <c r="A7" s="16">
        <v>4</v>
      </c>
      <c r="B7" s="27">
        <v>4</v>
      </c>
      <c r="C7" s="27"/>
      <c r="D7" s="19">
        <f>'4'!D3</f>
        <v>29</v>
      </c>
      <c r="E7" s="50">
        <f>'4'!D4</f>
        <v>0.9</v>
      </c>
      <c r="F7" s="50">
        <f>'4'!D2</f>
        <v>1</v>
      </c>
      <c r="G7" s="19">
        <f>'4'!G7</f>
        <v>23414</v>
      </c>
      <c r="H7" s="19">
        <f>'4'!G8</f>
        <v>23512</v>
      </c>
      <c r="I7" s="19">
        <v>9</v>
      </c>
      <c r="J7" s="49">
        <f t="shared" si="3"/>
        <v>211608</v>
      </c>
      <c r="K7" s="45">
        <f t="shared" si="4"/>
        <v>116.39603960396039</v>
      </c>
      <c r="L7" s="19">
        <f>'4'!G15</f>
        <v>1075.7000000001863</v>
      </c>
      <c r="M7" s="19">
        <v>56.2</v>
      </c>
      <c r="N7" s="45">
        <f t="shared" si="5"/>
        <v>60454.340000010474</v>
      </c>
      <c r="O7" s="19">
        <f>'4'!G20</f>
        <v>269</v>
      </c>
      <c r="P7" s="19">
        <v>108</v>
      </c>
      <c r="Q7" s="46">
        <f t="shared" si="0"/>
        <v>29052</v>
      </c>
      <c r="R7" s="47">
        <f t="shared" si="1"/>
        <v>133.16831683168317</v>
      </c>
      <c r="S7" s="19">
        <f>'4'!G24</f>
        <v>0</v>
      </c>
      <c r="T7" s="19">
        <v>69</v>
      </c>
      <c r="U7" s="48">
        <f t="shared" si="6"/>
        <v>0</v>
      </c>
      <c r="V7" s="22">
        <f>'4'!G65</f>
        <v>122</v>
      </c>
      <c r="W7" s="22">
        <f>'4'!G66</f>
        <v>9</v>
      </c>
      <c r="X7" s="22">
        <f>'4'!G67</f>
        <v>26</v>
      </c>
      <c r="Y7" s="22">
        <f t="shared" si="7"/>
        <v>157</v>
      </c>
      <c r="Z7" s="19">
        <f>'4'!G84</f>
        <v>0</v>
      </c>
      <c r="AA7" s="19">
        <f>'4'!G85</f>
        <v>0</v>
      </c>
      <c r="AB7" s="19">
        <f>'4'!G86</f>
        <v>0</v>
      </c>
      <c r="AC7" s="19">
        <f>'4'!G87</f>
        <v>23.510000000002037</v>
      </c>
      <c r="AD7" s="19">
        <f t="shared" si="8"/>
        <v>23.510000000002037</v>
      </c>
      <c r="AE7" s="23">
        <f t="shared" si="2"/>
        <v>3975.9300000000512</v>
      </c>
      <c r="AF7" s="23">
        <f t="shared" si="9"/>
        <v>169.11654615056176</v>
      </c>
      <c r="AG7" s="19">
        <f>'4'!G88</f>
        <v>0</v>
      </c>
      <c r="AH7" s="19">
        <f>'4'!G89</f>
        <v>10.18999999999869</v>
      </c>
      <c r="AI7" s="19">
        <f>'4'!G90</f>
        <v>11.509999999994761</v>
      </c>
      <c r="AJ7" s="19">
        <f t="shared" si="10"/>
        <v>21.699999999993452</v>
      </c>
      <c r="AK7" s="19">
        <f>'4'!G91</f>
        <v>11.722999999999956</v>
      </c>
      <c r="AL7" s="19">
        <f>'4'!G92</f>
        <v>0</v>
      </c>
      <c r="AM7" s="19"/>
      <c r="AN7" s="19">
        <f t="shared" si="11"/>
        <v>11.722999999999956</v>
      </c>
      <c r="AO7" s="52">
        <f>'4'!G74</f>
        <v>306.84000000008382</v>
      </c>
      <c r="AP7" s="55">
        <f>'4'!G35</f>
        <v>3006.4400000000023</v>
      </c>
      <c r="AQ7" s="19">
        <f>'4'!G37</f>
        <v>0</v>
      </c>
      <c r="AR7" s="19">
        <f>'4'!G38</f>
        <v>2388.0799999999581</v>
      </c>
      <c r="AS7" s="19">
        <f>'4'!G39</f>
        <v>0</v>
      </c>
      <c r="AT7" s="19">
        <f>'4'!G40</f>
        <v>394.18999999997322</v>
      </c>
      <c r="AU7" s="19">
        <f>'4'!G41</f>
        <v>0</v>
      </c>
      <c r="AV7" s="19">
        <f>'4'!G42</f>
        <v>-8.999999996740371E-2</v>
      </c>
      <c r="AW7" s="19">
        <f>'4'!G43</f>
        <v>0</v>
      </c>
      <c r="AX7" s="19">
        <f>'4'!G44</f>
        <v>0</v>
      </c>
      <c r="AY7" s="56">
        <f>'4'!G36</f>
        <v>1308.4400000000023</v>
      </c>
      <c r="AZ7" s="55">
        <f>'4'!G49</f>
        <v>369.09000000008382</v>
      </c>
      <c r="BA7" s="19">
        <f>'4'!G51</f>
        <v>1092.7299999999814</v>
      </c>
      <c r="BB7" s="19">
        <f>'4'!G52</f>
        <v>0</v>
      </c>
      <c r="BC7" s="19">
        <f>'4'!G53</f>
        <v>4044.2399999999907</v>
      </c>
      <c r="BD7" s="19">
        <f>'4'!G54</f>
        <v>167.5</v>
      </c>
      <c r="BE7" s="19">
        <f>'4'!G55</f>
        <v>0</v>
      </c>
      <c r="BF7" s="19">
        <f>'4'!G56</f>
        <v>3976.0200000000186</v>
      </c>
      <c r="BG7" s="19">
        <f>'4'!G57</f>
        <v>2485.5999999999767</v>
      </c>
      <c r="BH7" s="56">
        <f>'4'!G50</f>
        <v>1479.1300000000047</v>
      </c>
      <c r="BI7" s="60">
        <f t="shared" si="12"/>
        <v>3975.9300000000512</v>
      </c>
      <c r="BJ7" s="60">
        <f>'3'!G133</f>
        <v>778</v>
      </c>
      <c r="BK7" s="23">
        <f t="shared" si="13"/>
        <v>41.83846546444417</v>
      </c>
      <c r="BL7" s="23">
        <f t="shared" si="14"/>
        <v>17.20074855392987</v>
      </c>
      <c r="BM7" s="24">
        <f t="shared" si="15"/>
        <v>0.10156856073494208</v>
      </c>
      <c r="BN7" s="25">
        <f t="shared" si="16"/>
        <v>301114.34000001044</v>
      </c>
      <c r="BO7" s="38">
        <f t="shared" si="17"/>
        <v>7239.5300000000279</v>
      </c>
      <c r="BP7">
        <f t="shared" si="18"/>
        <v>1.0997645378865226</v>
      </c>
    </row>
    <row r="8" spans="1:69">
      <c r="A8" s="16">
        <v>5</v>
      </c>
      <c r="B8" s="27">
        <v>5</v>
      </c>
      <c r="C8" s="27"/>
      <c r="D8" s="19">
        <f>'5'!D3</f>
        <v>29</v>
      </c>
      <c r="E8" s="50">
        <f>'5'!D4</f>
        <v>0.7</v>
      </c>
      <c r="F8" s="50">
        <f>'5'!D2</f>
        <v>0.67</v>
      </c>
      <c r="G8" s="19">
        <f>'5'!G7</f>
        <v>23778</v>
      </c>
      <c r="H8" s="19">
        <f>'5'!G8</f>
        <v>23970</v>
      </c>
      <c r="I8" s="19">
        <v>9</v>
      </c>
      <c r="J8" s="49">
        <f t="shared" si="3"/>
        <v>215730</v>
      </c>
      <c r="K8" s="45">
        <f t="shared" si="4"/>
        <v>118.66336633663366</v>
      </c>
      <c r="L8" s="19">
        <f>'5'!G15</f>
        <v>1103.2999999998137</v>
      </c>
      <c r="M8" s="19">
        <v>56.2</v>
      </c>
      <c r="N8" s="45">
        <f t="shared" si="5"/>
        <v>62005.459999989536</v>
      </c>
      <c r="O8" s="19">
        <f>'5'!G20</f>
        <v>311</v>
      </c>
      <c r="P8" s="19">
        <v>108</v>
      </c>
      <c r="Q8" s="46">
        <f t="shared" si="0"/>
        <v>33588</v>
      </c>
      <c r="R8" s="47">
        <f t="shared" si="1"/>
        <v>229.79163588000591</v>
      </c>
      <c r="S8" s="19">
        <f>'5'!G24</f>
        <v>0</v>
      </c>
      <c r="T8" s="19">
        <v>69</v>
      </c>
      <c r="U8" s="48">
        <f t="shared" si="6"/>
        <v>0</v>
      </c>
      <c r="V8" s="22">
        <f>'5'!G65</f>
        <v>128</v>
      </c>
      <c r="W8" s="22">
        <f>'5'!G66</f>
        <v>7</v>
      </c>
      <c r="X8" s="22">
        <f>'5'!G67</f>
        <v>14</v>
      </c>
      <c r="Y8" s="22">
        <f t="shared" si="7"/>
        <v>149</v>
      </c>
      <c r="Z8" s="19">
        <f>'5'!G84</f>
        <v>-0.20999999999912689</v>
      </c>
      <c r="AA8" s="19">
        <f>'5'!G85</f>
        <v>0</v>
      </c>
      <c r="AB8" s="19">
        <f>'5'!G86</f>
        <v>2.4899999999979627</v>
      </c>
      <c r="AC8" s="19">
        <f>'5'!G87</f>
        <v>24</v>
      </c>
      <c r="AD8" s="19">
        <f t="shared" si="8"/>
        <v>26.279999999998836</v>
      </c>
      <c r="AE8" s="23">
        <f t="shared" si="2"/>
        <v>4224.8499999998603</v>
      </c>
      <c r="AF8" s="23">
        <f t="shared" si="9"/>
        <v>160.76293759513118</v>
      </c>
      <c r="AG8" s="19">
        <f>'5'!G88</f>
        <v>0</v>
      </c>
      <c r="AH8" s="19">
        <f>'5'!G89</f>
        <v>9.3100000000013097</v>
      </c>
      <c r="AI8" s="19">
        <f>'5'!G90</f>
        <v>11.240000000005239</v>
      </c>
      <c r="AJ8" s="19">
        <f t="shared" si="10"/>
        <v>20.550000000006548</v>
      </c>
      <c r="AK8" s="19">
        <f>'5'!G91</f>
        <v>11.520000000000437</v>
      </c>
      <c r="AL8" s="19">
        <f>'5'!G92</f>
        <v>0</v>
      </c>
      <c r="AM8" s="19"/>
      <c r="AN8" s="19">
        <f t="shared" si="11"/>
        <v>11.520000000000437</v>
      </c>
      <c r="AO8" s="52">
        <f>'5'!G74</f>
        <v>302.69999999995343</v>
      </c>
      <c r="AP8" s="55">
        <f>'5'!G35</f>
        <v>2852.1300000000047</v>
      </c>
      <c r="AQ8" s="19">
        <f>'5'!G37</f>
        <v>0</v>
      </c>
      <c r="AR8" s="19">
        <f>'5'!G38</f>
        <v>2268.8100000000559</v>
      </c>
      <c r="AS8" s="19">
        <f>'5'!G39</f>
        <v>-0.18999999994412065</v>
      </c>
      <c r="AT8" s="19">
        <f>'5'!G40</f>
        <v>413.92000000001281</v>
      </c>
      <c r="AU8" s="19">
        <f>'5'!G41</f>
        <v>0.40999999997438863</v>
      </c>
      <c r="AV8" s="19">
        <f>'5'!G42</f>
        <v>0.19999999995343387</v>
      </c>
      <c r="AW8" s="19">
        <f>'5'!G43</f>
        <v>0</v>
      </c>
      <c r="AX8" s="19">
        <f>'5'!G44</f>
        <v>0</v>
      </c>
      <c r="AY8" s="56">
        <f>'5'!G36</f>
        <v>1200.4899999999907</v>
      </c>
      <c r="AZ8" s="55">
        <f>'5'!G49</f>
        <v>328.68999999994412</v>
      </c>
      <c r="BA8" s="19">
        <f>'5'!G51</f>
        <v>1082.570000000007</v>
      </c>
      <c r="BB8" s="19">
        <f>'5'!G52</f>
        <v>9.9999999999997868E-3</v>
      </c>
      <c r="BC8" s="19">
        <f>'5'!G53</f>
        <v>3947.0500000000466</v>
      </c>
      <c r="BD8" s="19">
        <f>'5'!G54</f>
        <v>154.75999999999476</v>
      </c>
      <c r="BE8" s="19">
        <f>'5'!G55</f>
        <v>432.32999999995809</v>
      </c>
      <c r="BF8" s="19">
        <f>'5'!G56</f>
        <v>3791.9099999999744</v>
      </c>
      <c r="BG8" s="19">
        <f>'5'!G57</f>
        <v>2443.7299999999814</v>
      </c>
      <c r="BH8" s="56">
        <f>'5'!G50</f>
        <v>1596.5</v>
      </c>
      <c r="BI8" s="60">
        <f t="shared" si="12"/>
        <v>4224.8499999998603</v>
      </c>
      <c r="BJ8" s="60">
        <f>'5'!G133</f>
        <v>746</v>
      </c>
      <c r="BK8" s="23">
        <f t="shared" si="13"/>
        <v>41.090529828951986</v>
      </c>
      <c r="BL8" s="23">
        <f t="shared" si="14"/>
        <v>16.46583229036338</v>
      </c>
      <c r="BM8" s="24">
        <f t="shared" si="15"/>
        <v>9.4652482269505886E-2</v>
      </c>
      <c r="BN8" s="25">
        <f t="shared" si="16"/>
        <v>311323.45999998954</v>
      </c>
      <c r="BO8" s="38">
        <f t="shared" si="17"/>
        <v>7414.5799999998417</v>
      </c>
      <c r="BP8">
        <f t="shared" si="18"/>
        <v>1.0076348119156568</v>
      </c>
    </row>
    <row r="9" spans="1:69">
      <c r="A9" s="16">
        <v>6</v>
      </c>
      <c r="B9" s="17">
        <v>6</v>
      </c>
      <c r="C9" s="26"/>
      <c r="D9" s="19">
        <f>'6'!D3</f>
        <v>25</v>
      </c>
      <c r="E9" s="50">
        <f>'6'!D4</f>
        <v>0.78</v>
      </c>
      <c r="F9" s="50">
        <f>'6'!D2</f>
        <v>0.57999999999999996</v>
      </c>
      <c r="G9" s="19">
        <f>'6'!G7</f>
        <v>22604</v>
      </c>
      <c r="H9" s="19">
        <f>'6'!G8</f>
        <v>22796</v>
      </c>
      <c r="I9" s="19">
        <v>9</v>
      </c>
      <c r="J9" s="49">
        <f t="shared" si="3"/>
        <v>205164</v>
      </c>
      <c r="K9" s="45">
        <f t="shared" si="4"/>
        <v>112.85148514851485</v>
      </c>
      <c r="L9" s="19">
        <f>'6'!G15</f>
        <v>1119.3999999999069</v>
      </c>
      <c r="M9" s="19">
        <v>56.2</v>
      </c>
      <c r="N9" s="45">
        <f t="shared" si="5"/>
        <v>62910.279999994767</v>
      </c>
      <c r="O9" s="19">
        <f>'6'!G20</f>
        <v>363</v>
      </c>
      <c r="P9" s="19">
        <v>108</v>
      </c>
      <c r="Q9" s="46">
        <f t="shared" si="0"/>
        <v>39204</v>
      </c>
      <c r="R9" s="47">
        <f t="shared" si="1"/>
        <v>309.83270740867192</v>
      </c>
      <c r="S9" s="19">
        <f>'6'!G24</f>
        <v>0</v>
      </c>
      <c r="T9" s="19">
        <v>69</v>
      </c>
      <c r="U9" s="48">
        <f t="shared" si="6"/>
        <v>0</v>
      </c>
      <c r="V9" s="22">
        <f>'6'!G65</f>
        <v>153</v>
      </c>
      <c r="W9" s="22">
        <f>'6'!G66</f>
        <v>5</v>
      </c>
      <c r="X9" s="22">
        <f>'6'!G67</f>
        <v>17</v>
      </c>
      <c r="Y9" s="22">
        <f t="shared" si="7"/>
        <v>175</v>
      </c>
      <c r="Z9" s="19">
        <f>'6'!G84</f>
        <v>0</v>
      </c>
      <c r="AA9" s="19">
        <f>'6'!G85</f>
        <v>0</v>
      </c>
      <c r="AB9" s="19">
        <f>'6'!G86</f>
        <v>0</v>
      </c>
      <c r="AC9" s="19">
        <f>'6'!G87</f>
        <v>24</v>
      </c>
      <c r="AD9" s="19">
        <f t="shared" si="8"/>
        <v>24</v>
      </c>
      <c r="AE9" s="23">
        <f t="shared" si="2"/>
        <v>3777.7000000000698</v>
      </c>
      <c r="AF9" s="23">
        <f t="shared" si="9"/>
        <v>157.40416666666957</v>
      </c>
      <c r="AG9" s="19">
        <f>'6'!G88</f>
        <v>0</v>
      </c>
      <c r="AH9" s="19">
        <f>'6'!G89</f>
        <v>10.900000000001455</v>
      </c>
      <c r="AI9" s="19">
        <f>'6'!G90</f>
        <v>14.5</v>
      </c>
      <c r="AJ9" s="19">
        <f t="shared" si="10"/>
        <v>25.400000000001455</v>
      </c>
      <c r="AK9" s="19">
        <f>'6'!G91</f>
        <v>11.170000000000073</v>
      </c>
      <c r="AL9" s="19">
        <f>'6'!G92</f>
        <v>0</v>
      </c>
      <c r="AM9" s="19"/>
      <c r="AN9" s="19">
        <f t="shared" si="11"/>
        <v>11.170000000000073</v>
      </c>
      <c r="AO9" s="52">
        <f>'6'!G74</f>
        <v>291.9320000000298</v>
      </c>
      <c r="AP9" s="55">
        <f>'6'!G35</f>
        <v>2725.7999999999884</v>
      </c>
      <c r="AQ9" s="19">
        <f>'6'!G37</f>
        <v>0</v>
      </c>
      <c r="AR9" s="19">
        <f>'6'!G38</f>
        <v>2350.9499999999534</v>
      </c>
      <c r="AS9" s="19">
        <f>'6'!G39</f>
        <v>0.18999999994412065</v>
      </c>
      <c r="AT9" s="19">
        <f>'6'!G40</f>
        <v>430.85000000000582</v>
      </c>
      <c r="AU9" s="19">
        <f>'6'!G41</f>
        <v>-0.40999999997438863</v>
      </c>
      <c r="AV9" s="19">
        <f>'6'!G42</f>
        <v>-0.13000000000465661</v>
      </c>
      <c r="AW9" s="19">
        <f>'6'!G43</f>
        <v>0</v>
      </c>
      <c r="AX9" s="19">
        <f>'6'!G44</f>
        <v>0</v>
      </c>
      <c r="AY9" s="56">
        <f>'6'!G36</f>
        <v>944.98999999999069</v>
      </c>
      <c r="AZ9" s="55">
        <f>'6'!G49</f>
        <v>376.75</v>
      </c>
      <c r="BA9" s="19">
        <f>'6'!G51</f>
        <v>1091.7099999999919</v>
      </c>
      <c r="BB9" s="19">
        <f>'6'!G52</f>
        <v>0</v>
      </c>
      <c r="BC9" s="19">
        <f>'6'!G53</f>
        <v>4047.5899999999674</v>
      </c>
      <c r="BD9" s="19">
        <f>'6'!G54</f>
        <v>163.94000000000233</v>
      </c>
      <c r="BE9" s="19">
        <f>'6'!G55</f>
        <v>0.43000000005122274</v>
      </c>
      <c r="BF9" s="19">
        <f>'6'!G56</f>
        <v>3777.8099999999977</v>
      </c>
      <c r="BG9" s="19">
        <f>'6'!G57</f>
        <v>2370.5999999999767</v>
      </c>
      <c r="BH9" s="56">
        <f>'6'!G50</f>
        <v>1360.9899999999907</v>
      </c>
      <c r="BI9" s="60">
        <f t="shared" si="12"/>
        <v>3777.7000000000698</v>
      </c>
      <c r="BJ9" s="60">
        <f>'6'!G133</f>
        <v>709</v>
      </c>
      <c r="BK9" s="23">
        <f t="shared" si="13"/>
        <v>40.58102298648901</v>
      </c>
      <c r="BL9" s="23">
        <f t="shared" si="14"/>
        <v>17.756536234426704</v>
      </c>
      <c r="BM9" s="24">
        <f t="shared" si="15"/>
        <v>0.10312993507632713</v>
      </c>
      <c r="BN9" s="25">
        <f t="shared" si="16"/>
        <v>307278.27999999479</v>
      </c>
      <c r="BO9" s="38">
        <f t="shared" si="17"/>
        <v>6857.3000000000466</v>
      </c>
      <c r="BP9">
        <f t="shared" si="18"/>
        <v>1.0204315476190546</v>
      </c>
    </row>
    <row r="10" spans="1:69">
      <c r="A10" s="16">
        <v>7</v>
      </c>
      <c r="B10" s="26">
        <v>7</v>
      </c>
      <c r="C10" s="27"/>
      <c r="D10" s="19">
        <f>'7'!D3</f>
        <v>32</v>
      </c>
      <c r="E10" s="50">
        <f>'7'!D4</f>
        <v>0.7</v>
      </c>
      <c r="F10" s="50">
        <f>'7'!D2</f>
        <v>0.75</v>
      </c>
      <c r="G10" s="19">
        <f>'7'!G7</f>
        <v>22378</v>
      </c>
      <c r="H10" s="19">
        <f>'7'!G8</f>
        <v>22420</v>
      </c>
      <c r="I10" s="19">
        <v>9</v>
      </c>
      <c r="J10" s="49">
        <f t="shared" si="3"/>
        <v>201780</v>
      </c>
      <c r="K10" s="45">
        <f t="shared" si="4"/>
        <v>110.99009900990099</v>
      </c>
      <c r="L10" s="19">
        <f>'7'!G15</f>
        <v>1104.6000000000931</v>
      </c>
      <c r="M10" s="19">
        <v>56.2</v>
      </c>
      <c r="N10" s="45">
        <f t="shared" si="5"/>
        <v>62078.520000005235</v>
      </c>
      <c r="O10" s="19">
        <f>'7'!G20</f>
        <v>269</v>
      </c>
      <c r="P10" s="19">
        <v>108</v>
      </c>
      <c r="Q10" s="46">
        <f t="shared" si="0"/>
        <v>29052</v>
      </c>
      <c r="R10" s="47">
        <f t="shared" si="1"/>
        <v>177.55775577557756</v>
      </c>
      <c r="S10" s="19">
        <f>'7'!G24</f>
        <v>0</v>
      </c>
      <c r="T10" s="19">
        <v>69</v>
      </c>
      <c r="U10" s="48">
        <f t="shared" si="6"/>
        <v>0</v>
      </c>
      <c r="V10" s="22">
        <f>'7'!G65</f>
        <v>125</v>
      </c>
      <c r="W10" s="22">
        <f>'7'!G66</f>
        <v>55455</v>
      </c>
      <c r="X10" s="22">
        <f>'7'!G67</f>
        <v>16</v>
      </c>
      <c r="Y10" s="22">
        <f t="shared" si="7"/>
        <v>55596</v>
      </c>
      <c r="Z10" s="19">
        <f>'7'!G84</f>
        <v>0</v>
      </c>
      <c r="AA10" s="19">
        <f>'7'!G85</f>
        <v>0</v>
      </c>
      <c r="AB10" s="19">
        <f>'7'!G86</f>
        <v>19.760000000002037</v>
      </c>
      <c r="AC10" s="19">
        <f>'7'!G87</f>
        <v>8</v>
      </c>
      <c r="AD10" s="19">
        <f t="shared" si="8"/>
        <v>27.760000000002037</v>
      </c>
      <c r="AE10" s="23">
        <f t="shared" si="2"/>
        <v>3991.2199999999139</v>
      </c>
      <c r="AF10" s="23">
        <f t="shared" si="9"/>
        <v>143.77593659940999</v>
      </c>
      <c r="AG10" s="19">
        <f>'7'!G88</f>
        <v>0</v>
      </c>
      <c r="AH10" s="19">
        <f>'7'!G89</f>
        <v>10.069999999999709</v>
      </c>
      <c r="AI10" s="19">
        <f>'7'!G90</f>
        <v>14.080000000001746</v>
      </c>
      <c r="AJ10" s="19">
        <f t="shared" si="10"/>
        <v>24.150000000001455</v>
      </c>
      <c r="AK10" s="19">
        <f>'7'!G91</f>
        <v>0</v>
      </c>
      <c r="AL10" s="19">
        <f>'7'!G92</f>
        <v>10.170000000000073</v>
      </c>
      <c r="AM10" s="19"/>
      <c r="AN10" s="19">
        <f t="shared" si="11"/>
        <v>10.170000000000073</v>
      </c>
      <c r="AO10" s="52">
        <f>'7'!G74</f>
        <v>270.04200000001583</v>
      </c>
      <c r="AP10" s="55">
        <f>'7'!G35</f>
        <v>1954.6000000000349</v>
      </c>
      <c r="AQ10" s="19">
        <f>'7'!G37</f>
        <v>0</v>
      </c>
      <c r="AR10" s="19">
        <f>'7'!G38</f>
        <v>2462.4800000000978</v>
      </c>
      <c r="AS10" s="19">
        <f>'7'!G39</f>
        <v>0</v>
      </c>
      <c r="AT10" s="19">
        <f>'7'!G40</f>
        <v>408.13999999998487</v>
      </c>
      <c r="AU10" s="19">
        <f>'7'!G41</f>
        <v>0</v>
      </c>
      <c r="AV10" s="19">
        <f>'7'!G42</f>
        <v>0</v>
      </c>
      <c r="AW10" s="19">
        <f>'7'!G43</f>
        <v>0</v>
      </c>
      <c r="AX10" s="19">
        <f>'7'!G44</f>
        <v>0</v>
      </c>
      <c r="AY10" s="56">
        <f>'7'!G36</f>
        <v>907.22000000003027</v>
      </c>
      <c r="AZ10" s="55">
        <f>'7'!G49</f>
        <v>423.75</v>
      </c>
      <c r="BA10" s="19">
        <f>'7'!G51</f>
        <v>1099.4300000000221</v>
      </c>
      <c r="BB10" s="19">
        <f>'7'!G52</f>
        <v>0</v>
      </c>
      <c r="BC10" s="19">
        <f>'7'!G53</f>
        <v>4041.4100000000326</v>
      </c>
      <c r="BD10" s="19">
        <f>'7'!G54</f>
        <v>160.97999999999593</v>
      </c>
      <c r="BE10" s="19">
        <f>'7'!G55</f>
        <v>3159.7599999998929</v>
      </c>
      <c r="BF10" s="19">
        <f>'7'!G56</f>
        <v>831.46000000002095</v>
      </c>
      <c r="BG10" s="19">
        <f>'7'!G57</f>
        <v>2477.0700000000652</v>
      </c>
      <c r="BH10" s="56">
        <f>'7'!G50</f>
        <v>1309.359999999986</v>
      </c>
      <c r="BI10" s="60">
        <f t="shared" si="12"/>
        <v>3991.2199999999139</v>
      </c>
      <c r="BJ10" s="60">
        <f>'7'!G133</f>
        <v>732</v>
      </c>
      <c r="BK10" s="23">
        <f t="shared" si="13"/>
        <v>39.458697591436284</v>
      </c>
      <c r="BL10" s="23">
        <f t="shared" si="14"/>
        <v>18.025914362176774</v>
      </c>
      <c r="BM10" s="24">
        <f t="shared" si="15"/>
        <v>0.10983407671722113</v>
      </c>
      <c r="BN10" s="25">
        <f t="shared" si="16"/>
        <v>292910.52000000526</v>
      </c>
      <c r="BO10" s="38">
        <f t="shared" si="17"/>
        <v>7200.289999999979</v>
      </c>
      <c r="BP10">
        <f t="shared" si="18"/>
        <v>0.92634443186489435</v>
      </c>
    </row>
    <row r="11" spans="1:69">
      <c r="A11" s="16">
        <v>8</v>
      </c>
      <c r="B11" s="26">
        <v>8</v>
      </c>
      <c r="C11" s="18"/>
      <c r="D11" s="19">
        <f>'8'!D3</f>
        <v>32</v>
      </c>
      <c r="E11" s="50">
        <f>'8'!D4</f>
        <v>0.7</v>
      </c>
      <c r="F11" s="50">
        <f>'8'!D2</f>
        <v>0.49</v>
      </c>
      <c r="G11" s="19">
        <f>'8'!G7</f>
        <v>23760.710000000021</v>
      </c>
      <c r="H11" s="19">
        <f>'8'!G8</f>
        <v>23804.709999999963</v>
      </c>
      <c r="I11" s="19">
        <v>9</v>
      </c>
      <c r="J11" s="49">
        <f t="shared" si="3"/>
        <v>214242.38999999966</v>
      </c>
      <c r="K11" s="45">
        <f t="shared" si="4"/>
        <v>117.84509900990081</v>
      </c>
      <c r="L11" s="19">
        <f>'8'!G15</f>
        <v>1148.1699999999255</v>
      </c>
      <c r="M11" s="19">
        <v>56.2</v>
      </c>
      <c r="N11" s="45">
        <f t="shared" si="5"/>
        <v>64527.153999995819</v>
      </c>
      <c r="O11" s="19">
        <f>'8'!G20</f>
        <v>293</v>
      </c>
      <c r="P11" s="19">
        <v>108</v>
      </c>
      <c r="Q11" s="46">
        <f t="shared" si="0"/>
        <v>31644</v>
      </c>
      <c r="R11" s="47">
        <f t="shared" si="1"/>
        <v>296.01939785815318</v>
      </c>
      <c r="S11" s="19">
        <f>'8'!G24</f>
        <v>0</v>
      </c>
      <c r="T11" s="19">
        <v>69</v>
      </c>
      <c r="U11" s="48">
        <f t="shared" si="6"/>
        <v>0</v>
      </c>
      <c r="V11" s="22">
        <f>'8'!G65</f>
        <v>129</v>
      </c>
      <c r="W11" s="22">
        <f>'8'!G66</f>
        <v>6</v>
      </c>
      <c r="X11" s="22">
        <f>'8'!G67</f>
        <v>15</v>
      </c>
      <c r="Y11" s="22">
        <f t="shared" si="7"/>
        <v>150</v>
      </c>
      <c r="Z11" s="19">
        <f>'8'!G84</f>
        <v>0</v>
      </c>
      <c r="AA11" s="19">
        <f>'8'!G85</f>
        <v>0.11999999999989086</v>
      </c>
      <c r="AB11" s="19">
        <f>'8'!G86</f>
        <v>24.400000000001455</v>
      </c>
      <c r="AC11" s="19">
        <f>'8'!G87</f>
        <v>6.5</v>
      </c>
      <c r="AD11" s="19">
        <f t="shared" si="8"/>
        <v>31.020000000001346</v>
      </c>
      <c r="AE11" s="23">
        <f t="shared" si="2"/>
        <v>4345.6600000000326</v>
      </c>
      <c r="AF11" s="23">
        <f t="shared" si="9"/>
        <v>140.09219858155527</v>
      </c>
      <c r="AG11" s="19">
        <f>'8'!G88</f>
        <v>0</v>
      </c>
      <c r="AH11" s="19">
        <f>'8'!G89</f>
        <v>10.610000000000582</v>
      </c>
      <c r="AI11" s="19">
        <f>'8'!G90</f>
        <v>11.209999999991851</v>
      </c>
      <c r="AJ11" s="19">
        <f t="shared" si="10"/>
        <v>21.819999999992433</v>
      </c>
      <c r="AK11" s="19">
        <f>'8'!G91</f>
        <v>6.9999999999708962E-2</v>
      </c>
      <c r="AL11" s="19">
        <f>'8'!G92</f>
        <v>11.180000000000291</v>
      </c>
      <c r="AM11" s="19"/>
      <c r="AN11" s="19">
        <f t="shared" si="11"/>
        <v>11.25</v>
      </c>
      <c r="AO11" s="52">
        <f>'8'!G74</f>
        <v>320.7259999999078</v>
      </c>
      <c r="AP11" s="55">
        <f>'8'!G35</f>
        <v>3478.75</v>
      </c>
      <c r="AQ11" s="19">
        <f>'8'!G37</f>
        <v>0</v>
      </c>
      <c r="AR11" s="19">
        <f>'8'!G38</f>
        <v>2509.359999999986</v>
      </c>
      <c r="AS11" s="19">
        <f>'8'!G39</f>
        <v>0</v>
      </c>
      <c r="AT11" s="19">
        <f>'8'!G40</f>
        <v>415.96000000002095</v>
      </c>
      <c r="AU11" s="19">
        <f>'8'!G41</f>
        <v>0</v>
      </c>
      <c r="AV11" s="19">
        <f>'8'!G42</f>
        <v>0</v>
      </c>
      <c r="AW11" s="19">
        <f>'8'!G43</f>
        <v>0</v>
      </c>
      <c r="AX11" s="23">
        <f>'8'!G44</f>
        <v>0</v>
      </c>
      <c r="AY11" s="56">
        <f>'8'!G36</f>
        <v>1015.0799999999581</v>
      </c>
      <c r="AZ11" s="55">
        <f>'8'!G49</f>
        <v>470.25</v>
      </c>
      <c r="BA11" s="19">
        <f>'8'!G51</f>
        <v>1129.9399999999732</v>
      </c>
      <c r="BB11" s="19">
        <f>'8'!G52</f>
        <v>0</v>
      </c>
      <c r="BC11" s="19">
        <f>'8'!G53</f>
        <v>4125.7900000000373</v>
      </c>
      <c r="BD11" s="19">
        <f>'8'!G54</f>
        <v>164.88000000000466</v>
      </c>
      <c r="BE11" s="19">
        <f>'8'!G55</f>
        <v>3633.6800000000512</v>
      </c>
      <c r="BF11" s="19">
        <f>'8'!G56</f>
        <v>711.97999999998137</v>
      </c>
      <c r="BG11" s="19">
        <f>'8'!G57</f>
        <v>2578.2399999999907</v>
      </c>
      <c r="BH11" s="56">
        <f>'8'!G50</f>
        <v>1624.8800000000047</v>
      </c>
      <c r="BI11" s="60">
        <f t="shared" si="12"/>
        <v>4345.6600000000326</v>
      </c>
      <c r="BJ11" s="60">
        <f>'8'!G133</f>
        <v>786</v>
      </c>
      <c r="BK11" s="23">
        <f t="shared" si="13"/>
        <v>45.675414655335182</v>
      </c>
      <c r="BL11" s="23">
        <f t="shared" si="14"/>
        <v>17.331822147802026</v>
      </c>
      <c r="BM11" s="24">
        <f t="shared" si="15"/>
        <v>0.10541443269000084</v>
      </c>
      <c r="BN11" s="25">
        <f t="shared" si="16"/>
        <v>310413.54399999545</v>
      </c>
      <c r="BO11" s="38">
        <f t="shared" si="17"/>
        <v>7709.9000000000233</v>
      </c>
      <c r="BP11">
        <f t="shared" si="18"/>
        <v>0.88766464032417891</v>
      </c>
    </row>
    <row r="12" spans="1:69">
      <c r="A12" s="16">
        <v>9</v>
      </c>
      <c r="B12" s="27">
        <v>9</v>
      </c>
      <c r="C12" s="26"/>
      <c r="D12" s="19">
        <f>'9'!D3</f>
        <v>32</v>
      </c>
      <c r="E12" s="50">
        <f>'9'!D4</f>
        <v>0.7</v>
      </c>
      <c r="F12" s="50">
        <f>'9'!D2</f>
        <v>0.49</v>
      </c>
      <c r="G12" s="19">
        <f>'9'!G7</f>
        <v>23467.479999999981</v>
      </c>
      <c r="H12" s="19">
        <f>'9'!G8</f>
        <v>23775.840000000084</v>
      </c>
      <c r="I12" s="19">
        <v>9</v>
      </c>
      <c r="J12" s="49">
        <f t="shared" si="3"/>
        <v>213982.56000000075</v>
      </c>
      <c r="K12" s="45">
        <f t="shared" si="4"/>
        <v>117.70217821782219</v>
      </c>
      <c r="L12" s="19">
        <f>'9'!G15</f>
        <v>1100.8300000000745</v>
      </c>
      <c r="M12" s="19">
        <v>56.2</v>
      </c>
      <c r="N12" s="45">
        <f t="shared" si="5"/>
        <v>61866.646000004192</v>
      </c>
      <c r="O12" s="19">
        <f>'9'!G20</f>
        <v>336</v>
      </c>
      <c r="P12" s="19">
        <v>108</v>
      </c>
      <c r="Q12" s="46">
        <f t="shared" si="0"/>
        <v>36288</v>
      </c>
      <c r="R12" s="47">
        <f t="shared" si="1"/>
        <v>339.46251768033943</v>
      </c>
      <c r="S12" s="19">
        <f>'9'!G24</f>
        <v>0</v>
      </c>
      <c r="T12" s="19">
        <v>69</v>
      </c>
      <c r="U12" s="48">
        <f t="shared" si="6"/>
        <v>0</v>
      </c>
      <c r="V12" s="22">
        <f>'9'!G65</f>
        <v>155</v>
      </c>
      <c r="W12" s="22">
        <f>'9'!G66</f>
        <v>17</v>
      </c>
      <c r="X12" s="22">
        <f>'9'!G67</f>
        <v>21</v>
      </c>
      <c r="Y12" s="22">
        <f t="shared" si="7"/>
        <v>193</v>
      </c>
      <c r="Z12" s="19">
        <f>'9'!G84</f>
        <v>0.34999999999854481</v>
      </c>
      <c r="AA12" s="19">
        <f>'9'!G85</f>
        <v>7.999999999992724E-2</v>
      </c>
      <c r="AB12" s="19">
        <f>'9'!G86</f>
        <v>20.489999999997963</v>
      </c>
      <c r="AC12" s="19">
        <f>'9'!G87</f>
        <v>7.8899999999994179</v>
      </c>
      <c r="AD12" s="19">
        <f t="shared" si="8"/>
        <v>28.809999999995853</v>
      </c>
      <c r="AE12" s="23">
        <f t="shared" si="2"/>
        <v>3719.7200000000303</v>
      </c>
      <c r="AF12" s="23">
        <f t="shared" si="9"/>
        <v>129.11211384937749</v>
      </c>
      <c r="AG12" s="19">
        <f>'9'!G88</f>
        <v>0</v>
      </c>
      <c r="AH12" s="19">
        <f>'9'!G89</f>
        <v>9.7299999999995634</v>
      </c>
      <c r="AI12" s="19">
        <f>'9'!G90</f>
        <v>10.170000000012806</v>
      </c>
      <c r="AJ12" s="19">
        <f t="shared" si="10"/>
        <v>19.900000000012369</v>
      </c>
      <c r="AK12" s="19">
        <f>'9'!G91</f>
        <v>0</v>
      </c>
      <c r="AL12" s="19">
        <f>'9'!G92</f>
        <v>9.5299999999997453</v>
      </c>
      <c r="AM12" s="19"/>
      <c r="AN12" s="19">
        <f t="shared" si="11"/>
        <v>9.5299999999997453</v>
      </c>
      <c r="AO12" s="52">
        <f>'9'!G74</f>
        <v>311.30000000004657</v>
      </c>
      <c r="AP12" s="55">
        <f>'9'!G35</f>
        <v>3015.3999999999651</v>
      </c>
      <c r="AQ12" s="19">
        <f>'9'!G37</f>
        <v>0</v>
      </c>
      <c r="AR12" s="19">
        <f>'9'!G38</f>
        <v>2664.7999999999302</v>
      </c>
      <c r="AS12" s="19">
        <f>'9'!G39</f>
        <v>0</v>
      </c>
      <c r="AT12" s="19">
        <f>'9'!G40</f>
        <v>462.4199999999837</v>
      </c>
      <c r="AU12" s="19">
        <f>'9'!G41</f>
        <v>29.879999999946449</v>
      </c>
      <c r="AV12" s="19">
        <f>'9'!G42</f>
        <v>20.160000000032596</v>
      </c>
      <c r="AW12" s="19">
        <f>'9'!G43</f>
        <v>0</v>
      </c>
      <c r="AX12" s="23">
        <f>'9'!G44</f>
        <v>0</v>
      </c>
      <c r="AY12" s="56">
        <f>'9'!G36</f>
        <v>1217.3400000000256</v>
      </c>
      <c r="AZ12" s="55">
        <f>'9'!G49</f>
        <v>468.88000000000466</v>
      </c>
      <c r="BA12" s="19">
        <f>'9'!G51</f>
        <v>1153.4300000000221</v>
      </c>
      <c r="BB12" s="19">
        <f>'9'!G52</f>
        <v>0</v>
      </c>
      <c r="BC12" s="19">
        <f>'9'!G53</f>
        <v>4238.1599999999162</v>
      </c>
      <c r="BD12" s="19">
        <f>'9'!G54</f>
        <v>164.72000000000116</v>
      </c>
      <c r="BE12" s="19">
        <f>'9'!G55</f>
        <v>2710.6800000000512</v>
      </c>
      <c r="BF12" s="19">
        <f>'9'!G56</f>
        <v>959</v>
      </c>
      <c r="BG12" s="19">
        <f>'9'!G57</f>
        <v>2540.5999999999767</v>
      </c>
      <c r="BH12" s="56">
        <f>'9'!G50</f>
        <v>1680.2399999999907</v>
      </c>
      <c r="BI12" s="60">
        <f t="shared" si="12"/>
        <v>3719.7200000000303</v>
      </c>
      <c r="BJ12" s="60">
        <f>'8'!G133</f>
        <v>786</v>
      </c>
      <c r="BK12" s="23">
        <f t="shared" si="13"/>
        <v>40.98530272747437</v>
      </c>
      <c r="BL12" s="23">
        <f t="shared" si="14"/>
        <v>17.825490077321774</v>
      </c>
      <c r="BM12" s="24">
        <f t="shared" si="15"/>
        <v>0.11208016204684759</v>
      </c>
      <c r="BN12" s="25">
        <f t="shared" si="16"/>
        <v>312137.20600000495</v>
      </c>
      <c r="BO12" s="38">
        <f t="shared" si="17"/>
        <v>7046.320000000007</v>
      </c>
      <c r="BP12">
        <f t="shared" si="18"/>
        <v>0.87349630584631099</v>
      </c>
    </row>
    <row r="13" spans="1:69">
      <c r="A13" s="16">
        <v>10</v>
      </c>
      <c r="B13" s="27">
        <v>10</v>
      </c>
      <c r="C13" s="26"/>
      <c r="D13" s="19">
        <f>'10'!D3</f>
        <v>25</v>
      </c>
      <c r="E13" s="50">
        <f>'10'!D4</f>
        <v>0.78</v>
      </c>
      <c r="F13" s="50">
        <f>'10'!D2</f>
        <v>0.91</v>
      </c>
      <c r="G13" s="19">
        <f>'10'!G7</f>
        <v>22564</v>
      </c>
      <c r="H13" s="19">
        <f>'10'!G8</f>
        <v>22630.79999999993</v>
      </c>
      <c r="I13" s="19">
        <v>9</v>
      </c>
      <c r="J13" s="49">
        <f t="shared" si="3"/>
        <v>203677.19999999937</v>
      </c>
      <c r="K13" s="45">
        <f t="shared" si="4"/>
        <v>112.03366336633628</v>
      </c>
      <c r="L13" s="19">
        <f>'10'!G15</f>
        <v>1067.4500000001863</v>
      </c>
      <c r="M13" s="19">
        <v>56.2</v>
      </c>
      <c r="N13" s="45">
        <f t="shared" si="5"/>
        <v>59990.690000010472</v>
      </c>
      <c r="O13" s="19">
        <f>'10'!G20</f>
        <v>325</v>
      </c>
      <c r="P13" s="19">
        <v>108</v>
      </c>
      <c r="Q13" s="46">
        <f t="shared" si="0"/>
        <v>35100</v>
      </c>
      <c r="R13" s="47">
        <f t="shared" si="1"/>
        <v>176.80339462517682</v>
      </c>
      <c r="S13" s="19">
        <f>'10'!G24</f>
        <v>0</v>
      </c>
      <c r="T13" s="19">
        <v>69</v>
      </c>
      <c r="U13" s="48">
        <f t="shared" si="6"/>
        <v>0</v>
      </c>
      <c r="V13" s="22">
        <f>'10'!G65</f>
        <v>152</v>
      </c>
      <c r="W13" s="22">
        <f>'10'!G66</f>
        <v>9</v>
      </c>
      <c r="X13" s="22">
        <f>'10'!G67</f>
        <v>30</v>
      </c>
      <c r="Y13" s="22">
        <f t="shared" si="7"/>
        <v>191</v>
      </c>
      <c r="Z13" s="19">
        <f>'10'!G84</f>
        <v>-0.34999999999854481</v>
      </c>
      <c r="AA13" s="19">
        <f>'10'!G85</f>
        <v>-0.1999999999998181</v>
      </c>
      <c r="AB13" s="19">
        <f>'10'!G86</f>
        <v>-0.13999999999941792</v>
      </c>
      <c r="AC13" s="19">
        <f>'10'!G87</f>
        <v>23.610000000000582</v>
      </c>
      <c r="AD13" s="19">
        <f t="shared" si="8"/>
        <v>22.920000000002801</v>
      </c>
      <c r="AE13" s="23">
        <f t="shared" si="2"/>
        <v>3216.140000000014</v>
      </c>
      <c r="AF13" s="23">
        <f t="shared" si="9"/>
        <v>140.3202443280812</v>
      </c>
      <c r="AG13" s="19">
        <f>'10'!G88</f>
        <v>0</v>
      </c>
      <c r="AH13" s="19">
        <f>'10'!G89</f>
        <v>9.8799999999973807</v>
      </c>
      <c r="AI13" s="19">
        <f>'10'!G90</f>
        <v>10.039999999993597</v>
      </c>
      <c r="AJ13" s="19">
        <f t="shared" si="10"/>
        <v>19.919999999990978</v>
      </c>
      <c r="AK13" s="19">
        <f>'10'!G91</f>
        <v>11.270000000000437</v>
      </c>
      <c r="AL13" s="19">
        <f>'10'!G92</f>
        <v>0</v>
      </c>
      <c r="AM13" s="19"/>
      <c r="AN13" s="19">
        <f t="shared" si="11"/>
        <v>11.270000000000437</v>
      </c>
      <c r="AO13" s="52">
        <f>'10'!G74</f>
        <v>272.73999999999069</v>
      </c>
      <c r="AP13" s="55">
        <f>'10'!G35</f>
        <v>2720.7999999999884</v>
      </c>
      <c r="AQ13" s="19">
        <f>'10'!G37</f>
        <v>0</v>
      </c>
      <c r="AR13" s="19">
        <f>'10'!G38</f>
        <v>2586</v>
      </c>
      <c r="AS13" s="19">
        <f>'10'!G39</f>
        <v>0</v>
      </c>
      <c r="AT13" s="19">
        <f>'10'!G40</f>
        <v>430.82000000000698</v>
      </c>
      <c r="AU13" s="19">
        <f>'10'!G41</f>
        <v>0</v>
      </c>
      <c r="AV13" s="19">
        <f>'10'!G42</f>
        <v>0</v>
      </c>
      <c r="AW13" s="19">
        <f>'10'!G43</f>
        <v>0</v>
      </c>
      <c r="AX13" s="23">
        <f>'10'!G44</f>
        <v>0</v>
      </c>
      <c r="AY13" s="56">
        <f>'10'!G36</f>
        <v>1092.5800000000163</v>
      </c>
      <c r="AZ13" s="55">
        <f>'10'!G49</f>
        <v>457.59999999997672</v>
      </c>
      <c r="BA13" s="19">
        <f>'10'!G51</f>
        <v>1099.9100000000035</v>
      </c>
      <c r="BB13" s="19">
        <f>'10'!G52</f>
        <v>0</v>
      </c>
      <c r="BC13" s="19">
        <f>'10'!G53</f>
        <v>4085.2800000000279</v>
      </c>
      <c r="BD13" s="19">
        <f>'10'!G54</f>
        <v>169.67999999999302</v>
      </c>
      <c r="BE13" s="19">
        <f>'10'!G55</f>
        <v>0</v>
      </c>
      <c r="BF13" s="19">
        <f>'10'!G56</f>
        <v>3216.140000000014</v>
      </c>
      <c r="BG13" s="19">
        <f>'10'!G57</f>
        <v>2560.8000000000466</v>
      </c>
      <c r="BH13" s="56">
        <f>'10'!G50</f>
        <v>1718.7600000000093</v>
      </c>
      <c r="BI13" s="60">
        <f t="shared" si="12"/>
        <v>3216.140000000014</v>
      </c>
      <c r="BJ13" s="60">
        <f>'8'!G133</f>
        <v>786</v>
      </c>
      <c r="BK13" s="23">
        <f t="shared" si="13"/>
        <v>39.571468971490418</v>
      </c>
      <c r="BL13" s="23">
        <f t="shared" si="14"/>
        <v>18.051858529084434</v>
      </c>
      <c r="BM13" s="24">
        <f t="shared" si="15"/>
        <v>0.11426904926030047</v>
      </c>
      <c r="BN13" s="25">
        <f t="shared" si="16"/>
        <v>298767.89000000985</v>
      </c>
      <c r="BO13" s="38">
        <f t="shared" si="17"/>
        <v>6562.9400000000605</v>
      </c>
      <c r="BP13">
        <f t="shared" si="18"/>
        <v>1.0226470954872942</v>
      </c>
    </row>
    <row r="14" spans="1:69">
      <c r="A14" s="16">
        <v>11</v>
      </c>
      <c r="B14" s="17">
        <v>11</v>
      </c>
      <c r="C14" s="27"/>
      <c r="D14" s="19">
        <f>'11'!D3</f>
        <v>31</v>
      </c>
      <c r="E14" s="50">
        <f>'11'!D4</f>
        <v>0.78</v>
      </c>
      <c r="F14" s="50">
        <f>'11'!D2</f>
        <v>0.5</v>
      </c>
      <c r="G14" s="19">
        <f>'11'!G7</f>
        <v>21733.960000000021</v>
      </c>
      <c r="H14" s="19">
        <f>'11'!G8</f>
        <v>21797.040000000037</v>
      </c>
      <c r="I14" s="19">
        <v>9</v>
      </c>
      <c r="J14" s="49">
        <f t="shared" si="3"/>
        <v>196173.36000000034</v>
      </c>
      <c r="K14" s="45">
        <f t="shared" si="4"/>
        <v>107.90613861386157</v>
      </c>
      <c r="L14" s="19">
        <f>'11'!G15</f>
        <v>1121.5499999998137</v>
      </c>
      <c r="M14" s="19">
        <v>56.2</v>
      </c>
      <c r="N14" s="45">
        <f t="shared" si="5"/>
        <v>63031.109999989538</v>
      </c>
      <c r="O14" s="19">
        <f>'11'!G20</f>
        <v>296</v>
      </c>
      <c r="P14" s="19">
        <v>108</v>
      </c>
      <c r="Q14" s="46">
        <f t="shared" si="0"/>
        <v>31968</v>
      </c>
      <c r="R14" s="47">
        <f t="shared" si="1"/>
        <v>293.06930693069307</v>
      </c>
      <c r="S14" s="19">
        <f>'11'!G24</f>
        <v>0</v>
      </c>
      <c r="T14" s="19">
        <v>69</v>
      </c>
      <c r="U14" s="48">
        <f t="shared" si="6"/>
        <v>0</v>
      </c>
      <c r="V14" s="22">
        <f>'11'!G65</f>
        <v>131</v>
      </c>
      <c r="W14" s="22">
        <f>'11'!G66</f>
        <v>11</v>
      </c>
      <c r="X14" s="22">
        <f>'11'!G67</f>
        <v>18</v>
      </c>
      <c r="Y14" s="22">
        <f t="shared" si="7"/>
        <v>160</v>
      </c>
      <c r="Z14" s="19">
        <f>'11'!G84</f>
        <v>0</v>
      </c>
      <c r="AA14" s="19">
        <f>'11'!G85</f>
        <v>0</v>
      </c>
      <c r="AB14" s="19">
        <f>'11'!G86</f>
        <v>0</v>
      </c>
      <c r="AC14" s="19">
        <f>'11'!G87</f>
        <v>24.269999999996799</v>
      </c>
      <c r="AD14" s="19">
        <f t="shared" si="8"/>
        <v>24.269999999996799</v>
      </c>
      <c r="AE14" s="23">
        <f t="shared" si="2"/>
        <v>3042.6599999999744</v>
      </c>
      <c r="AF14" s="23">
        <f t="shared" si="9"/>
        <v>125.36711990112796</v>
      </c>
      <c r="AG14" s="19">
        <f>'11'!G88</f>
        <v>0</v>
      </c>
      <c r="AH14" s="19">
        <f>'11'!G89</f>
        <v>11.350000000002183</v>
      </c>
      <c r="AI14" s="19">
        <f>'11'!G90</f>
        <v>12.110000000000582</v>
      </c>
      <c r="AJ14" s="19">
        <f t="shared" si="10"/>
        <v>23.460000000002765</v>
      </c>
      <c r="AK14" s="19">
        <f>'11'!G91</f>
        <v>10.089999999999236</v>
      </c>
      <c r="AL14" s="19">
        <f>'11'!G92</f>
        <v>0.78999999999996362</v>
      </c>
      <c r="AM14" s="19"/>
      <c r="AN14" s="19">
        <f t="shared" si="11"/>
        <v>10.8799999999992</v>
      </c>
      <c r="AO14" s="52">
        <f>'11'!G74</f>
        <v>265.35999999998603</v>
      </c>
      <c r="AP14" s="55">
        <f>'11'!G35</f>
        <v>2739.6000000000349</v>
      </c>
      <c r="AQ14" s="19">
        <f>'11'!G37</f>
        <v>0</v>
      </c>
      <c r="AR14" s="19">
        <f>'11'!G38</f>
        <v>2507.7299999999814</v>
      </c>
      <c r="AS14" s="19">
        <f>'11'!G39</f>
        <v>0</v>
      </c>
      <c r="AT14" s="19">
        <f>'11'!G40</f>
        <v>390.98000000001048</v>
      </c>
      <c r="AU14" s="19">
        <f>'11'!G41</f>
        <v>0</v>
      </c>
      <c r="AV14" s="19">
        <f>'11'!G42</f>
        <v>0</v>
      </c>
      <c r="AW14" s="19">
        <f>'11'!G43</f>
        <v>0</v>
      </c>
      <c r="AX14" s="23">
        <f>'11'!G44</f>
        <v>0</v>
      </c>
      <c r="AY14" s="56">
        <f>'11'!G36</f>
        <v>1133.6399999999558</v>
      </c>
      <c r="AZ14" s="55">
        <f>'11'!G49</f>
        <v>446.32000000006519</v>
      </c>
      <c r="BA14" s="19">
        <f>'11'!G51</f>
        <v>1031.9199999999837</v>
      </c>
      <c r="BB14" s="19">
        <f>'11'!G52</f>
        <v>0</v>
      </c>
      <c r="BC14" s="19">
        <f>'11'!G53</f>
        <v>3897.7600000000093</v>
      </c>
      <c r="BD14" s="19">
        <f>'11'!G54</f>
        <v>169.4600000000064</v>
      </c>
      <c r="BE14" s="19">
        <f>'11'!G55</f>
        <v>0</v>
      </c>
      <c r="BF14" s="19">
        <f>'11'!G56</f>
        <v>3042.6599999999744</v>
      </c>
      <c r="BG14" s="19">
        <f>'11'!G57</f>
        <v>2372.6399999998976</v>
      </c>
      <c r="BH14" s="56">
        <f>'11'!G50</f>
        <v>1424.2000000000116</v>
      </c>
      <c r="BI14" s="60">
        <f t="shared" si="12"/>
        <v>3042.6599999999744</v>
      </c>
      <c r="BJ14" s="60">
        <f>'11'!G133</f>
        <v>750</v>
      </c>
      <c r="BK14" s="23">
        <f t="shared" si="13"/>
        <v>39.460495553524503</v>
      </c>
      <c r="BL14" s="23">
        <f t="shared" si="14"/>
        <v>17.88206105049127</v>
      </c>
      <c r="BM14" s="24">
        <f t="shared" si="15"/>
        <v>0.11504910758524906</v>
      </c>
      <c r="BN14" s="25">
        <f t="shared" si="16"/>
        <v>291172.46999998984</v>
      </c>
      <c r="BO14" s="38">
        <f t="shared" si="17"/>
        <v>6165.2999999998719</v>
      </c>
      <c r="BP14">
        <f t="shared" si="18"/>
        <v>0.90724880805236996</v>
      </c>
    </row>
    <row r="15" spans="1:69">
      <c r="A15" s="16">
        <v>12</v>
      </c>
      <c r="B15" s="26">
        <v>12</v>
      </c>
      <c r="C15" s="27"/>
      <c r="D15" s="19">
        <f>'12'!D3</f>
        <v>33</v>
      </c>
      <c r="E15" s="50">
        <f>'12'!D4</f>
        <v>0.81</v>
      </c>
      <c r="F15" s="50">
        <f>'12'!D2</f>
        <v>0.49</v>
      </c>
      <c r="G15" s="19">
        <f>'12'!G7</f>
        <v>22478.849999999977</v>
      </c>
      <c r="H15" s="19">
        <f>'12'!G8</f>
        <v>22425.609999999986</v>
      </c>
      <c r="I15" s="19">
        <v>9</v>
      </c>
      <c r="J15" s="49">
        <f t="shared" si="3"/>
        <v>201830.48999999987</v>
      </c>
      <c r="K15" s="45">
        <f t="shared" si="4"/>
        <v>111.01787128712864</v>
      </c>
      <c r="L15" s="19">
        <f>'12'!G15</f>
        <v>1100</v>
      </c>
      <c r="M15" s="19">
        <v>56.2</v>
      </c>
      <c r="N15" s="41">
        <f t="shared" si="5"/>
        <v>61820</v>
      </c>
      <c r="O15" s="19">
        <f>'12'!G20</f>
        <v>411</v>
      </c>
      <c r="P15" s="19">
        <v>108</v>
      </c>
      <c r="Q15" s="46">
        <f t="shared" si="0"/>
        <v>44388</v>
      </c>
      <c r="R15" s="47">
        <f t="shared" si="1"/>
        <v>415.23540109112952</v>
      </c>
      <c r="S15" s="19">
        <f>'12'!G24</f>
        <v>0</v>
      </c>
      <c r="T15" s="19">
        <v>69</v>
      </c>
      <c r="U15" s="48">
        <f t="shared" si="6"/>
        <v>0</v>
      </c>
      <c r="V15" s="22">
        <f>'12'!G65</f>
        <v>123</v>
      </c>
      <c r="W15" s="22">
        <f>'12'!G66</f>
        <v>7</v>
      </c>
      <c r="X15" s="22">
        <f>'12'!G67</f>
        <v>16</v>
      </c>
      <c r="Y15" s="22">
        <f t="shared" si="7"/>
        <v>146</v>
      </c>
      <c r="Z15" s="19">
        <f>'12'!G84</f>
        <v>0</v>
      </c>
      <c r="AA15" s="19">
        <f>'12'!G85</f>
        <v>0</v>
      </c>
      <c r="AB15" s="19">
        <f>'12'!G86</f>
        <v>0</v>
      </c>
      <c r="AC15" s="19">
        <f>'12'!G87</f>
        <v>24.060000000004948</v>
      </c>
      <c r="AD15" s="19">
        <f t="shared" si="8"/>
        <v>24.060000000004948</v>
      </c>
      <c r="AE15" s="23">
        <f t="shared" si="2"/>
        <v>3707.4500000000116</v>
      </c>
      <c r="AF15" s="23">
        <f t="shared" si="9"/>
        <v>154.09185369905441</v>
      </c>
      <c r="AG15" s="19">
        <f>'12'!G88</f>
        <v>0</v>
      </c>
      <c r="AH15" s="19">
        <f>'12'!G89</f>
        <v>9.7900000000008731</v>
      </c>
      <c r="AI15" s="19">
        <f>'12'!G90</f>
        <v>10.690000000002328</v>
      </c>
      <c r="AJ15" s="19">
        <f t="shared" si="10"/>
        <v>20.480000000003201</v>
      </c>
      <c r="AK15" s="19">
        <f>'12'!G91</f>
        <v>11.440000000000509</v>
      </c>
      <c r="AL15" s="19">
        <f>'12'!G92</f>
        <v>0</v>
      </c>
      <c r="AM15" s="19"/>
      <c r="AN15" s="19">
        <f t="shared" si="11"/>
        <v>11.440000000000509</v>
      </c>
      <c r="AO15" s="52">
        <f>'12'!G74</f>
        <v>297.90000000002328</v>
      </c>
      <c r="AP15" s="55">
        <f>'12'!G35</f>
        <v>2969.0499999999884</v>
      </c>
      <c r="AQ15" s="19">
        <f>'12'!G37</f>
        <v>0</v>
      </c>
      <c r="AR15" s="19">
        <f>'12'!G38</f>
        <v>2429.6800000000512</v>
      </c>
      <c r="AS15" s="19">
        <f>'12'!G39</f>
        <v>-0.18999999994412065</v>
      </c>
      <c r="AT15" s="19">
        <f>'12'!G40</f>
        <v>395.82999999998719</v>
      </c>
      <c r="AU15" s="19">
        <f>'12'!G41</f>
        <v>-0.46999999997206032</v>
      </c>
      <c r="AV15" s="19">
        <f>'12'!G42</f>
        <v>-3.0000000027939677E-2</v>
      </c>
      <c r="AW15" s="19">
        <f>'12'!G43</f>
        <v>0</v>
      </c>
      <c r="AX15" s="23">
        <f>'12'!G44</f>
        <v>0</v>
      </c>
      <c r="AY15" s="56">
        <f>'12'!G36</f>
        <v>1112.1500000000233</v>
      </c>
      <c r="AZ15" s="55">
        <f>'12'!G49</f>
        <v>455.44999999995343</v>
      </c>
      <c r="BA15" s="19">
        <f>'12'!G51</f>
        <v>1048.6600000000035</v>
      </c>
      <c r="BB15" s="19">
        <f>'12'!G52</f>
        <v>0.24000000000000021</v>
      </c>
      <c r="BC15" s="19">
        <f>'12'!G53</f>
        <v>4086.0100000000093</v>
      </c>
      <c r="BD15" s="19">
        <f>'12'!G54</f>
        <v>168.33999999999651</v>
      </c>
      <c r="BE15" s="19">
        <f>'12'!G55</f>
        <v>0</v>
      </c>
      <c r="BF15" s="19">
        <f>'12'!G56</f>
        <v>3707.9500000000116</v>
      </c>
      <c r="BG15" s="19">
        <f>'12'!G57</f>
        <v>2405.0500000000466</v>
      </c>
      <c r="BH15" s="56">
        <f>'12'!G50</f>
        <v>1380.570000000007</v>
      </c>
      <c r="BI15" s="60">
        <f t="shared" si="12"/>
        <v>3707.4500000000116</v>
      </c>
      <c r="BJ15" s="60">
        <f>'12'!G133</f>
        <v>720</v>
      </c>
      <c r="BK15" s="23">
        <f t="shared" si="13"/>
        <v>42.527271276009913</v>
      </c>
      <c r="BL15" s="23">
        <f t="shared" si="14"/>
        <v>18.219437509169506</v>
      </c>
      <c r="BM15" s="24">
        <f t="shared" si="15"/>
        <v>0.10835468912551553</v>
      </c>
      <c r="BN15" s="25">
        <f t="shared" si="16"/>
        <v>308038.48999999987</v>
      </c>
      <c r="BO15" s="38">
        <f t="shared" si="17"/>
        <v>6832.5000000000582</v>
      </c>
      <c r="BP15">
        <f t="shared" si="18"/>
        <v>1.0142055575345346</v>
      </c>
    </row>
    <row r="16" spans="1:69">
      <c r="A16" s="16">
        <v>13</v>
      </c>
      <c r="B16" s="26">
        <v>13</v>
      </c>
      <c r="C16" s="26"/>
      <c r="D16" s="19">
        <f>'13'!D3</f>
        <v>33</v>
      </c>
      <c r="E16" s="50">
        <f>'13'!D4</f>
        <v>0.82</v>
      </c>
      <c r="F16" s="50">
        <f>'13'!D2</f>
        <v>0.49</v>
      </c>
      <c r="G16" s="19">
        <f>'13'!G7</f>
        <v>22793</v>
      </c>
      <c r="H16" s="19">
        <f>'13'!G8</f>
        <v>23047</v>
      </c>
      <c r="I16" s="19">
        <v>9</v>
      </c>
      <c r="J16" s="49">
        <f t="shared" si="3"/>
        <v>207423</v>
      </c>
      <c r="K16" s="45">
        <f t="shared" si="4"/>
        <v>114.0940594059406</v>
      </c>
      <c r="L16" s="19">
        <f>'13'!G15</f>
        <v>1014</v>
      </c>
      <c r="M16" s="19">
        <v>56.2</v>
      </c>
      <c r="N16" s="41">
        <f t="shared" si="5"/>
        <v>56986.8</v>
      </c>
      <c r="O16" s="19">
        <f>'13'!G20</f>
        <v>378</v>
      </c>
      <c r="P16" s="19">
        <v>108</v>
      </c>
      <c r="Q16" s="46">
        <f t="shared" si="0"/>
        <v>40824</v>
      </c>
      <c r="R16" s="47">
        <f t="shared" si="1"/>
        <v>381.8953323903819</v>
      </c>
      <c r="S16" s="19">
        <f>'13'!G24</f>
        <v>0</v>
      </c>
      <c r="T16" s="19">
        <v>69</v>
      </c>
      <c r="U16" s="48">
        <f t="shared" si="6"/>
        <v>0</v>
      </c>
      <c r="V16" s="22">
        <f>'13'!G65</f>
        <v>125</v>
      </c>
      <c r="W16" s="22">
        <f>'13'!G66</f>
        <v>8</v>
      </c>
      <c r="X16" s="22">
        <f>'13'!G67</f>
        <v>18</v>
      </c>
      <c r="Y16" s="22">
        <f t="shared" si="7"/>
        <v>151</v>
      </c>
      <c r="Z16" s="19">
        <f>'13'!G84</f>
        <v>0.34999999999854481</v>
      </c>
      <c r="AA16" s="19">
        <f>'13'!G85</f>
        <v>3.3599999999996726</v>
      </c>
      <c r="AB16" s="19">
        <f>'13'!G86</f>
        <v>0.13999999999941792</v>
      </c>
      <c r="AC16" s="19">
        <f>'13'!G87</f>
        <v>20.959999999999127</v>
      </c>
      <c r="AD16" s="19">
        <f t="shared" si="8"/>
        <v>24.809999999996762</v>
      </c>
      <c r="AE16" s="23">
        <f t="shared" si="2"/>
        <v>3994.1899999999441</v>
      </c>
      <c r="AF16" s="23">
        <f t="shared" si="9"/>
        <v>160.99113260783818</v>
      </c>
      <c r="AG16" s="19">
        <f>'13'!G88</f>
        <v>0</v>
      </c>
      <c r="AH16" s="19">
        <f>'13'!G89</f>
        <v>9.6699999999982538</v>
      </c>
      <c r="AI16" s="19">
        <f>'13'!G90</f>
        <v>11.19999999999709</v>
      </c>
      <c r="AJ16" s="19">
        <f t="shared" si="10"/>
        <v>20.869999999995343</v>
      </c>
      <c r="AK16" s="19">
        <f>'13'!G91</f>
        <v>11.399999999999636</v>
      </c>
      <c r="AL16" s="19">
        <f>'13'!G92</f>
        <v>0</v>
      </c>
      <c r="AM16" s="19"/>
      <c r="AN16" s="19">
        <f t="shared" si="11"/>
        <v>11.399999999999636</v>
      </c>
      <c r="AO16" s="52">
        <f>'13'!G74</f>
        <v>298</v>
      </c>
      <c r="AP16" s="55">
        <f>'13'!G35</f>
        <v>2711</v>
      </c>
      <c r="AQ16" s="19">
        <f>'13'!G37</f>
        <v>0</v>
      </c>
      <c r="AR16" s="19">
        <f>'13'!G38</f>
        <v>2439</v>
      </c>
      <c r="AS16" s="19">
        <f>'13'!G39</f>
        <v>0</v>
      </c>
      <c r="AT16" s="19">
        <f>'13'!G40</f>
        <v>355</v>
      </c>
      <c r="AU16" s="19">
        <f>'13'!G41</f>
        <v>0</v>
      </c>
      <c r="AV16" s="19">
        <f>'13'!G42</f>
        <v>700.18999999994412</v>
      </c>
      <c r="AW16" s="19">
        <f>'13'!G43</f>
        <v>0</v>
      </c>
      <c r="AX16" s="23">
        <f>'13'!G44</f>
        <v>0</v>
      </c>
      <c r="AY16" s="56">
        <f>'13'!G36</f>
        <v>1045</v>
      </c>
      <c r="AZ16" s="55">
        <f>'13'!G49</f>
        <v>444.31000000005588</v>
      </c>
      <c r="BA16" s="19">
        <f>'13'!G51</f>
        <v>989</v>
      </c>
      <c r="BB16" s="19">
        <f>'13'!G52</f>
        <v>0</v>
      </c>
      <c r="BC16" s="19">
        <f>'13'!G53</f>
        <v>3939</v>
      </c>
      <c r="BD16" s="19">
        <f>'13'!G54</f>
        <v>168</v>
      </c>
      <c r="BE16" s="19">
        <f>'13'!G55</f>
        <v>0</v>
      </c>
      <c r="BF16" s="19">
        <f>'13'!G56</f>
        <v>3294</v>
      </c>
      <c r="BG16" s="19">
        <f>'13'!G57</f>
        <v>2292.1500000000233</v>
      </c>
      <c r="BH16" s="56">
        <f>'13'!G50</f>
        <v>1259</v>
      </c>
      <c r="BI16" s="60">
        <f t="shared" si="12"/>
        <v>3994.1899999999441</v>
      </c>
      <c r="BJ16" s="60">
        <f>'13'!G133</f>
        <v>727</v>
      </c>
      <c r="BK16" s="23">
        <f t="shared" si="13"/>
        <v>40.966937128476694</v>
      </c>
      <c r="BL16" s="23">
        <f t="shared" si="14"/>
        <v>17.091161539462838</v>
      </c>
      <c r="BM16" s="24">
        <f t="shared" si="15"/>
        <v>0.10582722263201284</v>
      </c>
      <c r="BN16" s="25">
        <f t="shared" si="16"/>
        <v>305233.8</v>
      </c>
      <c r="BO16" s="38">
        <f t="shared" si="17"/>
        <v>7013.3399999999674</v>
      </c>
      <c r="BP16">
        <f t="shared" si="18"/>
        <v>1.0095785109692064</v>
      </c>
    </row>
    <row r="17" spans="1:68">
      <c r="A17" s="16">
        <v>14</v>
      </c>
      <c r="B17" s="17">
        <v>14</v>
      </c>
      <c r="C17" s="27"/>
      <c r="D17" s="19">
        <f>'14'!D3</f>
        <v>29</v>
      </c>
      <c r="E17" s="50">
        <f>'14'!D4</f>
        <v>0.8</v>
      </c>
      <c r="F17" s="50">
        <f>'14'!D2</f>
        <v>0.98</v>
      </c>
      <c r="G17" s="19">
        <f>'14'!G7</f>
        <v>26003</v>
      </c>
      <c r="H17" s="19">
        <f>'14'!G8</f>
        <v>26337</v>
      </c>
      <c r="I17" s="19">
        <v>9</v>
      </c>
      <c r="J17" s="49">
        <f t="shared" si="3"/>
        <v>237033</v>
      </c>
      <c r="K17" s="45">
        <f t="shared" si="4"/>
        <v>130.38118811881188</v>
      </c>
      <c r="L17" s="19">
        <f>'14'!G15</f>
        <v>1060</v>
      </c>
      <c r="M17" s="19">
        <v>56.2</v>
      </c>
      <c r="N17" s="41">
        <f t="shared" si="5"/>
        <v>59572</v>
      </c>
      <c r="O17" s="19">
        <f>'14'!G20</f>
        <v>377</v>
      </c>
      <c r="P17" s="19">
        <v>108</v>
      </c>
      <c r="Q17" s="46">
        <f t="shared" si="0"/>
        <v>40716</v>
      </c>
      <c r="R17" s="47">
        <f t="shared" si="1"/>
        <v>190.442513639119</v>
      </c>
      <c r="S17" s="19">
        <f>'14'!G24</f>
        <v>0</v>
      </c>
      <c r="T17" s="19">
        <v>69</v>
      </c>
      <c r="U17" s="48">
        <f t="shared" si="6"/>
        <v>0</v>
      </c>
      <c r="V17" s="22">
        <f>'14'!G65</f>
        <v>149</v>
      </c>
      <c r="W17" s="22">
        <f>'14'!G66</f>
        <v>13</v>
      </c>
      <c r="X17" s="22">
        <f>'14'!G67</f>
        <v>22</v>
      </c>
      <c r="Y17" s="22">
        <f>V17+W17+X17</f>
        <v>184</v>
      </c>
      <c r="Z17" s="19">
        <f>'14'!G84</f>
        <v>0</v>
      </c>
      <c r="AA17" s="19">
        <f>'14'!G85</f>
        <v>23.990000000000691</v>
      </c>
      <c r="AB17" s="19">
        <f>'14'!G86</f>
        <v>0</v>
      </c>
      <c r="AC17" s="19">
        <f>'14'!G87</f>
        <v>13.549999999995634</v>
      </c>
      <c r="AD17" s="19">
        <f t="shared" si="8"/>
        <v>37.539999999996326</v>
      </c>
      <c r="AE17" s="23">
        <f t="shared" si="2"/>
        <v>7314.8100000000559</v>
      </c>
      <c r="AF17" s="23">
        <f t="shared" si="9"/>
        <v>194.85375599362737</v>
      </c>
      <c r="AG17" s="19">
        <f>'14'!G88</f>
        <v>0</v>
      </c>
      <c r="AH17" s="19">
        <f>'14'!G89</f>
        <v>10</v>
      </c>
      <c r="AI17" s="19">
        <f>'14'!G90</f>
        <v>11</v>
      </c>
      <c r="AJ17" s="19">
        <f t="shared" si="10"/>
        <v>21</v>
      </c>
      <c r="AK17" s="19">
        <f>'14'!G91</f>
        <v>10.930000000000291</v>
      </c>
      <c r="AL17" s="19">
        <f>'14'!G92</f>
        <v>0</v>
      </c>
      <c r="AM17" s="19"/>
      <c r="AN17" s="19">
        <f t="shared" si="11"/>
        <v>10.930000000000291</v>
      </c>
      <c r="AO17" s="52">
        <f>'14'!G44</f>
        <v>0</v>
      </c>
      <c r="AP17" s="55">
        <f>'14'!G35</f>
        <v>2934</v>
      </c>
      <c r="AQ17" s="19">
        <f>'14'!G37</f>
        <v>0</v>
      </c>
      <c r="AR17" s="19">
        <f>'14'!G38</f>
        <v>2633</v>
      </c>
      <c r="AS17" s="19">
        <f>'14'!G39</f>
        <v>0</v>
      </c>
      <c r="AT17" s="19">
        <f>'14'!G40</f>
        <v>410.70999999999185</v>
      </c>
      <c r="AU17" s="19">
        <f>'14'!G41</f>
        <v>0</v>
      </c>
      <c r="AV17" s="19">
        <f>'14'!G42</f>
        <v>5501.8100000000559</v>
      </c>
      <c r="AW17" s="19">
        <f>'14'!G43</f>
        <v>0</v>
      </c>
      <c r="AX17" s="23">
        <f>'14'!G44</f>
        <v>0</v>
      </c>
      <c r="AY17" s="56">
        <f>'14'!G36</f>
        <v>1258</v>
      </c>
      <c r="AZ17" s="55">
        <f>'14'!G49</f>
        <v>485.68999999994412</v>
      </c>
      <c r="BA17" s="19">
        <f>'14'!G51</f>
        <v>1067</v>
      </c>
      <c r="BB17" s="19">
        <f>'14'!G52</f>
        <v>0</v>
      </c>
      <c r="BC17" s="19">
        <f>'14'!G53</f>
        <v>3636</v>
      </c>
      <c r="BD17" s="19">
        <f>'14'!G54</f>
        <v>223</v>
      </c>
      <c r="BE17" s="19">
        <f>'14'!G55</f>
        <v>0</v>
      </c>
      <c r="BF17" s="19">
        <f>'14'!G56</f>
        <v>1813</v>
      </c>
      <c r="BG17" s="19">
        <f>'14'!G57</f>
        <v>2841.8499999999767</v>
      </c>
      <c r="BH17" s="56">
        <f>'14'!G50</f>
        <v>1665</v>
      </c>
      <c r="BI17" s="60">
        <f t="shared" si="12"/>
        <v>7314.8100000000559</v>
      </c>
      <c r="BJ17" s="60">
        <f>'14'!G133</f>
        <v>830</v>
      </c>
      <c r="BK17" s="23">
        <f t="shared" si="13"/>
        <v>51.548581843034427</v>
      </c>
      <c r="BL17" s="23">
        <f t="shared" si="14"/>
        <v>13.805672627861943</v>
      </c>
      <c r="BM17" s="24">
        <f t="shared" si="15"/>
        <v>9.9973421422333605E-2</v>
      </c>
      <c r="BN17" s="25">
        <f t="shared" si="16"/>
        <v>337321</v>
      </c>
      <c r="BO17" s="38">
        <f t="shared" si="17"/>
        <v>10986.660000000033</v>
      </c>
      <c r="BP17">
        <f t="shared" si="18"/>
        <v>1.0452336555294455</v>
      </c>
    </row>
    <row r="18" spans="1:68">
      <c r="A18" s="16">
        <v>15</v>
      </c>
      <c r="B18" s="26">
        <v>15</v>
      </c>
      <c r="C18" s="18"/>
      <c r="D18" s="19">
        <f>'15'!D3</f>
        <v>29</v>
      </c>
      <c r="E18" s="50">
        <f>'15'!D4</f>
        <v>0.78</v>
      </c>
      <c r="F18" s="50">
        <f>'15'!D2</f>
        <v>0.99</v>
      </c>
      <c r="G18" s="19">
        <f>'15'!G7</f>
        <v>24529</v>
      </c>
      <c r="H18" s="19">
        <f>'15'!G8</f>
        <v>24648</v>
      </c>
      <c r="I18" s="19">
        <v>9</v>
      </c>
      <c r="J18" s="49">
        <f t="shared" si="3"/>
        <v>221832</v>
      </c>
      <c r="K18" s="45">
        <f t="shared" si="4"/>
        <v>122.01980198019803</v>
      </c>
      <c r="L18" s="19">
        <f>'15'!G15</f>
        <v>1060</v>
      </c>
      <c r="M18" s="19">
        <v>56.2</v>
      </c>
      <c r="N18" s="41">
        <f t="shared" si="5"/>
        <v>59572</v>
      </c>
      <c r="O18" s="19">
        <f>'15'!G20</f>
        <v>382</v>
      </c>
      <c r="P18" s="19">
        <v>108</v>
      </c>
      <c r="Q18" s="46">
        <f t="shared" si="0"/>
        <v>41256</v>
      </c>
      <c r="R18" s="47">
        <f t="shared" si="1"/>
        <v>191.01910191019104</v>
      </c>
      <c r="S18" s="19">
        <f>'15'!G24</f>
        <v>0</v>
      </c>
      <c r="T18" s="19">
        <v>69</v>
      </c>
      <c r="U18" s="48">
        <f t="shared" si="6"/>
        <v>0</v>
      </c>
      <c r="V18" s="22">
        <f>'15'!G65</f>
        <v>142</v>
      </c>
      <c r="W18" s="22">
        <f>'15'!G66</f>
        <v>8</v>
      </c>
      <c r="X18" s="22">
        <f>'15'!G67</f>
        <v>25</v>
      </c>
      <c r="Y18" s="22">
        <f t="shared" si="7"/>
        <v>175</v>
      </c>
      <c r="Z18" s="19">
        <f>'15'!G84</f>
        <v>2000</v>
      </c>
      <c r="AA18" s="19">
        <f>'15'!G85</f>
        <v>23.719999999999345</v>
      </c>
      <c r="AB18" s="19">
        <f>'15'!G86</f>
        <v>0.27999999999883585</v>
      </c>
      <c r="AC18" s="19">
        <f>'15'!G87</f>
        <v>4.3600000000005821</v>
      </c>
      <c r="AD18" s="19">
        <f t="shared" si="8"/>
        <v>2028.3599999999988</v>
      </c>
      <c r="AE18" s="23">
        <f t="shared" si="2"/>
        <v>6679.4499999999534</v>
      </c>
      <c r="AF18" s="23">
        <f t="shared" si="9"/>
        <v>3.2930298369125586</v>
      </c>
      <c r="AG18" s="19">
        <f>'15'!G88</f>
        <v>0</v>
      </c>
      <c r="AH18" s="19">
        <f>'15'!G89</f>
        <v>9</v>
      </c>
      <c r="AI18" s="19">
        <f>'15'!G90</f>
        <v>11</v>
      </c>
      <c r="AJ18" s="19">
        <f t="shared" si="10"/>
        <v>20</v>
      </c>
      <c r="AK18" s="19">
        <f>'15'!G91</f>
        <v>11.699999999999818</v>
      </c>
      <c r="AL18" s="19">
        <f>'15'!G92</f>
        <v>0</v>
      </c>
      <c r="AM18" s="19"/>
      <c r="AN18" s="19">
        <f t="shared" si="11"/>
        <v>11.699999999999818</v>
      </c>
      <c r="AO18" s="52">
        <f>'15'!G74</f>
        <v>113</v>
      </c>
      <c r="AP18" s="55">
        <f>'15'!G35</f>
        <v>2603</v>
      </c>
      <c r="AQ18" s="19">
        <f>'15'!G37</f>
        <v>0</v>
      </c>
      <c r="AR18" s="19">
        <f>'15'!G38</f>
        <v>592</v>
      </c>
      <c r="AS18" s="19">
        <f>'15'!G39</f>
        <v>0</v>
      </c>
      <c r="AT18" s="19">
        <f>'15'!G40</f>
        <v>364.29000000000815</v>
      </c>
      <c r="AU18" s="19">
        <f>'15'!G41</f>
        <v>0</v>
      </c>
      <c r="AV18" s="19">
        <f>'15'!G42</f>
        <v>5089</v>
      </c>
      <c r="AW18" s="19">
        <f>'15'!G43</f>
        <v>0</v>
      </c>
      <c r="AX18" s="23">
        <f>'15'!G44</f>
        <v>0</v>
      </c>
      <c r="AY18" s="56">
        <f>'15'!G36</f>
        <v>1125</v>
      </c>
      <c r="AZ18" s="55">
        <f>'15'!G49</f>
        <v>489</v>
      </c>
      <c r="BA18" s="19">
        <f>'15'!G51</f>
        <v>1075</v>
      </c>
      <c r="BB18" s="19">
        <f>'15'!G52</f>
        <v>-0.24000000000000021</v>
      </c>
      <c r="BC18" s="19">
        <f>'15'!G53</f>
        <v>4668</v>
      </c>
      <c r="BD18" s="19">
        <f>'15'!G54</f>
        <v>193</v>
      </c>
      <c r="BE18" s="19">
        <f>'15'!G55</f>
        <v>786.44999999995343</v>
      </c>
      <c r="BF18" s="19">
        <f>'15'!G56</f>
        <v>804</v>
      </c>
      <c r="BG18" s="19">
        <f>'15'!G57</f>
        <v>4668</v>
      </c>
      <c r="BH18" s="56">
        <f>'15'!G50</f>
        <v>1451</v>
      </c>
      <c r="BI18" s="60">
        <f t="shared" si="12"/>
        <v>6679.4499999999534</v>
      </c>
      <c r="BJ18" s="60">
        <f>'15'!G133</f>
        <v>738</v>
      </c>
      <c r="BK18" s="23">
        <f t="shared" si="13"/>
        <v>58.582643622200401</v>
      </c>
      <c r="BL18" s="23">
        <f t="shared" si="14"/>
        <v>18.938656280428432</v>
      </c>
      <c r="BM18" s="24">
        <f t="shared" si="15"/>
        <v>2.4008438818565399E-2</v>
      </c>
      <c r="BN18" s="25">
        <f t="shared" si="16"/>
        <v>322660</v>
      </c>
      <c r="BO18" s="38">
        <f t="shared" si="17"/>
        <v>12085.449999999953</v>
      </c>
      <c r="BP18">
        <f t="shared" si="18"/>
        <v>2.1279418559117358E-2</v>
      </c>
    </row>
    <row r="19" spans="1:68">
      <c r="A19" s="16">
        <v>16</v>
      </c>
      <c r="B19" s="26">
        <v>16</v>
      </c>
      <c r="C19" s="26"/>
      <c r="D19" s="19">
        <f>'16'!D3</f>
        <v>28</v>
      </c>
      <c r="E19" s="50">
        <f>'16'!D4</f>
        <v>0.79</v>
      </c>
      <c r="F19" s="50">
        <f>'16'!D2</f>
        <v>1</v>
      </c>
      <c r="G19" s="19">
        <f>'16'!G7</f>
        <v>23674</v>
      </c>
      <c r="H19" s="19">
        <f>'16'!G8</f>
        <v>23854</v>
      </c>
      <c r="I19" s="19">
        <v>9</v>
      </c>
      <c r="J19" s="49">
        <f t="shared" si="3"/>
        <v>214686</v>
      </c>
      <c r="K19" s="45">
        <f t="shared" si="4"/>
        <v>118.08910891089108</v>
      </c>
      <c r="L19" s="19">
        <f>'16'!G15</f>
        <v>1026</v>
      </c>
      <c r="M19" s="19">
        <v>56.2</v>
      </c>
      <c r="N19" s="41">
        <f t="shared" si="5"/>
        <v>57661.200000000004</v>
      </c>
      <c r="O19" s="19">
        <f>'16'!G20</f>
        <v>322</v>
      </c>
      <c r="P19" s="19">
        <v>108</v>
      </c>
      <c r="Q19" s="46">
        <f t="shared" si="0"/>
        <v>34776</v>
      </c>
      <c r="R19" s="47">
        <f t="shared" si="1"/>
        <v>159.40594059405942</v>
      </c>
      <c r="S19" s="19">
        <f>'16'!G24</f>
        <v>0</v>
      </c>
      <c r="T19" s="19">
        <v>69</v>
      </c>
      <c r="U19" s="48">
        <f t="shared" si="6"/>
        <v>0</v>
      </c>
      <c r="V19" s="22">
        <f>'16'!G65</f>
        <v>149</v>
      </c>
      <c r="W19" s="22">
        <f>'16'!G66</f>
        <v>16</v>
      </c>
      <c r="X19" s="22">
        <f>'16'!G67</f>
        <v>20</v>
      </c>
      <c r="Y19" s="22">
        <f t="shared" si="7"/>
        <v>185</v>
      </c>
      <c r="Z19" s="19">
        <f>'16'!G84</f>
        <v>0</v>
      </c>
      <c r="AA19" s="19">
        <f>'16'!G85</f>
        <v>22.360000000000582</v>
      </c>
      <c r="AB19" s="19">
        <f>'16'!G86</f>
        <v>9.6500000000014552</v>
      </c>
      <c r="AC19" s="19">
        <f>'16'!G87</f>
        <v>2.0300000000061118</v>
      </c>
      <c r="AD19" s="19">
        <f t="shared" si="8"/>
        <v>34.040000000008149</v>
      </c>
      <c r="AE19" s="23">
        <f t="shared" si="2"/>
        <v>6364.6599999999744</v>
      </c>
      <c r="AF19" s="23">
        <f t="shared" si="9"/>
        <v>186.97591069325648</v>
      </c>
      <c r="AG19" s="19">
        <f>'16'!G88</f>
        <v>0</v>
      </c>
      <c r="AH19" s="19">
        <f>'16'!G89</f>
        <v>10.919999999998254</v>
      </c>
      <c r="AI19" s="19">
        <f>'16'!G90</f>
        <v>10.470000000001164</v>
      </c>
      <c r="AJ19" s="19">
        <f t="shared" si="10"/>
        <v>21.389999999999418</v>
      </c>
      <c r="AK19" s="19">
        <f>'16'!G91</f>
        <v>11.180000000000291</v>
      </c>
      <c r="AL19" s="19">
        <f>'16'!G92</f>
        <v>0</v>
      </c>
      <c r="AM19" s="19"/>
      <c r="AN19" s="19">
        <f t="shared" si="11"/>
        <v>11.180000000000291</v>
      </c>
      <c r="AO19" s="52">
        <f>'16'!G74</f>
        <v>476</v>
      </c>
      <c r="AP19" s="55">
        <f>'16'!G35</f>
        <v>2791.3699999999953</v>
      </c>
      <c r="AQ19" s="19">
        <f>'16'!G37</f>
        <v>0</v>
      </c>
      <c r="AR19" s="19">
        <f>'16'!G38</f>
        <v>0.58999999996740371</v>
      </c>
      <c r="AS19" s="19">
        <f>'16'!G39</f>
        <v>0.18999999994412065</v>
      </c>
      <c r="AT19" s="19">
        <f>'16'!G40</f>
        <v>321.13000000000466</v>
      </c>
      <c r="AU19" s="19">
        <f>'16'!G41</f>
        <v>0.46999999997206032</v>
      </c>
      <c r="AV19" s="19">
        <f>'16'!G42</f>
        <v>5415.75</v>
      </c>
      <c r="AW19" s="19">
        <f>'16'!G43</f>
        <v>5085</v>
      </c>
      <c r="AX19" s="23">
        <f>'16'!G44</f>
        <v>0</v>
      </c>
      <c r="AY19" s="56">
        <f>'16'!G36</f>
        <v>1024.789999999979</v>
      </c>
      <c r="AZ19" s="55">
        <f>'16'!G49</f>
        <v>494.75</v>
      </c>
      <c r="BA19" s="19">
        <f>'16'!G51</f>
        <v>1038.429999999993</v>
      </c>
      <c r="BB19" s="19">
        <f>'16'!G52</f>
        <v>0</v>
      </c>
      <c r="BC19" s="19">
        <f>'16'!G53</f>
        <v>4071.2700000000186</v>
      </c>
      <c r="BD19" s="19">
        <f>'16'!G54</f>
        <v>167.77000000000407</v>
      </c>
      <c r="BE19" s="19">
        <f>'16'!G55</f>
        <v>671.98999999999069</v>
      </c>
      <c r="BF19" s="19">
        <f>'16'!G56</f>
        <v>276.45000000001164</v>
      </c>
      <c r="BG19" s="19">
        <f>'16'!G57</f>
        <v>0</v>
      </c>
      <c r="BH19" s="56">
        <f>'16'!G50</f>
        <v>1329.2700000000186</v>
      </c>
      <c r="BI19" s="60">
        <f t="shared" si="12"/>
        <v>6364.6599999999744</v>
      </c>
      <c r="BJ19" s="60">
        <f>'16'!G133</f>
        <v>697</v>
      </c>
      <c r="BK19" s="23">
        <f t="shared" si="13"/>
        <v>61.774880523182567</v>
      </c>
      <c r="BL19" s="23">
        <f t="shared" si="14"/>
        <v>17.068248511779839</v>
      </c>
      <c r="BM19" s="24">
        <f t="shared" si="15"/>
        <v>2.4733797265339304E-5</v>
      </c>
      <c r="BN19" s="25">
        <f t="shared" si="16"/>
        <v>307123.20000000001</v>
      </c>
      <c r="BO19" s="38">
        <f t="shared" si="17"/>
        <v>12146.659999999974</v>
      </c>
      <c r="BP19">
        <f t="shared" si="18"/>
        <v>1.2744103575622237</v>
      </c>
    </row>
    <row r="20" spans="1:68">
      <c r="A20" s="16">
        <v>17</v>
      </c>
      <c r="B20" s="27">
        <v>17</v>
      </c>
      <c r="C20" s="26"/>
      <c r="D20" s="19">
        <f>'17'!D3</f>
        <v>28</v>
      </c>
      <c r="E20" s="50">
        <f>'17'!D4</f>
        <v>0.79</v>
      </c>
      <c r="F20" s="50">
        <f>'17'!D2</f>
        <v>0.91</v>
      </c>
      <c r="G20" s="19">
        <f>'17'!G7</f>
        <v>25766</v>
      </c>
      <c r="H20" s="19">
        <f>'17'!G8</f>
        <v>25992</v>
      </c>
      <c r="I20" s="19">
        <v>9</v>
      </c>
      <c r="J20" s="49">
        <f t="shared" si="3"/>
        <v>233928</v>
      </c>
      <c r="K20" s="45">
        <f t="shared" si="4"/>
        <v>128.67326732673268</v>
      </c>
      <c r="L20" s="19">
        <f>'17'!G15</f>
        <v>1093</v>
      </c>
      <c r="M20" s="19">
        <v>56.2</v>
      </c>
      <c r="N20" s="41">
        <f t="shared" si="5"/>
        <v>61426.600000000006</v>
      </c>
      <c r="O20" s="19">
        <f>'17'!G20</f>
        <v>353</v>
      </c>
      <c r="P20" s="19">
        <v>108</v>
      </c>
      <c r="Q20" s="46">
        <f t="shared" si="0"/>
        <v>38124</v>
      </c>
      <c r="R20" s="47">
        <f t="shared" si="1"/>
        <v>192.03568708519205</v>
      </c>
      <c r="S20" s="19">
        <f>'17'!G24</f>
        <v>0</v>
      </c>
      <c r="T20" s="19">
        <v>69</v>
      </c>
      <c r="U20" s="48">
        <f t="shared" si="6"/>
        <v>0</v>
      </c>
      <c r="V20" s="22">
        <f>'17'!G65</f>
        <v>153</v>
      </c>
      <c r="W20" s="22">
        <f>'17'!G66</f>
        <v>14</v>
      </c>
      <c r="X20" s="22">
        <f>'17'!G67</f>
        <v>33</v>
      </c>
      <c r="Y20" s="22">
        <f t="shared" si="7"/>
        <v>200</v>
      </c>
      <c r="Z20" s="19">
        <f>'17'!G84</f>
        <v>0</v>
      </c>
      <c r="AA20" s="19">
        <f>'17'!G85</f>
        <v>10.849999999999454</v>
      </c>
      <c r="AB20" s="19">
        <f>'17'!G86</f>
        <v>0</v>
      </c>
      <c r="AC20" s="19">
        <f>'17'!G87</f>
        <v>11.169999999998254</v>
      </c>
      <c r="AD20" s="19">
        <f t="shared" si="8"/>
        <v>22.019999999997708</v>
      </c>
      <c r="AE20" s="23">
        <f t="shared" si="2"/>
        <v>5853.0000000001164</v>
      </c>
      <c r="AF20" s="23">
        <f t="shared" si="9"/>
        <v>265.8038147139294</v>
      </c>
      <c r="AG20" s="19">
        <f>'17'!G88</f>
        <v>0</v>
      </c>
      <c r="AH20" s="19">
        <f>'17'!G89</f>
        <v>10.220000000001164</v>
      </c>
      <c r="AI20" s="19">
        <f>'17'!G90</f>
        <v>11.959999999991851</v>
      </c>
      <c r="AJ20" s="19">
        <f t="shared" si="10"/>
        <v>22.179999999993015</v>
      </c>
      <c r="AK20" s="19">
        <f>'17'!G91</f>
        <v>11.119999999999891</v>
      </c>
      <c r="AL20" s="19">
        <f>'17'!G92</f>
        <v>0</v>
      </c>
      <c r="AM20" s="19"/>
      <c r="AN20" s="19">
        <f t="shared" si="11"/>
        <v>11.119999999999891</v>
      </c>
      <c r="AO20" s="52">
        <f>'17'!G74</f>
        <v>299.34999999997672</v>
      </c>
      <c r="AP20" s="55">
        <f>'17'!G35</f>
        <v>2604.9799999999814</v>
      </c>
      <c r="AQ20" s="19">
        <f>'17'!G37</f>
        <v>0</v>
      </c>
      <c r="AR20" s="19">
        <f>'17'!G38</f>
        <v>0</v>
      </c>
      <c r="AS20" s="19">
        <f>'17'!G39</f>
        <v>0</v>
      </c>
      <c r="AT20" s="19">
        <f>'17'!G40</f>
        <v>604.82000000000698</v>
      </c>
      <c r="AU20" s="19">
        <f>'17'!G41</f>
        <v>0.5</v>
      </c>
      <c r="AV20" s="19">
        <f>'17'!G42</f>
        <v>2213.0400000000373</v>
      </c>
      <c r="AW20" s="19">
        <f>'17'!G43</f>
        <v>2554.5900000000256</v>
      </c>
      <c r="AX20" s="23">
        <f>'17'!G44</f>
        <v>0</v>
      </c>
      <c r="AY20" s="56">
        <f>'17'!G36</f>
        <v>1147.0200000000186</v>
      </c>
      <c r="AZ20" s="55">
        <f>'17'!G49</f>
        <v>507.35999999998603</v>
      </c>
      <c r="BA20" s="19">
        <f>'17'!G51</f>
        <v>1046.1900000000023</v>
      </c>
      <c r="BB20" s="19">
        <f>'17'!G52</f>
        <v>0</v>
      </c>
      <c r="BC20" s="19">
        <f>'17'!G53</f>
        <v>4177.5200000000186</v>
      </c>
      <c r="BD20" s="19">
        <f>'17'!G54</f>
        <v>161.63999999999942</v>
      </c>
      <c r="BE20" s="19">
        <f>'17'!G55</f>
        <v>2098.3200000000652</v>
      </c>
      <c r="BF20" s="19">
        <f>'17'!G56</f>
        <v>1541.140000000014</v>
      </c>
      <c r="BG20" s="19">
        <f>'17'!G57</f>
        <v>0</v>
      </c>
      <c r="BH20" s="56">
        <f>'17'!G50</f>
        <v>1633.6399999999558</v>
      </c>
      <c r="BI20" s="60">
        <f t="shared" si="12"/>
        <v>5853.0000000001164</v>
      </c>
      <c r="BJ20" s="60">
        <f>'17'!G133</f>
        <v>818</v>
      </c>
      <c r="BK20" s="23">
        <f t="shared" si="13"/>
        <v>44.321060326254653</v>
      </c>
      <c r="BL20" s="23">
        <f t="shared" si="14"/>
        <v>16.07232994767628</v>
      </c>
      <c r="BM20" s="24">
        <f t="shared" si="15"/>
        <v>0</v>
      </c>
      <c r="BN20" s="25">
        <f t="shared" si="16"/>
        <v>333478.59999999998</v>
      </c>
      <c r="BO20" s="38">
        <f t="shared" si="17"/>
        <v>9225.590000000142</v>
      </c>
      <c r="BP20">
        <f t="shared" si="18"/>
        <v>1.4963004411575682</v>
      </c>
    </row>
    <row r="21" spans="1:68">
      <c r="A21" s="16">
        <v>18</v>
      </c>
      <c r="B21" s="27">
        <v>18</v>
      </c>
      <c r="C21" s="27"/>
      <c r="D21" s="19">
        <f>'18 '!D3</f>
        <v>29</v>
      </c>
      <c r="E21" s="50">
        <f>'18 '!D4</f>
        <v>0.79</v>
      </c>
      <c r="F21" s="50">
        <f>'18 '!D2</f>
        <v>0.75</v>
      </c>
      <c r="G21" s="19">
        <f>'18 '!G7</f>
        <v>24548</v>
      </c>
      <c r="H21" s="19">
        <f>'18 '!G8</f>
        <v>24731</v>
      </c>
      <c r="I21" s="19">
        <v>9</v>
      </c>
      <c r="J21" s="49">
        <f t="shared" si="3"/>
        <v>222579</v>
      </c>
      <c r="K21" s="45">
        <f t="shared" si="4"/>
        <v>122.43069306930693</v>
      </c>
      <c r="L21" s="19">
        <f>'18 '!G15</f>
        <v>1164</v>
      </c>
      <c r="M21" s="19">
        <v>56.2</v>
      </c>
      <c r="N21" s="41">
        <f t="shared" si="5"/>
        <v>65416.800000000003</v>
      </c>
      <c r="O21" s="19">
        <f>'18 '!G20</f>
        <v>307</v>
      </c>
      <c r="P21" s="19">
        <v>108</v>
      </c>
      <c r="Q21" s="46">
        <f t="shared" si="0"/>
        <v>33156</v>
      </c>
      <c r="R21" s="47">
        <f t="shared" si="1"/>
        <v>202.64026402640266</v>
      </c>
      <c r="S21" s="19">
        <f>'18 '!G24</f>
        <v>0</v>
      </c>
      <c r="T21" s="19">
        <v>69</v>
      </c>
      <c r="U21" s="48">
        <f t="shared" si="6"/>
        <v>0</v>
      </c>
      <c r="V21" s="22">
        <f>'18 '!G65</f>
        <v>140</v>
      </c>
      <c r="W21" s="22">
        <f>'18 '!G66</f>
        <v>10</v>
      </c>
      <c r="X21" s="22">
        <f>'18 '!G67</f>
        <v>22</v>
      </c>
      <c r="Y21" s="22">
        <f t="shared" si="7"/>
        <v>172</v>
      </c>
      <c r="Z21" s="19">
        <f>'18 '!G84</f>
        <v>0</v>
      </c>
      <c r="AA21" s="19">
        <f>'18 '!G85</f>
        <v>0</v>
      </c>
      <c r="AB21" s="19">
        <f>'18 '!G86</f>
        <v>0</v>
      </c>
      <c r="AC21" s="19">
        <f>'18 '!G87</f>
        <v>23.94999999999709</v>
      </c>
      <c r="AD21" s="19">
        <f t="shared" si="8"/>
        <v>23.94999999999709</v>
      </c>
      <c r="AE21" s="23">
        <f t="shared" si="2"/>
        <v>4692.3299999999581</v>
      </c>
      <c r="AF21" s="23">
        <f t="shared" si="9"/>
        <v>195.9219206680805</v>
      </c>
      <c r="AG21" s="19">
        <f>'18 '!G88</f>
        <v>0</v>
      </c>
      <c r="AH21" s="19">
        <f>'18 '!G89</f>
        <v>11.040000000000873</v>
      </c>
      <c r="AI21" s="19">
        <f>'18 '!G90</f>
        <v>11.570000000006985</v>
      </c>
      <c r="AJ21" s="19">
        <f t="shared" si="10"/>
        <v>22.610000000007858</v>
      </c>
      <c r="AK21" s="19">
        <f>'18 '!G91</f>
        <v>11.659999999999854</v>
      </c>
      <c r="AL21" s="19">
        <f>'18 '!G92</f>
        <v>0</v>
      </c>
      <c r="AM21" s="19"/>
      <c r="AN21" s="19">
        <f t="shared" si="11"/>
        <v>11.659999999999854</v>
      </c>
      <c r="AO21" s="52">
        <f>'18 '!G74</f>
        <v>292.18000000005122</v>
      </c>
      <c r="AP21" s="55">
        <f>'18 '!G35</f>
        <v>2671.4000000000233</v>
      </c>
      <c r="AQ21" s="19">
        <f>'18 '!G37</f>
        <v>0</v>
      </c>
      <c r="AR21" s="19">
        <f>'18 '!G38</f>
        <v>0</v>
      </c>
      <c r="AS21" s="19">
        <f>'18 '!G39</f>
        <v>0</v>
      </c>
      <c r="AT21" s="19">
        <f>'18 '!G40</f>
        <v>415.23999999999069</v>
      </c>
      <c r="AU21" s="19">
        <f>'18 '!G41</f>
        <v>-0.96999999997206032</v>
      </c>
      <c r="AV21" s="19">
        <f>'18 '!G42</f>
        <v>100</v>
      </c>
      <c r="AW21" s="19">
        <f>'18 '!G43</f>
        <v>2839.4799999999814</v>
      </c>
      <c r="AX21" s="23">
        <f>'18 '!G44</f>
        <v>0</v>
      </c>
      <c r="AY21" s="56">
        <f>'18 '!G36</f>
        <v>1445.0900000000256</v>
      </c>
      <c r="AZ21" s="55">
        <f>'18 '!G49</f>
        <v>470.07999999995809</v>
      </c>
      <c r="BA21" s="19">
        <f>'18 '!G51</f>
        <v>1024.2900000000081</v>
      </c>
      <c r="BB21" s="19">
        <f>'18 '!G52</f>
        <v>0</v>
      </c>
      <c r="BC21" s="19">
        <f>'18 '!G53</f>
        <v>4065.2099999999627</v>
      </c>
      <c r="BD21" s="19">
        <f>'18 '!G54</f>
        <v>159.88999999999942</v>
      </c>
      <c r="BE21" s="19">
        <f>'18 '!G55</f>
        <v>821.79999999993015</v>
      </c>
      <c r="BF21" s="19">
        <f>'18 '!G56</f>
        <v>3771.5</v>
      </c>
      <c r="BG21" s="19">
        <f>'18 '!G57</f>
        <v>0</v>
      </c>
      <c r="BH21" s="56">
        <f>'18 '!G50</f>
        <v>1261.0900000000256</v>
      </c>
      <c r="BI21" s="60">
        <f t="shared" si="12"/>
        <v>4692.3299999999581</v>
      </c>
      <c r="BJ21" s="60">
        <f>'18 '!G133</f>
        <v>831</v>
      </c>
      <c r="BK21" s="23">
        <f t="shared" si="13"/>
        <v>43.157535077432861</v>
      </c>
      <c r="BL21" s="23">
        <f t="shared" si="14"/>
        <v>16.437709756985008</v>
      </c>
      <c r="BM21" s="24">
        <f t="shared" si="15"/>
        <v>0</v>
      </c>
      <c r="BN21" s="25">
        <f t="shared" si="16"/>
        <v>321151.8</v>
      </c>
      <c r="BO21" s="38">
        <f t="shared" si="17"/>
        <v>8362.8099999999395</v>
      </c>
      <c r="BP21">
        <f t="shared" si="18"/>
        <v>1.2470638234418365</v>
      </c>
    </row>
    <row r="22" spans="1:68">
      <c r="A22" s="16">
        <v>19</v>
      </c>
      <c r="B22" s="17">
        <v>19</v>
      </c>
      <c r="C22" s="27"/>
      <c r="D22" s="19">
        <f>'19'!D3</f>
        <v>29</v>
      </c>
      <c r="E22" s="50">
        <f>'19'!D4</f>
        <v>0.79</v>
      </c>
      <c r="F22" s="50">
        <f>'19'!D2</f>
        <v>0.82</v>
      </c>
      <c r="G22" s="19">
        <f>'19'!G7</f>
        <v>22543.229999999981</v>
      </c>
      <c r="H22" s="19">
        <f>'19'!G8</f>
        <v>22617.699999999953</v>
      </c>
      <c r="I22" s="19">
        <v>9</v>
      </c>
      <c r="J22" s="49">
        <f t="shared" si="3"/>
        <v>203559.29999999958</v>
      </c>
      <c r="K22" s="45">
        <f t="shared" si="4"/>
        <v>111.96881188118789</v>
      </c>
      <c r="L22" s="19">
        <f>'19'!G15</f>
        <v>1022</v>
      </c>
      <c r="M22" s="19">
        <v>56.2</v>
      </c>
      <c r="N22" s="41">
        <f t="shared" si="5"/>
        <v>57436.4</v>
      </c>
      <c r="O22" s="19">
        <f>'19'!G20</f>
        <v>388</v>
      </c>
      <c r="P22" s="19">
        <v>108</v>
      </c>
      <c r="Q22" s="46">
        <f t="shared" si="0"/>
        <v>41904</v>
      </c>
      <c r="R22" s="47">
        <f t="shared" si="1"/>
        <v>234.24293648877085</v>
      </c>
      <c r="S22" s="19">
        <f>'19'!G24</f>
        <v>0</v>
      </c>
      <c r="T22" s="19">
        <v>69</v>
      </c>
      <c r="U22" s="48">
        <f t="shared" si="6"/>
        <v>0</v>
      </c>
      <c r="V22" s="22">
        <f>'19'!G65</f>
        <v>121</v>
      </c>
      <c r="W22" s="22">
        <f>'19'!G66</f>
        <v>8</v>
      </c>
      <c r="X22" s="22">
        <f>'19'!G67</f>
        <v>19</v>
      </c>
      <c r="Y22" s="22">
        <f t="shared" si="7"/>
        <v>148</v>
      </c>
      <c r="Z22" s="19">
        <f>'19'!G84</f>
        <v>0</v>
      </c>
      <c r="AA22" s="19">
        <f>'19'!G85</f>
        <v>0</v>
      </c>
      <c r="AB22" s="19">
        <f>'19'!G86</f>
        <v>0</v>
      </c>
      <c r="AC22" s="19">
        <f>'19'!G87</f>
        <v>23.650000000001455</v>
      </c>
      <c r="AD22" s="19">
        <f t="shared" si="8"/>
        <v>23.650000000001455</v>
      </c>
      <c r="AE22" s="23">
        <f t="shared" si="2"/>
        <v>3758.0799999999581</v>
      </c>
      <c r="AF22" s="23">
        <f t="shared" si="9"/>
        <v>158.90401691330769</v>
      </c>
      <c r="AG22" s="19">
        <f>'19'!G88</f>
        <v>0</v>
      </c>
      <c r="AH22" s="19">
        <f>'19'!G89</f>
        <v>10.31000000000131</v>
      </c>
      <c r="AI22" s="19">
        <f>'19'!G90</f>
        <v>10.779999999998836</v>
      </c>
      <c r="AJ22" s="19">
        <f t="shared" si="10"/>
        <v>21.090000000000146</v>
      </c>
      <c r="AK22" s="19">
        <f>'19'!G91</f>
        <v>11.480000000000473</v>
      </c>
      <c r="AL22" s="19">
        <f>'19'!G92</f>
        <v>0</v>
      </c>
      <c r="AM22" s="19"/>
      <c r="AN22" s="19">
        <f t="shared" si="11"/>
        <v>11.480000000000473</v>
      </c>
      <c r="AO22" s="52">
        <f>'19'!G74</f>
        <v>298.35999999998603</v>
      </c>
      <c r="AP22" s="55">
        <f>'19'!G35</f>
        <v>2784.359999999986</v>
      </c>
      <c r="AQ22" s="19">
        <f>'19'!G37</f>
        <v>0</v>
      </c>
      <c r="AR22" s="19">
        <f>'19'!G38</f>
        <v>0</v>
      </c>
      <c r="AS22" s="19">
        <f>'19'!G39</f>
        <v>0</v>
      </c>
      <c r="AT22" s="19">
        <f>'19'!G40</f>
        <v>412.10000000000582</v>
      </c>
      <c r="AU22" s="19">
        <f>'19'!G41</f>
        <v>0.46999999997206032</v>
      </c>
      <c r="AV22" s="19">
        <f>'19'!G42</f>
        <v>0</v>
      </c>
      <c r="AW22" s="19">
        <f>'19'!G43</f>
        <v>2408.1199999999953</v>
      </c>
      <c r="AX22" s="23">
        <f>'19'!G44</f>
        <v>0</v>
      </c>
      <c r="AY22" s="56">
        <f>'19'!G36</f>
        <v>956.59999999997672</v>
      </c>
      <c r="AZ22" s="55">
        <f>'19'!G49</f>
        <v>495.21000000007916</v>
      </c>
      <c r="BA22" s="19">
        <f>'19'!G51</f>
        <v>1033.4499999999825</v>
      </c>
      <c r="BB22" s="19">
        <f>'19'!G52</f>
        <v>0</v>
      </c>
      <c r="BC22" s="19">
        <f>'19'!G53</f>
        <v>4100.4300000000512</v>
      </c>
      <c r="BD22" s="19">
        <f>'19'!G54</f>
        <v>162.22000000000116</v>
      </c>
      <c r="BE22" s="19">
        <f>'19'!G55</f>
        <v>0</v>
      </c>
      <c r="BF22" s="19">
        <f>'19'!G56</f>
        <v>3757.609999999986</v>
      </c>
      <c r="BG22" s="19">
        <f>'19'!G57</f>
        <v>0</v>
      </c>
      <c r="BH22" s="56">
        <f>'19'!G50</f>
        <v>1329.5900000000256</v>
      </c>
      <c r="BI22" s="60">
        <f t="shared" si="12"/>
        <v>3758.0799999999581</v>
      </c>
      <c r="BJ22" s="60">
        <f>'19'!G133</f>
        <v>713</v>
      </c>
      <c r="BK22" s="23">
        <f t="shared" si="13"/>
        <v>41.762734495550113</v>
      </c>
      <c r="BL22" s="23">
        <f t="shared" si="14"/>
        <v>18.129296966535321</v>
      </c>
      <c r="BM22" s="24">
        <f t="shared" si="15"/>
        <v>0</v>
      </c>
      <c r="BN22" s="25">
        <f t="shared" si="16"/>
        <v>302899.6999999996</v>
      </c>
      <c r="BO22" s="38">
        <f t="shared" si="17"/>
        <v>6879.1999999999534</v>
      </c>
      <c r="BP22">
        <f t="shared" si="18"/>
        <v>1.0388402295378329</v>
      </c>
    </row>
    <row r="23" spans="1:68">
      <c r="A23" s="16">
        <v>20</v>
      </c>
      <c r="B23" s="26">
        <v>20</v>
      </c>
      <c r="C23" s="26"/>
      <c r="D23" s="19">
        <f>'20'!D3</f>
        <v>26</v>
      </c>
      <c r="E23" s="50">
        <f>'20'!D4</f>
        <v>0.78</v>
      </c>
      <c r="F23" s="50">
        <f>'20'!D2</f>
        <v>0.81</v>
      </c>
      <c r="G23" s="19">
        <f>'20'!G7</f>
        <v>22916.770000000019</v>
      </c>
      <c r="H23" s="19">
        <f>'20'!G8</f>
        <v>23058.300000000047</v>
      </c>
      <c r="I23" s="19">
        <v>9</v>
      </c>
      <c r="J23" s="49">
        <f t="shared" si="3"/>
        <v>207524.70000000042</v>
      </c>
      <c r="K23" s="45">
        <f t="shared" si="4"/>
        <v>114.15000000000023</v>
      </c>
      <c r="L23" s="19">
        <f>'20'!G15</f>
        <v>1116</v>
      </c>
      <c r="M23" s="19">
        <v>56.2</v>
      </c>
      <c r="N23" s="41">
        <f t="shared" si="5"/>
        <v>62719.200000000004</v>
      </c>
      <c r="O23" s="19">
        <f>'20'!G20</f>
        <v>289</v>
      </c>
      <c r="P23" s="19">
        <v>108</v>
      </c>
      <c r="Q23" s="46">
        <f t="shared" si="0"/>
        <v>31212</v>
      </c>
      <c r="R23" s="47">
        <f t="shared" si="1"/>
        <v>176.62877398850995</v>
      </c>
      <c r="S23" s="19">
        <f>'20'!G24</f>
        <v>0</v>
      </c>
      <c r="T23" s="19">
        <v>69</v>
      </c>
      <c r="U23" s="48">
        <f t="shared" si="6"/>
        <v>0</v>
      </c>
      <c r="V23" s="22">
        <f>'20'!G65</f>
        <v>140</v>
      </c>
      <c r="W23" s="22">
        <f>'20'!G66</f>
        <v>12</v>
      </c>
      <c r="X23" s="22">
        <f>'20'!G67</f>
        <v>22</v>
      </c>
      <c r="Y23" s="22">
        <f t="shared" si="7"/>
        <v>174</v>
      </c>
      <c r="Z23" s="19">
        <f>'20'!G84</f>
        <v>0</v>
      </c>
      <c r="AA23" s="19">
        <f>'20'!G85</f>
        <v>-0.27999999999974534</v>
      </c>
      <c r="AB23" s="19">
        <f>'20'!G86</f>
        <v>2</v>
      </c>
      <c r="AC23" s="19">
        <f>'20'!G87</f>
        <v>24</v>
      </c>
      <c r="AD23" s="19">
        <f t="shared" si="8"/>
        <v>25.720000000000255</v>
      </c>
      <c r="AE23" s="23">
        <f t="shared" si="2"/>
        <v>3723.7200000000303</v>
      </c>
      <c r="AF23" s="23">
        <f t="shared" si="9"/>
        <v>144.77916018662495</v>
      </c>
      <c r="AG23" s="19">
        <f>'20'!G88</f>
        <v>1.2000000000007276</v>
      </c>
      <c r="AH23" s="19">
        <f>'20'!G89</f>
        <v>10.509999999998399</v>
      </c>
      <c r="AI23" s="19">
        <f>'20'!G90</f>
        <v>12.220000000001164</v>
      </c>
      <c r="AJ23" s="19">
        <f t="shared" si="10"/>
        <v>23.930000000000291</v>
      </c>
      <c r="AK23" s="19">
        <f>'20'!G91</f>
        <v>10.859999999999673</v>
      </c>
      <c r="AL23" s="19">
        <f>'20'!G92</f>
        <v>0</v>
      </c>
      <c r="AM23" s="19"/>
      <c r="AN23" s="19">
        <f t="shared" si="11"/>
        <v>10.859999999999673</v>
      </c>
      <c r="AO23" s="52">
        <f>'20'!G74</f>
        <v>286.10999999998603</v>
      </c>
      <c r="AP23" s="55">
        <f>'20'!G35</f>
        <v>2774.890000000014</v>
      </c>
      <c r="AQ23" s="19">
        <f>'20'!G37</f>
        <v>0</v>
      </c>
      <c r="AR23" s="19">
        <f>'20'!G38</f>
        <v>0</v>
      </c>
      <c r="AS23" s="19">
        <f>'20'!G39</f>
        <v>-0.18999999994412065</v>
      </c>
      <c r="AT23" s="19">
        <f>'20'!G40</f>
        <v>415.70999999999185</v>
      </c>
      <c r="AU23" s="19">
        <f>'20'!G41</f>
        <v>-0.46999999997206032</v>
      </c>
      <c r="AV23" s="19">
        <f>'20'!G42</f>
        <v>0</v>
      </c>
      <c r="AW23" s="19">
        <f>'20'!G43</f>
        <v>2528.8099999999977</v>
      </c>
      <c r="AX23" s="23">
        <f>'20'!G44</f>
        <v>0</v>
      </c>
      <c r="AY23" s="56">
        <f>'20'!G36</f>
        <v>796.5</v>
      </c>
      <c r="AZ23" s="55">
        <f>'20'!G49</f>
        <v>497.18999999994412</v>
      </c>
      <c r="BA23" s="19">
        <f>'20'!G51</f>
        <v>1016.640000000014</v>
      </c>
      <c r="BB23" s="19">
        <f>'20'!G52</f>
        <v>0</v>
      </c>
      <c r="BC23" s="19">
        <f>'20'!G588</f>
        <v>0</v>
      </c>
      <c r="BD23" s="19">
        <f>'20'!G54</f>
        <v>100.47999999999593</v>
      </c>
      <c r="BE23" s="19">
        <f>'20'!G55</f>
        <v>465.89000000001397</v>
      </c>
      <c r="BF23" s="19">
        <f>'20'!G56</f>
        <v>3258.2999999999884</v>
      </c>
      <c r="BG23" s="19">
        <f>'20'!G57</f>
        <v>0</v>
      </c>
      <c r="BH23" s="56">
        <f>'20'!G50</f>
        <v>1771.4099999999744</v>
      </c>
      <c r="BI23" s="60">
        <f t="shared" si="12"/>
        <v>3723.7200000000303</v>
      </c>
      <c r="BJ23" s="60">
        <f>'20'!G133</f>
        <v>718</v>
      </c>
      <c r="BK23" s="23">
        <f t="shared" si="13"/>
        <v>41.306644462080754</v>
      </c>
      <c r="BL23" s="23">
        <f t="shared" si="14"/>
        <v>-8.2399829971906114E-4</v>
      </c>
      <c r="BM23" s="24">
        <f t="shared" si="15"/>
        <v>0</v>
      </c>
      <c r="BN23" s="25">
        <f t="shared" si="16"/>
        <v>301455.90000000043</v>
      </c>
      <c r="BO23" s="38">
        <f t="shared" si="17"/>
        <v>6970.5300000000279</v>
      </c>
      <c r="BP23">
        <f t="shared" si="18"/>
        <v>0.96791407465007206</v>
      </c>
    </row>
    <row r="24" spans="1:68">
      <c r="A24" s="16">
        <v>21</v>
      </c>
      <c r="B24" s="26">
        <v>21</v>
      </c>
      <c r="C24" s="28"/>
      <c r="D24" s="19">
        <v>21</v>
      </c>
      <c r="E24" s="50">
        <f>'21'!D4</f>
        <v>0.78</v>
      </c>
      <c r="F24" s="50">
        <f>'21'!D2</f>
        <v>0.83</v>
      </c>
      <c r="G24" s="19">
        <f>'21'!G7</f>
        <v>21875</v>
      </c>
      <c r="H24" s="19">
        <f>'21'!G8</f>
        <v>22002</v>
      </c>
      <c r="I24" s="19">
        <v>9</v>
      </c>
      <c r="J24" s="49">
        <f t="shared" si="3"/>
        <v>198018</v>
      </c>
      <c r="K24" s="45">
        <f t="shared" si="4"/>
        <v>108.92079207920793</v>
      </c>
      <c r="L24" s="19">
        <f>'21'!G15</f>
        <v>1103</v>
      </c>
      <c r="M24" s="19">
        <v>56.2</v>
      </c>
      <c r="N24" s="41">
        <f t="shared" si="5"/>
        <v>61988.600000000006</v>
      </c>
      <c r="O24" s="19">
        <f>'21'!G20</f>
        <v>360</v>
      </c>
      <c r="P24" s="19">
        <v>108</v>
      </c>
      <c r="Q24" s="46">
        <f t="shared" si="0"/>
        <v>38880</v>
      </c>
      <c r="R24" s="47">
        <f t="shared" si="1"/>
        <v>214.72026720744364</v>
      </c>
      <c r="S24" s="19">
        <f>'21'!G24</f>
        <v>0</v>
      </c>
      <c r="T24" s="19">
        <v>69</v>
      </c>
      <c r="U24" s="48">
        <f t="shared" si="6"/>
        <v>0</v>
      </c>
      <c r="V24" s="22">
        <f>'21'!G65</f>
        <v>128</v>
      </c>
      <c r="W24" s="22">
        <f>'21'!G66</f>
        <v>8</v>
      </c>
      <c r="X24" s="22">
        <f>'21'!G67</f>
        <v>21</v>
      </c>
      <c r="Y24" s="22">
        <f t="shared" si="7"/>
        <v>157</v>
      </c>
      <c r="Z24" s="19">
        <f>'21'!G84</f>
        <v>2.6500000000014552</v>
      </c>
      <c r="AA24" s="19">
        <f>'21'!G85</f>
        <v>0</v>
      </c>
      <c r="AB24" s="19">
        <f>'21'!G86</f>
        <v>1</v>
      </c>
      <c r="AC24" s="19">
        <f>'21'!G87</f>
        <v>24</v>
      </c>
      <c r="AD24" s="19">
        <f t="shared" si="8"/>
        <v>27.650000000001455</v>
      </c>
      <c r="AE24" s="23">
        <f t="shared" si="2"/>
        <v>3921</v>
      </c>
      <c r="AF24" s="23">
        <f t="shared" si="9"/>
        <v>141.808318264007</v>
      </c>
      <c r="AG24" s="19">
        <f>'21'!G88</f>
        <v>9.5900000000001455</v>
      </c>
      <c r="AH24" s="19">
        <f>'21'!G89</f>
        <v>2.5</v>
      </c>
      <c r="AI24" s="19">
        <f>'21'!G90</f>
        <v>8</v>
      </c>
      <c r="AJ24" s="19">
        <f t="shared" si="10"/>
        <v>20.090000000000146</v>
      </c>
      <c r="AK24" s="19">
        <f>'21'!G91</f>
        <v>11</v>
      </c>
      <c r="AL24" s="19">
        <f>'21'!G92</f>
        <v>0</v>
      </c>
      <c r="AM24" s="19"/>
      <c r="AN24" s="19">
        <f t="shared" si="11"/>
        <v>11</v>
      </c>
      <c r="AO24" s="52">
        <f>'21'!G74</f>
        <v>290</v>
      </c>
      <c r="AP24" s="55">
        <f>'21'!G35</f>
        <v>2793</v>
      </c>
      <c r="AQ24" s="19">
        <f>'21'!G37</f>
        <v>870.30999999999767</v>
      </c>
      <c r="AR24" s="19">
        <f>'21'!G38</f>
        <v>1247.4100000000326</v>
      </c>
      <c r="AS24" s="19">
        <f>'21'!G39</f>
        <v>1303</v>
      </c>
      <c r="AT24" s="19">
        <f>'21'!G40</f>
        <v>424</v>
      </c>
      <c r="AU24" s="19">
        <f>'21'!G41</f>
        <v>581</v>
      </c>
      <c r="AV24" s="19">
        <f>'21'!G42</f>
        <v>0</v>
      </c>
      <c r="AW24" s="19">
        <f>'21'!G43</f>
        <v>0</v>
      </c>
      <c r="AX24" s="23">
        <f>'21'!G44</f>
        <v>0</v>
      </c>
      <c r="AY24" s="56">
        <f>'21'!G36</f>
        <v>863</v>
      </c>
      <c r="AZ24" s="55">
        <f>'21'!G49</f>
        <v>414.4100000000326</v>
      </c>
      <c r="BA24" s="19">
        <f>'21'!G51</f>
        <v>485</v>
      </c>
      <c r="BB24" s="19">
        <f>'21'!G52</f>
        <v>0</v>
      </c>
      <c r="BC24" s="19">
        <f>'21'!G53</f>
        <v>2095</v>
      </c>
      <c r="BD24" s="19">
        <f>'21'!G54</f>
        <v>89</v>
      </c>
      <c r="BE24" s="19">
        <f>'21'!G55</f>
        <v>70</v>
      </c>
      <c r="BF24" s="19">
        <f>'21'!G56</f>
        <v>3270</v>
      </c>
      <c r="BG24" s="19">
        <f>'21'!G57</f>
        <v>2438</v>
      </c>
      <c r="BH24" s="56">
        <f>'21'!G50</f>
        <v>1174</v>
      </c>
      <c r="BI24" s="60">
        <f t="shared" si="12"/>
        <v>3921</v>
      </c>
      <c r="BJ24" s="60">
        <f>'21'!G133</f>
        <v>788</v>
      </c>
      <c r="BK24" s="23">
        <f t="shared" si="13"/>
        <v>43.4797291155351</v>
      </c>
      <c r="BL24" s="23">
        <f t="shared" si="14"/>
        <v>15.444050540859921</v>
      </c>
      <c r="BM24" s="24">
        <f t="shared" si="15"/>
        <v>5.6695300427235369E-2</v>
      </c>
      <c r="BN24" s="25">
        <f t="shared" si="16"/>
        <v>298886.59999999998</v>
      </c>
      <c r="BO24" s="38">
        <f t="shared" si="17"/>
        <v>7147</v>
      </c>
      <c r="BP24">
        <f t="shared" si="18"/>
        <v>0.92314647377933656</v>
      </c>
    </row>
    <row r="25" spans="1:68">
      <c r="A25" s="16">
        <v>22</v>
      </c>
      <c r="B25" s="27">
        <v>22</v>
      </c>
      <c r="C25" s="28"/>
      <c r="D25" s="19">
        <f>'22'!D3</f>
        <v>26</v>
      </c>
      <c r="E25" s="50">
        <f>'22'!D4</f>
        <v>0.78</v>
      </c>
      <c r="F25" s="50">
        <f>'22'!D2</f>
        <v>0.72</v>
      </c>
      <c r="G25" s="19">
        <f>'22'!G7</f>
        <v>22447</v>
      </c>
      <c r="H25" s="19">
        <f>'22'!G8</f>
        <v>22635</v>
      </c>
      <c r="I25" s="19">
        <v>9</v>
      </c>
      <c r="J25" s="49">
        <f t="shared" si="3"/>
        <v>203715</v>
      </c>
      <c r="K25" s="45">
        <f t="shared" si="4"/>
        <v>112.05445544554455</v>
      </c>
      <c r="L25" s="19">
        <f>'22'!G15</f>
        <v>1107</v>
      </c>
      <c r="M25" s="19">
        <v>56.2</v>
      </c>
      <c r="N25" s="41">
        <f t="shared" si="5"/>
        <v>62213.4</v>
      </c>
      <c r="O25" s="19">
        <f>'22'!G20</f>
        <v>279</v>
      </c>
      <c r="P25" s="19">
        <v>108</v>
      </c>
      <c r="Q25" s="46">
        <f t="shared" si="0"/>
        <v>30132</v>
      </c>
      <c r="R25" s="47">
        <f t="shared" si="1"/>
        <v>191.83168316831683</v>
      </c>
      <c r="S25" s="19">
        <f>'22'!G24</f>
        <v>0</v>
      </c>
      <c r="T25" s="19">
        <v>69</v>
      </c>
      <c r="U25" s="48">
        <f t="shared" si="6"/>
        <v>0</v>
      </c>
      <c r="V25" s="22">
        <f>'22'!G65</f>
        <v>121</v>
      </c>
      <c r="W25" s="22">
        <f>'22'!G66</f>
        <v>18</v>
      </c>
      <c r="X25" s="22">
        <f>'22'!G67</f>
        <v>23</v>
      </c>
      <c r="Y25" s="22">
        <f t="shared" si="7"/>
        <v>162</v>
      </c>
      <c r="Z25" s="19">
        <f>'22'!G84</f>
        <v>3</v>
      </c>
      <c r="AA25" s="19">
        <f>'22'!G85</f>
        <v>0</v>
      </c>
      <c r="AB25" s="19">
        <f>'22'!G86</f>
        <v>0</v>
      </c>
      <c r="AC25" s="19">
        <f>'22'!G87</f>
        <v>24</v>
      </c>
      <c r="AD25" s="19">
        <f t="shared" si="8"/>
        <v>27</v>
      </c>
      <c r="AE25" s="23">
        <f t="shared" si="2"/>
        <v>3700</v>
      </c>
      <c r="AF25" s="23">
        <f t="shared" si="9"/>
        <v>137.03703703703704</v>
      </c>
      <c r="AG25" s="19">
        <f>'22'!G88</f>
        <v>10.889999999999418</v>
      </c>
      <c r="AH25" s="19">
        <f>'22'!G89</f>
        <v>0.5</v>
      </c>
      <c r="AI25" s="19">
        <f>'22'!G90</f>
        <v>10</v>
      </c>
      <c r="AJ25" s="19">
        <f t="shared" si="10"/>
        <v>21.389999999999418</v>
      </c>
      <c r="AK25" s="19">
        <f>'22'!G91</f>
        <v>11.569999999999709</v>
      </c>
      <c r="AL25" s="19">
        <f>'22'!G92</f>
        <v>0</v>
      </c>
      <c r="AM25" s="19"/>
      <c r="AN25" s="19">
        <f t="shared" si="11"/>
        <v>11.569999999999709</v>
      </c>
      <c r="AO25" s="52">
        <f>'22'!G74</f>
        <v>295</v>
      </c>
      <c r="AP25" s="55">
        <f>'22'!G35</f>
        <v>2725</v>
      </c>
      <c r="AQ25" s="19">
        <f>'22'!G37</f>
        <v>1505</v>
      </c>
      <c r="AR25" s="19">
        <f>'22'!G38</f>
        <v>2573</v>
      </c>
      <c r="AS25" s="19">
        <f>'22'!G39</f>
        <v>2823</v>
      </c>
      <c r="AT25" s="19">
        <f>'22'!G40</f>
        <v>431</v>
      </c>
      <c r="AU25" s="19">
        <f>'22'!G41</f>
        <v>434</v>
      </c>
      <c r="AV25" s="19">
        <f>'22'!G42</f>
        <v>0</v>
      </c>
      <c r="AW25" s="19">
        <f>'22'!G43</f>
        <v>0</v>
      </c>
      <c r="AX25" s="23">
        <f>'22'!G44</f>
        <v>0</v>
      </c>
      <c r="AY25" s="56">
        <f>'22'!G36</f>
        <v>1016</v>
      </c>
      <c r="AZ25" s="55">
        <f>'22'!G49</f>
        <v>345</v>
      </c>
      <c r="BA25" s="19">
        <f>'22'!G51</f>
        <v>0</v>
      </c>
      <c r="BB25" s="19">
        <f>'22'!G52</f>
        <v>0</v>
      </c>
      <c r="BC25" s="19">
        <f>'22'!G53</f>
        <v>0</v>
      </c>
      <c r="BD25" s="19">
        <f>'22'!G54</f>
        <v>321</v>
      </c>
      <c r="BE25" s="19">
        <f>'22'!G55</f>
        <v>0</v>
      </c>
      <c r="BF25" s="19">
        <f>'22'!G56</f>
        <v>3266</v>
      </c>
      <c r="BG25" s="19">
        <f>'22'!G57</f>
        <v>2564</v>
      </c>
      <c r="BH25" s="56">
        <f>'22'!G50</f>
        <v>1260</v>
      </c>
      <c r="BI25" s="60">
        <f t="shared" si="12"/>
        <v>3700</v>
      </c>
      <c r="BJ25" s="60">
        <f>'22'!G133</f>
        <v>773</v>
      </c>
      <c r="BK25" s="23">
        <f t="shared" si="13"/>
        <v>41.237022310580961</v>
      </c>
      <c r="BL25" s="23">
        <f t="shared" si="14"/>
        <v>12.471835652750165</v>
      </c>
      <c r="BM25" s="24">
        <f t="shared" si="15"/>
        <v>0.1136735144687431</v>
      </c>
      <c r="BN25" s="25">
        <f t="shared" si="16"/>
        <v>296060.40000000002</v>
      </c>
      <c r="BO25" s="38">
        <f t="shared" si="17"/>
        <v>7037</v>
      </c>
      <c r="BP25">
        <f t="shared" si="18"/>
        <v>0.93082010582010577</v>
      </c>
    </row>
    <row r="26" spans="1:68">
      <c r="A26" s="16">
        <v>23</v>
      </c>
      <c r="B26" s="27">
        <v>23</v>
      </c>
      <c r="C26" s="28"/>
      <c r="D26" s="19">
        <f>'23'!D3</f>
        <v>29</v>
      </c>
      <c r="E26" s="50">
        <f>'23'!D4</f>
        <v>0.79</v>
      </c>
      <c r="F26" s="50">
        <f>'23'!D2</f>
        <v>0.78</v>
      </c>
      <c r="G26" s="19">
        <f>'23'!G7</f>
        <v>20579</v>
      </c>
      <c r="H26" s="19">
        <f>'23'!G8</f>
        <v>20700</v>
      </c>
      <c r="I26" s="19">
        <v>9</v>
      </c>
      <c r="J26" s="49">
        <f t="shared" si="3"/>
        <v>186300</v>
      </c>
      <c r="K26" s="45">
        <f t="shared" si="4"/>
        <v>102.47524752475248</v>
      </c>
      <c r="L26" s="19">
        <f>'23'!G15</f>
        <v>1104</v>
      </c>
      <c r="M26" s="19">
        <v>56.2</v>
      </c>
      <c r="N26" s="41">
        <f t="shared" si="5"/>
        <v>62044.800000000003</v>
      </c>
      <c r="O26" s="19">
        <f>'23'!G20</f>
        <v>258</v>
      </c>
      <c r="P26" s="19">
        <v>108</v>
      </c>
      <c r="Q26" s="46">
        <f t="shared" si="0"/>
        <v>27864</v>
      </c>
      <c r="R26" s="47">
        <f t="shared" si="1"/>
        <v>163.74714394516374</v>
      </c>
      <c r="S26" s="19">
        <f>'23'!G24</f>
        <v>0</v>
      </c>
      <c r="T26" s="19">
        <v>69</v>
      </c>
      <c r="U26" s="48">
        <f t="shared" si="6"/>
        <v>0</v>
      </c>
      <c r="V26" s="22">
        <f>'23'!G65</f>
        <v>111</v>
      </c>
      <c r="W26" s="22">
        <f>'23'!G66</f>
        <v>9</v>
      </c>
      <c r="X26" s="22">
        <f>'23'!G67</f>
        <v>24</v>
      </c>
      <c r="Y26" s="22">
        <f t="shared" si="7"/>
        <v>144</v>
      </c>
      <c r="Z26" s="19">
        <f>'23'!G84</f>
        <v>0</v>
      </c>
      <c r="AA26" s="19">
        <f>'23'!G85</f>
        <v>0</v>
      </c>
      <c r="AB26" s="19">
        <f>'23'!G86</f>
        <v>0</v>
      </c>
      <c r="AC26" s="19">
        <f>'23'!G87</f>
        <v>24</v>
      </c>
      <c r="AD26" s="19">
        <f t="shared" si="8"/>
        <v>24</v>
      </c>
      <c r="AE26" s="23">
        <f t="shared" si="2"/>
        <v>3018.6300000000047</v>
      </c>
      <c r="AF26" s="23">
        <f t="shared" si="9"/>
        <v>125.77625000000019</v>
      </c>
      <c r="AG26" s="19">
        <f>'23'!G88</f>
        <v>7.5200000000004366</v>
      </c>
      <c r="AH26" s="19">
        <f>'23'!G89</f>
        <v>4</v>
      </c>
      <c r="AI26" s="19">
        <f>'23'!G90</f>
        <v>11</v>
      </c>
      <c r="AJ26" s="19">
        <f t="shared" si="10"/>
        <v>22.520000000000437</v>
      </c>
      <c r="AK26" s="19">
        <f>'23'!G91</f>
        <v>11.430000000000291</v>
      </c>
      <c r="AL26" s="19">
        <f>'23'!G92</f>
        <v>0</v>
      </c>
      <c r="AM26" s="19"/>
      <c r="AN26" s="19">
        <f t="shared" si="11"/>
        <v>11.430000000000291</v>
      </c>
      <c r="AO26" s="52">
        <f>'23'!G74</f>
        <v>297</v>
      </c>
      <c r="AP26" s="55">
        <f>'23'!G35</f>
        <v>2672</v>
      </c>
      <c r="AQ26" s="19">
        <f>'23'!G37</f>
        <v>1455</v>
      </c>
      <c r="AR26" s="19">
        <f>'23'!G38</f>
        <v>2361</v>
      </c>
      <c r="AS26" s="19">
        <f>'23'!G39</f>
        <v>2721</v>
      </c>
      <c r="AT26" s="19">
        <f>'23'!G40</f>
        <v>424</v>
      </c>
      <c r="AU26" s="19">
        <f>'23'!G41</f>
        <v>0</v>
      </c>
      <c r="AV26" s="19">
        <f>'23'!G42</f>
        <v>0</v>
      </c>
      <c r="AW26" s="19">
        <f>'23'!G43</f>
        <v>0</v>
      </c>
      <c r="AX26" s="23">
        <f>'23'!G44</f>
        <v>0</v>
      </c>
      <c r="AY26" s="56">
        <f>'23'!G36</f>
        <v>794</v>
      </c>
      <c r="AZ26" s="55">
        <f>'23'!G49</f>
        <v>347</v>
      </c>
      <c r="BA26" s="19">
        <f>'23'!G51</f>
        <v>0</v>
      </c>
      <c r="BB26" s="19">
        <f>'23'!G52</f>
        <v>0</v>
      </c>
      <c r="BC26" s="19">
        <f>'23'!G53</f>
        <v>0</v>
      </c>
      <c r="BD26" s="19">
        <f>'23'!G54</f>
        <v>349</v>
      </c>
      <c r="BE26" s="19">
        <f>'23'!G55</f>
        <v>-0.36999999999534339</v>
      </c>
      <c r="BF26" s="19">
        <f>'23'!G56</f>
        <v>3019</v>
      </c>
      <c r="BG26" s="19">
        <f>'23'!G57</f>
        <v>2563</v>
      </c>
      <c r="BH26" s="56">
        <f>'23'!G50</f>
        <v>1163</v>
      </c>
      <c r="BI26" s="60">
        <f t="shared" si="12"/>
        <v>3018.6300000000047</v>
      </c>
      <c r="BJ26" s="60">
        <f>'23'!G133</f>
        <v>732</v>
      </c>
      <c r="BK26" s="23">
        <f t="shared" si="13"/>
        <v>41.548937198067655</v>
      </c>
      <c r="BL26" s="23">
        <f t="shared" si="14"/>
        <v>13.144927536231885</v>
      </c>
      <c r="BM26" s="24">
        <f t="shared" si="15"/>
        <v>0.11405797101449275</v>
      </c>
      <c r="BN26" s="25">
        <f t="shared" si="16"/>
        <v>276208.8</v>
      </c>
      <c r="BO26" s="38">
        <f t="shared" si="17"/>
        <v>6313.6300000000047</v>
      </c>
      <c r="BP26">
        <f t="shared" si="18"/>
        <v>0.93952827380952453</v>
      </c>
    </row>
    <row r="27" spans="1:68">
      <c r="A27" s="16">
        <v>24</v>
      </c>
      <c r="B27" s="17">
        <v>24</v>
      </c>
      <c r="C27" s="28"/>
      <c r="D27" s="19">
        <f>'24'!D3</f>
        <v>29</v>
      </c>
      <c r="E27" s="50">
        <f>'24'!D4</f>
        <v>0.79</v>
      </c>
      <c r="F27" s="50">
        <f>'24'!D2</f>
        <v>0.41</v>
      </c>
      <c r="G27" s="19">
        <f>'24'!G7</f>
        <v>20533.35400000005</v>
      </c>
      <c r="H27" s="19">
        <f>'24'!G8</f>
        <v>20649</v>
      </c>
      <c r="I27" s="19">
        <v>9</v>
      </c>
      <c r="J27" s="49">
        <f t="shared" si="3"/>
        <v>185841</v>
      </c>
      <c r="K27" s="45">
        <f t="shared" si="4"/>
        <v>102.22277227722772</v>
      </c>
      <c r="L27" s="19">
        <f>'24'!G15</f>
        <v>1128</v>
      </c>
      <c r="M27" s="19">
        <v>56.2</v>
      </c>
      <c r="N27" s="41">
        <f t="shared" si="5"/>
        <v>63393.600000000006</v>
      </c>
      <c r="O27" s="19">
        <f>'24'!G20</f>
        <v>277</v>
      </c>
      <c r="P27" s="19">
        <v>108</v>
      </c>
      <c r="Q27" s="46">
        <f t="shared" si="0"/>
        <v>29916</v>
      </c>
      <c r="R27" s="47">
        <f t="shared" si="1"/>
        <v>334.46027529582227</v>
      </c>
      <c r="S27" s="19">
        <f>'24'!G24</f>
        <v>0</v>
      </c>
      <c r="T27" s="19">
        <v>69</v>
      </c>
      <c r="U27" s="48">
        <f t="shared" si="6"/>
        <v>0</v>
      </c>
      <c r="V27" s="22">
        <f>'24'!G65</f>
        <v>124</v>
      </c>
      <c r="W27" s="22">
        <f>'24'!G66</f>
        <v>16</v>
      </c>
      <c r="X27" s="22">
        <f>'24'!G67</f>
        <v>29</v>
      </c>
      <c r="Y27" s="22">
        <f t="shared" si="7"/>
        <v>169</v>
      </c>
      <c r="Z27" s="19">
        <f>'24'!G84</f>
        <v>0</v>
      </c>
      <c r="AA27" s="19">
        <f>'24'!G85</f>
        <v>0</v>
      </c>
      <c r="AB27" s="19">
        <f>'24'!G86</f>
        <v>0</v>
      </c>
      <c r="AC27" s="19">
        <f>'24'!G87</f>
        <v>24.419999999998254</v>
      </c>
      <c r="AD27" s="19">
        <f t="shared" si="8"/>
        <v>24.419999999998254</v>
      </c>
      <c r="AE27" s="23">
        <f t="shared" si="2"/>
        <v>2892.3900000000722</v>
      </c>
      <c r="AF27" s="23">
        <f t="shared" si="9"/>
        <v>118.44348894350037</v>
      </c>
      <c r="AG27" s="19">
        <f>'24'!G88</f>
        <v>9</v>
      </c>
      <c r="AH27" s="19">
        <f>'24'!G89</f>
        <v>1.6699999999982538</v>
      </c>
      <c r="AI27" s="19">
        <f>'24'!G90</f>
        <v>14.149999999994179</v>
      </c>
      <c r="AJ27" s="19">
        <f t="shared" si="10"/>
        <v>24.819999999992433</v>
      </c>
      <c r="AK27" s="19">
        <f>'24'!G91</f>
        <v>11.239999999999782</v>
      </c>
      <c r="AL27" s="19">
        <f>'24'!G92</f>
        <v>0</v>
      </c>
      <c r="AM27" s="19"/>
      <c r="AN27" s="19">
        <f t="shared" si="11"/>
        <v>11.239999999999782</v>
      </c>
      <c r="AO27" s="52">
        <f>'24'!G74</f>
        <v>296</v>
      </c>
      <c r="AP27" s="55">
        <f>'24'!G35</f>
        <v>2594.3099999999977</v>
      </c>
      <c r="AQ27" s="19">
        <f>'24'!G37</f>
        <v>1476.5100000000093</v>
      </c>
      <c r="AR27" s="19">
        <f>'24'!G38</f>
        <v>2452.3499999999767</v>
      </c>
      <c r="AS27" s="19">
        <f>'24'!G39</f>
        <v>2730.9899999999907</v>
      </c>
      <c r="AT27" s="19">
        <f>'24'!G40</f>
        <v>398.70999999999185</v>
      </c>
      <c r="AU27" s="19">
        <f>'24'!G41</f>
        <v>0.51000000000931323</v>
      </c>
      <c r="AV27" s="19">
        <f>'24'!G42</f>
        <v>0.7900000000372529</v>
      </c>
      <c r="AW27" s="19">
        <f>'24'!G43</f>
        <v>0</v>
      </c>
      <c r="AX27" s="23">
        <f>'24'!G44</f>
        <v>0</v>
      </c>
      <c r="AY27" s="56">
        <f>'24'!G36</f>
        <v>731.63000000000466</v>
      </c>
      <c r="AZ27" s="55">
        <f>'24'!G49</f>
        <v>349.98999999999069</v>
      </c>
      <c r="BA27" s="19">
        <f>'24'!G51</f>
        <v>0.44000000000232831</v>
      </c>
      <c r="BB27" s="19">
        <f>'24'!G52</f>
        <v>0</v>
      </c>
      <c r="BC27" s="19">
        <f>'24'!G53</f>
        <v>3.0000000027939677E-2</v>
      </c>
      <c r="BD27" s="19">
        <f>'24'!G54</f>
        <v>359.89999999999418</v>
      </c>
      <c r="BE27" s="19">
        <f>'24'!G55</f>
        <v>0</v>
      </c>
      <c r="BF27" s="19">
        <f>'24'!G56</f>
        <v>2891.0900000000256</v>
      </c>
      <c r="BG27" s="19">
        <f>'24'!G57</f>
        <v>2087.0300000000279</v>
      </c>
      <c r="BH27" s="56">
        <f>'24'!G50</f>
        <v>1346.9099999999744</v>
      </c>
      <c r="BI27" s="60">
        <f t="shared" si="12"/>
        <v>2892.3900000000722</v>
      </c>
      <c r="BJ27" s="60">
        <f>'24'!G133</f>
        <v>642</v>
      </c>
      <c r="BK27" s="23">
        <f t="shared" si="13"/>
        <v>38.373383698968901</v>
      </c>
      <c r="BL27" s="23">
        <f t="shared" si="14"/>
        <v>13.225918930698914</v>
      </c>
      <c r="BM27" s="24">
        <f t="shared" si="15"/>
        <v>0.1187636205143095</v>
      </c>
      <c r="BN27" s="25">
        <f t="shared" si="16"/>
        <v>279150.59999999998</v>
      </c>
      <c r="BO27" s="38">
        <f t="shared" si="17"/>
        <v>5621.4200000001001</v>
      </c>
      <c r="BP27">
        <f t="shared" si="18"/>
        <v>0.82213349713357053</v>
      </c>
    </row>
    <row r="28" spans="1:68">
      <c r="A28" s="16">
        <v>25</v>
      </c>
      <c r="B28" s="26">
        <v>25</v>
      </c>
      <c r="C28" s="28"/>
      <c r="D28" s="19">
        <f>'25'!D3</f>
        <v>28</v>
      </c>
      <c r="E28" s="50">
        <f>'25'!D4</f>
        <v>0.79</v>
      </c>
      <c r="F28" s="50">
        <f>'25'!D2</f>
        <v>0.3861</v>
      </c>
      <c r="G28" s="19">
        <f>'25'!G7</f>
        <v>21367.675999999978</v>
      </c>
      <c r="H28" s="19">
        <f>'25'!G8</f>
        <v>21475</v>
      </c>
      <c r="I28" s="19">
        <v>9</v>
      </c>
      <c r="J28" s="49">
        <f t="shared" si="3"/>
        <v>193275</v>
      </c>
      <c r="K28" s="45">
        <f t="shared" si="4"/>
        <v>106.31188118811882</v>
      </c>
      <c r="L28" s="19">
        <f>'25'!G15</f>
        <v>1127.7999999998137</v>
      </c>
      <c r="M28" s="19">
        <v>56.2</v>
      </c>
      <c r="N28" s="41">
        <f t="shared" si="5"/>
        <v>63382.359999989538</v>
      </c>
      <c r="O28" s="19">
        <f>'25'!G20</f>
        <v>279</v>
      </c>
      <c r="P28" s="19">
        <v>108</v>
      </c>
      <c r="Q28" s="46">
        <f t="shared" si="0"/>
        <v>30132</v>
      </c>
      <c r="R28" s="47">
        <f t="shared" si="1"/>
        <v>357.72808050035775</v>
      </c>
      <c r="S28" s="19">
        <f>'25'!G24</f>
        <v>0</v>
      </c>
      <c r="T28" s="19">
        <v>69</v>
      </c>
      <c r="U28" s="48">
        <f t="shared" si="6"/>
        <v>0</v>
      </c>
      <c r="V28" s="22">
        <f>'25'!G65</f>
        <v>136</v>
      </c>
      <c r="W28" s="22">
        <f>'25'!G66</f>
        <v>13</v>
      </c>
      <c r="X28" s="22">
        <f>'25'!G67</f>
        <v>26</v>
      </c>
      <c r="Y28" s="22">
        <f t="shared" si="7"/>
        <v>175</v>
      </c>
      <c r="Z28" s="19">
        <f>'25'!G84</f>
        <v>0</v>
      </c>
      <c r="AA28" s="19">
        <f>'25'!G85</f>
        <v>21.199999999999818</v>
      </c>
      <c r="AB28" s="19">
        <f>'25'!G86</f>
        <v>0</v>
      </c>
      <c r="AC28" s="19">
        <f>'25'!G87</f>
        <v>5.8800000000046566</v>
      </c>
      <c r="AD28" s="19">
        <f t="shared" si="8"/>
        <v>27.080000000004475</v>
      </c>
      <c r="AE28" s="23">
        <f t="shared" si="2"/>
        <v>631.79999999998836</v>
      </c>
      <c r="AF28" s="23">
        <f t="shared" si="9"/>
        <v>23.330871491871637</v>
      </c>
      <c r="AG28" s="19">
        <f>'25'!G88</f>
        <v>10</v>
      </c>
      <c r="AH28" s="19">
        <f>'25'!G89</f>
        <v>1.3300000000017462</v>
      </c>
      <c r="AI28" s="19">
        <f>'25'!G90</f>
        <v>10.850000000005821</v>
      </c>
      <c r="AJ28" s="19">
        <f t="shared" si="10"/>
        <v>22.180000000007567</v>
      </c>
      <c r="AK28" s="19">
        <f>'25'!G91</f>
        <v>11.360000000000582</v>
      </c>
      <c r="AL28" s="19">
        <f>'25'!G92</f>
        <v>0</v>
      </c>
      <c r="AM28" s="19"/>
      <c r="AN28" s="19">
        <f t="shared" si="11"/>
        <v>11.360000000000582</v>
      </c>
      <c r="AO28" s="52">
        <f>'25'!G74</f>
        <v>299</v>
      </c>
      <c r="AP28" s="55">
        <f>'25'!G35</f>
        <v>2603.6900000000023</v>
      </c>
      <c r="AQ28" s="19">
        <f>'25'!G37</f>
        <v>1461.4899999999907</v>
      </c>
      <c r="AR28" s="19">
        <f>'25'!G38</f>
        <v>2575.6500000000233</v>
      </c>
      <c r="AS28" s="19">
        <f>'25'!G39</f>
        <v>2670.0100000000093</v>
      </c>
      <c r="AT28" s="19">
        <f>'25'!G40</f>
        <v>455.29000000000815</v>
      </c>
      <c r="AU28" s="19">
        <f>'25'!G41</f>
        <v>-1.0000000009313226E-2</v>
      </c>
      <c r="AV28" s="19"/>
      <c r="AW28" s="19">
        <f>'25'!G43</f>
        <v>0</v>
      </c>
      <c r="AX28" s="23">
        <f>'25'!G44</f>
        <v>0</v>
      </c>
      <c r="AY28" s="56">
        <f>'25'!G36</f>
        <v>771.36999999999534</v>
      </c>
      <c r="AZ28" s="55">
        <f>'25'!G49</f>
        <v>342</v>
      </c>
      <c r="BA28" s="19">
        <f>'25'!G51</f>
        <v>-0.44000000000232831</v>
      </c>
      <c r="BB28" s="19">
        <f>'25'!G52</f>
        <v>0</v>
      </c>
      <c r="BC28" s="19">
        <f>'25'!G53</f>
        <v>-3.0000000027939677E-2</v>
      </c>
      <c r="BD28" s="19">
        <f>'24'!G54</f>
        <v>359.89999999999418</v>
      </c>
      <c r="BE28" s="19">
        <f>'25'!G55</f>
        <v>0</v>
      </c>
      <c r="BF28" s="19">
        <f>'25'!G56</f>
        <v>631.80999999999767</v>
      </c>
      <c r="BG28" s="19">
        <f>'25'!G57</f>
        <v>2749.8699999999953</v>
      </c>
      <c r="BH28" s="56">
        <f>'25'!G50</f>
        <v>1417.390000000014</v>
      </c>
      <c r="BI28" s="60">
        <f t="shared" si="12"/>
        <v>631.79999999998836</v>
      </c>
      <c r="BJ28" s="60">
        <f>'25'!G133</f>
        <v>550</v>
      </c>
      <c r="BK28" s="23">
        <f t="shared" si="13"/>
        <v>29.463841676367803</v>
      </c>
      <c r="BL28" s="23">
        <f t="shared" si="14"/>
        <v>12.432968568102359</v>
      </c>
      <c r="BM28" s="24">
        <f t="shared" si="15"/>
        <v>0.11993713620489049</v>
      </c>
      <c r="BN28" s="25">
        <f t="shared" si="16"/>
        <v>286789.35999998951</v>
      </c>
      <c r="BO28" s="38">
        <f t="shared" si="17"/>
        <v>3931.6699999999837</v>
      </c>
      <c r="BP28">
        <f t="shared" si="18"/>
        <v>0.51852579658146947</v>
      </c>
    </row>
    <row r="29" spans="1:68">
      <c r="A29" s="16">
        <v>26</v>
      </c>
      <c r="B29" s="26">
        <v>26</v>
      </c>
      <c r="C29" s="29"/>
      <c r="D29" s="19">
        <f>'26'!D3</f>
        <v>28</v>
      </c>
      <c r="E29" s="50">
        <f>'26'!D4</f>
        <v>0.79</v>
      </c>
      <c r="F29" s="50">
        <f>'26'!D2</f>
        <v>1</v>
      </c>
      <c r="G29" s="19">
        <f>'26'!G7</f>
        <v>20195.679999999935</v>
      </c>
      <c r="H29" s="19">
        <f>'26'!G8</f>
        <v>20198</v>
      </c>
      <c r="I29" s="19">
        <v>9</v>
      </c>
      <c r="J29" s="49">
        <f t="shared" si="3"/>
        <v>181782</v>
      </c>
      <c r="K29" s="45">
        <f t="shared" si="4"/>
        <v>99.990099009900987</v>
      </c>
      <c r="L29" s="19">
        <f>'26'!G15</f>
        <v>1135.9900000002235</v>
      </c>
      <c r="M29" s="19">
        <v>56.2</v>
      </c>
      <c r="N29" s="41">
        <f t="shared" si="5"/>
        <v>63842.638000012565</v>
      </c>
      <c r="O29" s="19">
        <f>'26'!G20</f>
        <v>291</v>
      </c>
      <c r="P29" s="19">
        <v>108</v>
      </c>
      <c r="Q29" s="46">
        <f t="shared" si="0"/>
        <v>31428</v>
      </c>
      <c r="R29" s="47">
        <f t="shared" si="1"/>
        <v>144.05940594059405</v>
      </c>
      <c r="S29" s="19">
        <f>'26'!G24</f>
        <v>0</v>
      </c>
      <c r="T29" s="19">
        <v>69</v>
      </c>
      <c r="U29" s="48">
        <f t="shared" si="6"/>
        <v>0</v>
      </c>
      <c r="V29" s="22">
        <f>'26'!G65</f>
        <v>165</v>
      </c>
      <c r="W29" s="22">
        <f>'26'!G66</f>
        <v>15</v>
      </c>
      <c r="X29" s="22">
        <f>'26'!G67</f>
        <v>23</v>
      </c>
      <c r="Y29" s="22">
        <f t="shared" si="7"/>
        <v>203</v>
      </c>
      <c r="Z29" s="19">
        <f>'26'!G84</f>
        <v>0</v>
      </c>
      <c r="AA29" s="19">
        <f>'26'!G85</f>
        <v>23.360000000000582</v>
      </c>
      <c r="AB29" s="19">
        <f>'26'!G86</f>
        <v>8.000000000174623E-2</v>
      </c>
      <c r="AC29" s="19">
        <f>'26'!G87</f>
        <v>5.9999999997671694E-2</v>
      </c>
      <c r="AD29" s="19">
        <f t="shared" si="8"/>
        <v>23.5</v>
      </c>
      <c r="AE29" s="23">
        <f t="shared" si="2"/>
        <v>3943.2799999999697</v>
      </c>
      <c r="AF29" s="23">
        <f t="shared" si="9"/>
        <v>167.79914893616893</v>
      </c>
      <c r="AG29" s="19">
        <f>'26'!G88</f>
        <v>10.709999999999127</v>
      </c>
      <c r="AH29" s="19">
        <f>'26'!G89</f>
        <v>5</v>
      </c>
      <c r="AI29" s="19">
        <f>'26'!G90</f>
        <v>6</v>
      </c>
      <c r="AJ29" s="19">
        <f t="shared" si="10"/>
        <v>21.709999999999127</v>
      </c>
      <c r="AK29" s="19">
        <f>'26'!G91</f>
        <v>10.399999999999636</v>
      </c>
      <c r="AL29" s="19">
        <f>'26'!G92</f>
        <v>0</v>
      </c>
      <c r="AM29" s="19"/>
      <c r="AN29" s="19">
        <f t="shared" si="11"/>
        <v>10.399999999999636</v>
      </c>
      <c r="AO29" s="52">
        <f>'26'!G74</f>
        <v>221</v>
      </c>
      <c r="AP29" s="55">
        <f>'26'!G35</f>
        <v>2549.710000000021</v>
      </c>
      <c r="AQ29" s="19">
        <f>'26'!G37</f>
        <v>1374</v>
      </c>
      <c r="AR29" s="19">
        <f>'26'!G38</f>
        <v>2377.7900000000373</v>
      </c>
      <c r="AS29" s="19">
        <f>'26'!G39</f>
        <v>2707.7900000000373</v>
      </c>
      <c r="AT29" s="19">
        <f>'26'!G40</f>
        <v>436.04999999998836</v>
      </c>
      <c r="AU29" s="19">
        <f>'26'!G41</f>
        <v>0</v>
      </c>
      <c r="AV29" s="19">
        <f>'26'!G42</f>
        <v>3943.2299999999814</v>
      </c>
      <c r="AW29" s="19">
        <f>'26'!G43</f>
        <v>0</v>
      </c>
      <c r="AX29" s="23">
        <f>'26'!G44</f>
        <v>0</v>
      </c>
      <c r="AY29" s="56">
        <f>'26'!G36</f>
        <v>666.6699999999837</v>
      </c>
      <c r="AZ29" s="55">
        <f>'26'!G49</f>
        <v>333.28000000002794</v>
      </c>
      <c r="BA29" s="19">
        <f>'26'!G51</f>
        <v>0</v>
      </c>
      <c r="BB29" s="19">
        <f>'26'!G52</f>
        <v>0.24000000000000021</v>
      </c>
      <c r="BC29" s="19">
        <f>'26'!G53</f>
        <v>3.0000000027939677E-2</v>
      </c>
      <c r="BD29" s="19">
        <f>'26'!G54</f>
        <v>354</v>
      </c>
      <c r="BE29" s="19">
        <f>'26'!G55</f>
        <v>0</v>
      </c>
      <c r="BF29" s="19">
        <f>'26'!G56</f>
        <v>4.9999999988358468E-2</v>
      </c>
      <c r="BG29" s="19">
        <f>'26'!G57</f>
        <v>2584.5300000000279</v>
      </c>
      <c r="BH29" s="56">
        <f>'26'!G50</f>
        <v>1151.6900000000023</v>
      </c>
      <c r="BI29" s="60">
        <f t="shared" si="12"/>
        <v>3943.2799999999697</v>
      </c>
      <c r="BJ29" s="60">
        <f>'26'!G133</f>
        <v>1335</v>
      </c>
      <c r="BK29" s="23">
        <f t="shared" si="13"/>
        <v>46.592731953659012</v>
      </c>
      <c r="BL29" s="23">
        <f t="shared" si="14"/>
        <v>13.406376868997254</v>
      </c>
      <c r="BM29" s="24">
        <f t="shared" si="15"/>
        <v>0.11773591444697679</v>
      </c>
      <c r="BN29" s="25">
        <f t="shared" si="16"/>
        <v>277052.63800001255</v>
      </c>
      <c r="BO29" s="38">
        <f t="shared" si="17"/>
        <v>7862.8099999999977</v>
      </c>
      <c r="BP29">
        <f t="shared" si="18"/>
        <v>1.1949559270516714</v>
      </c>
    </row>
    <row r="30" spans="1:68">
      <c r="A30" s="16">
        <v>27</v>
      </c>
      <c r="B30" s="17">
        <v>27</v>
      </c>
      <c r="C30" s="28"/>
      <c r="D30" s="19">
        <f>'27'!D3</f>
        <v>32</v>
      </c>
      <c r="E30" s="50">
        <f>'27'!D4</f>
        <v>0.76</v>
      </c>
      <c r="F30" s="50">
        <f>'27'!D2</f>
        <v>0.76</v>
      </c>
      <c r="G30" s="19">
        <f>'27'!G7</f>
        <v>20583.600000000093</v>
      </c>
      <c r="H30" s="19">
        <f>'27'!G8</f>
        <v>20797.899999999994</v>
      </c>
      <c r="I30" s="19">
        <v>9</v>
      </c>
      <c r="J30" s="49">
        <f t="shared" si="3"/>
        <v>187181.09999999995</v>
      </c>
      <c r="K30" s="45">
        <f t="shared" si="4"/>
        <v>102.95990099009899</v>
      </c>
      <c r="L30" s="19">
        <f>'27'!G15</f>
        <v>1195.3599999998696</v>
      </c>
      <c r="M30" s="19">
        <v>56.2</v>
      </c>
      <c r="N30" s="41">
        <f t="shared" si="5"/>
        <v>67179.231999992669</v>
      </c>
      <c r="O30" s="19">
        <f>'27'!G20</f>
        <v>342</v>
      </c>
      <c r="P30" s="19">
        <v>108</v>
      </c>
      <c r="Q30" s="46">
        <f t="shared" si="0"/>
        <v>36936</v>
      </c>
      <c r="R30" s="47">
        <f t="shared" si="1"/>
        <v>222.77227722772275</v>
      </c>
      <c r="S30" s="19">
        <f>'27'!G24</f>
        <v>0</v>
      </c>
      <c r="T30" s="19">
        <v>69</v>
      </c>
      <c r="U30" s="48">
        <f t="shared" si="6"/>
        <v>0</v>
      </c>
      <c r="V30" s="22">
        <f>'27'!G65</f>
        <v>183</v>
      </c>
      <c r="W30" s="22">
        <f>'27'!G66</f>
        <v>18</v>
      </c>
      <c r="X30" s="22">
        <f>'27'!G67</f>
        <v>20</v>
      </c>
      <c r="Y30" s="22">
        <f t="shared" si="7"/>
        <v>221</v>
      </c>
      <c r="Z30" s="19">
        <f>'27'!G84</f>
        <v>0</v>
      </c>
      <c r="AA30" s="19">
        <f>'27'!G85</f>
        <v>23.4399999999996</v>
      </c>
      <c r="AB30" s="19">
        <f>'27'!G86</f>
        <v>-8.000000000174623E-2</v>
      </c>
      <c r="AC30" s="19">
        <f>'27'!G87</f>
        <v>-0.36000000000058208</v>
      </c>
      <c r="AD30" s="19">
        <f t="shared" si="8"/>
        <v>22.999999999997272</v>
      </c>
      <c r="AE30" s="23">
        <f t="shared" si="2"/>
        <v>4580.3400000000256</v>
      </c>
      <c r="AF30" s="23">
        <f t="shared" si="9"/>
        <v>199.14521739132908</v>
      </c>
      <c r="AG30" s="19">
        <f>'27'!G88</f>
        <v>11.290000000000873</v>
      </c>
      <c r="AH30" s="19">
        <f>'27'!G89</f>
        <v>5</v>
      </c>
      <c r="AI30" s="19">
        <f>'27'!G90</f>
        <v>6</v>
      </c>
      <c r="AJ30" s="19">
        <f t="shared" si="10"/>
        <v>22.290000000000873</v>
      </c>
      <c r="AK30" s="19">
        <f>'27'!G91</f>
        <v>0</v>
      </c>
      <c r="AL30" s="19">
        <f>'27'!G92</f>
        <v>6.3299999999999272</v>
      </c>
      <c r="AM30" s="19"/>
      <c r="AN30" s="19">
        <f t="shared" si="11"/>
        <v>6.3299999999999272</v>
      </c>
      <c r="AO30" s="52">
        <f>'27'!G74</f>
        <v>213</v>
      </c>
      <c r="AP30" s="55">
        <f>'27'!G35</f>
        <v>2606.9599999999627</v>
      </c>
      <c r="AQ30" s="19">
        <f>'27'!G37</f>
        <v>1445</v>
      </c>
      <c r="AR30" s="19">
        <f>'27'!G38</f>
        <v>2563.1999999999534</v>
      </c>
      <c r="AS30" s="19">
        <f>'27'!G39</f>
        <v>2738.2399999999907</v>
      </c>
      <c r="AT30" s="19">
        <f>'27'!G40</f>
        <v>308.92000000001281</v>
      </c>
      <c r="AU30" s="19">
        <f>'27'!G41</f>
        <v>0</v>
      </c>
      <c r="AV30" s="19">
        <f>'27'!G42</f>
        <v>4580.3200000000652</v>
      </c>
      <c r="AW30" s="19">
        <f>'27'!G43</f>
        <v>0</v>
      </c>
      <c r="AX30" s="23">
        <f>'27'!G44</f>
        <v>0</v>
      </c>
      <c r="AY30" s="56">
        <f>'27'!G36</f>
        <v>774.3300000000163</v>
      </c>
      <c r="AZ30" s="55">
        <f>'27'!G49</f>
        <v>354.47999999998137</v>
      </c>
      <c r="BA30" s="19">
        <f>'27'!G51</f>
        <v>0.44000000000232831</v>
      </c>
      <c r="BB30" s="19">
        <f>'27'!G52</f>
        <v>0</v>
      </c>
      <c r="BC30" s="19">
        <f>'27'!G53</f>
        <v>0</v>
      </c>
      <c r="BD30" s="19">
        <f>'27'!G54</f>
        <v>373.16000000000349</v>
      </c>
      <c r="BE30" s="19">
        <f>'27'!G55</f>
        <v>0</v>
      </c>
      <c r="BF30" s="19">
        <f>'27'!G56</f>
        <v>1.9999999960418791E-2</v>
      </c>
      <c r="BG30" s="19">
        <f>'27'!G57</f>
        <v>2773.5699999999488</v>
      </c>
      <c r="BH30" s="56">
        <f>'27'!G50</f>
        <v>1151.320000000007</v>
      </c>
      <c r="BI30" s="60">
        <f t="shared" si="12"/>
        <v>4580.3400000000256</v>
      </c>
      <c r="BJ30" s="60">
        <f>'27'!G133</f>
        <v>0</v>
      </c>
      <c r="BK30" s="23">
        <f t="shared" si="13"/>
        <v>49.598036340207052</v>
      </c>
      <c r="BL30" s="23">
        <f t="shared" si="14"/>
        <v>13.165944638641362</v>
      </c>
      <c r="BM30" s="24">
        <f t="shared" si="15"/>
        <v>0.12324321205506104</v>
      </c>
      <c r="BN30" s="25">
        <f t="shared" si="16"/>
        <v>291296.3319999926</v>
      </c>
      <c r="BO30" s="38">
        <f t="shared" si="17"/>
        <v>7353.9099999999744</v>
      </c>
      <c r="BP30">
        <f t="shared" si="18"/>
        <v>1.1419114906833614</v>
      </c>
    </row>
    <row r="31" spans="1:68">
      <c r="A31" s="16">
        <v>28</v>
      </c>
      <c r="B31" s="26">
        <v>28</v>
      </c>
      <c r="C31" s="28"/>
      <c r="D31" s="19">
        <f>'28'!D3</f>
        <v>32</v>
      </c>
      <c r="E31" s="50">
        <f>'28'!D4</f>
        <v>0.7</v>
      </c>
      <c r="F31" s="50">
        <f>'28'!D2</f>
        <v>0.8</v>
      </c>
      <c r="G31" s="19">
        <f>'28'!G7</f>
        <v>22059.599999999977</v>
      </c>
      <c r="H31" s="19">
        <f>'28'!G8</f>
        <v>22210.61</v>
      </c>
      <c r="I31" s="19">
        <v>9</v>
      </c>
      <c r="J31" s="49">
        <f t="shared" si="3"/>
        <v>199895.49</v>
      </c>
      <c r="K31" s="45">
        <f t="shared" si="4"/>
        <v>109.95351485148515</v>
      </c>
      <c r="L31" s="19">
        <f>'28'!G15</f>
        <v>1167.570000000298</v>
      </c>
      <c r="M31" s="19">
        <v>56.2</v>
      </c>
      <c r="N31" s="41">
        <f t="shared" si="5"/>
        <v>65617.434000016758</v>
      </c>
      <c r="O31" s="19">
        <f>'28'!G20</f>
        <v>308</v>
      </c>
      <c r="P31" s="19">
        <v>108</v>
      </c>
      <c r="Q31" s="46">
        <f t="shared" si="0"/>
        <v>33264</v>
      </c>
      <c r="R31" s="47">
        <f t="shared" si="1"/>
        <v>190.59405940594056</v>
      </c>
      <c r="S31" s="19">
        <f>'28'!G24</f>
        <v>0</v>
      </c>
      <c r="T31" s="19">
        <v>69</v>
      </c>
      <c r="U31" s="48">
        <f t="shared" si="6"/>
        <v>0</v>
      </c>
      <c r="V31" s="22">
        <f>'28'!G65</f>
        <v>42</v>
      </c>
      <c r="W31" s="22">
        <f>'28'!G66</f>
        <v>8</v>
      </c>
      <c r="X31" s="22">
        <f>'28'!G67</f>
        <v>44</v>
      </c>
      <c r="Y31" s="22">
        <f t="shared" si="7"/>
        <v>94</v>
      </c>
      <c r="Z31" s="19">
        <f>'28'!G84</f>
        <v>0</v>
      </c>
      <c r="AA31" s="19">
        <f>'28'!G85</f>
        <v>24</v>
      </c>
      <c r="AB31" s="19">
        <f>'28'!G86</f>
        <v>0</v>
      </c>
      <c r="AC31" s="19">
        <f>'28'!G87</f>
        <v>6.4499999999970896</v>
      </c>
      <c r="AD31" s="19">
        <f t="shared" si="8"/>
        <v>30.44999999999709</v>
      </c>
      <c r="AE31" s="23">
        <f t="shared" si="2"/>
        <v>4973.4799999999814</v>
      </c>
      <c r="AF31" s="23">
        <f t="shared" si="9"/>
        <v>163.33267651889841</v>
      </c>
      <c r="AG31" s="19">
        <f>'28'!G88</f>
        <v>7.4700000000011642</v>
      </c>
      <c r="AH31" s="19">
        <f>'28'!G89</f>
        <v>4.2999999999992724</v>
      </c>
      <c r="AI31" s="19">
        <f>'28'!G90</f>
        <v>16.970000000001164</v>
      </c>
      <c r="AJ31" s="19">
        <f t="shared" si="10"/>
        <v>28.740000000001601</v>
      </c>
      <c r="AK31" s="19">
        <f>'28'!G91</f>
        <v>0</v>
      </c>
      <c r="AL31" s="19">
        <f>'28'!G92</f>
        <v>8.069999999999709</v>
      </c>
      <c r="AM31" s="19"/>
      <c r="AN31" s="19">
        <f t="shared" si="11"/>
        <v>8.069999999999709</v>
      </c>
      <c r="AO31" s="52">
        <f>'28'!G74</f>
        <v>205</v>
      </c>
      <c r="AP31" s="55">
        <f>'28'!G35</f>
        <v>2541.3300000000163</v>
      </c>
      <c r="AQ31" s="19">
        <f>'28'!G37</f>
        <v>1410</v>
      </c>
      <c r="AR31" s="19">
        <f>'28'!G38</f>
        <v>2515.0100000000093</v>
      </c>
      <c r="AS31" s="19">
        <f>'28'!G39</f>
        <v>2685.9699999999721</v>
      </c>
      <c r="AT31" s="19">
        <f>'28'!G40</f>
        <v>386.02999999999884</v>
      </c>
      <c r="AU31" s="19">
        <f>'28'!G41</f>
        <v>0</v>
      </c>
      <c r="AV31" s="19">
        <f>'28'!G42</f>
        <v>4238.4499999999534</v>
      </c>
      <c r="AW31" s="86">
        <f>'28'!G43</f>
        <v>0</v>
      </c>
      <c r="AX31" s="23">
        <f>'28'!G44</f>
        <v>0</v>
      </c>
      <c r="AY31" s="56">
        <f>'28'!G36</f>
        <v>1102</v>
      </c>
      <c r="AZ31" s="55">
        <f>'28'!G49</f>
        <v>313.25</v>
      </c>
      <c r="BA31" s="19">
        <f>'28'!G51</f>
        <v>-0.44000000000232831</v>
      </c>
      <c r="BB31" s="19">
        <f>'28'!G52</f>
        <v>0</v>
      </c>
      <c r="BC31" s="19">
        <f>'28'!G53</f>
        <v>-3.0000000027939677E-2</v>
      </c>
      <c r="BD31" s="19">
        <f>'28'!G54</f>
        <v>336.19999999999709</v>
      </c>
      <c r="BE31" s="19">
        <f>'28'!G55</f>
        <v>0</v>
      </c>
      <c r="BF31" s="19">
        <f>'28'!G56</f>
        <v>735.03000000002794</v>
      </c>
      <c r="BG31" s="19">
        <f>'28'!G57</f>
        <v>2592</v>
      </c>
      <c r="BH31" s="56">
        <f>'28'!G50</f>
        <v>1360.6900000000023</v>
      </c>
      <c r="BI31" s="60">
        <f t="shared" si="12"/>
        <v>4973.4799999999814</v>
      </c>
      <c r="BJ31" s="60">
        <f>'28'!G133</f>
        <v>700</v>
      </c>
      <c r="BK31" s="23">
        <f>SUM(AP31,AU31,AV31,AW31,AZ31,BE31,BF31,BG31)/H31%</f>
        <v>46.914785321069516</v>
      </c>
      <c r="BL31" s="23">
        <f t="shared" si="14"/>
        <v>12.09304922287116</v>
      </c>
      <c r="BM31" s="24">
        <f t="shared" si="15"/>
        <v>0.11323462075107389</v>
      </c>
      <c r="BN31" s="25">
        <f t="shared" si="16"/>
        <v>298776.92400001676</v>
      </c>
      <c r="BO31" s="38">
        <f t="shared" si="17"/>
        <v>8265.4799999999814</v>
      </c>
      <c r="BP31">
        <f t="shared" si="18"/>
        <v>0.96944405348355278</v>
      </c>
    </row>
    <row r="32" spans="1:68">
      <c r="A32" s="16">
        <v>29</v>
      </c>
      <c r="B32" s="26">
        <v>29</v>
      </c>
      <c r="C32" s="28"/>
      <c r="D32" s="19">
        <f>'29'!D3</f>
        <v>27</v>
      </c>
      <c r="E32" s="50">
        <f>'29'!D4</f>
        <v>0.79</v>
      </c>
      <c r="F32" s="50">
        <f>'29'!D2</f>
        <v>1</v>
      </c>
      <c r="G32" s="19">
        <f>'29'!G7</f>
        <v>23062.469999999972</v>
      </c>
      <c r="H32" s="19">
        <f>'29'!G8</f>
        <v>23237.490000000005</v>
      </c>
      <c r="I32" s="19">
        <v>9</v>
      </c>
      <c r="J32" s="49">
        <f t="shared" si="3"/>
        <v>209137.41000000003</v>
      </c>
      <c r="K32" s="45">
        <f t="shared" si="4"/>
        <v>115.03707920792081</v>
      </c>
      <c r="L32" s="19">
        <f>'29'!G15</f>
        <v>1254.9899999997579</v>
      </c>
      <c r="M32" s="19">
        <v>56.2</v>
      </c>
      <c r="N32" s="41">
        <f t="shared" si="5"/>
        <v>70530.437999986389</v>
      </c>
      <c r="O32" s="19">
        <f>'29'!G20</f>
        <v>268</v>
      </c>
      <c r="P32" s="19">
        <v>108</v>
      </c>
      <c r="Q32" s="46">
        <f t="shared" si="0"/>
        <v>28944</v>
      </c>
      <c r="R32" s="47">
        <f t="shared" si="1"/>
        <v>132.67326732673268</v>
      </c>
      <c r="S32" s="19">
        <f>'29'!G24</f>
        <v>0</v>
      </c>
      <c r="T32" s="19">
        <v>69</v>
      </c>
      <c r="U32" s="48">
        <f t="shared" si="6"/>
        <v>0</v>
      </c>
      <c r="V32" s="22">
        <f>'29'!G65</f>
        <v>139</v>
      </c>
      <c r="W32" s="22">
        <f>'29'!G66</f>
        <v>14</v>
      </c>
      <c r="X32" s="22">
        <f>'29'!G67</f>
        <v>26</v>
      </c>
      <c r="Y32" s="22">
        <f t="shared" si="7"/>
        <v>179</v>
      </c>
      <c r="Z32" s="19">
        <f>'29'!G84</f>
        <v>0</v>
      </c>
      <c r="AA32" s="19">
        <f>'29'!G85</f>
        <v>24.539999999999964</v>
      </c>
      <c r="AB32" s="19">
        <f>'29'!G86</f>
        <v>0</v>
      </c>
      <c r="AC32" s="19">
        <f>'29'!G87</f>
        <v>2.8100000000049477</v>
      </c>
      <c r="AD32" s="19">
        <f t="shared" si="8"/>
        <v>27.350000000004911</v>
      </c>
      <c r="AE32" s="23">
        <f t="shared" si="2"/>
        <v>5058.1799999999348</v>
      </c>
      <c r="AF32" s="23">
        <f t="shared" si="9"/>
        <v>184.94259597802656</v>
      </c>
      <c r="AG32" s="19">
        <f>'29'!G88</f>
        <v>8.8799999999973807</v>
      </c>
      <c r="AH32" s="19">
        <f>'29'!G89</f>
        <v>9.7000000000007276</v>
      </c>
      <c r="AI32" s="19">
        <f>'29'!G90</f>
        <v>6.1399999999994179</v>
      </c>
      <c r="AJ32" s="19">
        <f t="shared" si="10"/>
        <v>24.719999999997526</v>
      </c>
      <c r="AK32" s="19">
        <f>'29'!G91</f>
        <v>0</v>
      </c>
      <c r="AL32" s="19">
        <f>'29'!G92</f>
        <v>11.630000000000109</v>
      </c>
      <c r="AM32" s="19"/>
      <c r="AN32" s="19">
        <f t="shared" si="11"/>
        <v>11.630000000000109</v>
      </c>
      <c r="AO32" s="52">
        <f>'29'!G74</f>
        <v>309</v>
      </c>
      <c r="AP32" s="55">
        <f>'29'!G35</f>
        <v>2897</v>
      </c>
      <c r="AQ32" s="19">
        <f>'29'!G37</f>
        <v>1446</v>
      </c>
      <c r="AR32" s="19">
        <f>'29'!G38</f>
        <v>2745</v>
      </c>
      <c r="AS32" s="19">
        <f>'29'!G39</f>
        <v>2857</v>
      </c>
      <c r="AT32" s="19">
        <f>'29'!G40</f>
        <v>462.73000000001048</v>
      </c>
      <c r="AU32" s="19">
        <f>'29'!G41</f>
        <v>0</v>
      </c>
      <c r="AV32" s="19">
        <f>'29'!G42</f>
        <v>4785.9499999999534</v>
      </c>
      <c r="AW32" s="19">
        <f>'29'!G43</f>
        <v>0</v>
      </c>
      <c r="AX32" s="23">
        <f>'29'!G44</f>
        <v>0</v>
      </c>
      <c r="AY32" s="56">
        <f>'29'!G36</f>
        <v>1275</v>
      </c>
      <c r="AZ32" s="55">
        <f>'29'!G49</f>
        <v>327.46999999997206</v>
      </c>
      <c r="BA32" s="19">
        <f>'29'!G51</f>
        <v>0.44000000000232831</v>
      </c>
      <c r="BB32" s="19">
        <f>'29'!G52</f>
        <v>0</v>
      </c>
      <c r="BC32" s="19">
        <f>'29'!G53</f>
        <v>0</v>
      </c>
      <c r="BD32" s="19">
        <f>'29'!G54</f>
        <v>356.86000000000058</v>
      </c>
      <c r="BE32" s="19">
        <f>'29'!G55</f>
        <v>0</v>
      </c>
      <c r="BF32" s="19">
        <f>'29'!G56</f>
        <v>272.22999999998137</v>
      </c>
      <c r="BG32" s="19">
        <f>'29'!G57</f>
        <v>2596</v>
      </c>
      <c r="BH32" s="56">
        <f>'29'!G50</f>
        <v>1528</v>
      </c>
      <c r="BI32" s="60">
        <f t="shared" si="12"/>
        <v>5058.1799999999348</v>
      </c>
      <c r="BJ32" s="60">
        <f>'29'!G133</f>
        <v>1393</v>
      </c>
      <c r="BK32" s="23">
        <f t="shared" si="13"/>
        <v>46.815082007565813</v>
      </c>
      <c r="BL32" s="23">
        <f t="shared" si="14"/>
        <v>12.294787431861183</v>
      </c>
      <c r="BM32" s="24">
        <f t="shared" si="15"/>
        <v>0.11812807665543909</v>
      </c>
      <c r="BN32" s="25">
        <f t="shared" si="16"/>
        <v>308611.84799998644</v>
      </c>
      <c r="BO32" s="38">
        <f t="shared" si="17"/>
        <v>9047.1799999999348</v>
      </c>
      <c r="BP32">
        <f t="shared" si="18"/>
        <v>1.1814024549488522</v>
      </c>
    </row>
    <row r="33" spans="1:68">
      <c r="A33" s="16">
        <v>30</v>
      </c>
      <c r="B33" s="27">
        <v>30</v>
      </c>
      <c r="C33" s="28"/>
      <c r="D33" s="19">
        <f>'30'!D3</f>
        <v>28</v>
      </c>
      <c r="E33" s="50">
        <f>'30'!D4</f>
        <v>0.78</v>
      </c>
      <c r="F33" s="50">
        <f>'30'!D2</f>
        <v>0.5</v>
      </c>
      <c r="G33" s="19">
        <f>'30'!G7</f>
        <v>21377.619999999995</v>
      </c>
      <c r="H33" s="19">
        <f>'30'!G8</f>
        <v>21529.170000000013</v>
      </c>
      <c r="I33" s="19">
        <v>9</v>
      </c>
      <c r="J33" s="49">
        <f t="shared" si="3"/>
        <v>193762.53000000012</v>
      </c>
      <c r="K33" s="45">
        <f t="shared" si="4"/>
        <v>106.58004950495055</v>
      </c>
      <c r="L33" s="19">
        <f>'30'!G15</f>
        <v>1214.2900000000373</v>
      </c>
      <c r="M33" s="19">
        <v>56.2</v>
      </c>
      <c r="N33" s="41">
        <f t="shared" si="5"/>
        <v>68243.098000002094</v>
      </c>
      <c r="O33" s="19">
        <f>'30'!G20</f>
        <v>363</v>
      </c>
      <c r="P33" s="19">
        <v>108</v>
      </c>
      <c r="Q33" s="46">
        <f t="shared" si="0"/>
        <v>39204</v>
      </c>
      <c r="R33" s="47">
        <f t="shared" si="1"/>
        <v>359.40594059405942</v>
      </c>
      <c r="S33" s="19">
        <f>'30'!G24</f>
        <v>0</v>
      </c>
      <c r="T33" s="19">
        <v>69</v>
      </c>
      <c r="U33" s="48">
        <f t="shared" si="6"/>
        <v>0</v>
      </c>
      <c r="V33" s="22">
        <f>'30'!G65</f>
        <v>127</v>
      </c>
      <c r="W33" s="22">
        <f>'30'!G66</f>
        <v>22</v>
      </c>
      <c r="X33" s="22">
        <f>'30'!G67</f>
        <v>28</v>
      </c>
      <c r="Y33" s="22">
        <f t="shared" si="7"/>
        <v>177</v>
      </c>
      <c r="Z33" s="19">
        <f>'30'!G84</f>
        <v>0</v>
      </c>
      <c r="AA33" s="19">
        <f>'30'!G85</f>
        <v>23.920000000000073</v>
      </c>
      <c r="AB33" s="19">
        <f>'30'!G86</f>
        <v>0</v>
      </c>
      <c r="AC33" s="19">
        <f>'30'!G87</f>
        <v>-0.26000000000203727</v>
      </c>
      <c r="AD33" s="19">
        <f t="shared" si="8"/>
        <v>23.659999999998035</v>
      </c>
      <c r="AE33" s="23">
        <f t="shared" si="2"/>
        <v>4680.8200000000652</v>
      </c>
      <c r="AF33" s="23">
        <f t="shared" si="9"/>
        <v>197.83685545225924</v>
      </c>
      <c r="AG33" s="19">
        <f>'30'!G88</f>
        <v>2.6500000000014552</v>
      </c>
      <c r="AH33" s="19">
        <f>'30'!G89</f>
        <v>11.130000000001019</v>
      </c>
      <c r="AI33" s="19">
        <f>'30'!G90</f>
        <v>10.889999999999418</v>
      </c>
      <c r="AJ33" s="19">
        <f t="shared" si="10"/>
        <v>24.670000000001892</v>
      </c>
      <c r="AK33" s="19">
        <f>'30'!G91</f>
        <v>8</v>
      </c>
      <c r="AL33" s="19">
        <f>'30'!G92</f>
        <v>11.130000000000109</v>
      </c>
      <c r="AM33" s="19"/>
      <c r="AN33" s="19">
        <f t="shared" si="11"/>
        <v>19.130000000000109</v>
      </c>
      <c r="AO33" s="52">
        <f>'30'!G74</f>
        <v>574</v>
      </c>
      <c r="AP33" s="55">
        <f>'30'!G35</f>
        <v>2824</v>
      </c>
      <c r="AQ33" s="19">
        <f>'30'!G37</f>
        <v>1448</v>
      </c>
      <c r="AR33" s="19">
        <f>'30'!G38</f>
        <v>7190</v>
      </c>
      <c r="AS33" s="19">
        <f>'30'!G39</f>
        <v>2631.1899999999441</v>
      </c>
      <c r="AT33" s="19">
        <f>'30'!G40</f>
        <v>453.26999999998952</v>
      </c>
      <c r="AU33" s="19">
        <f>'30'!G41</f>
        <v>0</v>
      </c>
      <c r="AV33" s="19">
        <f>'30'!G42</f>
        <v>4681.0500000000466</v>
      </c>
      <c r="AW33" s="19">
        <f>'30'!G43</f>
        <v>0</v>
      </c>
      <c r="AX33" s="23">
        <f>'30'!G44</f>
        <v>0</v>
      </c>
      <c r="AY33" s="56">
        <f>'30'!G36</f>
        <v>917</v>
      </c>
      <c r="AZ33" s="55">
        <f>'30'!G49</f>
        <v>411.53000000002794</v>
      </c>
      <c r="BA33" s="19">
        <f>'30'!G51</f>
        <v>-0.44000000000232831</v>
      </c>
      <c r="BB33" s="19">
        <f>'30'!G52</f>
        <v>0</v>
      </c>
      <c r="BC33" s="19">
        <f>'30'!G53</f>
        <v>0</v>
      </c>
      <c r="BD33" s="19">
        <f>'30'!G54</f>
        <v>360.77999999999884</v>
      </c>
      <c r="BE33" s="19">
        <f>'30'!G55</f>
        <v>0</v>
      </c>
      <c r="BF33" s="19">
        <f>'30'!G56</f>
        <v>-0.22999999998137355</v>
      </c>
      <c r="BG33" s="19">
        <f>'30'!G57</f>
        <v>2488</v>
      </c>
      <c r="BH33" s="56">
        <f>'30'!G50</f>
        <v>1238</v>
      </c>
      <c r="BI33" s="60">
        <f t="shared" ref="BI33" si="19">SUM(AU33,AV33,BE33,BF33)</f>
        <v>4680.8200000000652</v>
      </c>
      <c r="BJ33" s="60">
        <f>'30'!G133</f>
        <v>216</v>
      </c>
      <c r="BK33" s="23">
        <f t="shared" si="13"/>
        <v>48.326758532726004</v>
      </c>
      <c r="BL33" s="23">
        <f t="shared" si="14"/>
        <v>12.221511558503845</v>
      </c>
      <c r="BM33" s="24">
        <f t="shared" si="15"/>
        <v>0.33396549890218691</v>
      </c>
      <c r="BN33" s="25">
        <f t="shared" si="16"/>
        <v>301209.62800000224</v>
      </c>
      <c r="BO33" s="38">
        <f t="shared" si="17"/>
        <v>7384.8200000000652</v>
      </c>
      <c r="BP33">
        <f t="shared" si="18"/>
        <v>1.1147234633499394</v>
      </c>
    </row>
    <row r="34" spans="1:68">
      <c r="A34" s="16">
        <v>31</v>
      </c>
      <c r="B34" s="27">
        <v>31</v>
      </c>
      <c r="C34" s="28"/>
      <c r="D34" s="19">
        <v>30</v>
      </c>
      <c r="E34" s="50" t="str">
        <f>'30'!D5</f>
        <v>Unit</v>
      </c>
      <c r="F34" s="50">
        <f>'30'!D3</f>
        <v>28</v>
      </c>
      <c r="G34" s="19">
        <f>'31'!G7</f>
        <v>22926</v>
      </c>
      <c r="H34" s="19">
        <f>'31'!G8</f>
        <v>22341.829999999987</v>
      </c>
      <c r="I34" s="19">
        <v>9</v>
      </c>
      <c r="J34" s="49">
        <f t="shared" si="3"/>
        <v>201076.46999999988</v>
      </c>
      <c r="K34" s="45">
        <f t="shared" ref="K34" si="20">H34/202</f>
        <v>110.60311881188113</v>
      </c>
      <c r="L34" s="19">
        <f>'31'!G15</f>
        <v>1090.3580000000075</v>
      </c>
      <c r="M34" s="19">
        <v>56.2</v>
      </c>
      <c r="N34" s="41">
        <f t="shared" ref="N34" si="21">L34*M34</f>
        <v>61278.11960000042</v>
      </c>
      <c r="O34" s="19">
        <f>'31'!G20</f>
        <v>228</v>
      </c>
      <c r="P34" s="19">
        <v>108</v>
      </c>
      <c r="Q34" s="46">
        <f t="shared" ref="Q34" si="22">O34*P34</f>
        <v>24624</v>
      </c>
      <c r="R34" s="47">
        <f t="shared" si="1"/>
        <v>4.0311173974540306</v>
      </c>
      <c r="S34" s="19">
        <f>'30'!G25</f>
        <v>0</v>
      </c>
      <c r="T34" s="19">
        <v>70</v>
      </c>
      <c r="U34" s="48">
        <f t="shared" ref="U34" si="23">S34*T34</f>
        <v>0</v>
      </c>
      <c r="V34" s="22">
        <f>'31'!G65</f>
        <v>140</v>
      </c>
      <c r="W34" s="22">
        <f>'31'!G66</f>
        <v>17</v>
      </c>
      <c r="X34" s="22">
        <f>'31'!G67</f>
        <v>27</v>
      </c>
      <c r="Y34" s="22">
        <f t="shared" ref="Y34" si="24">V34+W34+X34</f>
        <v>184</v>
      </c>
      <c r="Z34" s="19">
        <f>'31'!G84</f>
        <v>0</v>
      </c>
      <c r="AA34" s="19">
        <f>'31'!G85</f>
        <v>23.989999999999782</v>
      </c>
      <c r="AB34" s="19">
        <f>'31'!G86</f>
        <v>0</v>
      </c>
      <c r="AC34" s="19">
        <f>'31'!G87</f>
        <v>5</v>
      </c>
      <c r="AD34" s="19">
        <f t="shared" ref="AD34" si="25">Z34+AA34+AB34+AC34</f>
        <v>28.989999999999782</v>
      </c>
      <c r="AE34" s="23">
        <f t="shared" ref="AE34" si="26">AU34+AV34+BE34+BF34</f>
        <v>4675.6900000000023</v>
      </c>
      <c r="AF34" s="23">
        <f t="shared" ref="AF34" si="27">AE34/AD34</f>
        <v>161.28630562262978</v>
      </c>
      <c r="AG34" s="19">
        <f>'31'!G88</f>
        <v>2.5999999999985448</v>
      </c>
      <c r="AH34" s="19">
        <f>'31'!G89</f>
        <v>8.8699999999989814</v>
      </c>
      <c r="AI34" s="19">
        <f>'31'!G90</f>
        <v>10.179999999993015</v>
      </c>
      <c r="AJ34" s="19">
        <f t="shared" ref="AJ34" si="28">AG34+AH34+AI34</f>
        <v>21.649999999990541</v>
      </c>
      <c r="AK34" s="19">
        <f>'31'!G91</f>
        <v>0.21000000000003638</v>
      </c>
      <c r="AL34" s="19">
        <f>'31'!G92</f>
        <v>10.859999999999673</v>
      </c>
      <c r="AM34" s="19"/>
      <c r="AN34" s="19">
        <f t="shared" ref="AN34" si="29">AK34+AL34</f>
        <v>11.069999999999709</v>
      </c>
      <c r="AO34" s="52">
        <f>'31'!G74</f>
        <v>302</v>
      </c>
      <c r="AP34" s="55">
        <f>'31'!G35</f>
        <v>2826.9899999999907</v>
      </c>
      <c r="AQ34" s="19">
        <f>'31'!G37</f>
        <v>1379.8699999999953</v>
      </c>
      <c r="AR34" s="19">
        <f>'31'!G38</f>
        <v>177.34999999997672</v>
      </c>
      <c r="AS34" s="19">
        <f>'31'!G39</f>
        <v>2837.8100000000559</v>
      </c>
      <c r="AT34" s="19">
        <f>'31'!G40</f>
        <v>458.35000000000582</v>
      </c>
      <c r="AU34" s="19">
        <f>'31'!G41</f>
        <v>1.0000000009313226E-2</v>
      </c>
      <c r="AV34" s="19">
        <f>'31'!G42</f>
        <v>4216.4699999999721</v>
      </c>
      <c r="AW34" s="19">
        <f>'31'!G43</f>
        <v>0</v>
      </c>
      <c r="AX34" s="23">
        <f>'31'!G44</f>
        <v>0</v>
      </c>
      <c r="AY34" s="56">
        <f>'31'!G36</f>
        <v>1010.9000000000233</v>
      </c>
      <c r="AZ34" s="55">
        <f>'31'!G49</f>
        <v>500.15000000002328</v>
      </c>
      <c r="BA34" s="19">
        <f>'31'!G51</f>
        <v>0</v>
      </c>
      <c r="BB34" s="19">
        <f>'31'!G52</f>
        <v>0</v>
      </c>
      <c r="BC34" s="19">
        <f>'31'!G53</f>
        <v>3.0000000027939677E-2</v>
      </c>
      <c r="BD34" s="19">
        <f>'31'!G54</f>
        <v>361.13000000000466</v>
      </c>
      <c r="BE34" s="19">
        <f>'31'!G55</f>
        <v>0</v>
      </c>
      <c r="BF34" s="19">
        <f>'31'!G56</f>
        <v>459.21000000002095</v>
      </c>
      <c r="BG34" s="19">
        <f>'31'!G57</f>
        <v>2607</v>
      </c>
      <c r="BH34" s="56">
        <f>'31'!G50</f>
        <v>1439</v>
      </c>
      <c r="BI34" s="60">
        <f t="shared" ref="BI34" si="30">SUM(AU34,AV34,BE34,BF34)</f>
        <v>4675.6900000000023</v>
      </c>
      <c r="BJ34" s="60">
        <f>'31'!G133</f>
        <v>793</v>
      </c>
      <c r="BK34" s="23">
        <f t="shared" ref="BK34" si="31">SUM(AP34,AU34,AV34,AW34,AZ34,BE34,BF34,BG34)/H34%</f>
        <v>47.488634547841528</v>
      </c>
      <c r="BL34" s="23">
        <f t="shared" ref="BL34" si="32">SUM(AS34,BC34)/H34%</f>
        <v>12.701913853968477</v>
      </c>
      <c r="BM34" s="24">
        <f t="shared" ref="BM34" si="33">(AR34+BB34)/H34</f>
        <v>7.9380247723654165E-3</v>
      </c>
      <c r="BN34" s="25">
        <f t="shared" ref="BN34" si="34">J34+N34+Q34+U34</f>
        <v>286978.5896000003</v>
      </c>
      <c r="BO34" s="38">
        <f t="shared" ref="BO34" si="35">SUM(AU34,AV34,AW34,BE34,BF34,BG34,BJ34)</f>
        <v>8075.6900000000023</v>
      </c>
      <c r="BP34">
        <f t="shared" ref="BP34" si="36">BO34/(AD34*280)</f>
        <v>0.99488616764402293</v>
      </c>
    </row>
    <row r="35" spans="1:68">
      <c r="A35" s="16" t="s">
        <v>196</v>
      </c>
      <c r="B35" s="30"/>
      <c r="C35" s="31"/>
      <c r="D35" s="32">
        <f>AVERAGE(D4:D34)</f>
        <v>28.741935483870968</v>
      </c>
      <c r="E35" s="33"/>
      <c r="F35" s="73">
        <f>AVERAGE(F4:F34)</f>
        <v>1.612777419354839</v>
      </c>
      <c r="G35" s="34">
        <f>SUM(G4:G34)</f>
        <v>703117.45</v>
      </c>
      <c r="H35" s="34">
        <f t="shared" ref="H35:BN35" si="37">SUM(H4:H34)</f>
        <v>706596</v>
      </c>
      <c r="I35" s="19">
        <v>9</v>
      </c>
      <c r="J35" s="34">
        <f t="shared" si="37"/>
        <v>6359364</v>
      </c>
      <c r="K35" s="34">
        <f t="shared" si="37"/>
        <v>3497.9999999999991</v>
      </c>
      <c r="L35" s="34">
        <f t="shared" si="37"/>
        <v>34360.358000000007</v>
      </c>
      <c r="M35" s="34">
        <f t="shared" si="37"/>
        <v>1742.200000000001</v>
      </c>
      <c r="N35" s="34">
        <f t="shared" si="37"/>
        <v>1931052.1196000001</v>
      </c>
      <c r="O35" s="34">
        <f t="shared" si="37"/>
        <v>9864</v>
      </c>
      <c r="P35" s="34">
        <f t="shared" si="37"/>
        <v>3348</v>
      </c>
      <c r="Q35" s="34">
        <f t="shared" si="37"/>
        <v>1065312</v>
      </c>
      <c r="R35" s="34">
        <f t="shared" si="37"/>
        <v>7116.8995560233943</v>
      </c>
      <c r="S35" s="34">
        <f t="shared" si="37"/>
        <v>0</v>
      </c>
      <c r="T35" s="34">
        <f t="shared" si="37"/>
        <v>2140</v>
      </c>
      <c r="U35" s="34">
        <f t="shared" si="37"/>
        <v>0</v>
      </c>
      <c r="V35" s="34">
        <f t="shared" si="37"/>
        <v>472171</v>
      </c>
      <c r="W35" s="34">
        <f t="shared" si="37"/>
        <v>55812</v>
      </c>
      <c r="X35" s="34">
        <f t="shared" si="37"/>
        <v>712</v>
      </c>
      <c r="Y35" s="34">
        <f t="shared" si="37"/>
        <v>528695</v>
      </c>
      <c r="Z35" s="34">
        <f t="shared" si="37"/>
        <v>2005.7900000000009</v>
      </c>
      <c r="AA35" s="34">
        <f t="shared" si="37"/>
        <v>248.44999999999982</v>
      </c>
      <c r="AB35" s="34">
        <f t="shared" si="37"/>
        <v>80.069999999999709</v>
      </c>
      <c r="AC35" s="34">
        <f t="shared" si="37"/>
        <v>477.79000000000087</v>
      </c>
      <c r="AD35" s="34">
        <f t="shared" si="37"/>
        <v>2812.1000000000013</v>
      </c>
      <c r="AE35" s="34">
        <f t="shared" si="37"/>
        <v>128493.26000000001</v>
      </c>
      <c r="AF35" s="34">
        <f t="shared" si="37"/>
        <v>4668.966179214096</v>
      </c>
      <c r="AG35" s="34">
        <f t="shared" si="37"/>
        <v>91.799999999999272</v>
      </c>
      <c r="AH35" s="34">
        <f t="shared" si="37"/>
        <v>256.29999999999927</v>
      </c>
      <c r="AI35" s="34">
        <f t="shared" si="37"/>
        <v>342.57999999998719</v>
      </c>
      <c r="AJ35" s="34">
        <f t="shared" si="37"/>
        <v>690.67999999998574</v>
      </c>
      <c r="AK35" s="34">
        <f t="shared" si="37"/>
        <v>265.4399999999996</v>
      </c>
      <c r="AL35" s="34">
        <f t="shared" si="37"/>
        <v>79.6899999999996</v>
      </c>
      <c r="AM35" s="34">
        <f t="shared" si="37"/>
        <v>0</v>
      </c>
      <c r="AN35" s="34">
        <f t="shared" si="37"/>
        <v>345.1299999999992</v>
      </c>
      <c r="AO35" s="34">
        <f t="shared" si="37"/>
        <v>8864.9699999999721</v>
      </c>
      <c r="AP35" s="34">
        <f t="shared" si="37"/>
        <v>85421.080000000016</v>
      </c>
      <c r="AQ35" s="34">
        <f t="shared" si="37"/>
        <v>15271.179999999993</v>
      </c>
      <c r="AR35" s="34">
        <f t="shared" si="37"/>
        <v>63824.959999999963</v>
      </c>
      <c r="AS35" s="34">
        <f t="shared" si="37"/>
        <v>28705.810000000056</v>
      </c>
      <c r="AT35" s="34">
        <f t="shared" si="37"/>
        <v>12956.380000000005</v>
      </c>
      <c r="AU35" s="34">
        <f t="shared" si="37"/>
        <v>1044.9199999999837</v>
      </c>
      <c r="AV35" s="34">
        <f t="shared" si="37"/>
        <v>45486.180000000051</v>
      </c>
      <c r="AW35" s="34">
        <f t="shared" si="37"/>
        <v>15416</v>
      </c>
      <c r="AX35" s="34">
        <f t="shared" si="37"/>
        <v>0</v>
      </c>
      <c r="AY35" s="34">
        <f t="shared" si="37"/>
        <v>31871.790000000037</v>
      </c>
      <c r="AZ35" s="34">
        <f t="shared" si="37"/>
        <v>12881.20000000007</v>
      </c>
      <c r="BA35" s="34">
        <f t="shared" si="37"/>
        <v>21713.450000000012</v>
      </c>
      <c r="BB35" s="34">
        <f t="shared" si="37"/>
        <v>0</v>
      </c>
      <c r="BC35" s="34">
        <f t="shared" si="37"/>
        <v>79777.190000000061</v>
      </c>
      <c r="BD35" s="34">
        <f t="shared" si="37"/>
        <v>6933.7699999999895</v>
      </c>
      <c r="BE35" s="34">
        <f t="shared" si="37"/>
        <v>14850.959999999963</v>
      </c>
      <c r="BF35" s="34">
        <f t="shared" si="37"/>
        <v>67111.200000000012</v>
      </c>
      <c r="BG35" s="34">
        <f t="shared" si="37"/>
        <v>67273.530000000028</v>
      </c>
      <c r="BH35" s="34">
        <f t="shared" si="37"/>
        <v>44483.929999999993</v>
      </c>
      <c r="BI35" s="34">
        <f t="shared" si="37"/>
        <v>128493.26000000001</v>
      </c>
      <c r="BJ35" s="34">
        <f t="shared" si="37"/>
        <v>23069</v>
      </c>
      <c r="BK35" s="34">
        <f t="shared" si="37"/>
        <v>1353.9194409146373</v>
      </c>
      <c r="BL35" s="34">
        <f t="shared" si="37"/>
        <v>474.59972294045076</v>
      </c>
      <c r="BM35" s="34">
        <f t="shared" si="37"/>
        <v>2.8527466494937825</v>
      </c>
      <c r="BN35" s="34">
        <f t="shared" si="37"/>
        <v>9355728.119599998</v>
      </c>
      <c r="BO35" s="38">
        <f t="shared" si="17"/>
        <v>234251.79000000004</v>
      </c>
      <c r="BP35">
        <f t="shared" si="18"/>
        <v>0.29750490228451532</v>
      </c>
    </row>
    <row r="36" spans="1:68">
      <c r="A36" s="35"/>
      <c r="B36" s="35">
        <f t="shared" ref="B36:F36" si="38">B18-B17</f>
        <v>1</v>
      </c>
      <c r="C36" s="35">
        <f t="shared" si="38"/>
        <v>0</v>
      </c>
      <c r="D36" s="35">
        <f t="shared" si="38"/>
        <v>0</v>
      </c>
      <c r="E36" s="35">
        <f t="shared" si="38"/>
        <v>-2.0000000000000018E-2</v>
      </c>
      <c r="F36" s="35">
        <f t="shared" si="38"/>
        <v>1.0000000000000009E-2</v>
      </c>
      <c r="G36" s="35"/>
      <c r="H36" s="35">
        <f t="shared" ref="H36:AN36" si="39">H18-H17</f>
        <v>-1689</v>
      </c>
      <c r="I36" s="35">
        <f t="shared" si="39"/>
        <v>0</v>
      </c>
      <c r="J36" s="42">
        <f t="shared" si="39"/>
        <v>-15201</v>
      </c>
      <c r="K36" s="42">
        <f t="shared" si="39"/>
        <v>-8.3613861386138524</v>
      </c>
      <c r="L36" s="35">
        <f t="shared" si="39"/>
        <v>0</v>
      </c>
      <c r="M36" s="35">
        <f t="shared" si="39"/>
        <v>0</v>
      </c>
      <c r="N36" s="42">
        <f t="shared" si="39"/>
        <v>0</v>
      </c>
      <c r="O36" s="35">
        <f t="shared" si="39"/>
        <v>5</v>
      </c>
      <c r="P36" s="35">
        <f t="shared" si="39"/>
        <v>0</v>
      </c>
      <c r="Q36" s="42">
        <f t="shared" si="39"/>
        <v>540</v>
      </c>
      <c r="R36" s="42">
        <f t="shared" si="39"/>
        <v>0.57658827107204047</v>
      </c>
      <c r="S36" s="35">
        <f t="shared" si="39"/>
        <v>0</v>
      </c>
      <c r="T36" s="35">
        <f t="shared" si="39"/>
        <v>0</v>
      </c>
      <c r="U36" s="42">
        <f t="shared" si="39"/>
        <v>0</v>
      </c>
      <c r="V36" s="35">
        <f t="shared" si="39"/>
        <v>-7</v>
      </c>
      <c r="W36" s="35">
        <f t="shared" si="39"/>
        <v>-5</v>
      </c>
      <c r="X36" s="35">
        <f t="shared" si="39"/>
        <v>3</v>
      </c>
      <c r="Y36" s="35">
        <f t="shared" si="39"/>
        <v>-9</v>
      </c>
      <c r="Z36" s="35">
        <f t="shared" si="39"/>
        <v>2000</v>
      </c>
      <c r="AA36" s="35">
        <f t="shared" si="39"/>
        <v>-0.27000000000134605</v>
      </c>
      <c r="AB36" s="35">
        <f t="shared" si="39"/>
        <v>0.27999999999883585</v>
      </c>
      <c r="AC36" s="35">
        <f t="shared" si="39"/>
        <v>-9.1899999999950523</v>
      </c>
      <c r="AD36" s="35">
        <f t="shared" si="39"/>
        <v>1990.8200000000024</v>
      </c>
      <c r="AE36" s="35">
        <f t="shared" si="39"/>
        <v>-635.36000000010245</v>
      </c>
      <c r="AF36" s="35">
        <f t="shared" si="39"/>
        <v>-191.56072615671482</v>
      </c>
      <c r="AG36" s="35">
        <f t="shared" si="39"/>
        <v>0</v>
      </c>
      <c r="AH36" s="35">
        <f t="shared" si="39"/>
        <v>-1</v>
      </c>
      <c r="AI36" s="35">
        <f t="shared" si="39"/>
        <v>0</v>
      </c>
      <c r="AJ36" s="35">
        <f t="shared" si="39"/>
        <v>-1</v>
      </c>
      <c r="AK36" s="35">
        <f t="shared" si="39"/>
        <v>0.76999999999952706</v>
      </c>
      <c r="AL36" s="35">
        <f t="shared" si="39"/>
        <v>0</v>
      </c>
      <c r="AM36" s="35">
        <f t="shared" si="39"/>
        <v>0</v>
      </c>
      <c r="AN36" s="35">
        <f t="shared" si="39"/>
        <v>0.76999999999952706</v>
      </c>
      <c r="AO36" s="35"/>
      <c r="AP36" s="35">
        <f t="shared" ref="AP36:AW36" si="40">AP18-AP17</f>
        <v>-331</v>
      </c>
      <c r="AQ36" s="35">
        <f t="shared" si="40"/>
        <v>0</v>
      </c>
      <c r="AR36" s="35">
        <f t="shared" si="40"/>
        <v>-2041</v>
      </c>
      <c r="AS36" s="35">
        <f t="shared" si="40"/>
        <v>0</v>
      </c>
      <c r="AT36" s="35">
        <f t="shared" si="40"/>
        <v>-46.419999999983702</v>
      </c>
      <c r="AU36" s="35">
        <f t="shared" si="40"/>
        <v>0</v>
      </c>
      <c r="AV36" s="35">
        <f t="shared" si="40"/>
        <v>-412.81000000005588</v>
      </c>
      <c r="AW36" s="35">
        <f t="shared" si="40"/>
        <v>0</v>
      </c>
      <c r="AX36" s="35"/>
      <c r="AY36" s="35"/>
      <c r="AZ36" s="35">
        <f t="shared" ref="AZ36:BG36" si="41">AZ18-AZ17</f>
        <v>3.3100000000558794</v>
      </c>
      <c r="BA36" s="35">
        <f t="shared" si="41"/>
        <v>8</v>
      </c>
      <c r="BB36" s="35">
        <f t="shared" si="41"/>
        <v>-0.24000000000000021</v>
      </c>
      <c r="BC36" s="35">
        <f t="shared" si="41"/>
        <v>1032</v>
      </c>
      <c r="BD36" s="35">
        <f t="shared" si="41"/>
        <v>-30</v>
      </c>
      <c r="BE36" s="35">
        <f t="shared" si="41"/>
        <v>786.44999999995343</v>
      </c>
      <c r="BF36" s="35">
        <f t="shared" si="41"/>
        <v>-1009</v>
      </c>
      <c r="BG36" s="35">
        <f t="shared" si="41"/>
        <v>1826.1500000000233</v>
      </c>
      <c r="BH36" s="35"/>
      <c r="BI36" s="35"/>
      <c r="BJ36" s="35"/>
      <c r="BK36" s="35">
        <f>BK18-BK17</f>
        <v>7.0340617791659739</v>
      </c>
      <c r="BL36" s="35">
        <f>BL18-BL17</f>
        <v>5.1329836525664891</v>
      </c>
      <c r="BM36" s="35"/>
      <c r="BN36" s="35">
        <f>BN18-BN17</f>
        <v>-14661</v>
      </c>
      <c r="BO36" s="35">
        <f>BO18-BO17</f>
        <v>1098.7899999999208</v>
      </c>
    </row>
    <row r="37" spans="1:68">
      <c r="F37" s="38">
        <f>AVERAGE(F4:F35)</f>
        <v>1.612777419354839</v>
      </c>
      <c r="G37" s="38"/>
      <c r="H37" s="38">
        <f>AVERAGE(H4:H35)</f>
        <v>44162.25</v>
      </c>
    </row>
    <row r="38" spans="1:68">
      <c r="B38" s="36" t="s">
        <v>66</v>
      </c>
      <c r="F38" s="72">
        <f>AVERAGE(F4:F35)</f>
        <v>1.612777419354839</v>
      </c>
      <c r="G38" s="72"/>
    </row>
    <row r="41" spans="1:68">
      <c r="BI41">
        <f>(BI31+BJ31)/400</f>
        <v>14.183699999999954</v>
      </c>
    </row>
  </sheetData>
  <mergeCells count="11">
    <mergeCell ref="A1:BN1"/>
    <mergeCell ref="H2:J2"/>
    <mergeCell ref="L2:N2"/>
    <mergeCell ref="O2:Q2"/>
    <mergeCell ref="S2:U2"/>
    <mergeCell ref="V2:X2"/>
    <mergeCell ref="Z2:AC2"/>
    <mergeCell ref="AG2:AI2"/>
    <mergeCell ref="AK2:AM2"/>
    <mergeCell ref="AP2:AY2"/>
    <mergeCell ref="AZ2:BH2"/>
  </mergeCells>
  <hyperlinks>
    <hyperlink ref="B38" r:id="rId1" xr:uid="{00000000-0004-0000-0200-000000000000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4"/>
  <sheetViews>
    <sheetView topLeftCell="A19" workbookViewId="0">
      <selection activeCell="D34" sqref="D34"/>
    </sheetView>
  </sheetViews>
  <sheetFormatPr defaultRowHeight="15.75"/>
  <cols>
    <col min="2" max="2" width="8.33203125" style="275" customWidth="1"/>
    <col min="3" max="3" width="6.6640625" style="275" customWidth="1"/>
    <col min="4" max="4" width="7.5546875" style="275" customWidth="1"/>
    <col min="5" max="5" width="7.88671875" style="275" customWidth="1"/>
    <col min="6" max="6" width="7.109375" style="275" customWidth="1"/>
    <col min="8" max="8" width="7.5546875" customWidth="1"/>
  </cols>
  <sheetData>
    <row r="1" spans="1:17" ht="47.25">
      <c r="A1" s="248"/>
      <c r="B1" s="280" t="s">
        <v>313</v>
      </c>
      <c r="C1" s="280" t="s">
        <v>271</v>
      </c>
      <c r="D1" s="280" t="s">
        <v>272</v>
      </c>
      <c r="E1" s="280" t="s">
        <v>274</v>
      </c>
      <c r="F1" s="280" t="s">
        <v>273</v>
      </c>
      <c r="G1" s="283" t="s">
        <v>275</v>
      </c>
      <c r="H1" s="306" t="s">
        <v>310</v>
      </c>
      <c r="J1" s="379" t="s">
        <v>353</v>
      </c>
    </row>
    <row r="2" spans="1:17">
      <c r="A2" s="248">
        <v>1</v>
      </c>
      <c r="B2" s="380">
        <f>C2/202%</f>
        <v>77.227722772277232</v>
      </c>
      <c r="C2" s="380">
        <v>156</v>
      </c>
      <c r="D2" s="380">
        <v>5</v>
      </c>
      <c r="E2" s="380">
        <f>(C2+D2)/202%</f>
        <v>79.702970297029708</v>
      </c>
      <c r="F2" s="381">
        <v>451</v>
      </c>
      <c r="G2" s="381">
        <f>C2+D2</f>
        <v>161</v>
      </c>
      <c r="H2" s="382">
        <f>C2/202%</f>
        <v>77.227722772277232</v>
      </c>
      <c r="I2" s="383"/>
      <c r="J2" s="382">
        <f>'Section Load'!C5/G2</f>
        <v>140.3155279503105</v>
      </c>
      <c r="K2">
        <f>10/202</f>
        <v>4.9504950495049507E-2</v>
      </c>
    </row>
    <row r="3" spans="1:17">
      <c r="A3" s="248">
        <v>2</v>
      </c>
      <c r="B3" s="380">
        <f t="shared" ref="B3:B32" si="0">C3/202%</f>
        <v>73.267326732673268</v>
      </c>
      <c r="C3" s="380">
        <v>148</v>
      </c>
      <c r="D3" s="380">
        <v>4</v>
      </c>
      <c r="E3" s="380">
        <f t="shared" ref="E3:E32" si="1">(C3+D3)/202%</f>
        <v>75.247524752475243</v>
      </c>
      <c r="F3" s="381">
        <v>351</v>
      </c>
      <c r="G3" s="381">
        <f t="shared" ref="G3:G31" si="2">C3+D3</f>
        <v>152</v>
      </c>
      <c r="H3" s="382">
        <f t="shared" ref="H3:H32" si="3">C3/202%</f>
        <v>73.267326732673268</v>
      </c>
      <c r="I3" s="383"/>
      <c r="J3" s="382">
        <f>'Section Load'!C6/G3</f>
        <v>145.93124999999992</v>
      </c>
    </row>
    <row r="4" spans="1:17">
      <c r="A4" s="248">
        <v>3</v>
      </c>
      <c r="B4" s="380">
        <f t="shared" si="0"/>
        <v>84.653465346534659</v>
      </c>
      <c r="C4" s="380">
        <v>171</v>
      </c>
      <c r="D4" s="380">
        <v>5</v>
      </c>
      <c r="E4" s="380">
        <f t="shared" si="1"/>
        <v>87.128712871287135</v>
      </c>
      <c r="F4" s="381">
        <v>369</v>
      </c>
      <c r="G4" s="381">
        <f t="shared" si="2"/>
        <v>176</v>
      </c>
      <c r="H4" s="382">
        <f t="shared" si="3"/>
        <v>84.653465346534659</v>
      </c>
      <c r="I4" s="383"/>
      <c r="J4" s="382">
        <f>'Section Load'!C7/G4</f>
        <v>128.58323863636377</v>
      </c>
      <c r="Q4" s="402">
        <f>C2/202</f>
        <v>0.7722772277227723</v>
      </c>
    </row>
    <row r="5" spans="1:17">
      <c r="A5" s="248">
        <v>4</v>
      </c>
      <c r="B5" s="380">
        <f t="shared" si="0"/>
        <v>86.138613861386133</v>
      </c>
      <c r="C5" s="380">
        <v>174</v>
      </c>
      <c r="D5" s="380">
        <v>5</v>
      </c>
      <c r="E5" s="380">
        <f t="shared" si="1"/>
        <v>88.613861386138609</v>
      </c>
      <c r="F5" s="381">
        <v>455</v>
      </c>
      <c r="G5" s="381">
        <f t="shared" si="2"/>
        <v>179</v>
      </c>
      <c r="H5" s="382">
        <f t="shared" si="3"/>
        <v>86.138613861386133</v>
      </c>
      <c r="I5" s="383"/>
      <c r="J5" s="382">
        <f>'Section Load'!C8/G5</f>
        <v>131.35195530726256</v>
      </c>
    </row>
    <row r="6" spans="1:17">
      <c r="A6" s="248">
        <v>5</v>
      </c>
      <c r="B6" s="380">
        <f t="shared" si="0"/>
        <v>83.168316831683171</v>
      </c>
      <c r="C6" s="380">
        <v>168</v>
      </c>
      <c r="D6" s="380">
        <v>6</v>
      </c>
      <c r="E6" s="380">
        <f t="shared" si="1"/>
        <v>86.138613861386133</v>
      </c>
      <c r="F6" s="381">
        <v>482</v>
      </c>
      <c r="G6" s="381">
        <f t="shared" si="2"/>
        <v>174</v>
      </c>
      <c r="H6" s="382">
        <f t="shared" si="3"/>
        <v>83.168316831683171</v>
      </c>
      <c r="I6" s="383"/>
      <c r="J6" s="382">
        <f>'Section Load'!C9/G6</f>
        <v>137.75862068965517</v>
      </c>
    </row>
    <row r="7" spans="1:17">
      <c r="A7" s="248">
        <v>6</v>
      </c>
      <c r="B7" s="380">
        <f t="shared" si="0"/>
        <v>80.198019801980195</v>
      </c>
      <c r="C7" s="380">
        <v>162</v>
      </c>
      <c r="D7" s="380">
        <v>5</v>
      </c>
      <c r="E7" s="380">
        <f t="shared" si="1"/>
        <v>82.67326732673267</v>
      </c>
      <c r="F7" s="381">
        <v>551</v>
      </c>
      <c r="G7" s="381">
        <f t="shared" si="2"/>
        <v>167</v>
      </c>
      <c r="H7" s="382">
        <f t="shared" si="3"/>
        <v>80.198019801980195</v>
      </c>
      <c r="I7" s="383"/>
      <c r="J7" s="382">
        <f>'Section Load'!C10/G7</f>
        <v>136.50299401197606</v>
      </c>
    </row>
    <row r="8" spans="1:17">
      <c r="A8" s="248">
        <v>7</v>
      </c>
      <c r="B8" s="380">
        <f t="shared" si="0"/>
        <v>76.237623762376231</v>
      </c>
      <c r="C8" s="380">
        <v>154</v>
      </c>
      <c r="D8" s="380">
        <v>7</v>
      </c>
      <c r="E8" s="380">
        <f t="shared" si="1"/>
        <v>79.702970297029708</v>
      </c>
      <c r="F8" s="381">
        <v>658</v>
      </c>
      <c r="G8" s="381">
        <f t="shared" si="2"/>
        <v>161</v>
      </c>
      <c r="H8" s="382">
        <f t="shared" si="3"/>
        <v>76.237623762376231</v>
      </c>
      <c r="I8" s="383"/>
      <c r="J8" s="382">
        <f>'Section Load'!C11/G8</f>
        <v>139.25465838509317</v>
      </c>
      <c r="K8" s="535"/>
    </row>
    <row r="9" spans="1:17">
      <c r="A9" s="248">
        <v>8</v>
      </c>
      <c r="B9" s="380">
        <f t="shared" si="0"/>
        <v>69.306930693069305</v>
      </c>
      <c r="C9" s="380">
        <v>140</v>
      </c>
      <c r="D9" s="380">
        <v>5</v>
      </c>
      <c r="E9" s="380">
        <f t="shared" si="1"/>
        <v>71.78217821782178</v>
      </c>
      <c r="F9" s="381">
        <v>542</v>
      </c>
      <c r="G9" s="381">
        <f t="shared" si="2"/>
        <v>145</v>
      </c>
      <c r="H9" s="382">
        <f t="shared" si="3"/>
        <v>69.306930693069305</v>
      </c>
      <c r="I9" s="383"/>
      <c r="J9" s="382">
        <f>'Section Load'!C12/G9</f>
        <v>164.17041379310319</v>
      </c>
    </row>
    <row r="10" spans="1:17">
      <c r="A10" s="248">
        <v>9</v>
      </c>
      <c r="B10" s="380">
        <f t="shared" si="0"/>
        <v>76.732673267326732</v>
      </c>
      <c r="C10" s="380">
        <v>155</v>
      </c>
      <c r="D10" s="380">
        <v>6</v>
      </c>
      <c r="E10" s="380">
        <f t="shared" si="1"/>
        <v>79.702970297029708</v>
      </c>
      <c r="F10" s="381">
        <v>398</v>
      </c>
      <c r="G10" s="381">
        <f t="shared" si="2"/>
        <v>161</v>
      </c>
      <c r="H10" s="382">
        <f t="shared" si="3"/>
        <v>76.732673267326732</v>
      </c>
      <c r="I10" s="383"/>
      <c r="J10" s="382">
        <f>'Section Load'!C13/G10</f>
        <v>147.67602484472101</v>
      </c>
      <c r="K10" s="557" t="s">
        <v>370</v>
      </c>
      <c r="L10" s="557"/>
    </row>
    <row r="11" spans="1:17">
      <c r="A11" s="248">
        <v>10</v>
      </c>
      <c r="B11" s="380">
        <f t="shared" si="0"/>
        <v>76.237623762376231</v>
      </c>
      <c r="C11" s="380">
        <v>154</v>
      </c>
      <c r="D11" s="380">
        <v>4</v>
      </c>
      <c r="E11" s="380">
        <f t="shared" si="1"/>
        <v>78.21782178217822</v>
      </c>
      <c r="F11" s="381">
        <v>474</v>
      </c>
      <c r="G11" s="381">
        <f t="shared" si="2"/>
        <v>158</v>
      </c>
      <c r="H11" s="382">
        <f t="shared" si="3"/>
        <v>76.237623762376231</v>
      </c>
      <c r="I11" s="383"/>
      <c r="J11" s="382">
        <f>'Section Load'!C14/G11</f>
        <v>143.23291139240462</v>
      </c>
      <c r="K11" s="557"/>
      <c r="L11" s="557"/>
    </row>
    <row r="12" spans="1:17">
      <c r="A12" s="248">
        <v>11</v>
      </c>
      <c r="B12" s="380">
        <f t="shared" si="0"/>
        <v>79.207920792079207</v>
      </c>
      <c r="C12" s="380">
        <v>160</v>
      </c>
      <c r="D12" s="380">
        <v>4</v>
      </c>
      <c r="E12" s="380">
        <f t="shared" si="1"/>
        <v>81.188118811881182</v>
      </c>
      <c r="F12" s="381"/>
      <c r="G12" s="381">
        <f t="shared" si="2"/>
        <v>164</v>
      </c>
      <c r="H12" s="382">
        <f t="shared" si="3"/>
        <v>79.207920792079207</v>
      </c>
      <c r="I12" s="383"/>
      <c r="J12" s="382">
        <f>'Section Load'!C15/G12</f>
        <v>132.9087804878051</v>
      </c>
      <c r="K12" s="557"/>
      <c r="L12" s="557"/>
    </row>
    <row r="13" spans="1:17">
      <c r="A13" s="248">
        <v>12</v>
      </c>
      <c r="B13" s="380">
        <f t="shared" si="0"/>
        <v>80.693069306930695</v>
      </c>
      <c r="C13" s="380">
        <v>163</v>
      </c>
      <c r="D13" s="380">
        <v>1</v>
      </c>
      <c r="E13" s="380">
        <f t="shared" si="1"/>
        <v>81.188118811881182</v>
      </c>
      <c r="F13" s="380"/>
      <c r="G13" s="381">
        <f t="shared" si="2"/>
        <v>164</v>
      </c>
      <c r="H13" s="382">
        <f t="shared" si="3"/>
        <v>80.693069306930695</v>
      </c>
      <c r="I13" s="383"/>
      <c r="J13" s="382">
        <f>'Section Load'!C16/G13</f>
        <v>136.74152439024382</v>
      </c>
    </row>
    <row r="14" spans="1:17">
      <c r="A14" s="248">
        <v>13</v>
      </c>
      <c r="B14" s="380">
        <f t="shared" si="0"/>
        <v>82.178217821782184</v>
      </c>
      <c r="C14" s="380">
        <v>166</v>
      </c>
      <c r="D14" s="380">
        <v>1</v>
      </c>
      <c r="E14" s="380">
        <f t="shared" si="1"/>
        <v>82.67326732673267</v>
      </c>
      <c r="F14" s="380"/>
      <c r="G14" s="381">
        <f t="shared" si="2"/>
        <v>167</v>
      </c>
      <c r="H14" s="382">
        <f t="shared" si="3"/>
        <v>82.178217821782184</v>
      </c>
      <c r="I14" s="383"/>
      <c r="J14" s="382">
        <f>'Section Load'!C17/G14</f>
        <v>138.00598802395209</v>
      </c>
    </row>
    <row r="15" spans="1:17">
      <c r="A15" s="248">
        <v>14</v>
      </c>
      <c r="B15" s="380">
        <f t="shared" si="0"/>
        <v>83.168316831683171</v>
      </c>
      <c r="C15" s="380">
        <v>168</v>
      </c>
      <c r="D15" s="380">
        <v>1</v>
      </c>
      <c r="E15" s="380">
        <f t="shared" si="1"/>
        <v>83.663366336633658</v>
      </c>
      <c r="F15" s="380"/>
      <c r="G15" s="381">
        <f t="shared" si="2"/>
        <v>169</v>
      </c>
      <c r="H15" s="382">
        <f t="shared" si="3"/>
        <v>83.168316831683171</v>
      </c>
      <c r="I15" s="383"/>
      <c r="J15" s="382">
        <f>'Section Load'!C18/G15</f>
        <v>155.84023668639054</v>
      </c>
    </row>
    <row r="16" spans="1:17">
      <c r="A16" s="248">
        <v>15</v>
      </c>
      <c r="B16" s="380">
        <f t="shared" si="0"/>
        <v>59.900990099009903</v>
      </c>
      <c r="C16" s="380">
        <v>121</v>
      </c>
      <c r="D16" s="380">
        <v>1</v>
      </c>
      <c r="E16" s="380">
        <f t="shared" si="1"/>
        <v>60.396039603960396</v>
      </c>
      <c r="F16" s="380"/>
      <c r="G16" s="381">
        <f t="shared" si="2"/>
        <v>122</v>
      </c>
      <c r="H16" s="382">
        <f t="shared" si="3"/>
        <v>59.900990099009903</v>
      </c>
      <c r="I16" s="383"/>
      <c r="J16" s="382">
        <f>'Section Load'!C19/G16</f>
        <v>202.03278688524591</v>
      </c>
    </row>
    <row r="17" spans="1:10">
      <c r="A17" s="248">
        <v>16</v>
      </c>
      <c r="B17" s="380">
        <f t="shared" si="0"/>
        <v>76.237623762376231</v>
      </c>
      <c r="C17" s="380">
        <v>154</v>
      </c>
      <c r="D17" s="380">
        <v>4</v>
      </c>
      <c r="E17" s="380">
        <f t="shared" si="1"/>
        <v>78.21782178217822</v>
      </c>
      <c r="F17" s="380"/>
      <c r="G17" s="381">
        <f t="shared" si="2"/>
        <v>158</v>
      </c>
      <c r="H17" s="382">
        <f t="shared" si="3"/>
        <v>76.237623762376231</v>
      </c>
      <c r="I17" s="383"/>
      <c r="J17" s="382">
        <f>'Section Load'!C20/G17</f>
        <v>150.97468354430379</v>
      </c>
    </row>
    <row r="18" spans="1:10">
      <c r="A18" s="248">
        <v>17</v>
      </c>
      <c r="B18" s="380">
        <f t="shared" si="0"/>
        <v>74.257425742574256</v>
      </c>
      <c r="C18" s="380">
        <v>150</v>
      </c>
      <c r="D18" s="380">
        <v>8</v>
      </c>
      <c r="E18" s="380">
        <f t="shared" si="1"/>
        <v>78.21782178217822</v>
      </c>
      <c r="F18" s="380"/>
      <c r="G18" s="381">
        <f t="shared" si="2"/>
        <v>158</v>
      </c>
      <c r="H18" s="382">
        <f t="shared" si="3"/>
        <v>74.257425742574256</v>
      </c>
      <c r="I18" s="383"/>
      <c r="J18" s="382">
        <f>'Section Load'!C21/G18</f>
        <v>164.50632911392404</v>
      </c>
    </row>
    <row r="19" spans="1:10">
      <c r="A19" s="248">
        <v>18</v>
      </c>
      <c r="B19" s="380">
        <f t="shared" si="0"/>
        <v>75.247524752475243</v>
      </c>
      <c r="C19" s="384">
        <v>152</v>
      </c>
      <c r="D19" s="384">
        <v>8</v>
      </c>
      <c r="E19" s="380">
        <f t="shared" si="1"/>
        <v>79.207920792079207</v>
      </c>
      <c r="F19" s="384"/>
      <c r="G19" s="381">
        <f t="shared" si="2"/>
        <v>160</v>
      </c>
      <c r="H19" s="382">
        <f t="shared" si="3"/>
        <v>75.247524752475243</v>
      </c>
      <c r="I19" s="383"/>
      <c r="J19" s="382">
        <f>'Section Load'!C22/G19</f>
        <v>154.56874999999999</v>
      </c>
    </row>
    <row r="20" spans="1:10">
      <c r="A20" s="248">
        <v>19</v>
      </c>
      <c r="B20" s="380">
        <f t="shared" si="0"/>
        <v>78.21782178217822</v>
      </c>
      <c r="C20" s="380">
        <v>158</v>
      </c>
      <c r="D20" s="380">
        <v>8</v>
      </c>
      <c r="E20" s="380">
        <f t="shared" si="1"/>
        <v>82.178217821782184</v>
      </c>
      <c r="F20" s="380"/>
      <c r="G20" s="381">
        <f t="shared" si="2"/>
        <v>166</v>
      </c>
      <c r="H20" s="382">
        <f t="shared" si="3"/>
        <v>78.21782178217822</v>
      </c>
      <c r="I20" s="383"/>
      <c r="J20" s="382">
        <f>'Section Load'!C23/G20</f>
        <v>136.25120481927684</v>
      </c>
    </row>
    <row r="21" spans="1:10">
      <c r="A21" s="248">
        <v>20</v>
      </c>
      <c r="B21" s="380">
        <f t="shared" si="0"/>
        <v>74.257425742574256</v>
      </c>
      <c r="C21" s="380">
        <v>150</v>
      </c>
      <c r="D21" s="380">
        <v>2</v>
      </c>
      <c r="E21" s="380">
        <f t="shared" si="1"/>
        <v>75.247524752475243</v>
      </c>
      <c r="F21" s="380"/>
      <c r="G21" s="381">
        <f t="shared" si="2"/>
        <v>152</v>
      </c>
      <c r="H21" s="382">
        <f t="shared" si="3"/>
        <v>74.257425742574256</v>
      </c>
      <c r="I21" s="383"/>
      <c r="J21" s="382">
        <f>'Section Load'!C24/G21</f>
        <v>151.69934210526347</v>
      </c>
    </row>
    <row r="22" spans="1:10">
      <c r="A22" s="248">
        <v>21</v>
      </c>
      <c r="B22" s="380">
        <f t="shared" si="0"/>
        <v>70.297029702970292</v>
      </c>
      <c r="C22" s="380">
        <v>142</v>
      </c>
      <c r="D22" s="380">
        <v>2</v>
      </c>
      <c r="E22" s="380">
        <f t="shared" si="1"/>
        <v>71.287128712871294</v>
      </c>
      <c r="F22" s="380"/>
      <c r="G22" s="381">
        <f t="shared" si="2"/>
        <v>144</v>
      </c>
      <c r="H22" s="382">
        <f t="shared" si="3"/>
        <v>70.297029702970292</v>
      </c>
      <c r="I22" s="383"/>
      <c r="J22" s="382">
        <f>'Section Load'!C25/G22</f>
        <v>152.79166666666666</v>
      </c>
    </row>
    <row r="23" spans="1:10">
      <c r="A23" s="248">
        <v>22</v>
      </c>
      <c r="B23" s="380">
        <v>83</v>
      </c>
      <c r="C23" s="380">
        <v>131</v>
      </c>
      <c r="D23" s="380">
        <v>4</v>
      </c>
      <c r="E23" s="380">
        <f t="shared" si="1"/>
        <v>66.831683168316829</v>
      </c>
      <c r="F23" s="380"/>
      <c r="G23" s="381">
        <f t="shared" si="2"/>
        <v>135</v>
      </c>
      <c r="H23" s="382">
        <f t="shared" si="3"/>
        <v>64.851485148514854</v>
      </c>
      <c r="I23" s="383"/>
      <c r="J23" s="382">
        <f>'Section Load'!C26/G23</f>
        <v>167.66666666666666</v>
      </c>
    </row>
    <row r="24" spans="1:10">
      <c r="A24" s="248">
        <v>23</v>
      </c>
      <c r="B24" s="380">
        <v>98</v>
      </c>
      <c r="C24" s="380">
        <v>137</v>
      </c>
      <c r="D24" s="380">
        <v>4</v>
      </c>
      <c r="E24" s="380">
        <f t="shared" si="1"/>
        <v>69.801980198019805</v>
      </c>
      <c r="F24" s="380"/>
      <c r="G24" s="381">
        <f t="shared" si="2"/>
        <v>141</v>
      </c>
      <c r="H24" s="382">
        <f t="shared" si="3"/>
        <v>67.821782178217816</v>
      </c>
      <c r="I24" s="383"/>
      <c r="J24" s="382">
        <f>'Section Load'!C27/G24</f>
        <v>146.80851063829786</v>
      </c>
    </row>
    <row r="25" spans="1:10">
      <c r="A25" s="248">
        <v>24</v>
      </c>
      <c r="B25" s="380">
        <f t="shared" si="0"/>
        <v>74.257425742574256</v>
      </c>
      <c r="C25" s="380">
        <v>150</v>
      </c>
      <c r="D25" s="380">
        <v>5</v>
      </c>
      <c r="E25" s="380">
        <f t="shared" si="1"/>
        <v>76.732673267326732</v>
      </c>
      <c r="F25" s="380"/>
      <c r="G25" s="381">
        <f t="shared" si="2"/>
        <v>155</v>
      </c>
      <c r="H25" s="382">
        <f t="shared" si="3"/>
        <v>74.257425742574256</v>
      </c>
      <c r="I25" s="383"/>
      <c r="J25" s="382">
        <f>'Section Load'!C28/G25</f>
        <v>133.21935483870968</v>
      </c>
    </row>
    <row r="26" spans="1:10">
      <c r="A26" s="248">
        <v>25</v>
      </c>
      <c r="B26" s="380">
        <f t="shared" si="0"/>
        <v>74.752475247524757</v>
      </c>
      <c r="C26" s="380">
        <v>151</v>
      </c>
      <c r="D26" s="380">
        <v>7</v>
      </c>
      <c r="E26" s="380">
        <f t="shared" si="1"/>
        <v>78.21782178217822</v>
      </c>
      <c r="F26" s="380"/>
      <c r="G26" s="381">
        <f t="shared" si="2"/>
        <v>158</v>
      </c>
      <c r="H26" s="382">
        <f t="shared" si="3"/>
        <v>74.752475247524757</v>
      </c>
      <c r="I26" s="383"/>
      <c r="J26" s="382">
        <f>'Section Load'!C29/G26</f>
        <v>135.91772151898735</v>
      </c>
    </row>
    <row r="27" spans="1:10">
      <c r="A27" s="248">
        <v>26</v>
      </c>
      <c r="B27" s="380">
        <f t="shared" si="0"/>
        <v>70.792079207920793</v>
      </c>
      <c r="C27" s="380">
        <v>143</v>
      </c>
      <c r="D27" s="380">
        <v>8</v>
      </c>
      <c r="E27" s="380">
        <f t="shared" si="1"/>
        <v>74.752475247524757</v>
      </c>
      <c r="F27" s="380"/>
      <c r="G27" s="381">
        <f t="shared" si="2"/>
        <v>151</v>
      </c>
      <c r="H27" s="382">
        <f t="shared" si="3"/>
        <v>70.792079207920793</v>
      </c>
      <c r="I27" s="383"/>
      <c r="J27" s="382">
        <f>'Section Load'!C30/G27</f>
        <v>133.76158940397352</v>
      </c>
    </row>
    <row r="28" spans="1:10">
      <c r="A28" s="248">
        <v>27</v>
      </c>
      <c r="B28" s="380">
        <f t="shared" si="0"/>
        <v>75.742574257425744</v>
      </c>
      <c r="C28" s="380">
        <v>153</v>
      </c>
      <c r="D28" s="380">
        <v>8</v>
      </c>
      <c r="E28" s="380">
        <f t="shared" si="1"/>
        <v>79.702970297029708</v>
      </c>
      <c r="F28" s="380"/>
      <c r="G28" s="381">
        <f t="shared" si="2"/>
        <v>161</v>
      </c>
      <c r="H28" s="382">
        <f t="shared" si="3"/>
        <v>75.742574257425744</v>
      </c>
      <c r="I28" s="383"/>
      <c r="J28" s="382">
        <f>'Section Load'!C31/G28</f>
        <v>129.17950310559002</v>
      </c>
    </row>
    <row r="29" spans="1:10">
      <c r="A29" s="248">
        <v>28</v>
      </c>
      <c r="B29" s="380">
        <f t="shared" si="0"/>
        <v>0</v>
      </c>
      <c r="C29" s="380"/>
      <c r="D29" s="380"/>
      <c r="E29" s="380">
        <f t="shared" si="1"/>
        <v>0</v>
      </c>
      <c r="F29" s="380"/>
      <c r="G29" s="381">
        <f t="shared" si="2"/>
        <v>0</v>
      </c>
      <c r="H29" s="382">
        <f t="shared" si="3"/>
        <v>0</v>
      </c>
      <c r="I29" s="383"/>
      <c r="J29" s="382" t="e">
        <f>'Section Load'!C32/G29</f>
        <v>#DIV/0!</v>
      </c>
    </row>
    <row r="30" spans="1:10">
      <c r="A30" s="248">
        <v>29</v>
      </c>
      <c r="B30" s="380">
        <f>C30/202%</f>
        <v>0</v>
      </c>
      <c r="C30" s="380"/>
      <c r="D30" s="380"/>
      <c r="E30" s="380">
        <f t="shared" si="1"/>
        <v>0</v>
      </c>
      <c r="F30" s="380"/>
      <c r="G30" s="381">
        <f t="shared" si="2"/>
        <v>0</v>
      </c>
      <c r="H30" s="382">
        <f>C30/202%</f>
        <v>0</v>
      </c>
      <c r="I30" s="383"/>
      <c r="J30" s="382" t="e">
        <f>'Section Load'!C33/G30</f>
        <v>#DIV/0!</v>
      </c>
    </row>
    <row r="31" spans="1:10">
      <c r="A31" s="248">
        <v>30</v>
      </c>
      <c r="B31" s="380">
        <f t="shared" si="0"/>
        <v>0</v>
      </c>
      <c r="C31" s="380"/>
      <c r="D31" s="380"/>
      <c r="E31" s="380">
        <f t="shared" si="1"/>
        <v>0</v>
      </c>
      <c r="F31" s="380"/>
      <c r="G31" s="385">
        <f t="shared" si="2"/>
        <v>0</v>
      </c>
      <c r="H31" s="382">
        <f t="shared" si="3"/>
        <v>0</v>
      </c>
      <c r="I31" s="383"/>
      <c r="J31" s="382" t="e">
        <f>'Section Load'!C34/G31</f>
        <v>#DIV/0!</v>
      </c>
    </row>
    <row r="32" spans="1:10">
      <c r="A32" s="248">
        <v>31</v>
      </c>
      <c r="B32" s="380">
        <f t="shared" si="0"/>
        <v>0</v>
      </c>
      <c r="C32" s="380"/>
      <c r="D32" s="380"/>
      <c r="E32" s="380">
        <f t="shared" si="1"/>
        <v>0</v>
      </c>
      <c r="F32" s="380"/>
      <c r="G32" s="385"/>
      <c r="H32" s="382">
        <f t="shared" si="3"/>
        <v>0</v>
      </c>
      <c r="I32" s="383"/>
      <c r="J32" s="382" t="e">
        <f>'Section Load'!C35/G32</f>
        <v>#DIV/0!</v>
      </c>
    </row>
    <row r="33" spans="1:8">
      <c r="A33" t="s">
        <v>316</v>
      </c>
      <c r="B33" s="275">
        <f>AVERAGE(B2:B31)</f>
        <v>69.779207920792061</v>
      </c>
      <c r="C33" s="275">
        <v>154</v>
      </c>
      <c r="D33" s="275">
        <f t="shared" ref="D33:H33" si="4">AVERAGE(D2:D31)</f>
        <v>4.7407407407407405</v>
      </c>
      <c r="E33" s="275">
        <f t="shared" si="4"/>
        <v>70.28052805280528</v>
      </c>
      <c r="F33" s="275">
        <f t="shared" si="4"/>
        <v>473.1</v>
      </c>
      <c r="G33" s="275">
        <f t="shared" si="4"/>
        <v>141.96666666666667</v>
      </c>
      <c r="H33" s="275">
        <f t="shared" si="4"/>
        <v>68.168316831683157</v>
      </c>
    </row>
    <row r="34" spans="1:8">
      <c r="C34" s="275">
        <v>4855</v>
      </c>
      <c r="D34" s="275">
        <v>158</v>
      </c>
      <c r="G34">
        <v>16958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I31"/>
  <sheetViews>
    <sheetView zoomScale="90" zoomScaleNormal="90" workbookViewId="0">
      <selection activeCell="L4" sqref="L4"/>
    </sheetView>
  </sheetViews>
  <sheetFormatPr defaultRowHeight="15.75"/>
  <cols>
    <col min="2" max="2" width="16.44140625" style="92" customWidth="1"/>
    <col min="3" max="3" width="18.6640625" customWidth="1"/>
    <col min="4" max="4" width="6.5546875" customWidth="1"/>
    <col min="5" max="5" width="7.109375" customWidth="1"/>
    <col min="6" max="6" width="4.44140625" customWidth="1"/>
    <col min="7" max="7" width="3.77734375" customWidth="1"/>
    <col min="8" max="8" width="5.109375" customWidth="1"/>
    <col min="9" max="9" width="4.77734375" customWidth="1"/>
    <col min="10" max="10" width="6.21875" customWidth="1"/>
    <col min="11" max="11" width="3.77734375" customWidth="1"/>
    <col min="12" max="12" width="4.21875" customWidth="1"/>
    <col min="13" max="13" width="4.109375" customWidth="1"/>
    <col min="14" max="14" width="3.77734375" customWidth="1"/>
    <col min="15" max="15" width="4.109375" customWidth="1"/>
    <col min="16" max="35" width="3.77734375" customWidth="1"/>
  </cols>
  <sheetData>
    <row r="3" spans="2:35" s="37" customFormat="1">
      <c r="B3" s="259"/>
      <c r="C3" s="260" t="s">
        <v>0</v>
      </c>
      <c r="D3" s="250">
        <v>1</v>
      </c>
      <c r="E3" s="250">
        <v>2</v>
      </c>
      <c r="F3" s="250">
        <v>3</v>
      </c>
      <c r="G3" s="250">
        <v>4</v>
      </c>
      <c r="H3" s="250">
        <v>5</v>
      </c>
      <c r="I3" s="250">
        <v>6</v>
      </c>
      <c r="J3" s="250">
        <v>7</v>
      </c>
      <c r="K3" s="250">
        <v>8</v>
      </c>
      <c r="L3" s="250">
        <v>9</v>
      </c>
      <c r="M3" s="250">
        <v>10</v>
      </c>
      <c r="N3" s="250">
        <v>11</v>
      </c>
      <c r="O3" s="250">
        <v>12</v>
      </c>
      <c r="P3" s="250">
        <v>13</v>
      </c>
      <c r="Q3" s="250">
        <v>14</v>
      </c>
      <c r="R3" s="260">
        <v>15</v>
      </c>
      <c r="S3" s="260">
        <v>16</v>
      </c>
      <c r="T3" s="260">
        <v>17</v>
      </c>
      <c r="U3" s="260">
        <v>18</v>
      </c>
      <c r="V3" s="260">
        <v>19</v>
      </c>
      <c r="W3" s="260">
        <v>20</v>
      </c>
      <c r="X3" s="260">
        <v>21</v>
      </c>
      <c r="Y3" s="260">
        <v>22</v>
      </c>
      <c r="Z3" s="260">
        <v>23</v>
      </c>
      <c r="AA3" s="260">
        <v>24</v>
      </c>
      <c r="AB3" s="260">
        <v>25</v>
      </c>
      <c r="AC3" s="260">
        <v>26</v>
      </c>
      <c r="AD3" s="260">
        <v>27</v>
      </c>
      <c r="AE3" s="260">
        <v>28</v>
      </c>
      <c r="AF3" s="260">
        <v>29</v>
      </c>
      <c r="AG3" s="260">
        <v>30</v>
      </c>
      <c r="AH3" s="260">
        <v>31</v>
      </c>
      <c r="AI3" s="260"/>
    </row>
    <row r="4" spans="2:35">
      <c r="B4" s="93"/>
      <c r="C4" s="90" t="s">
        <v>67</v>
      </c>
      <c r="D4" s="91">
        <f>Occupancy!B2</f>
        <v>77.227722772277232</v>
      </c>
      <c r="E4" s="91">
        <f>Occupancy!B3</f>
        <v>73.267326732673268</v>
      </c>
      <c r="F4" s="91">
        <f>Occupancy!C3</f>
        <v>148</v>
      </c>
      <c r="G4" s="91">
        <f>Occupancy!D3</f>
        <v>4</v>
      </c>
      <c r="H4" s="91">
        <f>Occupancy!E3</f>
        <v>75.247524752475243</v>
      </c>
      <c r="I4" s="91">
        <f>Occupancy!F3</f>
        <v>351</v>
      </c>
      <c r="J4" s="91">
        <f>Occupancy!G3</f>
        <v>152</v>
      </c>
      <c r="K4" s="91">
        <f>Occupancy!H3</f>
        <v>73.267326732673268</v>
      </c>
      <c r="L4" s="91">
        <f>Occupancy!I3</f>
        <v>0</v>
      </c>
      <c r="M4" s="91">
        <f>Occupancy!J3</f>
        <v>145.93124999999992</v>
      </c>
      <c r="N4" s="91">
        <f>Occupancy!K3</f>
        <v>0</v>
      </c>
      <c r="O4" s="91">
        <f>Occupancy!L3</f>
        <v>0</v>
      </c>
      <c r="P4" s="91">
        <f>Occupancy!M3</f>
        <v>0</v>
      </c>
      <c r="Q4" s="91">
        <f>Occupancy!N3</f>
        <v>0</v>
      </c>
      <c r="R4" s="91">
        <f>Occupancy!O3</f>
        <v>0</v>
      </c>
      <c r="S4" s="91">
        <f>Occupancy!P3</f>
        <v>0</v>
      </c>
      <c r="T4" s="91">
        <f>Occupancy!Q3</f>
        <v>0</v>
      </c>
      <c r="U4" s="91">
        <f>Occupancy!R3</f>
        <v>0</v>
      </c>
      <c r="V4" s="91">
        <f>Occupancy!S3</f>
        <v>0</v>
      </c>
      <c r="W4" s="91">
        <f>Occupancy!T3</f>
        <v>0</v>
      </c>
      <c r="X4" s="91">
        <f>Occupancy!U3</f>
        <v>0</v>
      </c>
      <c r="Y4" s="91">
        <f>Occupancy!V3</f>
        <v>0</v>
      </c>
      <c r="Z4" s="91">
        <f>Occupancy!W3</f>
        <v>0</v>
      </c>
      <c r="AA4" s="91">
        <f>Occupancy!X3</f>
        <v>0</v>
      </c>
      <c r="AB4" s="91">
        <f>Occupancy!Y3</f>
        <v>0</v>
      </c>
      <c r="AC4" s="91">
        <f>Occupancy!Z3</f>
        <v>0</v>
      </c>
      <c r="AD4" s="91">
        <f>Occupancy!AA3</f>
        <v>0</v>
      </c>
      <c r="AE4" s="91">
        <f>Occupancy!AB3</f>
        <v>0</v>
      </c>
      <c r="AF4" s="91">
        <f>Occupancy!AC3</f>
        <v>0</v>
      </c>
      <c r="AG4" s="91">
        <f>Occupancy!AD3</f>
        <v>0</v>
      </c>
      <c r="AH4" s="91">
        <f>Occupancy!AE3</f>
        <v>0</v>
      </c>
      <c r="AI4" s="90"/>
    </row>
    <row r="5" spans="2:35">
      <c r="B5" s="93"/>
      <c r="C5" s="90" t="s">
        <v>68</v>
      </c>
      <c r="D5" s="91">
        <f>'1'!G18</f>
        <v>250</v>
      </c>
      <c r="E5" s="91">
        <f>'2'!G18</f>
        <v>260</v>
      </c>
      <c r="F5" s="91">
        <f>'3'!G18</f>
        <v>270</v>
      </c>
      <c r="G5" s="91">
        <f>'4'!G18</f>
        <v>210</v>
      </c>
      <c r="H5" s="91">
        <f>'5'!G18</f>
        <v>250</v>
      </c>
      <c r="I5" s="91">
        <f>'6'!G18</f>
        <v>310</v>
      </c>
      <c r="J5" s="91">
        <f>'7'!G18</f>
        <v>220</v>
      </c>
      <c r="K5" s="91">
        <f>'8'!G18</f>
        <v>250</v>
      </c>
      <c r="L5" s="91">
        <f>'9'!G18</f>
        <v>280</v>
      </c>
      <c r="M5" s="91">
        <f>'10'!G18</f>
        <v>260</v>
      </c>
      <c r="N5" s="91">
        <f>'11'!G18</f>
        <v>250</v>
      </c>
      <c r="O5" s="91">
        <f>'12'!G18</f>
        <v>350</v>
      </c>
      <c r="P5" s="91">
        <f>'13'!G18</f>
        <v>330</v>
      </c>
      <c r="Q5" s="91">
        <f>'14'!G18</f>
        <v>330</v>
      </c>
      <c r="R5" s="91">
        <f>'15'!G18</f>
        <v>330</v>
      </c>
      <c r="S5" s="91">
        <f>'16'!G18</f>
        <v>270</v>
      </c>
      <c r="T5" s="91">
        <f>'17'!G18</f>
        <v>310</v>
      </c>
      <c r="U5" s="91">
        <f>'18 '!G18</f>
        <v>250</v>
      </c>
      <c r="V5" s="91">
        <f>'19'!G18</f>
        <v>330</v>
      </c>
      <c r="W5" s="91">
        <f>'20'!G18</f>
        <v>230</v>
      </c>
      <c r="X5" s="91">
        <f>'21'!G18</f>
        <v>300</v>
      </c>
      <c r="Y5" s="91">
        <f>'22'!G18</f>
        <v>220</v>
      </c>
      <c r="Z5" s="91">
        <f>'23'!G18</f>
        <v>200</v>
      </c>
      <c r="AA5" s="91">
        <f>'24'!G18</f>
        <v>220</v>
      </c>
      <c r="AB5" s="91">
        <f>'25'!G18</f>
        <v>220</v>
      </c>
      <c r="AC5" s="91">
        <f>'26'!G18</f>
        <v>240</v>
      </c>
      <c r="AD5" s="91">
        <f>'27'!G18</f>
        <v>290</v>
      </c>
      <c r="AE5" s="91">
        <f>'28'!G18</f>
        <v>250</v>
      </c>
      <c r="AF5" s="91">
        <f>'29'!G18</f>
        <v>210</v>
      </c>
      <c r="AG5" s="91">
        <f>'30'!G18</f>
        <v>310</v>
      </c>
      <c r="AH5" s="91">
        <f>'31'!G18</f>
        <v>180</v>
      </c>
      <c r="AI5" s="90"/>
    </row>
    <row r="6" spans="2:35">
      <c r="B6" s="93"/>
      <c r="C6" s="90" t="s">
        <v>69</v>
      </c>
      <c r="D6" s="91">
        <f>'1'!G19</f>
        <v>53</v>
      </c>
      <c r="E6" s="91">
        <f>'2'!G19</f>
        <v>53</v>
      </c>
      <c r="F6" s="91">
        <f>'3'!G19</f>
        <v>56</v>
      </c>
      <c r="G6" s="91">
        <f>'4'!G19</f>
        <v>59</v>
      </c>
      <c r="H6" s="91">
        <f>'5'!G19</f>
        <v>61</v>
      </c>
      <c r="I6" s="91">
        <f>'6'!G19</f>
        <v>53</v>
      </c>
      <c r="J6" s="91">
        <f>'7'!G19</f>
        <v>49</v>
      </c>
      <c r="K6" s="91">
        <f>'8'!G19</f>
        <v>43</v>
      </c>
      <c r="L6" s="91">
        <f>'9'!G19</f>
        <v>56</v>
      </c>
      <c r="M6" s="91">
        <f>'10'!G19</f>
        <v>65</v>
      </c>
      <c r="N6" s="91">
        <f>'11'!G19</f>
        <v>46</v>
      </c>
      <c r="O6" s="91">
        <f>'12'!G19</f>
        <v>61</v>
      </c>
      <c r="P6" s="91">
        <f>'13'!G19</f>
        <v>48</v>
      </c>
      <c r="Q6" s="91">
        <f>'14'!G19</f>
        <v>47</v>
      </c>
      <c r="R6" s="91">
        <f>'15'!G19</f>
        <v>52</v>
      </c>
      <c r="S6" s="91">
        <f>'16'!G19</f>
        <v>52</v>
      </c>
      <c r="T6" s="91">
        <f>'17'!G19</f>
        <v>43</v>
      </c>
      <c r="U6" s="91">
        <f>'18 '!G19</f>
        <v>57</v>
      </c>
      <c r="V6" s="91">
        <f>'19'!G19</f>
        <v>58</v>
      </c>
      <c r="W6" s="91">
        <f>'20'!G19</f>
        <v>59</v>
      </c>
      <c r="X6" s="91">
        <f>'21'!G19</f>
        <v>60</v>
      </c>
      <c r="Y6" s="91">
        <f>'22'!G19</f>
        <v>59</v>
      </c>
      <c r="Z6" s="91">
        <f>'23'!G19</f>
        <v>58</v>
      </c>
      <c r="AA6" s="91">
        <f>'24'!G19</f>
        <v>57</v>
      </c>
      <c r="AB6" s="91">
        <f>'25'!G19</f>
        <v>59</v>
      </c>
      <c r="AC6" s="91">
        <f>'26'!G19</f>
        <v>51</v>
      </c>
      <c r="AD6" s="91">
        <f>'27'!G19</f>
        <v>52</v>
      </c>
      <c r="AE6" s="91">
        <f>'28'!G19</f>
        <v>58</v>
      </c>
      <c r="AF6" s="91">
        <f>'29'!G19</f>
        <v>58</v>
      </c>
      <c r="AG6" s="91">
        <f>'30'!G19</f>
        <v>53</v>
      </c>
      <c r="AH6" s="91">
        <f>'31'!G19</f>
        <v>48</v>
      </c>
      <c r="AI6" s="90"/>
    </row>
    <row r="7" spans="2:35">
      <c r="B7" s="93"/>
      <c r="C7" s="90" t="s">
        <v>70</v>
      </c>
      <c r="D7" s="91">
        <f>'1'!G62</f>
        <v>134</v>
      </c>
      <c r="E7" s="91">
        <f>'2'!G62</f>
        <v>109</v>
      </c>
      <c r="F7" s="91">
        <f>'3'!G62</f>
        <v>109</v>
      </c>
      <c r="G7" s="91">
        <f>'4'!G62</f>
        <v>110</v>
      </c>
      <c r="H7" s="91">
        <f>'5'!G62</f>
        <v>96</v>
      </c>
      <c r="I7" s="91">
        <f>'6'!G62</f>
        <v>113</v>
      </c>
      <c r="J7" s="91">
        <f>'7'!G62</f>
        <v>122</v>
      </c>
      <c r="K7" s="91">
        <f>'8'!G62</f>
        <v>112</v>
      </c>
      <c r="L7" s="91">
        <f>'9'!G62</f>
        <v>136</v>
      </c>
      <c r="M7" s="91">
        <f>'10'!G62</f>
        <v>143</v>
      </c>
      <c r="N7" s="91">
        <f>'11'!G62</f>
        <v>121</v>
      </c>
      <c r="O7" s="91">
        <f>'12'!G62</f>
        <v>101</v>
      </c>
      <c r="P7" s="91">
        <f>'13'!G62</f>
        <v>100</v>
      </c>
      <c r="Q7" s="91">
        <f>'14'!G62</f>
        <v>123</v>
      </c>
      <c r="R7" s="91">
        <f>'15'!G62</f>
        <v>107</v>
      </c>
      <c r="S7" s="91">
        <f>'16'!G62</f>
        <v>161.40000000002328</v>
      </c>
      <c r="T7" s="91">
        <f>'17'!G62</f>
        <v>163.59999999997672</v>
      </c>
      <c r="U7" s="91">
        <f>'18 '!G62</f>
        <v>112.5</v>
      </c>
      <c r="V7" s="91">
        <f>'19'!G62</f>
        <v>102.5</v>
      </c>
      <c r="W7" s="91">
        <f>'20'!G62</f>
        <v>116</v>
      </c>
      <c r="X7" s="91">
        <f>'21'!G62</f>
        <v>112</v>
      </c>
      <c r="Y7" s="91">
        <f>'22'!G62</f>
        <v>153</v>
      </c>
      <c r="Z7" s="91">
        <f>'23'!G62</f>
        <v>64</v>
      </c>
      <c r="AA7" s="91">
        <f>'24'!G62</f>
        <v>100.40000000002328</v>
      </c>
      <c r="AB7" s="91">
        <f>'25'!G62</f>
        <v>157.59999999997672</v>
      </c>
      <c r="AC7" s="91">
        <f>'26'!G62</f>
        <v>147</v>
      </c>
      <c r="AD7" s="91">
        <f>'27'!G62</f>
        <v>172</v>
      </c>
      <c r="AE7" s="91">
        <f>'28'!G62</f>
        <v>3</v>
      </c>
      <c r="AF7" s="91">
        <f>'29'!G62</f>
        <v>155</v>
      </c>
      <c r="AG7" s="91">
        <f>'30'!G62</f>
        <v>140</v>
      </c>
      <c r="AH7" s="91">
        <f>'31'!G62</f>
        <v>190</v>
      </c>
      <c r="AI7" s="90"/>
    </row>
    <row r="8" spans="2:35">
      <c r="B8" s="93"/>
      <c r="C8" s="90" t="s">
        <v>299</v>
      </c>
      <c r="D8" s="91">
        <f>'1'!G63</f>
        <v>33</v>
      </c>
      <c r="E8" s="91">
        <f>'2'!G63</f>
        <v>90</v>
      </c>
      <c r="F8" s="91">
        <f>'3'!G63</f>
        <v>80</v>
      </c>
      <c r="G8" s="91">
        <f>'4'!G63</f>
        <v>51</v>
      </c>
      <c r="H8" s="91">
        <f>'5'!G63</f>
        <v>48</v>
      </c>
      <c r="I8" s="91">
        <f>'6'!G63</f>
        <v>46</v>
      </c>
      <c r="J8" s="91">
        <f>'7'!G63</f>
        <v>70</v>
      </c>
      <c r="K8" s="91">
        <f>'8'!G63</f>
        <v>53</v>
      </c>
      <c r="L8" s="91">
        <f>'9'!G63</f>
        <v>92</v>
      </c>
      <c r="M8" s="91">
        <f>'10'!G63</f>
        <v>102</v>
      </c>
      <c r="N8" s="91">
        <f>'11'!G63</f>
        <v>51</v>
      </c>
      <c r="O8" s="91">
        <f>'12'!G63</f>
        <v>1</v>
      </c>
      <c r="P8" s="91">
        <f>'13'!G63</f>
        <v>20</v>
      </c>
      <c r="Q8" s="91">
        <f>'14'!G63</f>
        <v>26</v>
      </c>
      <c r="R8" s="91">
        <f>'15'!G63</f>
        <v>81</v>
      </c>
      <c r="S8" s="91">
        <f>'16'!G63</f>
        <v>59</v>
      </c>
      <c r="T8" s="91">
        <f>'17'!G63</f>
        <v>83</v>
      </c>
      <c r="U8" s="91">
        <f>'18 '!G63</f>
        <v>76</v>
      </c>
      <c r="V8" s="91">
        <f>'19'!G63</f>
        <v>43</v>
      </c>
      <c r="W8" s="91">
        <f>'20'!G63</f>
        <v>32</v>
      </c>
      <c r="X8" s="91">
        <f>'21'!G63</f>
        <v>70</v>
      </c>
      <c r="Y8" s="91">
        <f>'22'!G63</f>
        <v>85</v>
      </c>
      <c r="Z8" s="91">
        <f>'23'!G63</f>
        <v>73</v>
      </c>
      <c r="AA8" s="91">
        <f>'24'!G63</f>
        <v>90</v>
      </c>
      <c r="AB8" s="91">
        <f>'25'!G63</f>
        <v>68</v>
      </c>
      <c r="AC8" s="91">
        <f>'26'!G63</f>
        <v>41</v>
      </c>
      <c r="AD8" s="91">
        <f>'27'!G63</f>
        <v>37</v>
      </c>
      <c r="AE8" s="91">
        <f>'28'!G63</f>
        <v>178</v>
      </c>
      <c r="AF8" s="91">
        <f>'29'!G63</f>
        <v>113</v>
      </c>
      <c r="AG8" s="91">
        <f>'30'!G63</f>
        <v>115</v>
      </c>
      <c r="AH8" s="91">
        <f>'31'!G63</f>
        <v>99</v>
      </c>
      <c r="AI8" s="90"/>
    </row>
    <row r="9" spans="2:35">
      <c r="B9" s="770" t="s">
        <v>71</v>
      </c>
      <c r="C9" s="90" t="s">
        <v>31</v>
      </c>
      <c r="D9" s="91">
        <f>'1'!G65</f>
        <v>141</v>
      </c>
      <c r="E9" s="91">
        <f>'2'!G65</f>
        <v>114</v>
      </c>
      <c r="F9" s="91">
        <f>'3'!G65</f>
        <v>121</v>
      </c>
      <c r="G9" s="91">
        <f>'4'!G65</f>
        <v>122</v>
      </c>
      <c r="H9" s="91">
        <f>'5'!G65</f>
        <v>128</v>
      </c>
      <c r="I9" s="91">
        <f>'6'!G65</f>
        <v>153</v>
      </c>
      <c r="J9" s="91">
        <f>'7'!G65</f>
        <v>125</v>
      </c>
      <c r="K9" s="91">
        <f>'8'!G65</f>
        <v>129</v>
      </c>
      <c r="L9" s="91">
        <f>'9'!G65</f>
        <v>155</v>
      </c>
      <c r="M9" s="91">
        <f>'10'!G65</f>
        <v>152</v>
      </c>
      <c r="N9" s="91">
        <f>'11'!G65</f>
        <v>131</v>
      </c>
      <c r="O9" s="91">
        <f>'12'!G65</f>
        <v>123</v>
      </c>
      <c r="P9" s="91">
        <f>'13'!G65</f>
        <v>125</v>
      </c>
      <c r="Q9" s="91">
        <f>'14'!G65</f>
        <v>149</v>
      </c>
      <c r="R9" s="91">
        <f>'15'!G65</f>
        <v>142</v>
      </c>
      <c r="S9" s="91">
        <f>'16'!G65</f>
        <v>149</v>
      </c>
      <c r="T9" s="91">
        <f>'17'!G65</f>
        <v>153</v>
      </c>
      <c r="U9" s="91">
        <f>'18 '!G65</f>
        <v>140</v>
      </c>
      <c r="V9" s="91">
        <f>'19'!G65</f>
        <v>121</v>
      </c>
      <c r="W9" s="91">
        <f>'20'!G65</f>
        <v>140</v>
      </c>
      <c r="X9" s="91">
        <f>'21'!G65</f>
        <v>128</v>
      </c>
      <c r="Y9" s="91">
        <f>'22'!G65</f>
        <v>121</v>
      </c>
      <c r="Z9" s="91">
        <f>'23'!G65</f>
        <v>111</v>
      </c>
      <c r="AA9" s="91">
        <f>'24'!G65</f>
        <v>124</v>
      </c>
      <c r="AB9" s="91">
        <f>'25'!G65</f>
        <v>136</v>
      </c>
      <c r="AC9" s="91">
        <f>'26'!G65</f>
        <v>165</v>
      </c>
      <c r="AD9" s="91">
        <f>'27'!G65</f>
        <v>183</v>
      </c>
      <c r="AE9" s="91">
        <f>'28'!G65</f>
        <v>42</v>
      </c>
      <c r="AF9" s="91">
        <f>'29'!G65</f>
        <v>139</v>
      </c>
      <c r="AG9" s="91">
        <f>'30'!G65</f>
        <v>127</v>
      </c>
      <c r="AH9" s="91">
        <f>'31'!G65</f>
        <v>140</v>
      </c>
      <c r="AI9" s="90"/>
    </row>
    <row r="10" spans="2:35">
      <c r="B10" s="770"/>
      <c r="C10" s="90" t="s">
        <v>32</v>
      </c>
      <c r="D10" s="91">
        <f>'1'!G66</f>
        <v>10</v>
      </c>
      <c r="E10" s="91">
        <f>'2'!G66</f>
        <v>20</v>
      </c>
      <c r="F10" s="91">
        <f>'3'!G66</f>
        <v>9</v>
      </c>
      <c r="G10" s="91">
        <f>'4'!G66</f>
        <v>9</v>
      </c>
      <c r="H10" s="91">
        <f>'5'!G66</f>
        <v>7</v>
      </c>
      <c r="I10" s="91">
        <f>'6'!G66</f>
        <v>5</v>
      </c>
      <c r="J10" s="91">
        <f>'7'!G66</f>
        <v>55455</v>
      </c>
      <c r="K10" s="91">
        <f>'8'!G66</f>
        <v>6</v>
      </c>
      <c r="L10" s="91">
        <f>'9'!G66</f>
        <v>17</v>
      </c>
      <c r="M10" s="91">
        <f>'10'!G66</f>
        <v>9</v>
      </c>
      <c r="N10" s="91">
        <f>'11'!G66</f>
        <v>11</v>
      </c>
      <c r="O10" s="91">
        <f>'12'!G66</f>
        <v>7</v>
      </c>
      <c r="P10" s="91">
        <f>'13'!G66</f>
        <v>8</v>
      </c>
      <c r="Q10" s="91">
        <f>'14'!G66</f>
        <v>13</v>
      </c>
      <c r="R10" s="91">
        <f>'15'!G66</f>
        <v>8</v>
      </c>
      <c r="S10" s="91">
        <f>'16'!G66</f>
        <v>16</v>
      </c>
      <c r="T10" s="91">
        <f>'17'!G66</f>
        <v>14</v>
      </c>
      <c r="U10" s="91">
        <f>'18 '!G66</f>
        <v>10</v>
      </c>
      <c r="V10" s="91">
        <f>'19'!G66</f>
        <v>8</v>
      </c>
      <c r="W10" s="91">
        <f>'20'!G66</f>
        <v>12</v>
      </c>
      <c r="X10" s="91">
        <f>'21'!G66</f>
        <v>8</v>
      </c>
      <c r="Y10" s="91">
        <f>'22'!G66</f>
        <v>18</v>
      </c>
      <c r="Z10" s="91">
        <f>'23'!G66</f>
        <v>9</v>
      </c>
      <c r="AA10" s="91">
        <f>'24'!G66</f>
        <v>16</v>
      </c>
      <c r="AB10" s="91">
        <f>'25'!G66</f>
        <v>13</v>
      </c>
      <c r="AC10" s="91">
        <f>'26'!G66</f>
        <v>15</v>
      </c>
      <c r="AD10" s="91">
        <f>'27'!G66</f>
        <v>18</v>
      </c>
      <c r="AE10" s="91">
        <f>'28'!G66</f>
        <v>8</v>
      </c>
      <c r="AF10" s="91">
        <f>'29'!G66</f>
        <v>14</v>
      </c>
      <c r="AG10" s="91">
        <f>'30'!G66</f>
        <v>22</v>
      </c>
      <c r="AH10" s="91">
        <f>'31'!G66</f>
        <v>17</v>
      </c>
      <c r="AI10" s="90"/>
    </row>
    <row r="11" spans="2:35">
      <c r="B11" s="770"/>
      <c r="C11" s="90" t="s">
        <v>33</v>
      </c>
      <c r="D11" s="91">
        <f>'1'!G67</f>
        <v>19</v>
      </c>
      <c r="E11" s="91">
        <f>'2'!G67</f>
        <v>16</v>
      </c>
      <c r="F11" s="91">
        <f>'3'!G67</f>
        <v>32</v>
      </c>
      <c r="G11" s="91">
        <f>'4'!G67</f>
        <v>26</v>
      </c>
      <c r="H11" s="91">
        <f>'5'!G67</f>
        <v>14</v>
      </c>
      <c r="I11" s="91">
        <f>'6'!G67</f>
        <v>17</v>
      </c>
      <c r="J11" s="91">
        <f>'7'!G67</f>
        <v>16</v>
      </c>
      <c r="K11" s="91">
        <f>'8'!G67</f>
        <v>15</v>
      </c>
      <c r="L11" s="91">
        <f>'9'!G67</f>
        <v>21</v>
      </c>
      <c r="M11" s="91">
        <f>'10'!G67</f>
        <v>30</v>
      </c>
      <c r="N11" s="91">
        <f>'11'!G67</f>
        <v>18</v>
      </c>
      <c r="O11" s="91">
        <f>'12'!G67</f>
        <v>16</v>
      </c>
      <c r="P11" s="91">
        <f>'13'!G67</f>
        <v>18</v>
      </c>
      <c r="Q11" s="91">
        <f>'14'!G67</f>
        <v>22</v>
      </c>
      <c r="R11" s="91">
        <f>'15'!G67</f>
        <v>25</v>
      </c>
      <c r="S11" s="91">
        <f>'16'!G67</f>
        <v>20</v>
      </c>
      <c r="T11" s="91">
        <f>'17'!G67</f>
        <v>33</v>
      </c>
      <c r="U11" s="91">
        <f>'18 '!G67</f>
        <v>22</v>
      </c>
      <c r="V11" s="91">
        <f>'19'!G67</f>
        <v>19</v>
      </c>
      <c r="W11" s="91">
        <f>'20'!G67</f>
        <v>22</v>
      </c>
      <c r="X11" s="91">
        <f>'21'!G67</f>
        <v>21</v>
      </c>
      <c r="Y11" s="91">
        <f>'22'!G67</f>
        <v>23</v>
      </c>
      <c r="Z11" s="91">
        <f>'23'!G67</f>
        <v>24</v>
      </c>
      <c r="AA11" s="91">
        <f>'24'!G67</f>
        <v>29</v>
      </c>
      <c r="AB11" s="91">
        <f>'25'!G67</f>
        <v>26</v>
      </c>
      <c r="AC11" s="91">
        <f>'26'!G67</f>
        <v>23</v>
      </c>
      <c r="AD11" s="91">
        <f>'27'!G67</f>
        <v>20</v>
      </c>
      <c r="AE11" s="91">
        <f>'28'!G67</f>
        <v>44</v>
      </c>
      <c r="AF11" s="91">
        <f>'29'!G67</f>
        <v>26</v>
      </c>
      <c r="AG11" s="91">
        <f>'30'!G67</f>
        <v>28</v>
      </c>
      <c r="AH11" s="91">
        <f>'31'!G67</f>
        <v>27</v>
      </c>
      <c r="AI11" s="90"/>
    </row>
    <row r="12" spans="2:35">
      <c r="B12" s="93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</row>
    <row r="13" spans="2:35">
      <c r="B13" s="770" t="s">
        <v>72</v>
      </c>
      <c r="C13" s="90" t="s">
        <v>31</v>
      </c>
      <c r="D13" s="91">
        <f>'1'!G68</f>
        <v>45</v>
      </c>
      <c r="E13" s="91">
        <f>'2'!G68</f>
        <v>46</v>
      </c>
      <c r="F13" s="91">
        <f>'3'!G68</f>
        <v>19</v>
      </c>
      <c r="G13" s="91">
        <f>'4'!G68</f>
        <v>31</v>
      </c>
      <c r="H13" s="91">
        <f>'5'!G68</f>
        <v>18</v>
      </c>
      <c r="I13" s="91">
        <f>'6'!G68</f>
        <v>18</v>
      </c>
      <c r="J13" s="91">
        <f>'7'!G68</f>
        <v>23</v>
      </c>
      <c r="K13" s="91">
        <f>'8'!G68</f>
        <v>34</v>
      </c>
      <c r="L13" s="91">
        <f>'9'!G68</f>
        <v>20</v>
      </c>
      <c r="M13" s="91">
        <f>'10'!G68</f>
        <v>41</v>
      </c>
      <c r="N13" s="91">
        <f>'11'!G68</f>
        <v>22</v>
      </c>
      <c r="O13" s="91">
        <f>'12'!G68</f>
        <v>34</v>
      </c>
      <c r="P13" s="91">
        <f>'13'!G68</f>
        <v>30</v>
      </c>
      <c r="Q13" s="91">
        <f>'14'!G68</f>
        <v>29</v>
      </c>
      <c r="R13" s="91">
        <f>'15'!G68</f>
        <v>34</v>
      </c>
      <c r="S13" s="91">
        <f>'16'!G68</f>
        <v>43</v>
      </c>
      <c r="T13" s="91">
        <f>'17'!G68</f>
        <v>39</v>
      </c>
      <c r="U13" s="91">
        <f>'18 '!G68</f>
        <v>21</v>
      </c>
      <c r="V13" s="91">
        <f>'19'!G68</f>
        <v>26</v>
      </c>
      <c r="W13" s="91">
        <f>'20'!G68</f>
        <v>32</v>
      </c>
      <c r="X13" s="91">
        <f>'21'!G68</f>
        <v>22</v>
      </c>
      <c r="Y13" s="91">
        <f>'22'!G68</f>
        <v>29</v>
      </c>
      <c r="Z13" s="91">
        <f>'23'!G68</f>
        <v>24</v>
      </c>
      <c r="AA13" s="419">
        <f>'24'!G68</f>
        <v>35</v>
      </c>
      <c r="AB13" s="91">
        <f>'25'!G68</f>
        <v>31</v>
      </c>
      <c r="AC13" s="91">
        <f>'26'!G68</f>
        <v>27</v>
      </c>
      <c r="AD13" s="91">
        <f>'27'!G68</f>
        <v>30</v>
      </c>
      <c r="AE13" s="91">
        <f>'28'!G68</f>
        <v>30</v>
      </c>
      <c r="AF13" s="91">
        <f>'29'!G68</f>
        <v>27</v>
      </c>
      <c r="AG13" s="91">
        <f>'30'!G68</f>
        <v>23</v>
      </c>
      <c r="AH13" s="91">
        <f>'31'!G68</f>
        <v>20</v>
      </c>
      <c r="AI13" s="90"/>
    </row>
    <row r="14" spans="2:35">
      <c r="B14" s="770"/>
      <c r="C14" s="90" t="s">
        <v>32</v>
      </c>
      <c r="D14" s="91">
        <f>'1'!G69</f>
        <v>5</v>
      </c>
      <c r="E14" s="91">
        <f>'2'!G69</f>
        <v>3</v>
      </c>
      <c r="F14" s="91">
        <f>'3'!G69</f>
        <v>5</v>
      </c>
      <c r="G14" s="91">
        <f>'4'!G69</f>
        <v>2</v>
      </c>
      <c r="H14" s="91">
        <f>'5'!G69</f>
        <v>3</v>
      </c>
      <c r="I14" s="91">
        <f>'6'!G69</f>
        <v>3</v>
      </c>
      <c r="J14" s="91">
        <f>'7'!G69</f>
        <v>3</v>
      </c>
      <c r="K14" s="91">
        <f>'8'!G69</f>
        <v>3</v>
      </c>
      <c r="L14" s="91">
        <f>'9'!G69</f>
        <v>7</v>
      </c>
      <c r="M14" s="91">
        <f>'10'!G69</f>
        <v>6</v>
      </c>
      <c r="N14" s="91">
        <f>'11'!G69</f>
        <v>6</v>
      </c>
      <c r="O14" s="91">
        <f>'12'!G69</f>
        <v>6</v>
      </c>
      <c r="P14" s="91">
        <f>'13'!G69</f>
        <v>5</v>
      </c>
      <c r="Q14" s="91">
        <f>'14'!G69</f>
        <v>10</v>
      </c>
      <c r="R14" s="91">
        <f>'15'!G69</f>
        <v>7</v>
      </c>
      <c r="S14" s="91">
        <f>'16'!G69</f>
        <v>6</v>
      </c>
      <c r="T14" s="91">
        <f>'17'!G69</f>
        <v>12</v>
      </c>
      <c r="U14" s="91">
        <f>'18 '!G69</f>
        <v>5</v>
      </c>
      <c r="V14" s="91">
        <f>'19'!G69</f>
        <v>5</v>
      </c>
      <c r="W14" s="91">
        <f>'20'!G69</f>
        <v>3</v>
      </c>
      <c r="X14" s="91">
        <f>'21'!G69</f>
        <v>8</v>
      </c>
      <c r="Y14" s="91">
        <f>'22'!G69</f>
        <v>4</v>
      </c>
      <c r="Z14" s="91">
        <f>'23'!G69</f>
        <v>5</v>
      </c>
      <c r="AA14" s="91">
        <f>'24'!G69</f>
        <v>1</v>
      </c>
      <c r="AB14" s="91">
        <f>'25'!G69</f>
        <v>3</v>
      </c>
      <c r="AC14" s="91">
        <f>'26'!G69</f>
        <v>3</v>
      </c>
      <c r="AD14" s="91">
        <f>'27'!G69</f>
        <v>7</v>
      </c>
      <c r="AE14" s="91">
        <f>'28'!G69</f>
        <v>3</v>
      </c>
      <c r="AF14" s="91">
        <f>'29'!G69</f>
        <v>6</v>
      </c>
      <c r="AG14" s="91">
        <f>'30'!G69</f>
        <v>36</v>
      </c>
      <c r="AH14" s="91">
        <f>'31'!G69</f>
        <v>7</v>
      </c>
      <c r="AI14" s="90"/>
    </row>
    <row r="15" spans="2:35">
      <c r="B15" s="770"/>
      <c r="C15" s="90" t="s">
        <v>33</v>
      </c>
      <c r="D15" s="91">
        <f>'1'!G70</f>
        <v>8</v>
      </c>
      <c r="E15" s="91">
        <f>'2'!G70</f>
        <v>11</v>
      </c>
      <c r="F15" s="91">
        <f>'3'!G70</f>
        <v>6</v>
      </c>
      <c r="G15" s="91">
        <f>'4'!G70</f>
        <v>8</v>
      </c>
      <c r="H15" s="91">
        <f>'5'!G70</f>
        <v>5</v>
      </c>
      <c r="I15" s="91">
        <f>'6'!G70</f>
        <v>5</v>
      </c>
      <c r="J15" s="91">
        <f>'7'!G70</f>
        <v>8</v>
      </c>
      <c r="K15" s="91">
        <f>'8'!G70</f>
        <v>5</v>
      </c>
      <c r="L15" s="91">
        <f>'9'!G70</f>
        <v>8</v>
      </c>
      <c r="M15" s="91">
        <f>'10'!G70</f>
        <v>8</v>
      </c>
      <c r="N15" s="91">
        <f>'11'!G70</f>
        <v>6</v>
      </c>
      <c r="O15" s="91">
        <f>'12'!G70</f>
        <v>5</v>
      </c>
      <c r="P15" s="91">
        <f>'13'!G70</f>
        <v>7</v>
      </c>
      <c r="Q15" s="91">
        <f>'14'!G70</f>
        <v>8</v>
      </c>
      <c r="R15" s="91">
        <f>'15'!G70</f>
        <v>11</v>
      </c>
      <c r="S15" s="91">
        <f>'16'!G70</f>
        <v>6</v>
      </c>
      <c r="T15" s="91">
        <f>'17'!G70</f>
        <v>6</v>
      </c>
      <c r="U15" s="91">
        <f>'18 '!G70</f>
        <v>7</v>
      </c>
      <c r="V15" s="91">
        <f>'19'!G70</f>
        <v>7</v>
      </c>
      <c r="W15" s="91">
        <f>'20'!G70</f>
        <v>6</v>
      </c>
      <c r="X15" s="91">
        <f>'21'!G70</f>
        <v>11</v>
      </c>
      <c r="Y15" s="91">
        <f>'22'!G70</f>
        <v>10</v>
      </c>
      <c r="Z15" s="91">
        <f>'23'!G70</f>
        <v>8</v>
      </c>
      <c r="AA15" s="91">
        <f>'24'!G70</f>
        <v>8</v>
      </c>
      <c r="AB15" s="91">
        <f>'25'!G70</f>
        <v>8</v>
      </c>
      <c r="AC15" s="91">
        <f>'26'!G70</f>
        <v>5</v>
      </c>
      <c r="AD15" s="91">
        <f>'27'!G70</f>
        <v>6</v>
      </c>
      <c r="AE15" s="91">
        <f>'28'!G70</f>
        <v>16</v>
      </c>
      <c r="AF15" s="91">
        <f>'29'!G70</f>
        <v>6</v>
      </c>
      <c r="AG15" s="91">
        <f>'30'!G70</f>
        <v>12</v>
      </c>
      <c r="AH15" s="91">
        <f>'31'!G70</f>
        <v>6</v>
      </c>
      <c r="AI15" s="90"/>
    </row>
    <row r="16" spans="2:35">
      <c r="B16" s="93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</row>
    <row r="17" spans="2:35">
      <c r="B17" s="770" t="s">
        <v>73</v>
      </c>
      <c r="C17" s="90" t="s">
        <v>74</v>
      </c>
      <c r="D17" s="90">
        <f>'1'!G173</f>
        <v>2</v>
      </c>
      <c r="E17" s="91">
        <f>'2'!G173</f>
        <v>4</v>
      </c>
      <c r="F17" s="91">
        <f>'3'!G173</f>
        <v>2</v>
      </c>
      <c r="G17" s="91">
        <f>'4'!G173</f>
        <v>1</v>
      </c>
      <c r="H17" s="91">
        <f>'5'!G173</f>
        <v>0</v>
      </c>
      <c r="I17" s="91">
        <f>'6'!G173</f>
        <v>1</v>
      </c>
      <c r="J17" s="91">
        <f>'7'!G173</f>
        <v>2</v>
      </c>
      <c r="K17" s="91">
        <f>'8'!G173</f>
        <v>0</v>
      </c>
      <c r="L17" s="91">
        <f>'9'!G173</f>
        <v>0</v>
      </c>
      <c r="M17" s="91">
        <f>'10'!G173</f>
        <v>4</v>
      </c>
      <c r="N17" s="91">
        <f>'11'!G173</f>
        <v>0</v>
      </c>
      <c r="O17" s="91">
        <f>'12'!G173</f>
        <v>0</v>
      </c>
      <c r="P17" s="91">
        <f>'13'!G173</f>
        <v>0</v>
      </c>
      <c r="Q17" s="91">
        <f>'14'!G173</f>
        <v>0</v>
      </c>
      <c r="R17" s="91">
        <f>'15'!G173</f>
        <v>0</v>
      </c>
      <c r="S17" s="91">
        <f>'16'!G173</f>
        <v>3</v>
      </c>
      <c r="T17" s="91">
        <f>'17'!G173</f>
        <v>2</v>
      </c>
      <c r="U17" s="91">
        <f>'18 '!G173</f>
        <v>2</v>
      </c>
      <c r="V17" s="91">
        <f>'19'!G173</f>
        <v>2</v>
      </c>
      <c r="W17" s="91">
        <f>'20'!G173</f>
        <v>1</v>
      </c>
      <c r="X17" s="91">
        <f>'21'!G173</f>
        <v>0</v>
      </c>
      <c r="Y17" s="91">
        <f>'22'!G173</f>
        <v>0</v>
      </c>
      <c r="Z17" s="91">
        <f>'23'!G173</f>
        <v>0</v>
      </c>
      <c r="AA17" s="91">
        <f>'24'!G173</f>
        <v>2</v>
      </c>
      <c r="AB17" s="91">
        <f>'25'!G173</f>
        <v>0</v>
      </c>
      <c r="AC17" s="91">
        <f>'26'!G173</f>
        <v>0</v>
      </c>
      <c r="AD17" s="91">
        <f>'27'!G173</f>
        <v>0</v>
      </c>
      <c r="AE17" s="91">
        <f>'28'!G173</f>
        <v>0</v>
      </c>
      <c r="AF17" s="91">
        <f>'29'!G173</f>
        <v>0</v>
      </c>
      <c r="AG17" s="91">
        <f>'30'!G173</f>
        <v>0</v>
      </c>
      <c r="AH17" s="91">
        <f>'31'!G173</f>
        <v>0</v>
      </c>
      <c r="AI17" s="90"/>
    </row>
    <row r="18" spans="2:35">
      <c r="B18" s="770"/>
      <c r="C18" s="90" t="s">
        <v>75</v>
      </c>
      <c r="D18" s="90">
        <f>'1'!G174</f>
        <v>11</v>
      </c>
      <c r="E18" s="91">
        <f>'2'!G174</f>
        <v>13</v>
      </c>
      <c r="F18" s="91">
        <f>'3'!G174</f>
        <v>12</v>
      </c>
      <c r="G18" s="91">
        <f>'4'!G174</f>
        <v>13</v>
      </c>
      <c r="H18" s="91">
        <f>'5'!G174</f>
        <v>10</v>
      </c>
      <c r="I18" s="91">
        <f>'6'!G174</f>
        <v>10</v>
      </c>
      <c r="J18" s="91">
        <f>'7'!G174</f>
        <v>10</v>
      </c>
      <c r="K18" s="91">
        <f>'8'!G174</f>
        <v>12</v>
      </c>
      <c r="L18" s="91">
        <f>'9'!G174</f>
        <v>13</v>
      </c>
      <c r="M18" s="91">
        <f>'10'!G174</f>
        <v>12</v>
      </c>
      <c r="N18" s="91">
        <f>'11'!G174</f>
        <v>13</v>
      </c>
      <c r="O18" s="91">
        <f>'12'!G174</f>
        <v>11</v>
      </c>
      <c r="P18" s="91">
        <f>'13'!G174</f>
        <v>12</v>
      </c>
      <c r="Q18" s="91">
        <f>'14'!G174</f>
        <v>11</v>
      </c>
      <c r="R18" s="91">
        <f>'15'!G174</f>
        <v>10</v>
      </c>
      <c r="S18" s="91">
        <f>'16'!G174</f>
        <v>15</v>
      </c>
      <c r="T18" s="91">
        <f>'17'!G174</f>
        <v>11</v>
      </c>
      <c r="U18" s="91">
        <f>'18 '!G174</f>
        <v>12</v>
      </c>
      <c r="V18" s="91">
        <f>'19'!G174</f>
        <v>12</v>
      </c>
      <c r="W18" s="91">
        <f>'20'!G174</f>
        <v>12</v>
      </c>
      <c r="X18" s="91">
        <f>'21'!G174</f>
        <v>14</v>
      </c>
      <c r="Y18" s="91">
        <f>'22'!G174</f>
        <v>11</v>
      </c>
      <c r="Z18" s="91">
        <f>'23'!G174</f>
        <v>12</v>
      </c>
      <c r="AA18" s="91">
        <f>'24'!G174</f>
        <v>12</v>
      </c>
      <c r="AB18" s="91">
        <f>'25'!G174</f>
        <v>15</v>
      </c>
      <c r="AC18" s="91">
        <f>'26'!G174</f>
        <v>32</v>
      </c>
      <c r="AD18" s="91">
        <f>'27'!G174</f>
        <v>17</v>
      </c>
      <c r="AE18" s="91">
        <f>'28'!G174</f>
        <v>9</v>
      </c>
      <c r="AF18" s="91">
        <f>'29'!G174</f>
        <v>14</v>
      </c>
      <c r="AG18" s="91">
        <f>'30'!G174</f>
        <v>10</v>
      </c>
      <c r="AH18" s="91">
        <f>'31'!G174</f>
        <v>10</v>
      </c>
      <c r="AI18" s="90"/>
    </row>
    <row r="19" spans="2:35">
      <c r="B19" s="770"/>
      <c r="C19" s="90" t="s">
        <v>76</v>
      </c>
      <c r="D19" s="90">
        <f>'1'!G175</f>
        <v>13</v>
      </c>
      <c r="E19" s="91">
        <f>'2'!G175</f>
        <v>13</v>
      </c>
      <c r="F19" s="91">
        <f>'3'!G175</f>
        <v>11</v>
      </c>
      <c r="G19" s="91">
        <f>'4'!G175</f>
        <v>13</v>
      </c>
      <c r="H19" s="91">
        <f>'5'!G175</f>
        <v>11</v>
      </c>
      <c r="I19" s="91">
        <f>'6'!G175</f>
        <v>16</v>
      </c>
      <c r="J19" s="91">
        <f>'7'!G175</f>
        <v>16</v>
      </c>
      <c r="K19" s="91">
        <f>'8'!G175</f>
        <v>12</v>
      </c>
      <c r="L19" s="91">
        <f>'9'!G175</f>
        <v>12</v>
      </c>
      <c r="M19" s="91">
        <f>'10'!G175</f>
        <v>12</v>
      </c>
      <c r="N19" s="91">
        <f>'11'!G175</f>
        <v>13</v>
      </c>
      <c r="O19" s="91">
        <f>'12'!G175</f>
        <v>12</v>
      </c>
      <c r="P19" s="91">
        <f>'13'!G175</f>
        <v>13</v>
      </c>
      <c r="Q19" s="91">
        <f>'14'!G175</f>
        <v>12</v>
      </c>
      <c r="R19" s="91">
        <f>'15'!G175</f>
        <v>13</v>
      </c>
      <c r="S19" s="91">
        <f>'16'!G175</f>
        <v>12</v>
      </c>
      <c r="T19" s="91">
        <f>'17'!G175</f>
        <v>14</v>
      </c>
      <c r="U19" s="91">
        <f>'18 '!G175</f>
        <v>13</v>
      </c>
      <c r="V19" s="91">
        <f>'19'!G175</f>
        <v>12</v>
      </c>
      <c r="W19" s="91">
        <f>'20'!G175</f>
        <v>15</v>
      </c>
      <c r="X19" s="91">
        <f>'21'!G175</f>
        <v>12</v>
      </c>
      <c r="Y19" s="91">
        <f>'22'!G175</f>
        <v>13</v>
      </c>
      <c r="Z19" s="91">
        <f>'23'!G175</f>
        <v>14</v>
      </c>
      <c r="AA19" s="91">
        <f>'24'!G175</f>
        <v>16</v>
      </c>
      <c r="AB19" s="91">
        <f>'25'!G175</f>
        <v>14</v>
      </c>
      <c r="AC19" s="91">
        <f>'26'!G175</f>
        <v>18</v>
      </c>
      <c r="AD19" s="91">
        <f>'27'!G175</f>
        <v>10</v>
      </c>
      <c r="AE19" s="91">
        <f>'28'!G175</f>
        <v>12</v>
      </c>
      <c r="AF19" s="91">
        <f>'29'!G175</f>
        <v>8</v>
      </c>
      <c r="AG19" s="91">
        <f>'30'!G175</f>
        <v>37</v>
      </c>
      <c r="AH19" s="91">
        <f>'31'!G175</f>
        <v>16</v>
      </c>
      <c r="AI19" s="90"/>
    </row>
    <row r="20" spans="2:35">
      <c r="B20" s="93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</row>
    <row r="21" spans="2:35">
      <c r="B21" s="770" t="s">
        <v>77</v>
      </c>
      <c r="C21" s="90" t="s">
        <v>78</v>
      </c>
      <c r="D21" s="90">
        <f>'1'!G178</f>
        <v>42</v>
      </c>
      <c r="E21" s="91">
        <f>'2'!G178</f>
        <v>105</v>
      </c>
      <c r="F21" s="91">
        <f>'3'!G178</f>
        <v>75</v>
      </c>
      <c r="G21" s="91">
        <f>'4'!G178</f>
        <v>48</v>
      </c>
      <c r="H21" s="91">
        <f>'5'!G178</f>
        <v>18</v>
      </c>
      <c r="I21" s="91">
        <f>'6'!G178</f>
        <v>56</v>
      </c>
      <c r="J21" s="91">
        <f>'7'!G178</f>
        <v>45</v>
      </c>
      <c r="K21" s="91">
        <f>'8'!G178</f>
        <v>76</v>
      </c>
      <c r="L21" s="91">
        <f>'9'!G178</f>
        <v>80</v>
      </c>
      <c r="M21" s="91">
        <f>'10'!G178</f>
        <v>152</v>
      </c>
      <c r="N21" s="91">
        <f>'11'!G178</f>
        <v>140</v>
      </c>
      <c r="O21" s="91">
        <f>'12'!G178</f>
        <v>124</v>
      </c>
      <c r="P21" s="91">
        <f>'13'!G178</f>
        <v>110</v>
      </c>
      <c r="Q21" s="91">
        <f>'14'!G178</f>
        <v>135</v>
      </c>
      <c r="R21" s="91">
        <f>'15'!G178</f>
        <v>121</v>
      </c>
      <c r="S21" s="91">
        <f>'16'!G178</f>
        <v>150</v>
      </c>
      <c r="T21" s="91">
        <f>'17'!G178</f>
        <v>140</v>
      </c>
      <c r="U21" s="91">
        <f>'18 '!G178</f>
        <v>183</v>
      </c>
      <c r="V21" s="91">
        <f>'19'!G178</f>
        <v>92</v>
      </c>
      <c r="W21" s="91">
        <f>'20'!G178</f>
        <v>152</v>
      </c>
      <c r="X21" s="91">
        <f>'21'!G178</f>
        <v>137</v>
      </c>
      <c r="Y21" s="91">
        <f>'22'!G178</f>
        <v>113</v>
      </c>
      <c r="Z21" s="91">
        <f>'23'!G178</f>
        <v>141</v>
      </c>
      <c r="AA21" s="91">
        <f>'24'!G178</f>
        <v>104</v>
      </c>
      <c r="AB21" s="91">
        <f>'25'!G178</f>
        <v>102</v>
      </c>
      <c r="AC21" s="91">
        <f>'26'!G178</f>
        <v>114</v>
      </c>
      <c r="AD21" s="91">
        <f>'27'!G178</f>
        <v>113</v>
      </c>
      <c r="AE21" s="91">
        <f>'28'!G178</f>
        <v>121</v>
      </c>
      <c r="AF21" s="91">
        <f>'29'!G178</f>
        <v>138</v>
      </c>
      <c r="AG21" s="91">
        <f>'30'!G178</f>
        <v>124</v>
      </c>
      <c r="AH21" s="91">
        <f>'31'!G178</f>
        <v>105</v>
      </c>
      <c r="AI21" s="90"/>
    </row>
    <row r="22" spans="2:35">
      <c r="B22" s="770"/>
      <c r="C22" s="90" t="s">
        <v>79</v>
      </c>
      <c r="D22" s="90">
        <f>'1'!G179</f>
        <v>0</v>
      </c>
      <c r="E22" s="91">
        <f>'2'!G179</f>
        <v>0</v>
      </c>
      <c r="F22" s="91">
        <f>'3'!G179</f>
        <v>0</v>
      </c>
      <c r="G22" s="91">
        <f>'4'!G179</f>
        <v>0</v>
      </c>
      <c r="H22" s="91">
        <f>'5'!G179</f>
        <v>0</v>
      </c>
      <c r="I22" s="91">
        <f>'6'!G179</f>
        <v>0</v>
      </c>
      <c r="J22" s="91">
        <f>'7'!G179</f>
        <v>0</v>
      </c>
      <c r="K22" s="91">
        <f>'8'!G179</f>
        <v>0</v>
      </c>
      <c r="L22" s="91">
        <f>'9'!G179</f>
        <v>0</v>
      </c>
      <c r="M22" s="91">
        <f>'10'!G179</f>
        <v>0</v>
      </c>
      <c r="N22" s="91">
        <f>'11'!G179</f>
        <v>0</v>
      </c>
      <c r="O22" s="91">
        <f>'12'!G179</f>
        <v>0</v>
      </c>
      <c r="P22" s="91">
        <f>'13'!G179</f>
        <v>0</v>
      </c>
      <c r="Q22" s="91">
        <f>'14'!G179</f>
        <v>0</v>
      </c>
      <c r="R22" s="91">
        <f>'15'!G179</f>
        <v>0</v>
      </c>
      <c r="S22" s="91">
        <f>'16'!G179</f>
        <v>0</v>
      </c>
      <c r="T22" s="91">
        <f>'17'!G179</f>
        <v>0</v>
      </c>
      <c r="U22" s="91">
        <f>'18 '!G179</f>
        <v>0</v>
      </c>
      <c r="V22" s="91">
        <f>'19'!G179</f>
        <v>0</v>
      </c>
      <c r="W22" s="91">
        <f>'20'!G179</f>
        <v>0</v>
      </c>
      <c r="X22" s="91">
        <f>'21'!G179</f>
        <v>0</v>
      </c>
      <c r="Y22" s="91">
        <f>'22'!G179</f>
        <v>0</v>
      </c>
      <c r="Z22" s="91">
        <f>'23'!G179</f>
        <v>0</v>
      </c>
      <c r="AA22" s="91">
        <f>'24'!G179</f>
        <v>0</v>
      </c>
      <c r="AB22" s="91">
        <f>'25'!G179</f>
        <v>0</v>
      </c>
      <c r="AC22" s="91">
        <f>'26'!G179</f>
        <v>0</v>
      </c>
      <c r="AD22" s="91">
        <f>'27'!G179</f>
        <v>0</v>
      </c>
      <c r="AE22" s="91">
        <f>'28'!G179</f>
        <v>0</v>
      </c>
      <c r="AF22" s="91">
        <f>'29'!G179</f>
        <v>0</v>
      </c>
      <c r="AG22" s="91">
        <f>'30'!G179</f>
        <v>0</v>
      </c>
      <c r="AH22" s="91">
        <f>'31'!G179</f>
        <v>0</v>
      </c>
      <c r="AI22" s="90"/>
    </row>
    <row r="23" spans="2:35">
      <c r="B23" s="770"/>
      <c r="C23" s="90" t="s">
        <v>80</v>
      </c>
      <c r="D23" s="90">
        <f>'1'!G180</f>
        <v>0</v>
      </c>
      <c r="E23" s="91">
        <f>'2'!G180</f>
        <v>0</v>
      </c>
      <c r="F23" s="91">
        <f>'3'!G180</f>
        <v>8</v>
      </c>
      <c r="G23" s="91">
        <f>'4'!G180</f>
        <v>0</v>
      </c>
      <c r="H23" s="91">
        <f>'5'!G180</f>
        <v>11</v>
      </c>
      <c r="I23" s="91">
        <f>'6'!G180</f>
        <v>0</v>
      </c>
      <c r="J23" s="91">
        <f>'7'!G180</f>
        <v>0</v>
      </c>
      <c r="K23" s="91">
        <f>'8'!G180</f>
        <v>0</v>
      </c>
      <c r="L23" s="91">
        <f>'9'!G180</f>
        <v>0</v>
      </c>
      <c r="M23" s="91">
        <f>'10'!G180</f>
        <v>0</v>
      </c>
      <c r="N23" s="91">
        <f>'11'!G180</f>
        <v>0</v>
      </c>
      <c r="O23" s="91">
        <f>'12'!G180</f>
        <v>0</v>
      </c>
      <c r="P23" s="91">
        <f>'13'!G180</f>
        <v>0</v>
      </c>
      <c r="Q23" s="91">
        <f>'14'!G180</f>
        <v>39</v>
      </c>
      <c r="R23" s="91">
        <f>'15'!G180</f>
        <v>2</v>
      </c>
      <c r="S23" s="91">
        <f>'16'!G180</f>
        <v>0</v>
      </c>
      <c r="T23" s="91">
        <f>'17'!G180</f>
        <v>0</v>
      </c>
      <c r="U23" s="91">
        <f>'18 '!G180</f>
        <v>0</v>
      </c>
      <c r="V23" s="91">
        <f>'19'!G180</f>
        <v>0</v>
      </c>
      <c r="W23" s="91">
        <f>'20'!G180</f>
        <v>0</v>
      </c>
      <c r="X23" s="91">
        <f>'21'!G180</f>
        <v>24</v>
      </c>
      <c r="Y23" s="91">
        <f>'22'!G180</f>
        <v>11</v>
      </c>
      <c r="Z23" s="91">
        <f>'23'!G180</f>
        <v>0</v>
      </c>
      <c r="AA23" s="91">
        <f>'24'!G180</f>
        <v>5</v>
      </c>
      <c r="AB23" s="91">
        <f>'25'!G180</f>
        <v>9</v>
      </c>
      <c r="AC23" s="91">
        <f>'26'!G180</f>
        <v>6</v>
      </c>
      <c r="AD23" s="91">
        <f>'27'!G180</f>
        <v>6</v>
      </c>
      <c r="AE23" s="91">
        <f>'28'!G180</f>
        <v>2</v>
      </c>
      <c r="AF23" s="91">
        <f>'29'!G180</f>
        <v>11</v>
      </c>
      <c r="AG23" s="91">
        <f>'30'!G180</f>
        <v>0</v>
      </c>
      <c r="AH23" s="91">
        <f>'31'!G180</f>
        <v>9</v>
      </c>
      <c r="AI23" s="90"/>
    </row>
    <row r="24" spans="2:35" ht="30">
      <c r="B24" s="93" t="s">
        <v>301</v>
      </c>
      <c r="C24" s="90"/>
      <c r="D24" s="91">
        <f>SUM(D5:D6)</f>
        <v>303</v>
      </c>
      <c r="E24" s="91">
        <f t="shared" ref="E24:AH24" si="0">SUM(E5:E6)</f>
        <v>313</v>
      </c>
      <c r="F24" s="91">
        <f t="shared" si="0"/>
        <v>326</v>
      </c>
      <c r="G24" s="91">
        <f t="shared" si="0"/>
        <v>269</v>
      </c>
      <c r="H24" s="91">
        <f t="shared" si="0"/>
        <v>311</v>
      </c>
      <c r="I24" s="91">
        <f t="shared" si="0"/>
        <v>363</v>
      </c>
      <c r="J24" s="91">
        <f t="shared" si="0"/>
        <v>269</v>
      </c>
      <c r="K24" s="91">
        <f t="shared" si="0"/>
        <v>293</v>
      </c>
      <c r="L24" s="91">
        <f t="shared" si="0"/>
        <v>336</v>
      </c>
      <c r="M24" s="91">
        <f t="shared" si="0"/>
        <v>325</v>
      </c>
      <c r="N24" s="91">
        <f t="shared" si="0"/>
        <v>296</v>
      </c>
      <c r="O24" s="91">
        <f t="shared" si="0"/>
        <v>411</v>
      </c>
      <c r="P24" s="91">
        <f t="shared" si="0"/>
        <v>378</v>
      </c>
      <c r="Q24" s="91">
        <f t="shared" si="0"/>
        <v>377</v>
      </c>
      <c r="R24" s="91">
        <f t="shared" si="0"/>
        <v>382</v>
      </c>
      <c r="S24" s="91">
        <f t="shared" si="0"/>
        <v>322</v>
      </c>
      <c r="T24" s="91">
        <f t="shared" si="0"/>
        <v>353</v>
      </c>
      <c r="U24" s="91">
        <f t="shared" si="0"/>
        <v>307</v>
      </c>
      <c r="V24" s="91">
        <f t="shared" si="0"/>
        <v>388</v>
      </c>
      <c r="W24" s="91">
        <f t="shared" si="0"/>
        <v>289</v>
      </c>
      <c r="X24" s="91">
        <f t="shared" si="0"/>
        <v>360</v>
      </c>
      <c r="Y24" s="91">
        <f t="shared" si="0"/>
        <v>279</v>
      </c>
      <c r="Z24" s="91">
        <f t="shared" si="0"/>
        <v>258</v>
      </c>
      <c r="AA24" s="91">
        <f>SUM(AA5:AA6)</f>
        <v>277</v>
      </c>
      <c r="AB24" s="91">
        <f t="shared" si="0"/>
        <v>279</v>
      </c>
      <c r="AC24" s="91">
        <f t="shared" si="0"/>
        <v>291</v>
      </c>
      <c r="AD24" s="91">
        <f t="shared" si="0"/>
        <v>342</v>
      </c>
      <c r="AE24" s="91">
        <f t="shared" si="0"/>
        <v>308</v>
      </c>
      <c r="AF24" s="91">
        <f t="shared" si="0"/>
        <v>268</v>
      </c>
      <c r="AG24" s="91">
        <f t="shared" si="0"/>
        <v>363</v>
      </c>
      <c r="AH24" s="91">
        <f t="shared" si="0"/>
        <v>228</v>
      </c>
      <c r="AI24" s="90"/>
    </row>
    <row r="25" spans="2:35" ht="30">
      <c r="B25" s="93" t="s">
        <v>81</v>
      </c>
      <c r="C25" s="90"/>
      <c r="D25" s="91">
        <f>SUM(D9:D11,D14:D15,)</f>
        <v>183</v>
      </c>
      <c r="E25" s="91">
        <f t="shared" ref="E25:AI25" si="1">SUM(E9:E11,E14:E15,)</f>
        <v>164</v>
      </c>
      <c r="F25" s="91">
        <f t="shared" si="1"/>
        <v>173</v>
      </c>
      <c r="G25" s="91">
        <f t="shared" si="1"/>
        <v>167</v>
      </c>
      <c r="H25" s="91">
        <f t="shared" si="1"/>
        <v>157</v>
      </c>
      <c r="I25" s="91">
        <f t="shared" si="1"/>
        <v>183</v>
      </c>
      <c r="J25" s="91">
        <f t="shared" si="1"/>
        <v>55607</v>
      </c>
      <c r="K25" s="91">
        <f>SUM(K9:K11,K14:K15,)</f>
        <v>158</v>
      </c>
      <c r="L25" s="91">
        <f t="shared" si="1"/>
        <v>208</v>
      </c>
      <c r="M25" s="91">
        <f t="shared" si="1"/>
        <v>205</v>
      </c>
      <c r="N25" s="91">
        <f t="shared" si="1"/>
        <v>172</v>
      </c>
      <c r="O25" s="91">
        <f t="shared" si="1"/>
        <v>157</v>
      </c>
      <c r="P25" s="91">
        <f t="shared" si="1"/>
        <v>163</v>
      </c>
      <c r="Q25" s="91">
        <f t="shared" si="1"/>
        <v>202</v>
      </c>
      <c r="R25" s="91">
        <f t="shared" si="1"/>
        <v>193</v>
      </c>
      <c r="S25" s="91">
        <f t="shared" si="1"/>
        <v>197</v>
      </c>
      <c r="T25" s="91">
        <f>SUM(T9:T11,T14:T15,)</f>
        <v>218</v>
      </c>
      <c r="U25" s="91">
        <f t="shared" si="1"/>
        <v>184</v>
      </c>
      <c r="V25" s="91">
        <f t="shared" si="1"/>
        <v>160</v>
      </c>
      <c r="W25" s="91">
        <f t="shared" si="1"/>
        <v>183</v>
      </c>
      <c r="X25" s="91">
        <f t="shared" si="1"/>
        <v>176</v>
      </c>
      <c r="Y25" s="91">
        <f t="shared" si="1"/>
        <v>176</v>
      </c>
      <c r="Z25" s="91">
        <f t="shared" si="1"/>
        <v>157</v>
      </c>
      <c r="AA25" s="91">
        <f t="shared" si="1"/>
        <v>178</v>
      </c>
      <c r="AB25" s="91">
        <f t="shared" si="1"/>
        <v>186</v>
      </c>
      <c r="AC25" s="91">
        <f t="shared" si="1"/>
        <v>211</v>
      </c>
      <c r="AD25" s="91">
        <f t="shared" si="1"/>
        <v>234</v>
      </c>
      <c r="AE25" s="91">
        <f t="shared" si="1"/>
        <v>113</v>
      </c>
      <c r="AF25" s="91">
        <f t="shared" si="1"/>
        <v>191</v>
      </c>
      <c r="AG25" s="91">
        <f t="shared" si="1"/>
        <v>225</v>
      </c>
      <c r="AH25" s="91">
        <f t="shared" si="1"/>
        <v>197</v>
      </c>
      <c r="AI25" s="91">
        <f t="shared" si="1"/>
        <v>0</v>
      </c>
    </row>
    <row r="26" spans="2:35">
      <c r="B26" s="93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</row>
    <row r="27" spans="2:35" ht="30">
      <c r="B27" s="93" t="s">
        <v>82</v>
      </c>
      <c r="C27" s="90"/>
      <c r="D27" s="91">
        <f>SUM(D13,D21,D23)</f>
        <v>87</v>
      </c>
      <c r="E27" s="91">
        <f t="shared" ref="E27:AH27" si="2">SUM(E13,E21,E23)</f>
        <v>151</v>
      </c>
      <c r="F27" s="91">
        <f>SUM(F13,F21,F23)</f>
        <v>102</v>
      </c>
      <c r="G27" s="91">
        <f t="shared" si="2"/>
        <v>79</v>
      </c>
      <c r="H27" s="91">
        <f t="shared" si="2"/>
        <v>47</v>
      </c>
      <c r="I27" s="91">
        <f t="shared" si="2"/>
        <v>74</v>
      </c>
      <c r="J27" s="91">
        <f t="shared" si="2"/>
        <v>68</v>
      </c>
      <c r="K27" s="91">
        <f t="shared" si="2"/>
        <v>110</v>
      </c>
      <c r="L27" s="91">
        <f t="shared" si="2"/>
        <v>100</v>
      </c>
      <c r="M27" s="91">
        <f t="shared" si="2"/>
        <v>193</v>
      </c>
      <c r="N27" s="91">
        <f t="shared" si="2"/>
        <v>162</v>
      </c>
      <c r="O27" s="91">
        <f t="shared" si="2"/>
        <v>158</v>
      </c>
      <c r="P27" s="91">
        <f t="shared" si="2"/>
        <v>140</v>
      </c>
      <c r="Q27" s="91">
        <f t="shared" si="2"/>
        <v>203</v>
      </c>
      <c r="R27" s="91">
        <f t="shared" si="2"/>
        <v>157</v>
      </c>
      <c r="S27" s="91">
        <f t="shared" si="2"/>
        <v>193</v>
      </c>
      <c r="T27" s="91">
        <f t="shared" si="2"/>
        <v>179</v>
      </c>
      <c r="U27" s="91">
        <f t="shared" si="2"/>
        <v>204</v>
      </c>
      <c r="V27" s="91">
        <f t="shared" si="2"/>
        <v>118</v>
      </c>
      <c r="W27" s="91">
        <f t="shared" si="2"/>
        <v>184</v>
      </c>
      <c r="X27" s="91">
        <f t="shared" si="2"/>
        <v>183</v>
      </c>
      <c r="Y27" s="91">
        <f t="shared" si="2"/>
        <v>153</v>
      </c>
      <c r="Z27" s="91">
        <f t="shared" si="2"/>
        <v>165</v>
      </c>
      <c r="AA27" s="91">
        <f t="shared" si="2"/>
        <v>144</v>
      </c>
      <c r="AB27" s="91">
        <f t="shared" si="2"/>
        <v>142</v>
      </c>
      <c r="AC27" s="91">
        <f t="shared" si="2"/>
        <v>147</v>
      </c>
      <c r="AD27" s="91">
        <f t="shared" si="2"/>
        <v>149</v>
      </c>
      <c r="AE27" s="91">
        <f t="shared" si="2"/>
        <v>153</v>
      </c>
      <c r="AF27" s="91">
        <f t="shared" si="2"/>
        <v>176</v>
      </c>
      <c r="AG27" s="91">
        <f t="shared" si="2"/>
        <v>147</v>
      </c>
      <c r="AH27" s="91">
        <f t="shared" si="2"/>
        <v>134</v>
      </c>
      <c r="AI27" s="91">
        <f t="shared" ref="AI27" si="3">SUM(AI13)</f>
        <v>0</v>
      </c>
    </row>
    <row r="28" spans="2:35">
      <c r="B28" s="247"/>
      <c r="C28" s="248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248"/>
      <c r="AF28" s="248"/>
      <c r="AG28" s="248"/>
      <c r="AH28" s="248"/>
      <c r="AI28" s="248"/>
    </row>
    <row r="29" spans="2:35">
      <c r="B29" s="247" t="s">
        <v>83</v>
      </c>
      <c r="C29" s="248"/>
      <c r="D29" s="249">
        <f>D9</f>
        <v>141</v>
      </c>
      <c r="E29" s="249">
        <f t="shared" ref="E29:AH29" si="4">E9</f>
        <v>114</v>
      </c>
      <c r="F29" s="249">
        <f t="shared" si="4"/>
        <v>121</v>
      </c>
      <c r="G29" s="249">
        <f t="shared" si="4"/>
        <v>122</v>
      </c>
      <c r="H29" s="249">
        <f t="shared" si="4"/>
        <v>128</v>
      </c>
      <c r="I29" s="249">
        <f t="shared" si="4"/>
        <v>153</v>
      </c>
      <c r="J29" s="249">
        <f t="shared" si="4"/>
        <v>125</v>
      </c>
      <c r="K29" s="249">
        <f t="shared" si="4"/>
        <v>129</v>
      </c>
      <c r="L29" s="249">
        <f t="shared" si="4"/>
        <v>155</v>
      </c>
      <c r="M29" s="249">
        <f t="shared" si="4"/>
        <v>152</v>
      </c>
      <c r="N29" s="249">
        <f t="shared" si="4"/>
        <v>131</v>
      </c>
      <c r="O29" s="249">
        <f t="shared" si="4"/>
        <v>123</v>
      </c>
      <c r="P29" s="249">
        <f t="shared" si="4"/>
        <v>125</v>
      </c>
      <c r="Q29" s="249">
        <f t="shared" si="4"/>
        <v>149</v>
      </c>
      <c r="R29" s="249">
        <f t="shared" si="4"/>
        <v>142</v>
      </c>
      <c r="S29" s="249">
        <f t="shared" si="4"/>
        <v>149</v>
      </c>
      <c r="T29" s="249">
        <f t="shared" si="4"/>
        <v>153</v>
      </c>
      <c r="U29" s="249">
        <f t="shared" si="4"/>
        <v>140</v>
      </c>
      <c r="V29" s="249">
        <f t="shared" si="4"/>
        <v>121</v>
      </c>
      <c r="W29" s="249">
        <f t="shared" si="4"/>
        <v>140</v>
      </c>
      <c r="X29" s="249">
        <f t="shared" si="4"/>
        <v>128</v>
      </c>
      <c r="Y29" s="249">
        <f t="shared" si="4"/>
        <v>121</v>
      </c>
      <c r="Z29" s="249">
        <f t="shared" si="4"/>
        <v>111</v>
      </c>
      <c r="AA29" s="249">
        <f t="shared" si="4"/>
        <v>124</v>
      </c>
      <c r="AB29" s="249">
        <f t="shared" si="4"/>
        <v>136</v>
      </c>
      <c r="AC29" s="249">
        <f t="shared" si="4"/>
        <v>165</v>
      </c>
      <c r="AD29" s="249">
        <f t="shared" si="4"/>
        <v>183</v>
      </c>
      <c r="AE29" s="249">
        <f t="shared" si="4"/>
        <v>42</v>
      </c>
      <c r="AF29" s="249">
        <f t="shared" si="4"/>
        <v>139</v>
      </c>
      <c r="AG29" s="249">
        <f t="shared" si="4"/>
        <v>127</v>
      </c>
      <c r="AH29" s="249">
        <f t="shared" si="4"/>
        <v>140</v>
      </c>
      <c r="AI29" s="248"/>
    </row>
    <row r="30" spans="2:35">
      <c r="B30" s="247" t="s">
        <v>84</v>
      </c>
      <c r="C30" s="248"/>
      <c r="D30" s="249">
        <f>SUM(D10:D11,D14:D15)</f>
        <v>42</v>
      </c>
      <c r="E30" s="249">
        <f t="shared" ref="E30:AH30" si="5">SUM(E10:E11,E14:E15)</f>
        <v>50</v>
      </c>
      <c r="F30" s="249">
        <f t="shared" si="5"/>
        <v>52</v>
      </c>
      <c r="G30" s="249">
        <f t="shared" si="5"/>
        <v>45</v>
      </c>
      <c r="H30" s="249">
        <f t="shared" si="5"/>
        <v>29</v>
      </c>
      <c r="I30" s="249">
        <f t="shared" si="5"/>
        <v>30</v>
      </c>
      <c r="J30" s="249">
        <f t="shared" si="5"/>
        <v>55482</v>
      </c>
      <c r="K30" s="249">
        <f t="shared" si="5"/>
        <v>29</v>
      </c>
      <c r="L30" s="249">
        <f t="shared" si="5"/>
        <v>53</v>
      </c>
      <c r="M30" s="249">
        <f t="shared" si="5"/>
        <v>53</v>
      </c>
      <c r="N30" s="249">
        <f t="shared" si="5"/>
        <v>41</v>
      </c>
      <c r="O30" s="249">
        <f t="shared" si="5"/>
        <v>34</v>
      </c>
      <c r="P30" s="249">
        <f t="shared" si="5"/>
        <v>38</v>
      </c>
      <c r="Q30" s="249">
        <f t="shared" si="5"/>
        <v>53</v>
      </c>
      <c r="R30" s="249">
        <f t="shared" si="5"/>
        <v>51</v>
      </c>
      <c r="S30" s="249">
        <f t="shared" si="5"/>
        <v>48</v>
      </c>
      <c r="T30" s="249">
        <f t="shared" si="5"/>
        <v>65</v>
      </c>
      <c r="U30" s="249">
        <f t="shared" si="5"/>
        <v>44</v>
      </c>
      <c r="V30" s="249">
        <f t="shared" si="5"/>
        <v>39</v>
      </c>
      <c r="W30" s="249">
        <f t="shared" si="5"/>
        <v>43</v>
      </c>
      <c r="X30" s="249">
        <f t="shared" si="5"/>
        <v>48</v>
      </c>
      <c r="Y30" s="249">
        <f t="shared" si="5"/>
        <v>55</v>
      </c>
      <c r="Z30" s="249">
        <f t="shared" si="5"/>
        <v>46</v>
      </c>
      <c r="AA30" s="249">
        <f t="shared" si="5"/>
        <v>54</v>
      </c>
      <c r="AB30" s="249">
        <f t="shared" si="5"/>
        <v>50</v>
      </c>
      <c r="AC30" s="249">
        <f t="shared" si="5"/>
        <v>46</v>
      </c>
      <c r="AD30" s="249">
        <f t="shared" si="5"/>
        <v>51</v>
      </c>
      <c r="AE30" s="249">
        <f t="shared" si="5"/>
        <v>71</v>
      </c>
      <c r="AF30" s="249">
        <f t="shared" si="5"/>
        <v>52</v>
      </c>
      <c r="AG30" s="249">
        <f t="shared" si="5"/>
        <v>98</v>
      </c>
      <c r="AH30" s="249">
        <f t="shared" si="5"/>
        <v>57</v>
      </c>
      <c r="AI30" s="248"/>
    </row>
    <row r="31" spans="2:35">
      <c r="B31" s="247" t="s">
        <v>85</v>
      </c>
      <c r="C31" s="248"/>
      <c r="D31" s="248">
        <f>D30/SUM(D29:D30)%</f>
        <v>22.950819672131146</v>
      </c>
      <c r="E31" s="248">
        <f t="shared" ref="E31:AH31" si="6">E30/SUM(E29:E30)%</f>
        <v>30.487804878048781</v>
      </c>
      <c r="F31" s="248">
        <f t="shared" si="6"/>
        <v>30.057803468208093</v>
      </c>
      <c r="G31" s="248">
        <f t="shared" si="6"/>
        <v>26.946107784431138</v>
      </c>
      <c r="H31" s="248">
        <f t="shared" si="6"/>
        <v>18.471337579617835</v>
      </c>
      <c r="I31" s="248">
        <f t="shared" si="6"/>
        <v>16.393442622950818</v>
      </c>
      <c r="J31" s="248">
        <f t="shared" si="6"/>
        <v>99.775208157246382</v>
      </c>
      <c r="K31" s="248">
        <f t="shared" si="6"/>
        <v>18.354430379746834</v>
      </c>
      <c r="L31" s="248">
        <f t="shared" si="6"/>
        <v>25.48076923076923</v>
      </c>
      <c r="M31" s="248">
        <f t="shared" si="6"/>
        <v>25.853658536585368</v>
      </c>
      <c r="N31" s="248">
        <f t="shared" si="6"/>
        <v>23.837209302325583</v>
      </c>
      <c r="O31" s="248">
        <f t="shared" si="6"/>
        <v>21.656050955414013</v>
      </c>
      <c r="P31" s="248">
        <f t="shared" si="6"/>
        <v>23.312883435582823</v>
      </c>
      <c r="Q31" s="248">
        <f t="shared" si="6"/>
        <v>26.237623762376238</v>
      </c>
      <c r="R31" s="248">
        <f t="shared" si="6"/>
        <v>26.424870466321245</v>
      </c>
      <c r="S31" s="248">
        <f t="shared" si="6"/>
        <v>24.36548223350254</v>
      </c>
      <c r="T31" s="248">
        <f t="shared" si="6"/>
        <v>29.816513761467888</v>
      </c>
      <c r="U31" s="248">
        <f t="shared" si="6"/>
        <v>23.913043478260867</v>
      </c>
      <c r="V31" s="248">
        <f t="shared" si="6"/>
        <v>24.375</v>
      </c>
      <c r="W31" s="248">
        <f t="shared" si="6"/>
        <v>23.497267759562842</v>
      </c>
      <c r="X31" s="248">
        <f t="shared" si="6"/>
        <v>27.272727272727273</v>
      </c>
      <c r="Y31" s="248">
        <f t="shared" si="6"/>
        <v>31.25</v>
      </c>
      <c r="Z31" s="248">
        <f t="shared" si="6"/>
        <v>29.29936305732484</v>
      </c>
      <c r="AA31" s="248">
        <f t="shared" si="6"/>
        <v>30.337078651685392</v>
      </c>
      <c r="AB31" s="248">
        <f t="shared" si="6"/>
        <v>26.881720430107524</v>
      </c>
      <c r="AC31" s="248">
        <f t="shared" si="6"/>
        <v>21.800947867298579</v>
      </c>
      <c r="AD31" s="248">
        <f t="shared" si="6"/>
        <v>21.794871794871796</v>
      </c>
      <c r="AE31" s="248">
        <f t="shared" si="6"/>
        <v>62.83185840707965</v>
      </c>
      <c r="AF31" s="248">
        <f t="shared" si="6"/>
        <v>27.225130890052355</v>
      </c>
      <c r="AG31" s="248">
        <f t="shared" si="6"/>
        <v>43.555555555555557</v>
      </c>
      <c r="AH31" s="248">
        <f t="shared" si="6"/>
        <v>28.934010152284266</v>
      </c>
      <c r="AI31" s="248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92"/>
  <sheetViews>
    <sheetView topLeftCell="A13" zoomScale="70" zoomScaleNormal="70" workbookViewId="0">
      <pane xSplit="1" topLeftCell="B1" activePane="topRight" state="frozen"/>
      <selection activeCell="A4" sqref="A4"/>
      <selection pane="topRight" activeCell="A35" sqref="A35:XFD35"/>
    </sheetView>
  </sheetViews>
  <sheetFormatPr defaultRowHeight="15"/>
  <cols>
    <col min="1" max="5" width="8.88671875" style="311"/>
    <col min="6" max="6" width="8.109375" style="311" bestFit="1" customWidth="1"/>
    <col min="7" max="7" width="6.44140625" style="311" customWidth="1"/>
    <col min="8" max="8" width="7.5546875" style="311" bestFit="1" customWidth="1"/>
    <col min="9" max="9" width="7.77734375" style="311" bestFit="1" customWidth="1"/>
    <col min="10" max="10" width="8.109375" style="311" bestFit="1" customWidth="1"/>
    <col min="11" max="11" width="8.21875" style="311" bestFit="1" customWidth="1"/>
    <col min="12" max="13" width="7.109375" style="311" customWidth="1"/>
    <col min="14" max="32" width="7.33203125" style="311" customWidth="1"/>
    <col min="33" max="51" width="7" style="311" customWidth="1"/>
    <col min="52" max="53" width="8.88671875" style="311"/>
    <col min="54" max="54" width="11.21875" style="311" bestFit="1" customWidth="1"/>
    <col min="55" max="55" width="9.109375" style="311" bestFit="1" customWidth="1"/>
    <col min="56" max="16384" width="8.88671875" style="311"/>
  </cols>
  <sheetData>
    <row r="1" spans="1:55" ht="15.75" thickBot="1"/>
    <row r="2" spans="1:55">
      <c r="F2" s="774" t="s">
        <v>308</v>
      </c>
      <c r="G2" s="775"/>
      <c r="H2" s="775"/>
      <c r="I2" s="775"/>
      <c r="J2" s="775"/>
      <c r="K2" s="775"/>
      <c r="L2" s="775"/>
      <c r="M2" s="776"/>
      <c r="N2" s="773" t="s">
        <v>86</v>
      </c>
      <c r="O2" s="773"/>
      <c r="P2" s="773"/>
      <c r="Q2" s="773"/>
      <c r="R2" s="773"/>
      <c r="S2" s="773"/>
      <c r="T2" s="773"/>
      <c r="U2" s="773"/>
      <c r="V2" s="773"/>
      <c r="W2" s="773"/>
      <c r="X2" s="773"/>
      <c r="Y2" s="773"/>
      <c r="Z2" s="773"/>
      <c r="AA2" s="773"/>
      <c r="AB2" s="773"/>
      <c r="AC2" s="773"/>
      <c r="AD2" s="773"/>
      <c r="AE2" s="773"/>
      <c r="AF2" s="773"/>
      <c r="AG2" s="773"/>
      <c r="AH2" s="773"/>
      <c r="AI2" s="773"/>
      <c r="AJ2" s="773"/>
      <c r="AK2" s="773"/>
      <c r="AL2" s="773"/>
      <c r="AM2" s="773"/>
      <c r="AN2" s="772"/>
      <c r="AO2" s="772"/>
      <c r="AP2" s="772"/>
      <c r="AQ2" s="772"/>
      <c r="AR2" s="772"/>
      <c r="AS2" s="772"/>
      <c r="AT2" s="772"/>
      <c r="AU2" s="502"/>
      <c r="AV2" s="771" t="s">
        <v>87</v>
      </c>
      <c r="AW2" s="771"/>
      <c r="AX2" s="771"/>
      <c r="AY2" s="771"/>
      <c r="BB2" s="318" t="s">
        <v>334</v>
      </c>
      <c r="BC2" s="318" t="s">
        <v>335</v>
      </c>
    </row>
    <row r="3" spans="1:55">
      <c r="F3" s="504"/>
      <c r="G3" s="505"/>
      <c r="H3" s="505"/>
      <c r="I3" s="505"/>
      <c r="J3" s="505"/>
      <c r="K3" s="505"/>
      <c r="L3" s="505"/>
      <c r="M3" s="506"/>
      <c r="N3" s="503"/>
      <c r="O3" s="503"/>
      <c r="P3" s="503"/>
      <c r="Q3" s="503"/>
      <c r="R3" s="503"/>
      <c r="S3" s="503"/>
      <c r="T3" s="503"/>
      <c r="U3" s="503"/>
      <c r="V3" s="503"/>
      <c r="W3" s="503"/>
      <c r="X3" s="503"/>
      <c r="Y3" s="503"/>
      <c r="Z3" s="503"/>
      <c r="AA3" s="312"/>
      <c r="AB3" s="312"/>
      <c r="AC3" s="312"/>
      <c r="AD3" s="312"/>
      <c r="AE3" s="312"/>
      <c r="AF3" s="312"/>
      <c r="AG3" s="312"/>
      <c r="AH3" s="312"/>
      <c r="AI3" s="312"/>
      <c r="AJ3" s="312"/>
      <c r="AK3" s="312"/>
      <c r="AL3" s="312"/>
      <c r="AM3" s="503"/>
      <c r="AN3" s="777" t="s">
        <v>138</v>
      </c>
      <c r="AO3" s="777"/>
      <c r="AP3" s="777"/>
      <c r="AQ3" s="777"/>
      <c r="AR3" s="777"/>
      <c r="AS3" s="777"/>
      <c r="AT3" s="777"/>
      <c r="AU3" s="778" t="s">
        <v>283</v>
      </c>
      <c r="AV3" s="778"/>
      <c r="AW3" s="778"/>
      <c r="AX3" s="778"/>
      <c r="AY3" s="778"/>
      <c r="BB3" s="318"/>
      <c r="BC3" s="318"/>
    </row>
    <row r="4" spans="1:55" ht="39.75" customHeight="1">
      <c r="A4" s="252" t="s">
        <v>0</v>
      </c>
      <c r="B4" s="303" t="s">
        <v>304</v>
      </c>
      <c r="C4" s="303" t="s">
        <v>305</v>
      </c>
      <c r="D4" s="303" t="s">
        <v>307</v>
      </c>
      <c r="E4" s="303" t="s">
        <v>306</v>
      </c>
      <c r="F4" s="507" t="s">
        <v>284</v>
      </c>
      <c r="G4" s="508" t="s">
        <v>285</v>
      </c>
      <c r="H4" s="508" t="s">
        <v>286</v>
      </c>
      <c r="I4" s="508" t="s">
        <v>287</v>
      </c>
      <c r="J4" s="508" t="s">
        <v>282</v>
      </c>
      <c r="K4" s="508" t="s">
        <v>51</v>
      </c>
      <c r="L4" s="509" t="s">
        <v>60</v>
      </c>
      <c r="M4" s="509" t="s">
        <v>53</v>
      </c>
      <c r="N4" s="252" t="s">
        <v>88</v>
      </c>
      <c r="O4" s="252" t="s">
        <v>89</v>
      </c>
      <c r="P4" s="252" t="s">
        <v>104</v>
      </c>
      <c r="Q4" s="252" t="s">
        <v>288</v>
      </c>
      <c r="R4" s="252" t="s">
        <v>289</v>
      </c>
      <c r="S4" s="252" t="s">
        <v>290</v>
      </c>
      <c r="T4" s="252" t="s">
        <v>291</v>
      </c>
      <c r="U4" s="252" t="s">
        <v>90</v>
      </c>
      <c r="V4" s="252" t="s">
        <v>292</v>
      </c>
      <c r="W4" s="252" t="s">
        <v>293</v>
      </c>
      <c r="X4" s="252" t="s">
        <v>278</v>
      </c>
      <c r="Y4" s="252" t="s">
        <v>75</v>
      </c>
      <c r="Z4" s="252" t="s">
        <v>294</v>
      </c>
      <c r="AA4" s="253" t="s">
        <v>295</v>
      </c>
      <c r="AB4" s="253" t="s">
        <v>100</v>
      </c>
      <c r="AC4" s="253" t="s">
        <v>94</v>
      </c>
      <c r="AD4" s="253" t="s">
        <v>95</v>
      </c>
      <c r="AE4" s="82" t="s">
        <v>296</v>
      </c>
      <c r="AF4" s="83" t="s">
        <v>343</v>
      </c>
      <c r="AG4" s="83" t="s">
        <v>97</v>
      </c>
      <c r="AH4" s="83" t="s">
        <v>98</v>
      </c>
      <c r="AI4" s="83" t="s">
        <v>277</v>
      </c>
      <c r="AJ4" s="83" t="s">
        <v>100</v>
      </c>
      <c r="AK4" s="83" t="s">
        <v>101</v>
      </c>
      <c r="AL4" s="83" t="s">
        <v>102</v>
      </c>
      <c r="AM4" s="252" t="s">
        <v>195</v>
      </c>
      <c r="AN4" s="252" t="s">
        <v>297</v>
      </c>
      <c r="AO4" s="252" t="s">
        <v>103</v>
      </c>
      <c r="AP4" s="252" t="s">
        <v>104</v>
      </c>
      <c r="AQ4" s="252" t="s">
        <v>105</v>
      </c>
      <c r="AR4" s="252" t="s">
        <v>106</v>
      </c>
      <c r="AS4" s="252" t="s">
        <v>107</v>
      </c>
      <c r="AT4" s="252" t="s">
        <v>298</v>
      </c>
      <c r="AU4" s="252" t="s">
        <v>103</v>
      </c>
      <c r="AV4" s="252" t="s">
        <v>39</v>
      </c>
      <c r="AW4" s="252" t="s">
        <v>40</v>
      </c>
      <c r="AX4" s="252" t="s">
        <v>276</v>
      </c>
      <c r="AY4" s="252" t="s">
        <v>108</v>
      </c>
      <c r="BB4" s="318"/>
      <c r="BC4" s="318"/>
    </row>
    <row r="5" spans="1:55">
      <c r="A5" s="359">
        <v>1</v>
      </c>
      <c r="B5" s="510">
        <f>'1'!G7</f>
        <v>22493.450000000012</v>
      </c>
      <c r="C5" s="510">
        <f>'1'!G8</f>
        <v>22590.799999999988</v>
      </c>
      <c r="D5" s="510">
        <f>'1'!G15</f>
        <v>982.39999999990687</v>
      </c>
      <c r="E5" s="510">
        <f>'1'!G20</f>
        <v>303</v>
      </c>
      <c r="F5" s="510">
        <f>SUM('1'!G35,'1'!G49)</f>
        <v>3203.0000000001164</v>
      </c>
      <c r="G5" s="510">
        <f>SUM('1'!H37,'1'!H51)</f>
        <v>1051.3699999999953</v>
      </c>
      <c r="H5" s="510">
        <f>SUM('1'!G38,'1'!G52)</f>
        <v>2366.3199999999397</v>
      </c>
      <c r="I5" s="510">
        <f>SUM('1'!G39,'1'!G53)</f>
        <v>4254.4799999999814</v>
      </c>
      <c r="J5" s="510">
        <f>SUM('1'!G41,'1'!G42,'1'!G55,'1'!G56)</f>
        <v>3381.140000000014</v>
      </c>
      <c r="K5" s="510">
        <f>SUM('1'!G43,'1'!G57)</f>
        <v>2399.4400000000605</v>
      </c>
      <c r="L5" s="254">
        <f>'1'!G50</f>
        <v>1742.1199999999953</v>
      </c>
      <c r="M5" s="254">
        <f>'1'!G36</f>
        <v>961.69000000000233</v>
      </c>
      <c r="N5" s="254">
        <f>'1'!G138</f>
        <v>81</v>
      </c>
      <c r="O5" s="254">
        <f>'1'!G139</f>
        <v>165</v>
      </c>
      <c r="P5" s="254">
        <f>'1'!G140</f>
        <v>20.099999999999909</v>
      </c>
      <c r="Q5" s="254">
        <f>'1'!G141</f>
        <v>234.38000000000466</v>
      </c>
      <c r="R5" s="254">
        <f>'1'!G142</f>
        <v>81.400000000001455</v>
      </c>
      <c r="S5" s="254">
        <f>'1'!$G$145</f>
        <v>127.90000000000146</v>
      </c>
      <c r="T5" s="254">
        <f>'1'!$G$146</f>
        <v>31</v>
      </c>
      <c r="U5" s="254">
        <f>'1'!$G$144</f>
        <v>234</v>
      </c>
      <c r="V5" s="254">
        <f>'1'!$G$147</f>
        <v>426.64000000001397</v>
      </c>
      <c r="W5" s="254">
        <f>'1'!$G$148</f>
        <v>78.119999999995343</v>
      </c>
      <c r="X5" s="254">
        <f>'1'!$G$143</f>
        <v>32.100000000000364</v>
      </c>
      <c r="Y5" s="254">
        <f>'1'!$G$58</f>
        <v>239.86000000000058</v>
      </c>
      <c r="Z5" s="254">
        <f>'1'!$G$151</f>
        <v>225</v>
      </c>
      <c r="AA5" s="254">
        <f>'1'!G161</f>
        <v>122.40000000002328</v>
      </c>
      <c r="AB5" s="254">
        <f>'1'!G162</f>
        <v>50.099999999991269</v>
      </c>
      <c r="AC5" s="254"/>
      <c r="AD5" s="254">
        <f>'1'!G163+'1'!G164</f>
        <v>7.3000000000001819</v>
      </c>
      <c r="AE5" s="254">
        <f>'1'!$G$116</f>
        <v>494.60000000000582</v>
      </c>
      <c r="AF5" s="254">
        <f>'1'!$G$117</f>
        <v>278.69999999999709</v>
      </c>
      <c r="AG5" s="254">
        <f>'1'!$G$118</f>
        <v>641.39999999999418</v>
      </c>
      <c r="AH5" s="254">
        <f>'1'!$G$119</f>
        <v>12.30000000000291</v>
      </c>
      <c r="AI5" s="254">
        <f>'1'!$G$120</f>
        <v>409</v>
      </c>
      <c r="AJ5" s="254">
        <f>'1'!$G$121</f>
        <v>420.94999999999709</v>
      </c>
      <c r="AK5" s="254">
        <f>'1'!$G$122</f>
        <v>383</v>
      </c>
      <c r="AL5" s="254">
        <f>'1'!$G$123</f>
        <v>308.09999999999127</v>
      </c>
      <c r="AM5" s="254">
        <f>'1'!$G$133</f>
        <v>769</v>
      </c>
      <c r="AN5" s="254">
        <f>'1'!$G$15</f>
        <v>982.39999999990687</v>
      </c>
      <c r="AO5" s="254">
        <f>'1'!$G$74</f>
        <v>282.57999999995809</v>
      </c>
      <c r="AP5" s="254">
        <f>'1'!$G$75</f>
        <v>0.80000000000291038</v>
      </c>
      <c r="AQ5" s="254">
        <f>'1'!$G$76</f>
        <v>138</v>
      </c>
      <c r="AR5" s="254">
        <f>'1'!$G$77</f>
        <v>47</v>
      </c>
      <c r="AS5" s="254">
        <f>'1'!$G$78</f>
        <v>0</v>
      </c>
      <c r="AT5" s="254">
        <f>AN5-SUM(AO5:AS5)</f>
        <v>514.01999999994587</v>
      </c>
      <c r="AU5" s="254">
        <f>SUM('1'!G91:G92)</f>
        <v>10.419999999999163</v>
      </c>
      <c r="AV5" s="254">
        <f>'1'!$G$88</f>
        <v>0</v>
      </c>
      <c r="AW5" s="254">
        <f>'1'!$G$89</f>
        <v>9.75</v>
      </c>
      <c r="AX5" s="254">
        <f>'1'!$G$90</f>
        <v>13.069999999992433</v>
      </c>
      <c r="AY5" s="252">
        <f>SUM(AV5:AX5)</f>
        <v>22.819999999992433</v>
      </c>
      <c r="AZ5" s="311">
        <f>AO5/AU5</f>
        <v>27.119001919383951</v>
      </c>
      <c r="BA5" s="311">
        <f>AT5/AY5</f>
        <v>22.524978089400364</v>
      </c>
      <c r="BB5" s="351">
        <f>C5-SUM(F5:K5,Y5)</f>
        <v>5695.1899999998786</v>
      </c>
      <c r="BC5" s="351">
        <f>BB5/B5%</f>
        <v>25.319326292764675</v>
      </c>
    </row>
    <row r="6" spans="1:55">
      <c r="A6" s="359">
        <v>2</v>
      </c>
      <c r="B6" s="510">
        <f>'2'!G7</f>
        <v>22101.590000000026</v>
      </c>
      <c r="C6" s="510">
        <f>'2'!G8</f>
        <v>22181.549999999988</v>
      </c>
      <c r="D6" s="510">
        <f>'2'!G15</f>
        <v>1119.9500000001863</v>
      </c>
      <c r="E6" s="510">
        <f>'2'!G20</f>
        <v>313</v>
      </c>
      <c r="F6" s="510">
        <f>SUM('2'!G35,'2'!G49)</f>
        <v>3192.7999999999302</v>
      </c>
      <c r="G6" s="510">
        <f>SUM('2'!G37,'2'!G51)</f>
        <v>1025.960000000021</v>
      </c>
      <c r="H6" s="510">
        <f>SUM('2'!G38,'2'!G52)</f>
        <v>2471.3600000001024</v>
      </c>
      <c r="I6" s="510">
        <f>SUM('2'!G39,'2'!G53)</f>
        <v>4202.1600000000326</v>
      </c>
      <c r="J6" s="510">
        <f>SUM('2'!G41,'2'!G42,'2'!G55,'2'!G56)</f>
        <v>3267.039999999979</v>
      </c>
      <c r="K6" s="510">
        <f>SUM('2'!G43,'2'!G57)</f>
        <v>2386.3199999999488</v>
      </c>
      <c r="L6" s="254">
        <f>'2'!G50</f>
        <v>1434</v>
      </c>
      <c r="M6" s="254">
        <f>'2'!G36</f>
        <v>1103.5499999999884</v>
      </c>
      <c r="N6" s="254">
        <f>'2'!G138</f>
        <v>97</v>
      </c>
      <c r="O6" s="254">
        <f>'2'!$G$139</f>
        <v>183</v>
      </c>
      <c r="P6" s="254">
        <f>'2'!$G$140</f>
        <v>20.800000000000182</v>
      </c>
      <c r="Q6" s="254">
        <f>'2'!$G$141</f>
        <v>239.11999999999534</v>
      </c>
      <c r="R6" s="254">
        <f>'2'!$G$142</f>
        <v>80.930000000000291</v>
      </c>
      <c r="S6" s="254">
        <f>'2'!$G$145</f>
        <v>133.63999999999942</v>
      </c>
      <c r="T6" s="254">
        <f>'2'!$G$146</f>
        <v>37</v>
      </c>
      <c r="U6" s="254">
        <f>'2'!$G$144</f>
        <v>229</v>
      </c>
      <c r="V6" s="254">
        <f>'2'!$G$147</f>
        <v>432.19999999995343</v>
      </c>
      <c r="W6" s="251">
        <f>'2'!$G$148</f>
        <v>385.88000000000466</v>
      </c>
      <c r="X6" s="251">
        <f>'2'!$G$143</f>
        <v>31.200000000000728</v>
      </c>
      <c r="Y6" s="251">
        <f>'2'!$G$58</f>
        <v>259.08000000000175</v>
      </c>
      <c r="Z6" s="251">
        <f>'2'!$G$151</f>
        <v>291</v>
      </c>
      <c r="AA6" s="251">
        <f>'2'!G161</f>
        <v>134.44000000000233</v>
      </c>
      <c r="AB6" s="254">
        <f>'2'!G162</f>
        <v>40.30000000000291</v>
      </c>
      <c r="AC6" s="254"/>
      <c r="AD6" s="254">
        <f>'2'!G163+'2'!G164</f>
        <v>6.5</v>
      </c>
      <c r="AE6" s="254">
        <f>'2'!$G$116</f>
        <v>432.31999999999243</v>
      </c>
      <c r="AF6" s="254">
        <f>'2'!$G$117</f>
        <v>282.60000000000582</v>
      </c>
      <c r="AG6" s="254">
        <f>'2'!$G$118</f>
        <v>649.14999999999418</v>
      </c>
      <c r="AH6" s="254">
        <f>'2'!$G$119</f>
        <v>12</v>
      </c>
      <c r="AI6" s="254">
        <f>'2'!$G$120</f>
        <v>410.39999999999418</v>
      </c>
      <c r="AJ6" s="254">
        <f>'2'!$G$121</f>
        <v>433</v>
      </c>
      <c r="AK6" s="254">
        <f>'2'!$G$122</f>
        <v>366.10000000000582</v>
      </c>
      <c r="AL6" s="254">
        <f>'2'!$G$123</f>
        <v>308.60000000000582</v>
      </c>
      <c r="AM6" s="254">
        <f>'2'!$G$133</f>
        <v>735</v>
      </c>
      <c r="AN6" s="254">
        <f>'2'!$G$15</f>
        <v>1119.9500000001863</v>
      </c>
      <c r="AO6" s="254">
        <f>'2'!$G$74</f>
        <v>291.76000000000931</v>
      </c>
      <c r="AP6" s="254">
        <f>'2'!$G$75</f>
        <v>0</v>
      </c>
      <c r="AQ6" s="254">
        <f>'2'!$G$76</f>
        <v>144</v>
      </c>
      <c r="AR6" s="254">
        <f>'2'!$G$77</f>
        <v>56.80000000000291</v>
      </c>
      <c r="AS6" s="254">
        <f>'2'!$G$78</f>
        <v>-0.3999999999996362</v>
      </c>
      <c r="AT6" s="254">
        <f t="shared" ref="AT6:AT34" si="0">AN6-SUM(AO6:AS6)</f>
        <v>627.79000000017368</v>
      </c>
      <c r="AU6" s="254">
        <f>SUM('2'!G91:G92)</f>
        <v>11.140000000000327</v>
      </c>
      <c r="AV6" s="254">
        <f>'2'!$G$88</f>
        <v>0</v>
      </c>
      <c r="AW6" s="254">
        <f>'2'!$G$89</f>
        <v>10.139999999999418</v>
      </c>
      <c r="AX6" s="254">
        <f>'2'!$G$90</f>
        <v>12.180000000007567</v>
      </c>
      <c r="AY6" s="252">
        <f t="shared" ref="AY6:AY34" si="1">SUM(AV6:AX6)</f>
        <v>22.320000000006985</v>
      </c>
      <c r="AZ6" s="311">
        <f t="shared" ref="AZ6:AZ8" si="2">AO6/AU6</f>
        <v>26.190305206463261</v>
      </c>
      <c r="BA6" s="311">
        <f t="shared" ref="BA6:BA35" si="3">AT6/AY6</f>
        <v>28.126792114694318</v>
      </c>
      <c r="BB6" s="351">
        <f t="shared" ref="BB6:BB35" si="4">C6-SUM(F6:K6,Y6)</f>
        <v>5376.8299999999726</v>
      </c>
      <c r="BC6" s="351">
        <f t="shared" ref="BC6:BC35" si="5">BB6/B6%</f>
        <v>24.32779723087781</v>
      </c>
    </row>
    <row r="7" spans="1:55" s="313" customFormat="1">
      <c r="A7" s="359">
        <v>3</v>
      </c>
      <c r="B7" s="510">
        <f>'3'!G7</f>
        <v>22563.409999999974</v>
      </c>
      <c r="C7" s="510">
        <f>'3'!G8</f>
        <v>22630.650000000023</v>
      </c>
      <c r="D7" s="510">
        <f>'3'!G15</f>
        <v>1133.6499999999069</v>
      </c>
      <c r="E7" s="510">
        <f>'3'!G20</f>
        <v>326</v>
      </c>
      <c r="F7" s="510">
        <f>SUM('3'!G35,'3'!G49)</f>
        <v>3215.9899999999907</v>
      </c>
      <c r="G7" s="510">
        <f>SUM('3'!G37,'3'!G51)</f>
        <v>1030.820000000007</v>
      </c>
      <c r="H7" s="510">
        <f>SUM('3'!G38,'3'!G52)</f>
        <v>2376.7899999999299</v>
      </c>
      <c r="I7" s="510">
        <f>SUM('3'!G39,'3'!G53)</f>
        <v>4054.7999999999302</v>
      </c>
      <c r="J7" s="510">
        <f>SUM('3'!G41,'3'!G42,'3'!G55,'3'!G56)</f>
        <v>3387.9000000000233</v>
      </c>
      <c r="K7" s="510">
        <f>SUM('3'!G43,'3'!G57)</f>
        <v>2408.4400000000605</v>
      </c>
      <c r="L7" s="251">
        <f>'3'!G50</f>
        <v>1803.179999999993</v>
      </c>
      <c r="M7" s="251">
        <f>'3'!G36</f>
        <v>1154.7200000000303</v>
      </c>
      <c r="N7" s="251">
        <f>'3'!G138</f>
        <v>110</v>
      </c>
      <c r="O7" s="251">
        <f>'3'!$G$139</f>
        <v>162</v>
      </c>
      <c r="P7" s="251">
        <f>'3'!$G$140</f>
        <v>20</v>
      </c>
      <c r="Q7" s="251">
        <f>'3'!$G$141</f>
        <v>238.1200000000099</v>
      </c>
      <c r="R7" s="251">
        <f>'3'!$G$142</f>
        <v>87.669999999998254</v>
      </c>
      <c r="S7" s="251">
        <f>'3'!$G$145</f>
        <v>109.86000000000058</v>
      </c>
      <c r="T7" s="251">
        <f>'3'!$G$146</f>
        <v>45</v>
      </c>
      <c r="U7" s="251">
        <f>'3'!$G$144</f>
        <v>251</v>
      </c>
      <c r="V7" s="251">
        <f>'3'!$G$147</f>
        <v>481</v>
      </c>
      <c r="W7" s="251">
        <f>'3'!$G$148</f>
        <v>439</v>
      </c>
      <c r="X7" s="251">
        <f>'3'!$G$143</f>
        <v>33.299999999999272</v>
      </c>
      <c r="Y7" s="251">
        <f>'3'!$G$58</f>
        <v>254.44999999999709</v>
      </c>
      <c r="Z7" s="251">
        <f>'3'!$G$151</f>
        <v>257</v>
      </c>
      <c r="AA7" s="254">
        <f>'3'!G161</f>
        <v>126.35999999998603</v>
      </c>
      <c r="AB7" s="254">
        <f>'3'!G162</f>
        <v>42.80000000000291</v>
      </c>
      <c r="AC7" s="254"/>
      <c r="AD7" s="254">
        <f>'3'!G163+'3'!G164</f>
        <v>8.3000000000001819</v>
      </c>
      <c r="AE7" s="251">
        <f>'3'!$G$116</f>
        <v>362.90000000000873</v>
      </c>
      <c r="AF7" s="251">
        <f>'3'!$G$117</f>
        <v>252</v>
      </c>
      <c r="AG7" s="251">
        <f>'3'!$G$118</f>
        <v>631.94000000000233</v>
      </c>
      <c r="AH7" s="251">
        <f>'3'!$G$119</f>
        <v>12</v>
      </c>
      <c r="AI7" s="251">
        <f>'3'!$G$120</f>
        <v>410.5</v>
      </c>
      <c r="AJ7" s="251">
        <f>'3'!$G$121</f>
        <v>421.19999999999709</v>
      </c>
      <c r="AK7" s="251">
        <f>'3'!$G$122</f>
        <v>338.80000000000291</v>
      </c>
      <c r="AL7" s="251">
        <f>'3'!$G$123</f>
        <v>317.27000000000407</v>
      </c>
      <c r="AM7" s="251">
        <f>'3'!$G$133</f>
        <v>778</v>
      </c>
      <c r="AN7" s="251">
        <f>'3'!$G$15</f>
        <v>1133.6499999999069</v>
      </c>
      <c r="AO7" s="251">
        <f>'3'!$G$74</f>
        <v>287.0899999999674</v>
      </c>
      <c r="AP7" s="251">
        <f>'3'!$G$75</f>
        <v>0</v>
      </c>
      <c r="AQ7" s="251">
        <f>'3'!$G$76</f>
        <v>155</v>
      </c>
      <c r="AR7" s="251">
        <f>'3'!$G$77</f>
        <v>71.19999999999709</v>
      </c>
      <c r="AS7" s="251">
        <f>'3'!$G$78</f>
        <v>0</v>
      </c>
      <c r="AT7" s="251">
        <f t="shared" si="0"/>
        <v>620.35999999994237</v>
      </c>
      <c r="AU7" s="254">
        <f>SUM('3'!G91:G92)</f>
        <v>11.056999999999789</v>
      </c>
      <c r="AV7" s="251">
        <f>'3'!$G$88</f>
        <v>0</v>
      </c>
      <c r="AW7" s="251">
        <f>'3'!$G$89</f>
        <v>8.9099999999998545</v>
      </c>
      <c r="AX7" s="251">
        <f>'3'!$G$90</f>
        <v>11.399999999994179</v>
      </c>
      <c r="AY7" s="255">
        <f t="shared" si="1"/>
        <v>20.309999999994034</v>
      </c>
      <c r="AZ7" s="311">
        <f t="shared" si="2"/>
        <v>25.964547345570487</v>
      </c>
      <c r="BA7" s="311">
        <f t="shared" si="3"/>
        <v>30.544559330385258</v>
      </c>
      <c r="BB7" s="351">
        <f t="shared" si="4"/>
        <v>5901.4600000000864</v>
      </c>
      <c r="BC7" s="351">
        <f t="shared" si="5"/>
        <v>26.155000507459171</v>
      </c>
    </row>
    <row r="8" spans="1:55">
      <c r="A8" s="359">
        <v>4</v>
      </c>
      <c r="B8" s="510">
        <f>'4'!G7</f>
        <v>23414</v>
      </c>
      <c r="C8" s="510">
        <f>'4'!G8</f>
        <v>23512</v>
      </c>
      <c r="D8" s="510">
        <f>'4'!G15</f>
        <v>1075.7000000001863</v>
      </c>
      <c r="E8" s="510">
        <f>'4'!G20</f>
        <v>269</v>
      </c>
      <c r="F8" s="510">
        <f>SUM('4'!G35,'4'!G49)</f>
        <v>3375.5300000000861</v>
      </c>
      <c r="G8" s="510">
        <f>SUM('4'!G37,'4'!G51)</f>
        <v>1092.7299999999814</v>
      </c>
      <c r="H8" s="510">
        <f>SUM('4'!G38,'4'!G52)</f>
        <v>2388.0799999999581</v>
      </c>
      <c r="I8" s="510">
        <f>SUM('4'!G39,'4'!G53)</f>
        <v>4044.2399999999907</v>
      </c>
      <c r="J8" s="510">
        <f>SUM('4'!G41,'4'!G42,'4'!G55,'4'!G56)</f>
        <v>3975.9300000000512</v>
      </c>
      <c r="K8" s="510">
        <f>SUM('4'!G43,'4'!G57)</f>
        <v>2485.5999999999767</v>
      </c>
      <c r="L8" s="254">
        <f>'4'!G50</f>
        <v>1479.1300000000047</v>
      </c>
      <c r="M8" s="254">
        <f>'4'!G36</f>
        <v>1308.4400000000023</v>
      </c>
      <c r="N8" s="254">
        <f>'4'!G138</f>
        <v>87</v>
      </c>
      <c r="O8" s="254">
        <f>'4'!$G$139</f>
        <v>155</v>
      </c>
      <c r="P8" s="254">
        <f>'4'!$G$140</f>
        <v>20.900000000000091</v>
      </c>
      <c r="Q8" s="254">
        <f>'4'!$G$141</f>
        <v>236.39999999999418</v>
      </c>
      <c r="R8" s="254">
        <f>'4'!$G$142</f>
        <v>88.5</v>
      </c>
      <c r="S8" s="254">
        <f>'4'!$G$145</f>
        <v>126.5</v>
      </c>
      <c r="T8" s="254">
        <f>'4'!$G$146</f>
        <v>29</v>
      </c>
      <c r="U8" s="254">
        <f>'4'!$G$144</f>
        <v>206</v>
      </c>
      <c r="V8" s="251">
        <f>'4'!$G$147</f>
        <v>464</v>
      </c>
      <c r="W8" s="251">
        <f>'4'!$G$148</f>
        <v>526.64000000001397</v>
      </c>
      <c r="X8" s="254">
        <f>'4'!$G$143</f>
        <v>27.799999999999272</v>
      </c>
      <c r="Y8" s="254">
        <f>'4'!$G$58</f>
        <v>256.19000000000233</v>
      </c>
      <c r="Z8" s="254">
        <f>'4'!$G$151</f>
        <v>230</v>
      </c>
      <c r="AA8" s="254">
        <f>'4'!G161</f>
        <v>77.600000000034925</v>
      </c>
      <c r="AB8" s="254">
        <f>'4'!G162</f>
        <v>22.899999999994179</v>
      </c>
      <c r="AC8" s="254"/>
      <c r="AD8" s="254">
        <f>'4'!G163+'4'!G164</f>
        <v>3.8000000000001819</v>
      </c>
      <c r="AE8" s="254">
        <f>'4'!$G$116</f>
        <v>391.47999999999593</v>
      </c>
      <c r="AF8" s="254">
        <f>'4'!$G$117</f>
        <v>249.89999999999418</v>
      </c>
      <c r="AG8" s="254">
        <f>'4'!$G$118</f>
        <v>585.85999999998603</v>
      </c>
      <c r="AH8" s="254">
        <f>'4'!$G$119</f>
        <v>12</v>
      </c>
      <c r="AI8" s="254">
        <f>'4'!$G$120</f>
        <v>427.10000000000582</v>
      </c>
      <c r="AJ8" s="254">
        <f>'4'!$G$121</f>
        <v>406.90000000000873</v>
      </c>
      <c r="AK8" s="254">
        <f>'4'!$G$122</f>
        <v>330</v>
      </c>
      <c r="AL8" s="254">
        <f>'4'!$G$123</f>
        <v>316.02999999999884</v>
      </c>
      <c r="AM8" s="254">
        <f>'4'!$G$133</f>
        <v>730</v>
      </c>
      <c r="AN8" s="254">
        <f>'4'!$G$15</f>
        <v>1075.7000000001863</v>
      </c>
      <c r="AO8" s="254">
        <f>'4'!$G$74</f>
        <v>306.84000000008382</v>
      </c>
      <c r="AP8" s="254">
        <f>'4'!$G$75</f>
        <v>0</v>
      </c>
      <c r="AQ8" s="254">
        <f>'4'!$G$76</f>
        <v>124</v>
      </c>
      <c r="AR8" s="254">
        <f>'4'!$G$77</f>
        <v>21</v>
      </c>
      <c r="AS8" s="254">
        <f>'4'!$G$78</f>
        <v>0</v>
      </c>
      <c r="AT8" s="254">
        <f t="shared" si="0"/>
        <v>623.86000000010245</v>
      </c>
      <c r="AU8" s="254">
        <f>SUM('4'!G91:G92)</f>
        <v>11.722999999999956</v>
      </c>
      <c r="AV8" s="254">
        <f>'4'!$G$88</f>
        <v>0</v>
      </c>
      <c r="AW8" s="254">
        <f>'4'!$G$89</f>
        <v>10.18999999999869</v>
      </c>
      <c r="AX8" s="254">
        <f>'4'!$G$90</f>
        <v>11.509999999994761</v>
      </c>
      <c r="AY8" s="252">
        <f t="shared" si="1"/>
        <v>21.699999999993452</v>
      </c>
      <c r="AZ8" s="311">
        <f t="shared" si="2"/>
        <v>26.174187494675849</v>
      </c>
      <c r="BA8" s="311">
        <f t="shared" si="3"/>
        <v>28.749308755773765</v>
      </c>
      <c r="BB8" s="351">
        <f t="shared" si="4"/>
        <v>5893.6999999999534</v>
      </c>
      <c r="BC8" s="351">
        <f t="shared" si="5"/>
        <v>25.171692149995533</v>
      </c>
    </row>
    <row r="9" spans="1:55">
      <c r="A9" s="359">
        <v>5</v>
      </c>
      <c r="B9" s="510">
        <f>'5'!G7</f>
        <v>23778</v>
      </c>
      <c r="C9" s="510">
        <f>'5'!G8</f>
        <v>23970</v>
      </c>
      <c r="D9" s="510">
        <f>'5'!G15</f>
        <v>1103.2999999998137</v>
      </c>
      <c r="E9" s="510">
        <f>'5'!G20</f>
        <v>311</v>
      </c>
      <c r="F9" s="510">
        <f>SUM('5'!G35,'5'!G49)</f>
        <v>3180.8199999999488</v>
      </c>
      <c r="G9" s="510">
        <f>SUM('5'!G37,'5'!G51)</f>
        <v>1082.570000000007</v>
      </c>
      <c r="H9" s="510">
        <f>SUM('5'!G38,'5'!G52)</f>
        <v>2268.8200000000561</v>
      </c>
      <c r="I9" s="510">
        <f>SUM('5'!G39,'5'!G53)</f>
        <v>3946.8600000001024</v>
      </c>
      <c r="J9" s="510">
        <f>SUM('5'!G41,'5'!G42,'5'!G55,'5'!G56)</f>
        <v>4224.8499999998603</v>
      </c>
      <c r="K9" s="510">
        <f>SUM('5'!G43,'5'!G57)</f>
        <v>2443.7299999999814</v>
      </c>
      <c r="L9" s="254">
        <f>'5'!G50</f>
        <v>1596.5</v>
      </c>
      <c r="M9" s="254">
        <f>'5'!G36</f>
        <v>1200.4899999999907</v>
      </c>
      <c r="N9" s="254">
        <f>'5'!G138</f>
        <v>150</v>
      </c>
      <c r="O9" s="254">
        <f>'5'!$G$139</f>
        <v>159</v>
      </c>
      <c r="P9" s="254">
        <f>'5'!$G$140</f>
        <v>19.099999999999909</v>
      </c>
      <c r="Q9" s="258">
        <f>'5'!$G$141</f>
        <v>237</v>
      </c>
      <c r="R9" s="254">
        <f>'5'!$G$142</f>
        <v>82</v>
      </c>
      <c r="S9" s="251">
        <f>'5'!$G$145</f>
        <v>160</v>
      </c>
      <c r="T9" s="254">
        <f>'5'!$G$146</f>
        <v>40</v>
      </c>
      <c r="U9" s="254">
        <f>'5'!$G$144</f>
        <v>233</v>
      </c>
      <c r="V9" s="256">
        <f>'5'!$G$147</f>
        <v>433</v>
      </c>
      <c r="W9" s="254">
        <f>'5'!$G$148</f>
        <v>407.35999999998603</v>
      </c>
      <c r="X9" s="254">
        <f>'5'!$G$143</f>
        <v>29.200000000000728</v>
      </c>
      <c r="Y9" s="254">
        <f>'5'!$G$58</f>
        <v>233.72999999999593</v>
      </c>
      <c r="Z9" s="254">
        <f>'5'!$G$151</f>
        <v>214</v>
      </c>
      <c r="AA9" s="254">
        <f>'5'!G161</f>
        <v>253.03999999997905</v>
      </c>
      <c r="AB9" s="254">
        <f>'5'!G162</f>
        <v>44.30000000000291</v>
      </c>
      <c r="AC9" s="254"/>
      <c r="AD9" s="254">
        <f>'5'!G163+'5'!G164</f>
        <v>6.8999999999996362</v>
      </c>
      <c r="AE9" s="254">
        <f>'5'!$G$116</f>
        <v>387.5</v>
      </c>
      <c r="AF9" s="254">
        <f>'5'!$G$117</f>
        <v>251.60000000000582</v>
      </c>
      <c r="AG9" s="254">
        <f>'5'!$G$118</f>
        <v>593.20000000001164</v>
      </c>
      <c r="AH9" s="254">
        <f>'5'!$G$119</f>
        <v>12</v>
      </c>
      <c r="AI9" s="254">
        <f>'5'!$G$120</f>
        <v>382.39999999999418</v>
      </c>
      <c r="AJ9" s="254">
        <f>'5'!$G$121</f>
        <v>407.89999999999418</v>
      </c>
      <c r="AK9" s="254">
        <f>'5'!$G$122</f>
        <v>337.19999999999709</v>
      </c>
      <c r="AL9" s="254">
        <f>'5'!$G$123</f>
        <v>303.69999999999709</v>
      </c>
      <c r="AM9" s="254">
        <f>'5'!$G$133</f>
        <v>746</v>
      </c>
      <c r="AN9" s="254">
        <f>'5'!$G$15</f>
        <v>1103.2999999998137</v>
      </c>
      <c r="AO9" s="256">
        <f>'5'!$G$74</f>
        <v>302.69999999995343</v>
      </c>
      <c r="AP9" s="256">
        <f>'5'!$G$75</f>
        <v>0</v>
      </c>
      <c r="AQ9" s="256">
        <f>'5'!$G$76</f>
        <v>146</v>
      </c>
      <c r="AR9" s="256">
        <f>'5'!$G$77</f>
        <v>76</v>
      </c>
      <c r="AS9" s="256">
        <f>'5'!$G$78</f>
        <v>0.3999999999996362</v>
      </c>
      <c r="AT9" s="256">
        <f t="shared" si="0"/>
        <v>578.19999999986067</v>
      </c>
      <c r="AU9" s="254">
        <f>SUM('5'!G91:G92)</f>
        <v>11.520000000000437</v>
      </c>
      <c r="AV9" s="254">
        <f>'5'!$G$88</f>
        <v>0</v>
      </c>
      <c r="AW9" s="254">
        <f>'5'!$G$89</f>
        <v>9.3100000000013097</v>
      </c>
      <c r="AX9" s="254">
        <f>'5'!$G$90</f>
        <v>11.240000000005239</v>
      </c>
      <c r="AY9" s="252">
        <f t="shared" si="1"/>
        <v>20.550000000006548</v>
      </c>
      <c r="AZ9" s="311">
        <f>AO9/AU9</f>
        <v>26.27604166666163</v>
      </c>
      <c r="BA9" s="311">
        <f t="shared" si="3"/>
        <v>28.136253041346784</v>
      </c>
      <c r="BB9" s="351">
        <f t="shared" si="4"/>
        <v>6588.6200000000463</v>
      </c>
      <c r="BC9" s="351">
        <f t="shared" si="5"/>
        <v>27.708890571116353</v>
      </c>
    </row>
    <row r="10" spans="1:55">
      <c r="A10" s="359">
        <v>6</v>
      </c>
      <c r="B10" s="510">
        <f>'6'!G7</f>
        <v>22604</v>
      </c>
      <c r="C10" s="510">
        <f>'6'!G8</f>
        <v>22796</v>
      </c>
      <c r="D10" s="510">
        <f>'6'!G15</f>
        <v>1119.3999999999069</v>
      </c>
      <c r="E10" s="510">
        <f>'6'!G20</f>
        <v>363</v>
      </c>
      <c r="F10" s="510">
        <f>SUM('6'!G35,'6'!G49)</f>
        <v>3102.5499999999884</v>
      </c>
      <c r="G10" s="510">
        <f>SUM('6'!G37,'6'!G51)</f>
        <v>1091.7099999999919</v>
      </c>
      <c r="H10" s="510">
        <f>SUM('6'!G38,'6'!G52)</f>
        <v>2350.9499999999534</v>
      </c>
      <c r="I10" s="510">
        <f>SUM('6'!G39,'6'!G53)</f>
        <v>4047.7799999999115</v>
      </c>
      <c r="J10" s="510">
        <f>SUM('6'!G41,'6'!G42,'6'!G55,'6'!G56)</f>
        <v>3777.7000000000698</v>
      </c>
      <c r="K10" s="510">
        <f>SUM('6'!G43,'6'!G57)</f>
        <v>2370.5999999999767</v>
      </c>
      <c r="L10" s="254">
        <f>'6'!G50</f>
        <v>1360.9899999999907</v>
      </c>
      <c r="M10" s="254">
        <f>'6'!G36</f>
        <v>944.98999999999069</v>
      </c>
      <c r="N10" s="254">
        <f>'6'!G138</f>
        <v>134</v>
      </c>
      <c r="O10" s="254">
        <f>'6'!$G$139</f>
        <v>159</v>
      </c>
      <c r="P10" s="254">
        <f>'6'!$G$140</f>
        <v>23.869999999999891</v>
      </c>
      <c r="Q10" s="254">
        <f>'6'!$G$141</f>
        <v>245.24000000000524</v>
      </c>
      <c r="R10" s="254">
        <f>'6'!$G$142</f>
        <v>92.370000000002619</v>
      </c>
      <c r="S10" s="254">
        <f>'6'!$G$145</f>
        <v>161.09999999999854</v>
      </c>
      <c r="T10" s="251">
        <f>'6'!$G$146</f>
        <v>31</v>
      </c>
      <c r="U10" s="251">
        <f>'6'!$G$144</f>
        <v>236</v>
      </c>
      <c r="V10" s="251">
        <f>'6'!$G$147</f>
        <v>380.59999999997672</v>
      </c>
      <c r="W10" s="251">
        <f>'6'!$G$148</f>
        <v>357.52000000001863</v>
      </c>
      <c r="X10" s="251">
        <f>'6'!$G$143</f>
        <v>36.799999999999272</v>
      </c>
      <c r="Y10" s="251">
        <f>'6'!$G$58</f>
        <v>252.00999999999476</v>
      </c>
      <c r="Z10" s="251">
        <f>'6'!$G$151</f>
        <v>218</v>
      </c>
      <c r="AA10" s="251">
        <f>'6'!G161</f>
        <v>236.03999999997905</v>
      </c>
      <c r="AB10" s="251">
        <f>'6'!G162</f>
        <v>44.5</v>
      </c>
      <c r="AC10" s="251"/>
      <c r="AD10" s="251">
        <f>'6'!G163+'6'!G164</f>
        <v>9.3000000000001819</v>
      </c>
      <c r="AE10" s="254">
        <f>'6'!$G$116</f>
        <v>376.07000000000698</v>
      </c>
      <c r="AF10" s="254">
        <f>'6'!$G$117</f>
        <v>258.5</v>
      </c>
      <c r="AG10" s="254">
        <f>'6'!$G$118</f>
        <v>624.88000000000466</v>
      </c>
      <c r="AH10" s="254">
        <f>'6'!$G$119</f>
        <v>11.599999999998545</v>
      </c>
      <c r="AI10" s="254">
        <f>'6'!$G$120</f>
        <v>411.30000000000291</v>
      </c>
      <c r="AJ10" s="254">
        <f>'6'!$G$121</f>
        <v>413.72999999999593</v>
      </c>
      <c r="AK10" s="254">
        <f>'6'!$G$122</f>
        <v>366.16999999999825</v>
      </c>
      <c r="AL10" s="254">
        <f>'6'!$G$123</f>
        <v>312.39999999999418</v>
      </c>
      <c r="AM10" s="254">
        <f>'6'!$G$133</f>
        <v>709</v>
      </c>
      <c r="AN10" s="254">
        <f>'6'!$G$15</f>
        <v>1119.3999999999069</v>
      </c>
      <c r="AO10" s="256">
        <f>'6'!$G$74</f>
        <v>291.9320000000298</v>
      </c>
      <c r="AP10" s="256">
        <f>'6'!$G$75</f>
        <v>0</v>
      </c>
      <c r="AQ10" s="256">
        <f>'6'!$G$76</f>
        <v>106</v>
      </c>
      <c r="AR10" s="256">
        <f>'6'!$G$77</f>
        <v>54</v>
      </c>
      <c r="AS10" s="256">
        <f>'6'!$G$78</f>
        <v>0</v>
      </c>
      <c r="AT10" s="256">
        <f t="shared" si="0"/>
        <v>667.46799999987707</v>
      </c>
      <c r="AU10" s="254">
        <f>SUM('6'!G91:G92)</f>
        <v>11.170000000000073</v>
      </c>
      <c r="AV10" s="254">
        <f>'6'!$G$88</f>
        <v>0</v>
      </c>
      <c r="AW10" s="254">
        <f>'6'!$G$89</f>
        <v>10.900000000001455</v>
      </c>
      <c r="AX10" s="254">
        <f>'6'!$G$90</f>
        <v>14.5</v>
      </c>
      <c r="AY10" s="252">
        <f t="shared" si="1"/>
        <v>25.400000000001455</v>
      </c>
      <c r="AZ10" s="311">
        <f t="shared" ref="AZ10:AZ28" si="6">AO10/AU10</f>
        <v>26.135362578337322</v>
      </c>
      <c r="BA10" s="311">
        <f t="shared" si="3"/>
        <v>26.278267716529086</v>
      </c>
      <c r="BB10" s="351">
        <f t="shared" si="4"/>
        <v>5802.7000000001135</v>
      </c>
      <c r="BC10" s="351">
        <f t="shared" si="5"/>
        <v>25.671120155725152</v>
      </c>
    </row>
    <row r="11" spans="1:55">
      <c r="A11" s="359">
        <v>7</v>
      </c>
      <c r="B11" s="510">
        <f>'7'!G7</f>
        <v>22378</v>
      </c>
      <c r="C11" s="510">
        <f>'7'!G8</f>
        <v>22420</v>
      </c>
      <c r="D11" s="510">
        <f>'7'!G15</f>
        <v>1104.6000000000931</v>
      </c>
      <c r="E11" s="510">
        <f>'7'!G20</f>
        <v>269</v>
      </c>
      <c r="F11" s="510">
        <f>SUM('7'!G35,'7'!G49)</f>
        <v>2378.3500000000349</v>
      </c>
      <c r="G11" s="510">
        <f>SUM('7'!G37,'7'!G51)</f>
        <v>1099.4300000000221</v>
      </c>
      <c r="H11" s="510">
        <f>SUM('7'!G38,'7'!G52)</f>
        <v>2462.4800000000978</v>
      </c>
      <c r="I11" s="510">
        <f>SUM('7'!G39,'7'!G53)</f>
        <v>4041.4100000000326</v>
      </c>
      <c r="J11" s="510">
        <f>SUM('7'!G41,'7'!G42,'7'!G55,'7'!G56)</f>
        <v>3991.2199999999139</v>
      </c>
      <c r="K11" s="510">
        <f>SUM('7'!G43,'7'!G57)</f>
        <v>2477.0700000000652</v>
      </c>
      <c r="L11" s="254">
        <f>'7'!G50</f>
        <v>1309.359999999986</v>
      </c>
      <c r="M11" s="254">
        <f>'7'!G36</f>
        <v>907.22000000003027</v>
      </c>
      <c r="N11" s="254">
        <f>'7'!G138</f>
        <v>110</v>
      </c>
      <c r="O11" s="254">
        <f>'7'!$G$139</f>
        <v>158</v>
      </c>
      <c r="P11" s="254">
        <f>'7'!$G$140</f>
        <v>27.730000000000018</v>
      </c>
      <c r="Q11" s="254">
        <f>'7'!$G$141</f>
        <v>229.75999999999476</v>
      </c>
      <c r="R11" s="254">
        <f>'7'!$G$142</f>
        <v>94.059999999997672</v>
      </c>
      <c r="S11" s="254">
        <f>'7'!$G$145</f>
        <v>172</v>
      </c>
      <c r="T11" s="251">
        <f>'7'!$G$146</f>
        <v>29</v>
      </c>
      <c r="U11" s="251">
        <f>'7'!$G$144</f>
        <v>234</v>
      </c>
      <c r="V11" s="251">
        <f>'7'!$G$147</f>
        <v>405.68000000005122</v>
      </c>
      <c r="W11" s="251">
        <f>'7'!$G$148</f>
        <v>346.47999999998137</v>
      </c>
      <c r="X11" s="251">
        <f>'7'!$G$143</f>
        <v>29.200000000000728</v>
      </c>
      <c r="Y11" s="251">
        <f>'7'!$G$58</f>
        <v>190.59000000001106</v>
      </c>
      <c r="Z11" s="256">
        <f>'7'!$G$151</f>
        <v>228</v>
      </c>
      <c r="AA11" s="256">
        <f>'7'!G161</f>
        <v>157.48000000003958</v>
      </c>
      <c r="AB11" s="251">
        <f>'7'!G162</f>
        <v>43.69999999999709</v>
      </c>
      <c r="AC11" s="251"/>
      <c r="AD11" s="251">
        <f>'7'!G163+'7'!G164</f>
        <v>10.599999999999454</v>
      </c>
      <c r="AE11" s="254">
        <f>'7'!$G$116</f>
        <v>379.92999999999302</v>
      </c>
      <c r="AF11" s="254">
        <f>'7'!$G$117</f>
        <v>253.5</v>
      </c>
      <c r="AG11" s="254">
        <f>'7'!$G$118</f>
        <v>615.01999999998952</v>
      </c>
      <c r="AH11" s="254">
        <f>'7'!$G$119</f>
        <v>11.400000000001455</v>
      </c>
      <c r="AI11" s="254">
        <f>'7'!$G$120</f>
        <v>396.69999999999709</v>
      </c>
      <c r="AJ11" s="254">
        <f>'7'!$G$121</f>
        <v>416.8700000000099</v>
      </c>
      <c r="AK11" s="256">
        <f>'7'!$G$122</f>
        <v>347.43000000000757</v>
      </c>
      <c r="AL11" s="254">
        <f>'7'!$G$123</f>
        <v>311.60000000000582</v>
      </c>
      <c r="AM11" s="254">
        <f>'7'!$G$133</f>
        <v>732</v>
      </c>
      <c r="AN11" s="254">
        <f>'7'!$G$15</f>
        <v>1104.6000000000931</v>
      </c>
      <c r="AO11" s="256">
        <f>'7'!$G$74</f>
        <v>270.04200000001583</v>
      </c>
      <c r="AP11" s="256">
        <f>'7'!$G$75</f>
        <v>0</v>
      </c>
      <c r="AQ11" s="256">
        <f>'7'!$G$76</f>
        <v>124.70000000001164</v>
      </c>
      <c r="AR11" s="256">
        <f>'7'!$G$77</f>
        <v>56</v>
      </c>
      <c r="AS11" s="256">
        <f>'7'!$G$78</f>
        <v>-0.3999999999996362</v>
      </c>
      <c r="AT11" s="256">
        <f t="shared" si="0"/>
        <v>654.25800000006529</v>
      </c>
      <c r="AU11" s="254">
        <f>SUM('7'!G91:G92)</f>
        <v>10.170000000000073</v>
      </c>
      <c r="AV11" s="254">
        <f>'7'!$G$88</f>
        <v>0</v>
      </c>
      <c r="AW11" s="254">
        <f>'7'!$G$89</f>
        <v>10.069999999999709</v>
      </c>
      <c r="AX11" s="254">
        <f>'7'!$G$90</f>
        <v>14.080000000001746</v>
      </c>
      <c r="AY11" s="252">
        <f t="shared" si="1"/>
        <v>24.150000000001455</v>
      </c>
      <c r="AZ11" s="311">
        <f>AO11/AU11</f>
        <v>26.552802359883373</v>
      </c>
      <c r="BA11" s="311">
        <f t="shared" si="3"/>
        <v>27.091428571429642</v>
      </c>
      <c r="BB11" s="351">
        <f t="shared" si="4"/>
        <v>5779.4499999998225</v>
      </c>
      <c r="BC11" s="351">
        <f t="shared" si="5"/>
        <v>25.826481365626162</v>
      </c>
    </row>
    <row r="12" spans="1:55">
      <c r="A12" s="359">
        <v>8</v>
      </c>
      <c r="B12" s="510">
        <f>'8'!G7</f>
        <v>23760.710000000021</v>
      </c>
      <c r="C12" s="510">
        <f>'8'!G8</f>
        <v>23804.709999999963</v>
      </c>
      <c r="D12" s="510">
        <f>'8'!G15</f>
        <v>1148.1699999999255</v>
      </c>
      <c r="E12" s="510">
        <f>'8'!G20</f>
        <v>293</v>
      </c>
      <c r="F12" s="510">
        <f>SUM('8'!G35,'8'!G49)</f>
        <v>3949</v>
      </c>
      <c r="G12" s="510">
        <f>SUM('8'!G37,'8'!G51)</f>
        <v>1129.9399999999732</v>
      </c>
      <c r="H12" s="510">
        <f>SUM('8'!G38,'8'!G52)</f>
        <v>2509.359999999986</v>
      </c>
      <c r="I12" s="510">
        <f>SUM('8'!G39,'8'!G53)</f>
        <v>4125.7900000000373</v>
      </c>
      <c r="J12" s="510">
        <f>SUM('8'!G41,'8'!G42,'8'!G55,'8'!G56)</f>
        <v>4345.6600000000326</v>
      </c>
      <c r="K12" s="510">
        <f>SUM('8'!G43,'8'!G57)</f>
        <v>2578.2399999999907</v>
      </c>
      <c r="L12" s="254">
        <f>'8'!G50</f>
        <v>1624.8800000000047</v>
      </c>
      <c r="M12" s="254">
        <f>'8'!G36</f>
        <v>1015.0799999999581</v>
      </c>
      <c r="N12" s="254">
        <f>'8'!G138</f>
        <v>125</v>
      </c>
      <c r="O12" s="254">
        <f>'8'!$G$139</f>
        <v>161</v>
      </c>
      <c r="P12" s="254">
        <f>'8'!$G$140</f>
        <v>28.050000000000182</v>
      </c>
      <c r="Q12" s="254">
        <f>'8'!$G$141</f>
        <v>228.69999999999709</v>
      </c>
      <c r="R12" s="254">
        <f>'8'!$G$142</f>
        <v>97.040000000000873</v>
      </c>
      <c r="S12" s="254">
        <f>'8'!$G$145</f>
        <v>175.90000000000146</v>
      </c>
      <c r="T12" s="251">
        <f>'8'!$G$146</f>
        <v>31</v>
      </c>
      <c r="U12" s="251">
        <f>'8'!$G$144</f>
        <v>236</v>
      </c>
      <c r="V12" s="251">
        <f>'8'!$G$147</f>
        <v>452.71999999997206</v>
      </c>
      <c r="W12" s="251">
        <f>'8'!$G$148</f>
        <v>363</v>
      </c>
      <c r="X12" s="251">
        <f>'8'!$G$143</f>
        <v>33</v>
      </c>
      <c r="Y12" s="251">
        <f>'8'!$G$58</f>
        <v>215.97999999999593</v>
      </c>
      <c r="Z12" s="251">
        <f>'8'!$G$151</f>
        <v>226</v>
      </c>
      <c r="AA12" s="251">
        <f>'8'!G161</f>
        <v>195.9199999999837</v>
      </c>
      <c r="AB12" s="251">
        <f>'8'!G162</f>
        <v>41.400000000008731</v>
      </c>
      <c r="AC12" s="251"/>
      <c r="AD12" s="251">
        <f>'8'!G163+'8'!G164</f>
        <v>7.1000000000003638</v>
      </c>
      <c r="AE12" s="254">
        <f>'8'!$G$116</f>
        <v>338.57000000000698</v>
      </c>
      <c r="AF12" s="254">
        <f>'8'!$G$117</f>
        <v>255.44000000000233</v>
      </c>
      <c r="AG12" s="254">
        <f>'8'!$G$118</f>
        <v>644.91000000000349</v>
      </c>
      <c r="AH12" s="254">
        <f>'8'!$G$119</f>
        <v>12.330000000001746</v>
      </c>
      <c r="AI12" s="254">
        <f>'8'!$G$120</f>
        <v>420.58999999999651</v>
      </c>
      <c r="AJ12" s="254">
        <f>'8'!$G$121</f>
        <v>438.11000000000058</v>
      </c>
      <c r="AK12" s="254">
        <f>'8'!$G$122</f>
        <v>344.66999999999825</v>
      </c>
      <c r="AL12" s="254">
        <f>'8'!$G$123</f>
        <v>324.86000000000058</v>
      </c>
      <c r="AM12" s="254">
        <f>'8'!$G$133</f>
        <v>786</v>
      </c>
      <c r="AN12" s="254">
        <f>'8'!$G$15</f>
        <v>1148.1699999999255</v>
      </c>
      <c r="AO12" s="256">
        <f>'8'!$G$74</f>
        <v>320.7259999999078</v>
      </c>
      <c r="AP12" s="256">
        <f>'8'!$G$75</f>
        <v>0</v>
      </c>
      <c r="AQ12" s="256">
        <f>'8'!$G$76</f>
        <v>156.29999999998836</v>
      </c>
      <c r="AR12" s="256">
        <f>'8'!$G$77</f>
        <v>49.900000000001455</v>
      </c>
      <c r="AS12" s="256">
        <f>'8'!$G$78</f>
        <v>0.3999999999996362</v>
      </c>
      <c r="AT12" s="256">
        <f t="shared" si="0"/>
        <v>620.84400000002825</v>
      </c>
      <c r="AU12" s="254">
        <f>SUM('8'!G91:G92)</f>
        <v>11.25</v>
      </c>
      <c r="AV12" s="254">
        <f>'8'!$G$88</f>
        <v>0</v>
      </c>
      <c r="AW12" s="254">
        <f>'8'!$G$89</f>
        <v>10.610000000000582</v>
      </c>
      <c r="AX12" s="254">
        <f>'8'!$G$90</f>
        <v>11.209999999991851</v>
      </c>
      <c r="AY12" s="252">
        <f t="shared" si="1"/>
        <v>21.819999999992433</v>
      </c>
      <c r="AZ12" s="311">
        <f t="shared" si="6"/>
        <v>28.508977777769584</v>
      </c>
      <c r="BA12" s="311">
        <f t="shared" si="3"/>
        <v>28.452978918434628</v>
      </c>
      <c r="BB12" s="351">
        <f t="shared" si="4"/>
        <v>4950.739999999947</v>
      </c>
      <c r="BC12" s="351">
        <f t="shared" si="5"/>
        <v>20.835825192092084</v>
      </c>
    </row>
    <row r="13" spans="1:55">
      <c r="A13" s="359">
        <v>9</v>
      </c>
      <c r="B13" s="510">
        <f>'9'!G7</f>
        <v>23467.479999999981</v>
      </c>
      <c r="C13" s="510">
        <f>'9'!G8</f>
        <v>23775.840000000084</v>
      </c>
      <c r="D13" s="510">
        <f>'9'!G15</f>
        <v>1100.8300000000745</v>
      </c>
      <c r="E13" s="510">
        <f>'9'!G20</f>
        <v>336</v>
      </c>
      <c r="F13" s="510">
        <f>SUM('9'!G35,'9'!G49)</f>
        <v>3484.2799999999697</v>
      </c>
      <c r="G13" s="510">
        <f>SUM('9'!G37,'9'!G51)</f>
        <v>1153.4300000000221</v>
      </c>
      <c r="H13" s="510">
        <f>SUM('9'!G38,'9'!G52)</f>
        <v>2664.7999999999302</v>
      </c>
      <c r="I13" s="510">
        <f>SUM('9'!G39,'9'!G53)</f>
        <v>4238.1599999999162</v>
      </c>
      <c r="J13" s="510">
        <f>SUM('9'!G41,'9'!G42,'9'!G55,'9'!G56)</f>
        <v>3719.7200000000303</v>
      </c>
      <c r="K13" s="510">
        <f>SUM('9'!G43,'9'!G57)</f>
        <v>2540.5999999999767</v>
      </c>
      <c r="L13" s="254">
        <f>'9'!G50</f>
        <v>1680.2399999999907</v>
      </c>
      <c r="M13" s="254">
        <f>'9'!G36</f>
        <v>1217.3400000000256</v>
      </c>
      <c r="N13" s="254">
        <f>'9'!G138</f>
        <v>172</v>
      </c>
      <c r="O13" s="254">
        <f>'9'!$G$139</f>
        <v>189</v>
      </c>
      <c r="P13" s="254">
        <f>'9'!$G$140</f>
        <v>27.159999999999854</v>
      </c>
      <c r="Q13" s="254">
        <f>'9'!$G$141</f>
        <v>224.6200000000099</v>
      </c>
      <c r="R13" s="254">
        <f>'9'!$G$142</f>
        <v>111.59999999999854</v>
      </c>
      <c r="S13" s="254">
        <f>'9'!$G$145</f>
        <v>152.06999999999971</v>
      </c>
      <c r="T13" s="251">
        <f>'9'!$G$146</f>
        <v>36</v>
      </c>
      <c r="U13" s="251">
        <f>'9'!$G$144</f>
        <v>229</v>
      </c>
      <c r="V13" s="251">
        <f>'9'!$G$147</f>
        <v>499.92000000004191</v>
      </c>
      <c r="W13" s="251">
        <f>'9'!$G$148</f>
        <v>504</v>
      </c>
      <c r="X13" s="251">
        <f>'9'!$G$143</f>
        <v>29.350000000000364</v>
      </c>
      <c r="Y13" s="251">
        <f>'9'!$G$58</f>
        <v>238.47000000000116</v>
      </c>
      <c r="Z13" s="251">
        <f>'9'!$G$151</f>
        <v>281</v>
      </c>
      <c r="AA13" s="251">
        <f>'9'!G161</f>
        <v>127.52000000001863</v>
      </c>
      <c r="AB13" s="251">
        <f>'9'!G162</f>
        <v>45.399999999994179</v>
      </c>
      <c r="AC13" s="251"/>
      <c r="AD13" s="251">
        <f>'9'!G163+'9'!G164</f>
        <v>27</v>
      </c>
      <c r="AE13" s="254">
        <f>'9'!$G$116</f>
        <v>433.60999999998603</v>
      </c>
      <c r="AF13" s="254">
        <f>'9'!$G$117</f>
        <v>290.20999999999185</v>
      </c>
      <c r="AG13" s="254">
        <f>'9'!$G$118</f>
        <v>656.07000000000698</v>
      </c>
      <c r="AH13" s="254">
        <f>'9'!$G$119</f>
        <v>11.239999999997963</v>
      </c>
      <c r="AI13" s="254">
        <f>'9'!$G$120</f>
        <v>441.52000000000407</v>
      </c>
      <c r="AJ13" s="254">
        <f>'9'!$G$121</f>
        <v>434.91999999999825</v>
      </c>
      <c r="AK13" s="254">
        <f>'9'!$G$122</f>
        <v>325.67999999999302</v>
      </c>
      <c r="AL13" s="254">
        <f>'9'!$G$123</f>
        <v>322.00999999999476</v>
      </c>
      <c r="AM13" s="254">
        <f>'9'!$G$133</f>
        <v>715</v>
      </c>
      <c r="AN13" s="254">
        <f>'9'!$G$15</f>
        <v>1100.8300000000745</v>
      </c>
      <c r="AO13" s="256">
        <f>'9'!$G$74</f>
        <v>311.30000000004657</v>
      </c>
      <c r="AP13" s="256">
        <f>'9'!$G$75</f>
        <v>0</v>
      </c>
      <c r="AQ13" s="256">
        <f>'9'!$G$76</f>
        <v>169.07000000000698</v>
      </c>
      <c r="AR13" s="256">
        <f>'9'!$G$77</f>
        <v>57.099999999998545</v>
      </c>
      <c r="AS13" s="256">
        <f>'9'!$G$78</f>
        <v>0</v>
      </c>
      <c r="AT13" s="256">
        <f t="shared" si="0"/>
        <v>563.36000000002241</v>
      </c>
      <c r="AU13" s="254">
        <f>SUM('9'!G91:G92)</f>
        <v>9.5299999999997453</v>
      </c>
      <c r="AV13" s="254">
        <f>'9'!$G$88</f>
        <v>0</v>
      </c>
      <c r="AW13" s="254">
        <f>'9'!$G$89</f>
        <v>9.7299999999995634</v>
      </c>
      <c r="AX13" s="254">
        <f>'9'!$G$90</f>
        <v>10.170000000012806</v>
      </c>
      <c r="AY13" s="252">
        <f t="shared" si="1"/>
        <v>19.900000000012369</v>
      </c>
      <c r="AZ13" s="311">
        <f t="shared" si="6"/>
        <v>32.665267576081312</v>
      </c>
      <c r="BA13" s="311">
        <f t="shared" si="3"/>
        <v>28.309547738676997</v>
      </c>
      <c r="BB13" s="351">
        <f t="shared" si="4"/>
        <v>5736.3800000002375</v>
      </c>
      <c r="BC13" s="351">
        <f t="shared" si="5"/>
        <v>24.443953931143191</v>
      </c>
    </row>
    <row r="14" spans="1:55">
      <c r="A14" s="359">
        <v>10</v>
      </c>
      <c r="B14" s="510">
        <f>'10'!G7</f>
        <v>22564</v>
      </c>
      <c r="C14" s="510">
        <f>'10'!G8</f>
        <v>22630.79999999993</v>
      </c>
      <c r="D14" s="510">
        <f>'10'!G15</f>
        <v>1067.4500000001863</v>
      </c>
      <c r="E14" s="510">
        <f>'10'!G20</f>
        <v>325</v>
      </c>
      <c r="F14" s="510">
        <f>SUM('10'!G35,'10'!G49)</f>
        <v>3178.3999999999651</v>
      </c>
      <c r="G14" s="510">
        <f>SUM('10'!G37,'10'!G51)</f>
        <v>1099.9100000000035</v>
      </c>
      <c r="H14" s="510">
        <f>SUM('10'!G38,'10'!G52)</f>
        <v>2586</v>
      </c>
      <c r="I14" s="510">
        <f>SUM('10'!G39,'10'!G53)</f>
        <v>4085.2800000000279</v>
      </c>
      <c r="J14" s="510">
        <f>SUM('10'!G41,'10'!G42,'10'!G55,'10'!G56)</f>
        <v>3216.140000000014</v>
      </c>
      <c r="K14" s="510">
        <f>SUM('10'!G43,'10'!G57)</f>
        <v>2560.8000000000466</v>
      </c>
      <c r="L14" s="254">
        <f>'10'!G50</f>
        <v>1718.7600000000093</v>
      </c>
      <c r="M14" s="254">
        <f>'10'!G36</f>
        <v>1092.5800000000163</v>
      </c>
      <c r="N14" s="254">
        <f>'10'!G138</f>
        <v>120</v>
      </c>
      <c r="O14" s="254">
        <f>'10'!$G$139</f>
        <v>153</v>
      </c>
      <c r="P14" s="254">
        <f>'10'!$G$140</f>
        <v>27.190000000000055</v>
      </c>
      <c r="Q14" s="254">
        <f>'10'!$G$141</f>
        <v>219.67999999999302</v>
      </c>
      <c r="R14" s="254">
        <f>'10'!$G$142</f>
        <v>131.93000000000029</v>
      </c>
      <c r="S14" s="254">
        <f>'10'!$G$145</f>
        <v>113.93000000000029</v>
      </c>
      <c r="T14" s="251">
        <f>'10'!$G$146</f>
        <v>57</v>
      </c>
      <c r="U14" s="251">
        <f>'10'!$G$144</f>
        <v>220</v>
      </c>
      <c r="V14" s="257">
        <f>'10'!$G$147</f>
        <v>473.07999999995809</v>
      </c>
      <c r="W14" s="257">
        <f>'10'!$G$148</f>
        <v>398</v>
      </c>
      <c r="X14" s="251">
        <f>'10'!$G$143</f>
        <v>35.649999999999636</v>
      </c>
      <c r="Y14" s="251">
        <f>'10'!$G$58</f>
        <v>219.23999999999069</v>
      </c>
      <c r="Z14" s="251">
        <f>'10'!$G$151</f>
        <v>282</v>
      </c>
      <c r="AA14" s="251">
        <f>'10'!G161</f>
        <v>134.03999999997905</v>
      </c>
      <c r="AB14" s="251">
        <f>'10'!G162</f>
        <v>20</v>
      </c>
      <c r="AC14" s="251"/>
      <c r="AD14" s="251">
        <f>'10'!G163+'10'!G164</f>
        <v>5</v>
      </c>
      <c r="AE14" s="254">
        <f>'10'!$G$116</f>
        <v>406.82000000000698</v>
      </c>
      <c r="AF14" s="254">
        <f>'10'!$G$117</f>
        <v>256.60000000000582</v>
      </c>
      <c r="AG14" s="254">
        <f>'10'!$G$118</f>
        <v>639.11999999999534</v>
      </c>
      <c r="AH14" s="254">
        <f>'10'!$G$119</f>
        <v>11.430000000000291</v>
      </c>
      <c r="AI14" s="254">
        <f>'10'!$G$120</f>
        <v>422.88999999999942</v>
      </c>
      <c r="AJ14" s="254">
        <f>'10'!$G$121</f>
        <v>418.36999999999534</v>
      </c>
      <c r="AK14" s="254">
        <f>'10'!$G$122</f>
        <v>309.05000000000291</v>
      </c>
      <c r="AL14" s="254">
        <f>'10'!$G$123</f>
        <v>318.57000000000698</v>
      </c>
      <c r="AM14" s="254">
        <f>'10'!$G$133</f>
        <v>640</v>
      </c>
      <c r="AN14" s="254">
        <f>'10'!$G$15</f>
        <v>1067.4500000001863</v>
      </c>
      <c r="AO14" s="256">
        <f>'10'!$G$74</f>
        <v>272.73999999999069</v>
      </c>
      <c r="AP14" s="256">
        <f>'10'!$G$75</f>
        <v>0</v>
      </c>
      <c r="AQ14" s="256">
        <f>'10'!$G$76</f>
        <v>122.92999999999302</v>
      </c>
      <c r="AR14" s="256">
        <f>'10'!$G$77</f>
        <v>54</v>
      </c>
      <c r="AS14" s="256">
        <f>'10'!$G$78</f>
        <v>-0.3999999999996362</v>
      </c>
      <c r="AT14" s="256">
        <f t="shared" si="0"/>
        <v>618.1800000002022</v>
      </c>
      <c r="AU14" s="254">
        <f>SUM('10'!G91:G92)</f>
        <v>11.270000000000437</v>
      </c>
      <c r="AV14" s="254">
        <f>'10'!$G$88</f>
        <v>0</v>
      </c>
      <c r="AW14" s="254">
        <f>'10'!$G$89</f>
        <v>9.8799999999973807</v>
      </c>
      <c r="AX14" s="254">
        <f>'10'!$G$90</f>
        <v>10.039999999993597</v>
      </c>
      <c r="AY14" s="252">
        <f t="shared" si="1"/>
        <v>19.919999999990978</v>
      </c>
      <c r="AZ14" s="311">
        <f t="shared" si="6"/>
        <v>24.200532386866026</v>
      </c>
      <c r="BA14" s="311">
        <f t="shared" si="3"/>
        <v>31.033132530144687</v>
      </c>
      <c r="BB14" s="351">
        <f t="shared" si="4"/>
        <v>5685.0299999998824</v>
      </c>
      <c r="BC14" s="351">
        <f t="shared" si="5"/>
        <v>25.195133841516942</v>
      </c>
    </row>
    <row r="15" spans="1:55">
      <c r="A15" s="359">
        <v>11</v>
      </c>
      <c r="B15" s="510">
        <f>'11'!G7</f>
        <v>21733.960000000021</v>
      </c>
      <c r="C15" s="510">
        <f>'11'!G8</f>
        <v>21797.040000000037</v>
      </c>
      <c r="D15" s="510">
        <f>'11'!G15</f>
        <v>1121.5499999998137</v>
      </c>
      <c r="E15" s="510">
        <f>'11'!G20</f>
        <v>296</v>
      </c>
      <c r="F15" s="510">
        <f>SUM('11'!G35,'11'!G49)</f>
        <v>3185.9200000001001</v>
      </c>
      <c r="G15" s="510">
        <f>SUM('11'!G37,'11'!G51)</f>
        <v>1031.9199999999837</v>
      </c>
      <c r="H15" s="510">
        <f>SUM('11'!G38,'11'!G52)</f>
        <v>2507.7299999999814</v>
      </c>
      <c r="I15" s="510">
        <f>SUM('11'!G39,'11'!G53)</f>
        <v>3897.7600000000093</v>
      </c>
      <c r="J15" s="510">
        <f>SUM('11'!G41,'11'!G42,'11'!G55,'11'!G56)</f>
        <v>3042.6599999999744</v>
      </c>
      <c r="K15" s="510">
        <f>SUM('11'!G43,'11'!G57)</f>
        <v>2372.6399999998976</v>
      </c>
      <c r="L15" s="254">
        <f>'11'!G50</f>
        <v>1424.2000000000116</v>
      </c>
      <c r="M15" s="254">
        <f>'11'!G36</f>
        <v>1133.6399999999558</v>
      </c>
      <c r="N15" s="254">
        <f>'11'!G138</f>
        <v>112</v>
      </c>
      <c r="O15" s="254">
        <f>'11'!$G$139</f>
        <v>182</v>
      </c>
      <c r="P15" s="254">
        <f>'11'!$G$140</f>
        <v>22.519999999999982</v>
      </c>
      <c r="Q15" s="254">
        <f>'11'!$G$141</f>
        <v>235</v>
      </c>
      <c r="R15" s="254">
        <f>'11'!$G$142</f>
        <v>113</v>
      </c>
      <c r="S15" s="254">
        <f>'11'!$G$145</f>
        <v>113</v>
      </c>
      <c r="T15" s="251">
        <f>'11'!$G$146</f>
        <v>56</v>
      </c>
      <c r="U15" s="251">
        <f>'11'!$G$144</f>
        <v>226</v>
      </c>
      <c r="V15" s="251">
        <f>'11'!$G$147</f>
        <v>396</v>
      </c>
      <c r="W15" s="251">
        <f>'11'!$G$148</f>
        <v>446</v>
      </c>
      <c r="X15" s="251">
        <f>'11'!$G$143</f>
        <v>33.3799999999992</v>
      </c>
      <c r="Y15" s="251">
        <f>'11'!$G$58</f>
        <v>235.53000000001339</v>
      </c>
      <c r="Z15" s="251">
        <f>'11'!$G$151</f>
        <v>283</v>
      </c>
      <c r="AA15" s="251">
        <f>'11'!G161</f>
        <v>70</v>
      </c>
      <c r="AB15" s="251">
        <f>'11'!G162</f>
        <v>18.80000000000291</v>
      </c>
      <c r="AC15" s="251">
        <f>'11'!G88</f>
        <v>0</v>
      </c>
      <c r="AD15" s="251">
        <f>'11'!G163+'11'!G164</f>
        <v>5</v>
      </c>
      <c r="AE15" s="254">
        <f>'11'!$G$116</f>
        <v>376.61000000000058</v>
      </c>
      <c r="AF15" s="254">
        <f>'11'!$G$117</f>
        <v>251.61999999999534</v>
      </c>
      <c r="AG15" s="254">
        <f>'11'!$G$118</f>
        <v>602.45999999999185</v>
      </c>
      <c r="AH15" s="254">
        <f>'11'!$G$119</f>
        <v>10.790000000000873</v>
      </c>
      <c r="AI15" s="254">
        <f>'11'!$G$120</f>
        <v>397.33000000000175</v>
      </c>
      <c r="AJ15" s="254">
        <f>'11'!$G$121</f>
        <v>418.69999999999709</v>
      </c>
      <c r="AK15" s="254">
        <f>'11'!$G$122</f>
        <v>313.30999999999767</v>
      </c>
      <c r="AL15" s="254">
        <f>'11'!$G$123</f>
        <v>267.42999999999302</v>
      </c>
      <c r="AM15" s="254">
        <f>'11'!$G$133</f>
        <v>750</v>
      </c>
      <c r="AN15" s="254">
        <f>'11'!$G$15</f>
        <v>1121.5499999998137</v>
      </c>
      <c r="AO15" s="256">
        <f>'11'!$G$74</f>
        <v>265.35999999998603</v>
      </c>
      <c r="AP15" s="256">
        <f>'11'!$G$75</f>
        <v>0</v>
      </c>
      <c r="AQ15" s="256">
        <f>'11'!$G$76</f>
        <v>118.33999999999651</v>
      </c>
      <c r="AR15" s="256">
        <f>'11'!$G$77</f>
        <v>62.19999999999709</v>
      </c>
      <c r="AS15" s="256">
        <f>'11'!$G$78</f>
        <v>0</v>
      </c>
      <c r="AT15" s="256">
        <f t="shared" si="0"/>
        <v>675.64999999983411</v>
      </c>
      <c r="AU15" s="254">
        <f>SUM('11'!G91:G92)</f>
        <v>10.8799999999992</v>
      </c>
      <c r="AV15" s="254">
        <f>'11'!$G$88</f>
        <v>0</v>
      </c>
      <c r="AW15" s="254">
        <f>'11'!$G$89</f>
        <v>11.350000000002183</v>
      </c>
      <c r="AX15" s="254">
        <f>'11'!$G$90</f>
        <v>12.110000000000582</v>
      </c>
      <c r="AY15" s="252">
        <f t="shared" si="1"/>
        <v>23.460000000002765</v>
      </c>
      <c r="AZ15" s="311">
        <f t="shared" si="6"/>
        <v>24.38970588235345</v>
      </c>
      <c r="BA15" s="311">
        <f t="shared" si="3"/>
        <v>28.800085251481434</v>
      </c>
      <c r="BB15" s="351">
        <f t="shared" si="4"/>
        <v>5522.8800000000774</v>
      </c>
      <c r="BC15" s="351">
        <f t="shared" si="5"/>
        <v>25.41129182164719</v>
      </c>
    </row>
    <row r="16" spans="1:55">
      <c r="A16" s="359">
        <v>12</v>
      </c>
      <c r="B16" s="510">
        <f>'12'!G7</f>
        <v>22478.849999999977</v>
      </c>
      <c r="C16" s="510">
        <f>'12'!G8</f>
        <v>22425.609999999986</v>
      </c>
      <c r="D16" s="510">
        <f>'12'!G15</f>
        <v>1100</v>
      </c>
      <c r="E16" s="510">
        <f>'12'!G20</f>
        <v>411</v>
      </c>
      <c r="F16" s="510">
        <f>SUM('12'!G35,'12'!G49)</f>
        <v>3424.4999999999418</v>
      </c>
      <c r="G16" s="510">
        <f>SUM('12'!G37,'12'!G51)</f>
        <v>1048.6600000000035</v>
      </c>
      <c r="H16" s="510">
        <f>SUM('12'!G38,'12'!G52)</f>
        <v>2429.920000000051</v>
      </c>
      <c r="I16" s="510">
        <f>SUM('12'!G39,'12'!G53)</f>
        <v>4085.8200000000652</v>
      </c>
      <c r="J16" s="510">
        <f>SUM('12'!G41,'12'!G42,'12'!G55,'12'!G56)</f>
        <v>3707.4500000000116</v>
      </c>
      <c r="K16" s="510">
        <f>SUM('12'!G43,'12'!G57)</f>
        <v>2405.0500000000466</v>
      </c>
      <c r="L16" s="254">
        <f>'12'!G50</f>
        <v>1380.570000000007</v>
      </c>
      <c r="M16" s="254">
        <f>'12'!G36</f>
        <v>1112.1500000000233</v>
      </c>
      <c r="N16" s="254">
        <f>'12'!G138</f>
        <v>106</v>
      </c>
      <c r="O16" s="254">
        <f>'12'!$G$139</f>
        <v>169</v>
      </c>
      <c r="P16" s="254">
        <f>'12'!$G$140</f>
        <v>21.599999999999909</v>
      </c>
      <c r="Q16" s="254">
        <f>'12'!$G$141</f>
        <v>226</v>
      </c>
      <c r="R16" s="254">
        <f>'12'!$G$142</f>
        <v>92.934999999997672</v>
      </c>
      <c r="S16" s="254">
        <f>'12'!$G$145</f>
        <v>120</v>
      </c>
      <c r="T16" s="251">
        <f>'12'!$G$146</f>
        <v>57</v>
      </c>
      <c r="U16" s="251">
        <f>'12'!$G$144</f>
        <v>243</v>
      </c>
      <c r="V16" s="251">
        <f>'12'!$G$147</f>
        <v>391.95999999996275</v>
      </c>
      <c r="W16" s="251">
        <f>'12'!$G$148</f>
        <v>451.88000000000466</v>
      </c>
      <c r="X16" s="251">
        <f>'12'!$G$143</f>
        <v>26.6200000000008</v>
      </c>
      <c r="Y16" s="251">
        <f>'12'!$G$58</f>
        <v>195.17999999999302</v>
      </c>
      <c r="Z16" s="251">
        <f>'12'!$G$151</f>
        <v>250</v>
      </c>
      <c r="AA16" s="251">
        <f>'12'!G161</f>
        <v>227.40000000002328</v>
      </c>
      <c r="AB16" s="251">
        <f>'12'!G162</f>
        <v>41.19999999999709</v>
      </c>
      <c r="AC16" s="251">
        <f>'12'!G88</f>
        <v>0</v>
      </c>
      <c r="AD16" s="251">
        <f>'12'!G163+'12'!G164</f>
        <v>7.5</v>
      </c>
      <c r="AE16" s="254">
        <f>'12'!$G$116</f>
        <v>341.38999999999942</v>
      </c>
      <c r="AF16" s="254">
        <f>'12'!$G$117</f>
        <v>255.13000000000466</v>
      </c>
      <c r="AG16" s="254">
        <f>'12'!$G$118</f>
        <v>643.54000000000815</v>
      </c>
      <c r="AH16" s="254">
        <f>'12'!$G$119</f>
        <v>11.209999999999127</v>
      </c>
      <c r="AI16" s="254">
        <f>'12'!$G$120</f>
        <v>399.66999999999825</v>
      </c>
      <c r="AJ16" s="254">
        <f>'12'!$G$121</f>
        <v>433.30000000000291</v>
      </c>
      <c r="AK16" s="254">
        <f>'12'!$G$122</f>
        <v>359.69000000000233</v>
      </c>
      <c r="AL16" s="254">
        <f>'12'!$G$123</f>
        <v>309.13000000000466</v>
      </c>
      <c r="AM16" s="254">
        <f>'12'!$G$133</f>
        <v>720</v>
      </c>
      <c r="AN16" s="254">
        <f>'12'!$G$15</f>
        <v>1100</v>
      </c>
      <c r="AO16" s="256">
        <f>'12'!$G$74</f>
        <v>297.90000000002328</v>
      </c>
      <c r="AP16" s="256">
        <f>'12'!$G$75</f>
        <v>0.19999999999708962</v>
      </c>
      <c r="AQ16" s="256">
        <f>'12'!$G$76</f>
        <v>124.66000000000349</v>
      </c>
      <c r="AR16" s="256">
        <f>'12'!$G$77</f>
        <v>49.80000000000291</v>
      </c>
      <c r="AS16" s="256">
        <f>'12'!$G$78</f>
        <v>0</v>
      </c>
      <c r="AT16" s="256">
        <f t="shared" si="0"/>
        <v>627.43999999997322</v>
      </c>
      <c r="AU16" s="254">
        <f>SUM('12'!G91:G92)</f>
        <v>11.440000000000509</v>
      </c>
      <c r="AV16" s="254">
        <f>'12'!$G$88</f>
        <v>0</v>
      </c>
      <c r="AW16" s="254">
        <f>'12'!$G$89</f>
        <v>9.7900000000008731</v>
      </c>
      <c r="AX16" s="254">
        <f>'12'!$G$90</f>
        <v>10.690000000002328</v>
      </c>
      <c r="AY16" s="252">
        <f t="shared" si="1"/>
        <v>20.480000000003201</v>
      </c>
      <c r="AZ16" s="311">
        <f t="shared" si="6"/>
        <v>26.040209790210668</v>
      </c>
      <c r="BA16" s="311">
        <f t="shared" si="3"/>
        <v>30.636718749993904</v>
      </c>
      <c r="BB16" s="351">
        <f t="shared" si="4"/>
        <v>5129.0299999998751</v>
      </c>
      <c r="BC16" s="351">
        <f t="shared" si="5"/>
        <v>22.817136997666164</v>
      </c>
    </row>
    <row r="17" spans="1:55">
      <c r="A17" s="359">
        <v>13</v>
      </c>
      <c r="B17" s="510">
        <f>'13'!G7</f>
        <v>22793</v>
      </c>
      <c r="C17" s="510">
        <f>'13'!G8</f>
        <v>23047</v>
      </c>
      <c r="D17" s="510">
        <f>'13'!G15</f>
        <v>1014</v>
      </c>
      <c r="E17" s="510">
        <f>'13'!G20</f>
        <v>378</v>
      </c>
      <c r="F17" s="510">
        <f>SUM('13'!G35,'13'!G49)</f>
        <v>3155.3100000000559</v>
      </c>
      <c r="G17" s="510">
        <f>SUM('13'!G37,'13'!G51)</f>
        <v>989</v>
      </c>
      <c r="H17" s="510">
        <f>SUM('13'!G38,'13'!G52)</f>
        <v>2439</v>
      </c>
      <c r="I17" s="510">
        <f>SUM('13'!G39,'13'!G53)</f>
        <v>3939</v>
      </c>
      <c r="J17" s="510">
        <f>SUM('13'!G41,'13'!G42,'13'!G55,'13'!G56)</f>
        <v>3994.1899999999441</v>
      </c>
      <c r="K17" s="510">
        <f>SUM('13'!G43,'13'!G57)</f>
        <v>2292.1500000000233</v>
      </c>
      <c r="L17" s="254">
        <f>'13'!G50</f>
        <v>1259</v>
      </c>
      <c r="M17" s="254">
        <f>'13'!G36</f>
        <v>1045</v>
      </c>
      <c r="N17" s="254">
        <f>'13'!G138</f>
        <v>132</v>
      </c>
      <c r="O17" s="254">
        <f>'13'!$G$139</f>
        <v>179</v>
      </c>
      <c r="P17" s="254">
        <f>'13'!$G$140</f>
        <v>19.880000000000109</v>
      </c>
      <c r="Q17" s="254">
        <f>'13'!$G$141</f>
        <v>233</v>
      </c>
      <c r="R17" s="254">
        <f>'13'!$G$142</f>
        <v>93.065000000002328</v>
      </c>
      <c r="S17" s="254">
        <f>'13'!$G$145</f>
        <v>152</v>
      </c>
      <c r="T17" s="251">
        <f>'13'!$G$146</f>
        <v>52</v>
      </c>
      <c r="U17" s="251">
        <f>'13'!$G$144</f>
        <v>242</v>
      </c>
      <c r="V17" s="251">
        <f>'13'!$G$147</f>
        <v>393.92000000004191</v>
      </c>
      <c r="W17" s="251">
        <f>'13'!$G$148</f>
        <v>407.04000000003725</v>
      </c>
      <c r="X17" s="251">
        <f>'13'!$G$143</f>
        <v>31</v>
      </c>
      <c r="Y17" s="251">
        <f>'13'!$G$58</f>
        <v>205.66999999999825</v>
      </c>
      <c r="Z17" s="251">
        <f>'13'!$G$151</f>
        <v>242</v>
      </c>
      <c r="AA17" s="251">
        <f>'13'!G161</f>
        <v>189.44000000000233</v>
      </c>
      <c r="AB17" s="251">
        <f>'13'!G162</f>
        <v>16</v>
      </c>
      <c r="AC17" s="251">
        <f>'13'!G88</f>
        <v>0</v>
      </c>
      <c r="AD17" s="251">
        <f>'13'!G163+'13'!G164</f>
        <v>7.6999999999998181</v>
      </c>
      <c r="AE17" s="254">
        <f>'13'!$G$116</f>
        <v>314</v>
      </c>
      <c r="AF17" s="254">
        <f>'13'!$G$117</f>
        <v>225</v>
      </c>
      <c r="AG17" s="254">
        <f>'13'!$G$118</f>
        <v>631</v>
      </c>
      <c r="AH17" s="254">
        <f>'13'!$G$119</f>
        <v>13</v>
      </c>
      <c r="AI17" s="254">
        <f>'13'!$G$120</f>
        <v>404</v>
      </c>
      <c r="AJ17" s="254">
        <f>'13'!$G$121</f>
        <v>429</v>
      </c>
      <c r="AK17" s="254">
        <f>'13'!$G$122</f>
        <v>362</v>
      </c>
      <c r="AL17" s="254">
        <f>'13'!$G$123</f>
        <v>296</v>
      </c>
      <c r="AM17" s="254">
        <f>'13'!$G$133</f>
        <v>727</v>
      </c>
      <c r="AN17" s="254">
        <f>'13'!$G$15</f>
        <v>1014</v>
      </c>
      <c r="AO17" s="256">
        <f>'13'!$G$74</f>
        <v>298</v>
      </c>
      <c r="AP17" s="256">
        <f>'13'!$G$75</f>
        <v>-0.39999999999417923</v>
      </c>
      <c r="AQ17" s="256">
        <f>'13'!$G$76</f>
        <v>111</v>
      </c>
      <c r="AR17" s="256">
        <f>'13'!$G$77</f>
        <v>47</v>
      </c>
      <c r="AS17" s="256">
        <f>'13'!$G$78</f>
        <v>0</v>
      </c>
      <c r="AT17" s="256">
        <f t="shared" si="0"/>
        <v>558.39999999999418</v>
      </c>
      <c r="AU17" s="254">
        <f>SUM('13'!G91:G92)</f>
        <v>11.399999999999636</v>
      </c>
      <c r="AV17" s="254">
        <f>'13'!$G$88</f>
        <v>0</v>
      </c>
      <c r="AW17" s="254">
        <f>'13'!$G$89</f>
        <v>9.6699999999982538</v>
      </c>
      <c r="AX17" s="254">
        <f>'13'!$G$90</f>
        <v>11.19999999999709</v>
      </c>
      <c r="AY17" s="252">
        <f t="shared" si="1"/>
        <v>20.869999999995343</v>
      </c>
      <c r="AZ17" s="311">
        <f t="shared" si="6"/>
        <v>26.140350877193818</v>
      </c>
      <c r="BA17" s="311">
        <f t="shared" si="3"/>
        <v>26.756109247729697</v>
      </c>
      <c r="BB17" s="351">
        <f t="shared" si="4"/>
        <v>6032.6799999999785</v>
      </c>
      <c r="BC17" s="351">
        <f t="shared" si="5"/>
        <v>26.467248716711175</v>
      </c>
    </row>
    <row r="18" spans="1:55">
      <c r="A18" s="359">
        <v>14</v>
      </c>
      <c r="B18" s="510">
        <f>'14'!G7</f>
        <v>26003</v>
      </c>
      <c r="C18" s="510">
        <f>'14'!G8</f>
        <v>26337</v>
      </c>
      <c r="D18" s="510">
        <f>'14'!G15</f>
        <v>1060</v>
      </c>
      <c r="E18" s="510">
        <f>'14'!G20</f>
        <v>377</v>
      </c>
      <c r="F18" s="510">
        <f>SUM('14'!G35,'14'!G49)</f>
        <v>3419.6899999999441</v>
      </c>
      <c r="G18" s="510">
        <f>SUM('14'!G37,'14'!G51)</f>
        <v>1067</v>
      </c>
      <c r="H18" s="510">
        <f>SUM('14'!G38,'14'!G52)</f>
        <v>2633</v>
      </c>
      <c r="I18" s="510">
        <f>SUM('14'!G39,'14'!G53)</f>
        <v>3636</v>
      </c>
      <c r="J18" s="510">
        <f>SUM('14'!G41,'14'!G42,'14'!G55,'14'!G56)</f>
        <v>7314.8100000000559</v>
      </c>
      <c r="K18" s="510">
        <f>SUM('14'!G43,'14'!G57)</f>
        <v>2841.8499999999767</v>
      </c>
      <c r="L18" s="254">
        <f>'14'!G50</f>
        <v>1665</v>
      </c>
      <c r="M18" s="254">
        <f>'14'!G36</f>
        <v>1258</v>
      </c>
      <c r="N18" s="254">
        <f>'14'!G138</f>
        <v>146</v>
      </c>
      <c r="O18" s="254">
        <f>'14'!$G$139</f>
        <v>162</v>
      </c>
      <c r="P18" s="254">
        <f>'14'!$G$140</f>
        <v>22</v>
      </c>
      <c r="Q18" s="254">
        <f>'14'!$G$141</f>
        <v>239</v>
      </c>
      <c r="R18" s="254">
        <f>'14'!$G$142</f>
        <v>86</v>
      </c>
      <c r="S18" s="254">
        <f>'14'!$G$145</f>
        <v>201</v>
      </c>
      <c r="T18" s="251">
        <f>'14'!$G$146</f>
        <v>58</v>
      </c>
      <c r="U18" s="251">
        <f>'14'!$G$144</f>
        <v>234</v>
      </c>
      <c r="V18" s="251">
        <f>'14'!$G$147</f>
        <v>406.11999999999534</v>
      </c>
      <c r="W18" s="251">
        <f>'14'!$G$148</f>
        <v>450.07999999995809</v>
      </c>
      <c r="X18" s="251">
        <f>'14'!$G$143</f>
        <v>31</v>
      </c>
      <c r="Y18" s="251">
        <f>'14'!$G$58</f>
        <v>191.72000000000116</v>
      </c>
      <c r="Z18" s="251">
        <f>'14'!$G$151</f>
        <v>273</v>
      </c>
      <c r="AA18" s="251">
        <f>'14'!G161</f>
        <v>283.11999999999534</v>
      </c>
      <c r="AB18" s="251">
        <f>'14'!G162</f>
        <v>64</v>
      </c>
      <c r="AC18" s="251">
        <f>'14'!G88</f>
        <v>0</v>
      </c>
      <c r="AD18" s="251">
        <f>'14'!G163+'14'!G164</f>
        <v>7.4000000000005457</v>
      </c>
      <c r="AE18" s="254">
        <f>'14'!$G$116</f>
        <v>380</v>
      </c>
      <c r="AF18" s="254">
        <f>'14'!$G$117</f>
        <v>247</v>
      </c>
      <c r="AG18" s="254">
        <f>'14'!$G$118</f>
        <v>663</v>
      </c>
      <c r="AH18" s="254">
        <f>'14'!$G$119</f>
        <v>13</v>
      </c>
      <c r="AI18" s="254">
        <f>'14'!$G$120</f>
        <v>419</v>
      </c>
      <c r="AJ18" s="254">
        <f>'14'!$G$121</f>
        <v>462</v>
      </c>
      <c r="AK18" s="254">
        <f>'14'!$G$122</f>
        <v>380</v>
      </c>
      <c r="AL18" s="254">
        <f>'14'!$G$123</f>
        <v>299</v>
      </c>
      <c r="AM18" s="254">
        <f>'14'!$G$133</f>
        <v>830</v>
      </c>
      <c r="AN18" s="254">
        <f>'14'!$G$15</f>
        <v>1060</v>
      </c>
      <c r="AO18" s="256">
        <f>'14'!$G$74</f>
        <v>291</v>
      </c>
      <c r="AP18" s="256">
        <f>'14'!$G$75</f>
        <v>0.19999999999708962</v>
      </c>
      <c r="AQ18" s="256">
        <f>'14'!$G$76</f>
        <v>122</v>
      </c>
      <c r="AR18" s="256">
        <f>'14'!$G$77</f>
        <v>47</v>
      </c>
      <c r="AS18" s="256">
        <f>'14'!$G$78</f>
        <v>0</v>
      </c>
      <c r="AT18" s="256">
        <f t="shared" si="0"/>
        <v>599.80000000000291</v>
      </c>
      <c r="AU18" s="254">
        <f>SUM('14'!G91:G92)</f>
        <v>10.930000000000291</v>
      </c>
      <c r="AV18" s="254">
        <f>'14'!$G$88</f>
        <v>0</v>
      </c>
      <c r="AW18" s="254">
        <f>'14'!$G$89</f>
        <v>10</v>
      </c>
      <c r="AX18" s="254">
        <f>'14'!$G$90</f>
        <v>11</v>
      </c>
      <c r="AY18" s="252">
        <f t="shared" si="1"/>
        <v>21</v>
      </c>
      <c r="AZ18" s="311">
        <f t="shared" si="6"/>
        <v>26.623970722780626</v>
      </c>
      <c r="BA18" s="311">
        <f t="shared" si="3"/>
        <v>28.561904761904902</v>
      </c>
      <c r="BB18" s="351">
        <f t="shared" si="4"/>
        <v>5232.9300000000221</v>
      </c>
      <c r="BC18" s="351">
        <f t="shared" si="5"/>
        <v>20.124331807868408</v>
      </c>
    </row>
    <row r="19" spans="1:55">
      <c r="A19" s="359">
        <v>15</v>
      </c>
      <c r="B19" s="510">
        <f>'15'!G7</f>
        <v>24529</v>
      </c>
      <c r="C19" s="510">
        <f>'15'!G8</f>
        <v>24648</v>
      </c>
      <c r="D19" s="510">
        <f>'15'!G15</f>
        <v>1060</v>
      </c>
      <c r="E19" s="510">
        <f>'15'!G20</f>
        <v>382</v>
      </c>
      <c r="F19" s="510">
        <f>SUM('15'!G35,'15'!G49)</f>
        <v>3092</v>
      </c>
      <c r="G19" s="510">
        <f>SUM('15'!G37,'15'!G51)</f>
        <v>1075</v>
      </c>
      <c r="H19" s="510">
        <f>SUM('15'!G38,'15'!G52)</f>
        <v>591.76</v>
      </c>
      <c r="I19" s="510">
        <f>SUM('15'!G39,'15'!G53)</f>
        <v>4668</v>
      </c>
      <c r="J19" s="510">
        <f>SUM('15'!G41,'15'!G42,'15'!G55,'15'!G56)</f>
        <v>6679.4499999999534</v>
      </c>
      <c r="K19" s="510">
        <f>SUM('15'!G43,'15'!G57)</f>
        <v>4668</v>
      </c>
      <c r="L19" s="254">
        <f>'15'!G50</f>
        <v>1451</v>
      </c>
      <c r="M19" s="254">
        <f>'15'!G36</f>
        <v>1125</v>
      </c>
      <c r="N19" s="254">
        <f>'15'!G138</f>
        <v>107</v>
      </c>
      <c r="O19" s="254">
        <f>'15'!$G$139</f>
        <v>161</v>
      </c>
      <c r="P19" s="254">
        <f>'15'!$G$140</f>
        <v>21</v>
      </c>
      <c r="Q19" s="254">
        <f>'15'!$G$141</f>
        <v>228</v>
      </c>
      <c r="R19" s="254">
        <f>'15'!$G$142</f>
        <v>84</v>
      </c>
      <c r="S19" s="254">
        <f>'15'!$G$145</f>
        <v>188</v>
      </c>
      <c r="T19" s="251">
        <f>'15'!$G$146</f>
        <v>43</v>
      </c>
      <c r="U19" s="251">
        <f>'15'!$G$144</f>
        <v>244</v>
      </c>
      <c r="V19" s="251">
        <f>'15'!$G$147</f>
        <v>419</v>
      </c>
      <c r="W19" s="251">
        <f>'15'!$G$148</f>
        <v>411</v>
      </c>
      <c r="X19" s="251">
        <f>'15'!$G$143</f>
        <v>27</v>
      </c>
      <c r="Y19" s="251">
        <f>'15'!$G$58</f>
        <v>189.61000000000058</v>
      </c>
      <c r="Z19" s="251">
        <f>'15'!$G$151</f>
        <v>248</v>
      </c>
      <c r="AA19" s="251">
        <f>'15'!G161</f>
        <v>260.03999999997905</v>
      </c>
      <c r="AB19" s="251">
        <f>'15'!G162</f>
        <v>56</v>
      </c>
      <c r="AC19" s="251">
        <f>'15'!G88</f>
        <v>0</v>
      </c>
      <c r="AD19" s="251">
        <f>'15'!G163+'15'!G164</f>
        <v>10.399999999999636</v>
      </c>
      <c r="AE19" s="254">
        <f>'15'!$G$116</f>
        <v>372</v>
      </c>
      <c r="AF19" s="254">
        <f>'15'!$G$117</f>
        <v>265</v>
      </c>
      <c r="AG19" s="254">
        <f>'15'!$G$118</f>
        <v>640</v>
      </c>
      <c r="AH19" s="254">
        <f>'15'!$G$119</f>
        <v>12</v>
      </c>
      <c r="AI19" s="254">
        <f>'15'!$G$120</f>
        <v>394</v>
      </c>
      <c r="AJ19" s="254">
        <f>'15'!$G$121</f>
        <v>439</v>
      </c>
      <c r="AK19" s="254">
        <f>'15'!$G$122</f>
        <v>364</v>
      </c>
      <c r="AL19" s="254">
        <f>'15'!$G$123</f>
        <v>298</v>
      </c>
      <c r="AM19" s="254">
        <f>'15'!$G$133</f>
        <v>738</v>
      </c>
      <c r="AN19" s="254">
        <f>'15'!$G$15</f>
        <v>1060</v>
      </c>
      <c r="AO19" s="256">
        <f>'15'!$G$74</f>
        <v>113</v>
      </c>
      <c r="AP19" s="256">
        <f>'15'!$G$75</f>
        <v>0</v>
      </c>
      <c r="AQ19" s="256">
        <f>'15'!$G$76</f>
        <v>117</v>
      </c>
      <c r="AR19" s="256">
        <f>'15'!$G$77</f>
        <v>59</v>
      </c>
      <c r="AS19" s="256">
        <f>'15'!$G$78</f>
        <v>0</v>
      </c>
      <c r="AT19" s="256">
        <f t="shared" si="0"/>
        <v>771</v>
      </c>
      <c r="AU19" s="254">
        <f>SUM('15'!G91:G92)</f>
        <v>11.699999999999818</v>
      </c>
      <c r="AV19" s="254">
        <f>'15'!$G$88</f>
        <v>0</v>
      </c>
      <c r="AW19" s="254">
        <f>'15'!$G$89</f>
        <v>9</v>
      </c>
      <c r="AX19" s="254">
        <f>'15'!$G$90</f>
        <v>11</v>
      </c>
      <c r="AY19" s="252">
        <f t="shared" si="1"/>
        <v>20</v>
      </c>
      <c r="AZ19" s="311">
        <f t="shared" si="6"/>
        <v>9.6581196581198085</v>
      </c>
      <c r="BA19" s="311">
        <f t="shared" si="3"/>
        <v>38.549999999999997</v>
      </c>
      <c r="BB19" s="351">
        <f t="shared" si="4"/>
        <v>3684.1800000000439</v>
      </c>
      <c r="BC19" s="351">
        <f t="shared" si="5"/>
        <v>15.01969097802619</v>
      </c>
    </row>
    <row r="20" spans="1:55">
      <c r="A20" s="359">
        <v>16</v>
      </c>
      <c r="B20" s="510">
        <f>'16'!G7</f>
        <v>23674</v>
      </c>
      <c r="C20" s="510">
        <f>'16'!G8</f>
        <v>23854</v>
      </c>
      <c r="D20" s="510">
        <f>'16'!G15</f>
        <v>1026</v>
      </c>
      <c r="E20" s="510">
        <f>'16'!G20</f>
        <v>322</v>
      </c>
      <c r="F20" s="510">
        <f>SUM('16'!G35,'16'!G49)</f>
        <v>3286.1199999999953</v>
      </c>
      <c r="G20" s="510">
        <f>SUM('16'!G37,'16'!G51)</f>
        <v>1038.429999999993</v>
      </c>
      <c r="H20" s="510">
        <f>SUM('16'!G38,'16'!G52)</f>
        <v>0.58999999996740371</v>
      </c>
      <c r="I20" s="510">
        <f>SUM('16'!G39,'16'!G53)</f>
        <v>4071.4599999999627</v>
      </c>
      <c r="J20" s="510">
        <f>SUM('16'!G41,'16'!G42,'16'!G55,'16'!G56)</f>
        <v>6364.6599999999744</v>
      </c>
      <c r="K20" s="510">
        <f>SUM('16'!G43,'16'!G57)</f>
        <v>5085</v>
      </c>
      <c r="L20" s="254">
        <f>'16'!G50</f>
        <v>1329.2700000000186</v>
      </c>
      <c r="M20" s="254">
        <f>'16'!G36</f>
        <v>1024.789999999979</v>
      </c>
      <c r="N20" s="254">
        <f>'16'!G138</f>
        <v>150</v>
      </c>
      <c r="O20" s="254">
        <f>'16'!$G$139</f>
        <v>183</v>
      </c>
      <c r="P20" s="254">
        <f>'16'!$G$140</f>
        <v>24.199999999999818</v>
      </c>
      <c r="Q20" s="254">
        <f>'16'!$G$141</f>
        <v>246.69000000000233</v>
      </c>
      <c r="R20" s="254">
        <f>'16'!$G$142</f>
        <v>104.62999999999738</v>
      </c>
      <c r="S20" s="254">
        <f>'16'!$G$145</f>
        <v>176.29999999999927</v>
      </c>
      <c r="T20" s="251">
        <f>'16'!$G$146</f>
        <v>28</v>
      </c>
      <c r="U20" s="251">
        <f>'16'!$G$144</f>
        <v>240</v>
      </c>
      <c r="V20" s="251">
        <f>'16'!$G$147</f>
        <v>403.14000000001397</v>
      </c>
      <c r="W20" s="251">
        <f>'16'!$G$148</f>
        <v>360.52000000001863</v>
      </c>
      <c r="X20" s="251">
        <f>'16'!$G$143</f>
        <v>29.899999999999636</v>
      </c>
      <c r="Y20" s="251">
        <f>'16'!$G$58</f>
        <v>273.36999999999534</v>
      </c>
      <c r="Z20" s="251">
        <f>'16'!$G$151</f>
        <v>347</v>
      </c>
      <c r="AA20" s="251">
        <f>'16'!G161</f>
        <v>193.71999999997206</v>
      </c>
      <c r="AB20" s="251">
        <f>'16'!G162</f>
        <v>64</v>
      </c>
      <c r="AC20" s="251">
        <f>'16'!G88</f>
        <v>0</v>
      </c>
      <c r="AD20" s="251">
        <f>'16'!G163+'16'!G164</f>
        <v>2.1999999999998181</v>
      </c>
      <c r="AE20" s="254">
        <f>'16'!$G$116</f>
        <v>329.89999999999418</v>
      </c>
      <c r="AF20" s="254">
        <f>'16'!$G$117</f>
        <v>276.72999999999593</v>
      </c>
      <c r="AG20" s="254">
        <f>'16'!$G$118</f>
        <v>632.07999999998719</v>
      </c>
      <c r="AH20" s="254">
        <f>'16'!$G$119</f>
        <v>13.900000000001455</v>
      </c>
      <c r="AI20" s="254">
        <f>'16'!$G$120</f>
        <v>419.30000000000291</v>
      </c>
      <c r="AJ20" s="254">
        <f>'16'!$G$121</f>
        <v>451.69999999999709</v>
      </c>
      <c r="AK20" s="254">
        <f>'16'!$G$122</f>
        <v>348.60000000000582</v>
      </c>
      <c r="AL20" s="254">
        <f>'16'!$G$123</f>
        <v>305.47000000000116</v>
      </c>
      <c r="AM20" s="254">
        <f>'16'!$G$133</f>
        <v>697</v>
      </c>
      <c r="AN20" s="254">
        <f>'16'!$G$15</f>
        <v>1026</v>
      </c>
      <c r="AO20" s="256">
        <f>'16'!$G$74</f>
        <v>476</v>
      </c>
      <c r="AP20" s="256">
        <f>'16'!$G$75</f>
        <v>0</v>
      </c>
      <c r="AQ20" s="256">
        <f>'16'!$G$76</f>
        <v>104.98000000001048</v>
      </c>
      <c r="AR20" s="256">
        <f>'16'!$G$77</f>
        <v>47</v>
      </c>
      <c r="AS20" s="256">
        <f>'16'!$G$78</f>
        <v>0</v>
      </c>
      <c r="AT20" s="256">
        <f t="shared" si="0"/>
        <v>398.01999999998952</v>
      </c>
      <c r="AU20" s="254">
        <f>SUM('16'!G91:G92)</f>
        <v>11.180000000000291</v>
      </c>
      <c r="AV20" s="254">
        <f>'16'!$G$88</f>
        <v>0</v>
      </c>
      <c r="AW20" s="254">
        <f>'16'!$G$89</f>
        <v>10.919999999998254</v>
      </c>
      <c r="AX20" s="254">
        <f>'16'!$G$90</f>
        <v>10.470000000001164</v>
      </c>
      <c r="AY20" s="252">
        <f t="shared" si="1"/>
        <v>21.389999999999418</v>
      </c>
      <c r="AZ20" s="311">
        <f t="shared" si="6"/>
        <v>42.576028622539141</v>
      </c>
      <c r="BA20" s="311">
        <f t="shared" si="3"/>
        <v>18.607760635811143</v>
      </c>
      <c r="BB20" s="351">
        <f t="shared" si="4"/>
        <v>3734.3700000001118</v>
      </c>
      <c r="BC20" s="351">
        <f t="shared" si="5"/>
        <v>15.774140407198241</v>
      </c>
    </row>
    <row r="21" spans="1:55">
      <c r="A21" s="359">
        <v>17</v>
      </c>
      <c r="B21" s="510">
        <f>'17'!G7</f>
        <v>25766</v>
      </c>
      <c r="C21" s="510">
        <f>'17'!G8</f>
        <v>25992</v>
      </c>
      <c r="D21" s="510">
        <f>'17'!G15</f>
        <v>1093</v>
      </c>
      <c r="E21" s="510">
        <f>'17'!G20</f>
        <v>353</v>
      </c>
      <c r="F21" s="510">
        <f>SUM('17'!G35,'17'!G49)</f>
        <v>3112.3399999999674</v>
      </c>
      <c r="G21" s="510">
        <f>SUM('17'!G37,'17'!G51)</f>
        <v>1046.1900000000023</v>
      </c>
      <c r="H21" s="510">
        <f>SUM('17'!G38,'17'!G52)</f>
        <v>0</v>
      </c>
      <c r="I21" s="510">
        <f>SUM('17'!G39,'17'!G53)</f>
        <v>4177.5200000000186</v>
      </c>
      <c r="J21" s="510">
        <f>SUM('17'!G41,'17'!G42,'17'!G55,'17'!G56)</f>
        <v>5853.0000000001164</v>
      </c>
      <c r="K21" s="510">
        <f>SUM('17'!G43,'17'!G57)</f>
        <v>2554.5900000000256</v>
      </c>
      <c r="L21" s="254">
        <f>'17'!G50</f>
        <v>1633.6399999999558</v>
      </c>
      <c r="M21" s="254">
        <f>'17'!G36</f>
        <v>1147.0200000000186</v>
      </c>
      <c r="N21" s="254">
        <f>'18 '!G138</f>
        <v>158</v>
      </c>
      <c r="O21" s="254">
        <f>'17'!$G$139</f>
        <v>184</v>
      </c>
      <c r="P21" s="254">
        <f>'17'!$G$140</f>
        <v>22.200000000000273</v>
      </c>
      <c r="Q21" s="254">
        <f>'17'!$G$141</f>
        <v>237.00999999999476</v>
      </c>
      <c r="R21" s="254">
        <f>'17'!$G$142</f>
        <v>135.49000000000524</v>
      </c>
      <c r="S21" s="254">
        <f>'17'!$G$145</f>
        <v>184.70000000000073</v>
      </c>
      <c r="T21" s="251">
        <f>'17'!$G$146</f>
        <v>36</v>
      </c>
      <c r="U21" s="251">
        <f>'17'!$G$144</f>
        <v>254</v>
      </c>
      <c r="V21" s="251">
        <f>'17'!$G$147</f>
        <v>394.63000000000466</v>
      </c>
      <c r="W21" s="251">
        <f>'17'!$G$148</f>
        <v>447.80999999993946</v>
      </c>
      <c r="X21" s="251">
        <f>'17'!$G$143</f>
        <v>27.899999999999636</v>
      </c>
      <c r="Y21" s="251">
        <f>'17'!$G$58</f>
        <v>260.58000000000175</v>
      </c>
      <c r="Z21" s="251">
        <f>'17'!$G$151</f>
        <v>293</v>
      </c>
      <c r="AA21" s="251">
        <f>'17'!G161</f>
        <v>207.28000000002794</v>
      </c>
      <c r="AB21" s="251">
        <f>'17'!G162</f>
        <v>47.300000000000011</v>
      </c>
      <c r="AC21" s="251">
        <f>'17'!G88</f>
        <v>0</v>
      </c>
      <c r="AD21" s="251">
        <f>'17'!G163+'17'!G164</f>
        <v>3.6999999999998181</v>
      </c>
      <c r="AE21" s="254">
        <f>'17'!$G$116</f>
        <v>355.5</v>
      </c>
      <c r="AF21" s="254">
        <f>'17'!$G$117</f>
        <v>252.16999999999825</v>
      </c>
      <c r="AG21" s="254">
        <f>'17'!$G$118</f>
        <v>621.42000000001281</v>
      </c>
      <c r="AH21" s="254">
        <f>'17'!$G$119</f>
        <v>14.299999999995634</v>
      </c>
      <c r="AI21" s="254">
        <f>'17'!$G$120</f>
        <v>438.3799999999901</v>
      </c>
      <c r="AJ21" s="254">
        <f>'17'!$G$121</f>
        <v>472.5</v>
      </c>
      <c r="AK21" s="254">
        <f>'17'!$G$122</f>
        <v>337.5</v>
      </c>
      <c r="AL21" s="254">
        <f>'17'!$G$123</f>
        <v>318.92999999999302</v>
      </c>
      <c r="AM21" s="254">
        <f>'17'!$G$133</f>
        <v>818</v>
      </c>
      <c r="AN21" s="254">
        <f>'17'!$G$15</f>
        <v>1093</v>
      </c>
      <c r="AO21" s="256">
        <f>'17'!$G$74</f>
        <v>299.34999999997672</v>
      </c>
      <c r="AP21" s="256">
        <f>'17'!$G$75</f>
        <v>0</v>
      </c>
      <c r="AQ21" s="256">
        <f>'17'!$G$76</f>
        <v>126.01999999998952</v>
      </c>
      <c r="AR21" s="256">
        <f>'17'!$G$77</f>
        <v>48</v>
      </c>
      <c r="AS21" s="256">
        <f>'17'!$G$78</f>
        <v>0</v>
      </c>
      <c r="AT21" s="256">
        <f t="shared" si="0"/>
        <v>619.63000000003376</v>
      </c>
      <c r="AU21" s="254">
        <f>SUM('17'!G91:G92)</f>
        <v>11.119999999999891</v>
      </c>
      <c r="AV21" s="254">
        <f>'17'!$G$88</f>
        <v>0</v>
      </c>
      <c r="AW21" s="254">
        <f>'17'!$G$89</f>
        <v>10.220000000001164</v>
      </c>
      <c r="AX21" s="254">
        <f>'17'!$G$90</f>
        <v>11.959999999991851</v>
      </c>
      <c r="AY21" s="252">
        <f t="shared" si="1"/>
        <v>22.179999999993015</v>
      </c>
      <c r="AZ21" s="311">
        <f t="shared" si="6"/>
        <v>26.919964028775148</v>
      </c>
      <c r="BA21" s="311">
        <f t="shared" si="3"/>
        <v>27.936429215519787</v>
      </c>
      <c r="BB21" s="351">
        <f t="shared" si="4"/>
        <v>8987.7799999998679</v>
      </c>
      <c r="BC21" s="351">
        <f t="shared" si="5"/>
        <v>34.882325545291728</v>
      </c>
    </row>
    <row r="22" spans="1:55">
      <c r="A22" s="359">
        <v>18</v>
      </c>
      <c r="B22" s="510">
        <f>'18 '!G7</f>
        <v>24548</v>
      </c>
      <c r="C22" s="510">
        <f>'18 '!G8</f>
        <v>24731</v>
      </c>
      <c r="D22" s="510">
        <f>'18 '!G15</f>
        <v>1164</v>
      </c>
      <c r="E22" s="510">
        <f>'18 '!G20</f>
        <v>307</v>
      </c>
      <c r="F22" s="510">
        <f>SUM('18 '!G35,'18 '!G49)</f>
        <v>3141.4799999999814</v>
      </c>
      <c r="G22" s="510">
        <f>SUM('18 '!G37,'18 '!G51)</f>
        <v>1024.2900000000081</v>
      </c>
      <c r="H22" s="510">
        <f>SUM('18 '!G38,'18 '!G52)</f>
        <v>0</v>
      </c>
      <c r="I22" s="510">
        <f>SUM('18 '!G39,'18 '!G53)</f>
        <v>4065.2099999999627</v>
      </c>
      <c r="J22" s="510">
        <f>SUM('18 '!G41,'18 '!G42,'18 '!G55,'18 '!G56)</f>
        <v>4692.3299999999581</v>
      </c>
      <c r="K22" s="510">
        <f>SUM('18 '!G43,'18 '!G57)</f>
        <v>2839.4799999999814</v>
      </c>
      <c r="L22" s="254">
        <f>'18 '!G50</f>
        <v>1261.0900000000256</v>
      </c>
      <c r="M22" s="254">
        <f>'18 '!G36</f>
        <v>1445.0900000000256</v>
      </c>
      <c r="N22" s="254">
        <f>'18 '!G138</f>
        <v>158</v>
      </c>
      <c r="O22" s="254">
        <f>'18 '!$G$139</f>
        <v>166</v>
      </c>
      <c r="P22" s="254">
        <f>'18 '!$G$140</f>
        <v>21.099999999999909</v>
      </c>
      <c r="Q22" s="254">
        <f>'18 '!$G$141</f>
        <v>233.90000000000873</v>
      </c>
      <c r="R22" s="254">
        <f>'18 '!$G$142</f>
        <v>95.680000000000291</v>
      </c>
      <c r="S22" s="254">
        <f>'18 '!$G$145</f>
        <v>179.59999999999854</v>
      </c>
      <c r="T22" s="251">
        <f>'18 '!$G$146</f>
        <v>36</v>
      </c>
      <c r="U22" s="251">
        <f>'18 '!$G$144</f>
        <v>238</v>
      </c>
      <c r="V22" s="256">
        <f>'18 '!$G$147</f>
        <v>425.27000000001863</v>
      </c>
      <c r="W22" s="256">
        <f>'18 '!$G$148</f>
        <v>575.55000000004657</v>
      </c>
      <c r="X22" s="256">
        <f>'18 '!$G$143</f>
        <v>32.400000000001455</v>
      </c>
      <c r="Y22" s="256">
        <f>'18 '!$G$58</f>
        <v>241.65000000000873</v>
      </c>
      <c r="Z22" s="256">
        <f>'18 '!$G$151</f>
        <v>309</v>
      </c>
      <c r="AA22" s="256">
        <f>'18 '!G161</f>
        <v>72.159999999974389</v>
      </c>
      <c r="AB22" s="251">
        <f>'18 '!G162</f>
        <v>26</v>
      </c>
      <c r="AC22" s="251">
        <f>'18 '!G88</f>
        <v>0</v>
      </c>
      <c r="AD22" s="251">
        <f>'18 '!G163+'18 '!G164</f>
        <v>3.7000000000007276</v>
      </c>
      <c r="AE22" s="254">
        <f>'18 '!$G$116</f>
        <v>419.60000000000582</v>
      </c>
      <c r="AF22" s="254">
        <f>'18 '!$G$117</f>
        <v>259</v>
      </c>
      <c r="AG22" s="254">
        <f>'18 '!$G$118</f>
        <v>594.5</v>
      </c>
      <c r="AH22" s="254">
        <f>'18 '!$G$119</f>
        <v>12.80000000000291</v>
      </c>
      <c r="AI22" s="254">
        <f>'18 '!$G$120</f>
        <v>427.32000000000698</v>
      </c>
      <c r="AJ22" s="254">
        <f>'18 '!$G$121</f>
        <v>440.80000000000291</v>
      </c>
      <c r="AK22" s="254">
        <f>'18 '!$G$122</f>
        <v>300</v>
      </c>
      <c r="AL22" s="254">
        <f>'18 '!$G$123</f>
        <v>309.20000000001164</v>
      </c>
      <c r="AM22" s="254">
        <f>'18 '!$G$133</f>
        <v>831</v>
      </c>
      <c r="AN22" s="254">
        <f>'18 '!$G$15</f>
        <v>1164</v>
      </c>
      <c r="AO22" s="256">
        <f>'18 '!$G$74</f>
        <v>292.18000000005122</v>
      </c>
      <c r="AP22" s="256">
        <f>'18 '!$G$75</f>
        <v>0</v>
      </c>
      <c r="AQ22" s="256">
        <f>'18 '!$G$76</f>
        <v>148</v>
      </c>
      <c r="AR22" s="256">
        <f>'18 '!$G$77</f>
        <v>55</v>
      </c>
      <c r="AS22" s="256">
        <f>'18 '!$G$78</f>
        <v>0</v>
      </c>
      <c r="AT22" s="256">
        <f t="shared" si="0"/>
        <v>668.81999999994878</v>
      </c>
      <c r="AU22" s="254">
        <f>SUM('18 '!G91:G92)</f>
        <v>11.659999999999854</v>
      </c>
      <c r="AV22" s="254">
        <f>'18 '!$G$88</f>
        <v>0</v>
      </c>
      <c r="AW22" s="254">
        <f>'18 '!$G$89</f>
        <v>11.040000000000873</v>
      </c>
      <c r="AX22" s="254">
        <f>'18 '!$G$90</f>
        <v>11.570000000006985</v>
      </c>
      <c r="AY22" s="252">
        <f t="shared" si="1"/>
        <v>22.610000000007858</v>
      </c>
      <c r="AZ22" s="311">
        <f t="shared" si="6"/>
        <v>25.058319039455821</v>
      </c>
      <c r="BA22" s="311">
        <f t="shared" si="3"/>
        <v>29.580716497112618</v>
      </c>
      <c r="BB22" s="351">
        <f t="shared" si="4"/>
        <v>8726.5600000000995</v>
      </c>
      <c r="BC22" s="351">
        <f t="shared" si="5"/>
        <v>35.548965292488596</v>
      </c>
    </row>
    <row r="23" spans="1:55" s="313" customFormat="1">
      <c r="A23" s="359">
        <v>19</v>
      </c>
      <c r="B23" s="510">
        <f>'19'!G7</f>
        <v>22543.229999999981</v>
      </c>
      <c r="C23" s="510">
        <f>'19'!G8</f>
        <v>22617.699999999953</v>
      </c>
      <c r="D23" s="510">
        <f>'19'!G15</f>
        <v>1022</v>
      </c>
      <c r="E23" s="510">
        <f>'19'!G20</f>
        <v>388</v>
      </c>
      <c r="F23" s="510">
        <f>SUM('19'!G35,'19'!G49)</f>
        <v>3279.5700000000652</v>
      </c>
      <c r="G23" s="510">
        <f>SUM('19'!G37,'19'!G51)</f>
        <v>1033.4499999999825</v>
      </c>
      <c r="H23" s="510">
        <f>SUM('19'!G38,'19'!G52)</f>
        <v>0</v>
      </c>
      <c r="I23" s="510">
        <f>SUM('19'!G39,'19'!G53)</f>
        <v>4100.4300000000512</v>
      </c>
      <c r="J23" s="510">
        <f>SUM('19'!G41,'19'!G42,'19'!G55,'19'!G56)</f>
        <v>3758.0799999999581</v>
      </c>
      <c r="K23" s="510">
        <f>SUM('19'!G43,'19'!G57)</f>
        <v>2408.1199999999953</v>
      </c>
      <c r="L23" s="251">
        <f>'19'!G50</f>
        <v>1329.5900000000256</v>
      </c>
      <c r="M23" s="251">
        <f>'19'!G36</f>
        <v>956.59999999997672</v>
      </c>
      <c r="N23" s="251">
        <f>'19'!G138</f>
        <v>125</v>
      </c>
      <c r="O23" s="251">
        <f>'19'!$G$139</f>
        <v>143</v>
      </c>
      <c r="P23" s="251">
        <f>'19'!$G$140</f>
        <v>21.699999999999818</v>
      </c>
      <c r="Q23" s="251">
        <f>'19'!$G$141</f>
        <v>231.58999999999651</v>
      </c>
      <c r="R23" s="254">
        <f>'19'!G142</f>
        <v>110.09999999999854</v>
      </c>
      <c r="S23" s="251">
        <f>'19'!$G$145</f>
        <v>2</v>
      </c>
      <c r="T23" s="251">
        <f>'19'!$G$146</f>
        <v>52</v>
      </c>
      <c r="U23" s="251">
        <f>'19'!$G$144</f>
        <v>221</v>
      </c>
      <c r="V23" s="251">
        <f>'19'!$G$147</f>
        <v>363.59999999997672</v>
      </c>
      <c r="W23" s="251">
        <f>'19'!$G$148</f>
        <v>380.63000000000466</v>
      </c>
      <c r="X23" s="251">
        <f>'19'!$G$143</f>
        <v>30.599999999998545</v>
      </c>
      <c r="Y23" s="251">
        <f>'19'!$G$58</f>
        <v>256.39999999999418</v>
      </c>
      <c r="Z23" s="251">
        <f>'19'!$G$151</f>
        <v>245</v>
      </c>
      <c r="AA23" s="251">
        <f>'19'!G161</f>
        <v>196.40000000002328</v>
      </c>
      <c r="AB23" s="251">
        <f>'19'!G162</f>
        <v>34.699999999999989</v>
      </c>
      <c r="AC23" s="251">
        <f>'19'!G88</f>
        <v>0</v>
      </c>
      <c r="AD23" s="251">
        <f>'19'!G163+'19'!G164</f>
        <v>5.5</v>
      </c>
      <c r="AE23" s="251">
        <f>'19'!$G$116</f>
        <v>260.39999999999418</v>
      </c>
      <c r="AF23" s="251">
        <f>'19'!$G$117</f>
        <v>270.10000000000582</v>
      </c>
      <c r="AG23" s="251">
        <f>'19'!$G$118</f>
        <v>680.29999999998836</v>
      </c>
      <c r="AH23" s="251">
        <f>'19'!$G$119</f>
        <v>20</v>
      </c>
      <c r="AI23" s="251">
        <f>'19'!$G$120</f>
        <v>425.80000000000291</v>
      </c>
      <c r="AJ23" s="251">
        <f>'19'!$G$121</f>
        <v>440</v>
      </c>
      <c r="AK23" s="251">
        <f>'19'!$G$122</f>
        <v>361.5</v>
      </c>
      <c r="AL23" s="251">
        <f>'19'!$G$123</f>
        <v>324.39999999999418</v>
      </c>
      <c r="AM23" s="251">
        <f>'19'!$G$133</f>
        <v>713</v>
      </c>
      <c r="AN23" s="251">
        <f>'19'!$G$15</f>
        <v>1022</v>
      </c>
      <c r="AO23" s="256">
        <f>'19'!$G$74</f>
        <v>298.35999999998603</v>
      </c>
      <c r="AP23" s="256">
        <f>'19'!$G$75</f>
        <v>0</v>
      </c>
      <c r="AQ23" s="256">
        <f>'19'!$G$76</f>
        <v>91</v>
      </c>
      <c r="AR23" s="256">
        <f>'19'!$G$77</f>
        <v>56</v>
      </c>
      <c r="AS23" s="256">
        <f>'19'!$G$78</f>
        <v>0</v>
      </c>
      <c r="AT23" s="256">
        <f t="shared" si="0"/>
        <v>576.64000000001397</v>
      </c>
      <c r="AU23" s="251">
        <f>SUM('19'!G91:G92)</f>
        <v>11.480000000000473</v>
      </c>
      <c r="AV23" s="251">
        <f>'19'!$G$88</f>
        <v>0</v>
      </c>
      <c r="AW23" s="251">
        <f>'19'!$G$89</f>
        <v>10.31000000000131</v>
      </c>
      <c r="AX23" s="251">
        <f>'19'!$G$90</f>
        <v>10.779999999998836</v>
      </c>
      <c r="AY23" s="255">
        <f t="shared" si="1"/>
        <v>21.090000000000146</v>
      </c>
      <c r="AZ23" s="311">
        <f t="shared" si="6"/>
        <v>25.989547038325238</v>
      </c>
      <c r="BA23" s="311">
        <f t="shared" si="3"/>
        <v>27.341868183973922</v>
      </c>
      <c r="BB23" s="351">
        <f t="shared" si="4"/>
        <v>7781.6499999999069</v>
      </c>
      <c r="BC23" s="351">
        <f t="shared" si="5"/>
        <v>34.518789011157288</v>
      </c>
    </row>
    <row r="24" spans="1:55">
      <c r="A24" s="359">
        <v>20</v>
      </c>
      <c r="B24" s="510">
        <f>'20'!G7</f>
        <v>22916.770000000019</v>
      </c>
      <c r="C24" s="510">
        <f>'20'!G8</f>
        <v>23058.300000000047</v>
      </c>
      <c r="D24" s="510">
        <f>'20'!G15</f>
        <v>1116</v>
      </c>
      <c r="E24" s="510">
        <f>'20'!G20</f>
        <v>289</v>
      </c>
      <c r="F24" s="510">
        <f>SUM('20'!G35,'20'!G49)</f>
        <v>3272.0799999999581</v>
      </c>
      <c r="G24" s="510">
        <f>SUM('20'!G37,'20'!G51)</f>
        <v>1016.640000000014</v>
      </c>
      <c r="H24" s="510">
        <f>SUM('20'!G38,'20'!G52)</f>
        <v>0</v>
      </c>
      <c r="I24" s="510">
        <f>SUM('20'!G39,'20'!G53)</f>
        <v>4036.3800000000047</v>
      </c>
      <c r="J24" s="510">
        <f>SUM('20'!G41,'20'!G42,'20'!G55,'20'!G56)</f>
        <v>3723.7200000000303</v>
      </c>
      <c r="K24" s="510">
        <f>SUM('20'!G43,'20'!G57)</f>
        <v>2528.8099999999977</v>
      </c>
      <c r="L24" s="254">
        <f>'20'!G50</f>
        <v>1771.4099999999744</v>
      </c>
      <c r="M24" s="254">
        <f>'20'!G36</f>
        <v>796.5</v>
      </c>
      <c r="N24" s="254">
        <f>'20'!G138</f>
        <v>115</v>
      </c>
      <c r="O24" s="254">
        <f>'20'!$G$139</f>
        <v>160</v>
      </c>
      <c r="P24" s="254">
        <f>'20'!$G$140</f>
        <v>20.800000000000182</v>
      </c>
      <c r="Q24" s="254">
        <f>'20'!$G$141</f>
        <v>216.80999999999767</v>
      </c>
      <c r="R24" s="254">
        <f>'20'!$G$142</f>
        <v>90.099999999998545</v>
      </c>
      <c r="S24" s="254">
        <f>'20'!$G$145</f>
        <v>130.40000000000146</v>
      </c>
      <c r="T24" s="251">
        <f>'20'!$G$146</f>
        <v>29</v>
      </c>
      <c r="U24" s="251">
        <f>'20'!$G$144</f>
        <v>216</v>
      </c>
      <c r="V24" s="251">
        <f>'20'!$G$147</f>
        <v>357.35999999998603</v>
      </c>
      <c r="W24" s="251">
        <f>'20'!$G$148</f>
        <v>334.48999999999069</v>
      </c>
      <c r="X24" s="251">
        <f>'20'!$G$143</f>
        <v>29.200000000000728</v>
      </c>
      <c r="Y24" s="251">
        <f>'20'!$G$58</f>
        <v>274</v>
      </c>
      <c r="Z24" s="251">
        <f>'20'!$G$151</f>
        <v>299</v>
      </c>
      <c r="AA24" s="251">
        <f>'20'!G161</f>
        <v>178.44000000000233</v>
      </c>
      <c r="AB24" s="251">
        <f>'20'!G162</f>
        <v>42.800000000000011</v>
      </c>
      <c r="AC24" s="251">
        <f>'20'!G88</f>
        <v>1.2000000000007276</v>
      </c>
      <c r="AD24" s="251">
        <f>'20'!G163+'20'!G164</f>
        <v>3.8999999999996362</v>
      </c>
      <c r="AE24" s="254">
        <f>'20'!$G$116</f>
        <v>294.60000000000582</v>
      </c>
      <c r="AF24" s="254">
        <f>'20'!$G$117</f>
        <v>292</v>
      </c>
      <c r="AG24" s="254">
        <f>'20'!$G$118</f>
        <v>624.70000000001164</v>
      </c>
      <c r="AH24" s="254">
        <f>'20'!$G$119</f>
        <v>23</v>
      </c>
      <c r="AI24" s="254">
        <f>'20'!$G$120</f>
        <v>404.19999999999709</v>
      </c>
      <c r="AJ24" s="254">
        <f>'20'!$G$121</f>
        <v>442</v>
      </c>
      <c r="AK24" s="254">
        <f>'20'!$G$122</f>
        <v>324.39999999999418</v>
      </c>
      <c r="AL24" s="254">
        <f>'20'!$G$123</f>
        <v>317</v>
      </c>
      <c r="AM24" s="254">
        <f>'20'!$G$133</f>
        <v>718</v>
      </c>
      <c r="AN24" s="254">
        <f>'20'!$G$15</f>
        <v>1116</v>
      </c>
      <c r="AO24" s="256">
        <f>'20'!$G$74</f>
        <v>286.10999999998603</v>
      </c>
      <c r="AP24" s="256">
        <f>'20'!$G$75</f>
        <v>0</v>
      </c>
      <c r="AQ24" s="256">
        <f>'20'!$G$76</f>
        <v>94</v>
      </c>
      <c r="AR24" s="256">
        <f>'20'!$G$77</f>
        <v>40</v>
      </c>
      <c r="AS24" s="256">
        <f>'20'!$G$78</f>
        <v>0</v>
      </c>
      <c r="AT24" s="256">
        <f t="shared" si="0"/>
        <v>695.89000000001397</v>
      </c>
      <c r="AU24" s="254">
        <f>SUM('20'!G91:G92)</f>
        <v>10.859999999999673</v>
      </c>
      <c r="AV24" s="254">
        <f>'20'!$G$88</f>
        <v>1.2000000000007276</v>
      </c>
      <c r="AW24" s="254">
        <f>'20'!$G$89</f>
        <v>10.509999999998399</v>
      </c>
      <c r="AX24" s="254">
        <f>'20'!$G$90</f>
        <v>12.220000000001164</v>
      </c>
      <c r="AY24" s="252">
        <f t="shared" si="1"/>
        <v>23.930000000000291</v>
      </c>
      <c r="AZ24" s="311">
        <f t="shared" si="6"/>
        <v>26.345303867402823</v>
      </c>
      <c r="BA24" s="311">
        <f t="shared" si="3"/>
        <v>29.080234015879878</v>
      </c>
      <c r="BB24" s="351">
        <f t="shared" si="4"/>
        <v>8206.6700000000419</v>
      </c>
      <c r="BC24" s="351">
        <f t="shared" si="5"/>
        <v>35.810762162381671</v>
      </c>
    </row>
    <row r="25" spans="1:55">
      <c r="A25" s="359">
        <v>21</v>
      </c>
      <c r="B25" s="510">
        <f>'21'!G7</f>
        <v>21875</v>
      </c>
      <c r="C25" s="510">
        <f>'21'!G8</f>
        <v>22002</v>
      </c>
      <c r="D25" s="510">
        <f>'21'!G15</f>
        <v>1103</v>
      </c>
      <c r="E25" s="510">
        <f>'21'!G20</f>
        <v>360</v>
      </c>
      <c r="F25" s="510">
        <f>SUM('21'!G35,'21'!G49)</f>
        <v>3207.4100000000326</v>
      </c>
      <c r="G25" s="510">
        <f>SUM('21'!G37,'21'!G51)</f>
        <v>1355.3099999999977</v>
      </c>
      <c r="H25" s="510">
        <f>SUM('21'!G38,'21'!G52)</f>
        <v>1247.4100000000326</v>
      </c>
      <c r="I25" s="510">
        <f>SUM('21'!G39,'21'!G53)</f>
        <v>3398</v>
      </c>
      <c r="J25" s="510">
        <f>SUM('21'!G41,'21'!G42,'21'!G55,'21'!G56)</f>
        <v>3921</v>
      </c>
      <c r="K25" s="510">
        <f>SUM('21'!G43,'21'!G57)</f>
        <v>2438</v>
      </c>
      <c r="L25" s="254">
        <f>'21'!G50</f>
        <v>1174</v>
      </c>
      <c r="M25" s="254">
        <f>'21'!G36</f>
        <v>863</v>
      </c>
      <c r="N25" s="254">
        <f>'21'!G138</f>
        <v>125</v>
      </c>
      <c r="O25" s="254">
        <f>'21'!$G$139</f>
        <v>157</v>
      </c>
      <c r="P25" s="254">
        <f>'21'!$G$140</f>
        <v>28</v>
      </c>
      <c r="Q25" s="254">
        <f>'21'!$G$141</f>
        <v>238</v>
      </c>
      <c r="R25" s="254">
        <f>'21'!$G$142</f>
        <v>113</v>
      </c>
      <c r="S25" s="254">
        <f>'21'!$G$145</f>
        <v>112</v>
      </c>
      <c r="T25" s="251">
        <f>'21'!$G$146</f>
        <v>28</v>
      </c>
      <c r="U25" s="251">
        <f>'21'!$G$144</f>
        <v>229</v>
      </c>
      <c r="V25" s="251">
        <f>'21'!$G$147</f>
        <v>363</v>
      </c>
      <c r="W25" s="251">
        <f>'21'!$G$148</f>
        <v>337</v>
      </c>
      <c r="X25" s="251">
        <f>'21'!$G$143</f>
        <v>32</v>
      </c>
      <c r="Y25" s="251">
        <f>'21'!$G$58</f>
        <v>255</v>
      </c>
      <c r="Z25" s="251">
        <f>'21'!$G$151</f>
        <v>278</v>
      </c>
      <c r="AA25" s="251">
        <f>'21'!G161</f>
        <v>168</v>
      </c>
      <c r="AB25" s="251">
        <f>'21'!G162</f>
        <v>46</v>
      </c>
      <c r="AC25" s="251">
        <f>'21'!G88</f>
        <v>9.5900000000001455</v>
      </c>
      <c r="AD25" s="251">
        <f>'21'!G163+'21'!G164</f>
        <v>5</v>
      </c>
      <c r="AE25" s="254">
        <f>'21'!$G$116</f>
        <v>233</v>
      </c>
      <c r="AF25" s="254">
        <f>'21'!$G$117</f>
        <v>293</v>
      </c>
      <c r="AG25" s="254">
        <f>'21'!$G$118</f>
        <v>650</v>
      </c>
      <c r="AH25" s="254">
        <f>'21'!$G$119</f>
        <v>21</v>
      </c>
      <c r="AI25" s="254">
        <f>'21'!$G$120</f>
        <v>412</v>
      </c>
      <c r="AJ25" s="254">
        <f>'21'!$G$121</f>
        <v>430</v>
      </c>
      <c r="AK25" s="254">
        <f>'21'!$G$122</f>
        <v>309</v>
      </c>
      <c r="AL25" s="254">
        <f>'21'!$G$123</f>
        <v>318</v>
      </c>
      <c r="AM25" s="254">
        <f>'21'!$G$133</f>
        <v>788</v>
      </c>
      <c r="AN25" s="254">
        <f>'21'!$G$15</f>
        <v>1103</v>
      </c>
      <c r="AO25" s="256">
        <f>'21'!$G$74</f>
        <v>290</v>
      </c>
      <c r="AP25" s="256">
        <f>'21'!$G$75</f>
        <v>0</v>
      </c>
      <c r="AQ25" s="256">
        <f>'21'!$G$76</f>
        <v>115</v>
      </c>
      <c r="AR25" s="256">
        <f>'21'!$G$77</f>
        <v>60</v>
      </c>
      <c r="AS25" s="256">
        <f>'21'!$G$78</f>
        <v>0</v>
      </c>
      <c r="AT25" s="256">
        <f t="shared" si="0"/>
        <v>638</v>
      </c>
      <c r="AU25" s="254">
        <f>SUM('21'!G91:G92)</f>
        <v>11</v>
      </c>
      <c r="AV25" s="254">
        <f>'21'!$G$88</f>
        <v>9.5900000000001455</v>
      </c>
      <c r="AW25" s="254">
        <f>'21'!$G$89</f>
        <v>2.5</v>
      </c>
      <c r="AX25" s="254">
        <f>'21'!$G$90</f>
        <v>8</v>
      </c>
      <c r="AY25" s="252">
        <f t="shared" si="1"/>
        <v>20.090000000000146</v>
      </c>
      <c r="AZ25" s="311">
        <f t="shared" si="6"/>
        <v>26.363636363636363</v>
      </c>
      <c r="BA25" s="311">
        <f t="shared" si="3"/>
        <v>31.757093081134663</v>
      </c>
      <c r="BB25" s="351">
        <f t="shared" si="4"/>
        <v>6179.8699999999371</v>
      </c>
      <c r="BC25" s="351">
        <f t="shared" si="5"/>
        <v>28.250834285713999</v>
      </c>
    </row>
    <row r="26" spans="1:55">
      <c r="A26" s="359">
        <v>22</v>
      </c>
      <c r="B26" s="510">
        <f>'22'!G7</f>
        <v>22447</v>
      </c>
      <c r="C26" s="510">
        <f>'22'!G8</f>
        <v>22635</v>
      </c>
      <c r="D26" s="510">
        <f>'22'!G15</f>
        <v>1107</v>
      </c>
      <c r="E26" s="510">
        <f>'22'!G20</f>
        <v>279</v>
      </c>
      <c r="F26" s="510">
        <f>SUM('22'!G35,'22'!G49)</f>
        <v>3070</v>
      </c>
      <c r="G26" s="510">
        <f>SUM('22'!G37,'22'!G51)</f>
        <v>1505</v>
      </c>
      <c r="H26" s="510">
        <f>SUM('22'!G38,'22'!G52)</f>
        <v>2573</v>
      </c>
      <c r="I26" s="510">
        <f>SUM('22'!G39,'22'!G53)</f>
        <v>2823</v>
      </c>
      <c r="J26" s="510">
        <f>SUM('22'!G41,'22'!G42,'22'!G55,'22'!G56)</f>
        <v>3700</v>
      </c>
      <c r="K26" s="510">
        <f>SUM('22'!G43,'22'!G57)</f>
        <v>2564</v>
      </c>
      <c r="L26" s="254">
        <f>'22'!G50</f>
        <v>1260</v>
      </c>
      <c r="M26" s="254">
        <f>'22'!G36</f>
        <v>1016</v>
      </c>
      <c r="N26" s="254">
        <f>'22'!G138</f>
        <v>112</v>
      </c>
      <c r="O26" s="254">
        <f>'22'!$G$139</f>
        <v>160</v>
      </c>
      <c r="P26" s="254">
        <f>'22'!$G$140</f>
        <v>39</v>
      </c>
      <c r="Q26" s="254">
        <f>'22'!$G$141</f>
        <v>222</v>
      </c>
      <c r="R26" s="254">
        <f>'22'!$G$142</f>
        <v>123</v>
      </c>
      <c r="S26" s="254">
        <f>'22'!$G$145</f>
        <v>222</v>
      </c>
      <c r="T26" s="251">
        <f>'22'!$G$146</f>
        <v>30</v>
      </c>
      <c r="U26" s="251">
        <f>'22'!$G$144</f>
        <v>232</v>
      </c>
      <c r="V26" s="251">
        <f>'22'!$G$147</f>
        <v>384</v>
      </c>
      <c r="W26" s="251">
        <f>'22'!$G$148</f>
        <v>370</v>
      </c>
      <c r="X26" s="251">
        <f>'22'!$G$143</f>
        <v>29</v>
      </c>
      <c r="Y26" s="251">
        <f>'22'!$G$58</f>
        <v>272</v>
      </c>
      <c r="Z26" s="251">
        <f>'22'!$G$151</f>
        <v>282</v>
      </c>
      <c r="AA26" s="251">
        <f>'22'!G161</f>
        <v>186</v>
      </c>
      <c r="AB26" s="251">
        <f>'22'!G162</f>
        <v>42</v>
      </c>
      <c r="AC26" s="251">
        <f>'22'!G88</f>
        <v>10.889999999999418</v>
      </c>
      <c r="AD26" s="251">
        <f>'22'!G163+'22'!G164</f>
        <v>12</v>
      </c>
      <c r="AE26" s="254">
        <f>'22'!$G$116</f>
        <v>365</v>
      </c>
      <c r="AF26" s="254">
        <f>'22'!$G$117</f>
        <v>341</v>
      </c>
      <c r="AG26" s="254">
        <f>'22'!$G$118</f>
        <v>672</v>
      </c>
      <c r="AH26" s="254">
        <f>'22'!$G$119</f>
        <v>24</v>
      </c>
      <c r="AI26" s="254">
        <f>'22'!$G$120</f>
        <v>405</v>
      </c>
      <c r="AJ26" s="254">
        <f>'22'!$G$121</f>
        <v>454</v>
      </c>
      <c r="AK26" s="254">
        <f>'22'!$G$122</f>
        <v>314</v>
      </c>
      <c r="AL26" s="254">
        <f>'22'!$G$123</f>
        <v>313</v>
      </c>
      <c r="AM26" s="254">
        <f>'22'!$G$133</f>
        <v>773</v>
      </c>
      <c r="AN26" s="254">
        <f>'22'!$G$15</f>
        <v>1107</v>
      </c>
      <c r="AO26" s="256">
        <f>'22'!$G$74</f>
        <v>295</v>
      </c>
      <c r="AP26" s="256">
        <f>'22'!$G$75</f>
        <v>0</v>
      </c>
      <c r="AQ26" s="256">
        <f>'22'!$G$76</f>
        <v>99</v>
      </c>
      <c r="AR26" s="256">
        <f>'22'!$G$77</f>
        <v>53</v>
      </c>
      <c r="AS26" s="256">
        <f>'22'!$G$78</f>
        <v>0</v>
      </c>
      <c r="AT26" s="256">
        <f t="shared" si="0"/>
        <v>660</v>
      </c>
      <c r="AU26" s="254">
        <f>SUM('22'!G91:G92)</f>
        <v>11.569999999999709</v>
      </c>
      <c r="AV26" s="254">
        <f>'22'!$G$88</f>
        <v>10.889999999999418</v>
      </c>
      <c r="AW26" s="254">
        <f>'22'!$G$89</f>
        <v>0.5</v>
      </c>
      <c r="AX26" s="254">
        <f>'22'!$G$90</f>
        <v>10</v>
      </c>
      <c r="AY26" s="252">
        <f t="shared" si="1"/>
        <v>21.389999999999418</v>
      </c>
      <c r="AZ26" s="311">
        <f t="shared" si="6"/>
        <v>25.496974935177825</v>
      </c>
      <c r="BA26" s="311">
        <f t="shared" si="3"/>
        <v>30.85553997195035</v>
      </c>
      <c r="BB26" s="351">
        <f t="shared" si="4"/>
        <v>6128</v>
      </c>
      <c r="BC26" s="351">
        <f t="shared" si="5"/>
        <v>27.299861896912727</v>
      </c>
    </row>
    <row r="27" spans="1:55">
      <c r="A27" s="359">
        <v>23</v>
      </c>
      <c r="B27" s="510">
        <f>'23'!G7</f>
        <v>20579</v>
      </c>
      <c r="C27" s="510">
        <f>'23'!G8</f>
        <v>20700</v>
      </c>
      <c r="D27" s="510">
        <f>'23'!G15</f>
        <v>1104</v>
      </c>
      <c r="E27" s="510">
        <f>'23'!G20</f>
        <v>258</v>
      </c>
      <c r="F27" s="510">
        <f>SUM('23'!G35,'23'!G49)</f>
        <v>3019</v>
      </c>
      <c r="G27" s="510">
        <f>SUM('23'!G37,'23'!G51)</f>
        <v>1455</v>
      </c>
      <c r="H27" s="510">
        <f>SUM('23'!G38,'23'!G52)</f>
        <v>2361</v>
      </c>
      <c r="I27" s="510">
        <f>SUM('23'!G39,'23'!G53)</f>
        <v>2721</v>
      </c>
      <c r="J27" s="510">
        <f>SUM('23'!G41,'23'!G42,'23'!G55,'23'!G56)</f>
        <v>3018.6300000000047</v>
      </c>
      <c r="K27" s="510">
        <f>SUM('23'!G43,'23'!G57)</f>
        <v>2563</v>
      </c>
      <c r="L27" s="254">
        <f>'23'!G50</f>
        <v>1163</v>
      </c>
      <c r="M27" s="254">
        <f>'23'!G36</f>
        <v>794</v>
      </c>
      <c r="N27" s="254">
        <f>'23'!G138</f>
        <v>139</v>
      </c>
      <c r="O27" s="254">
        <f>'23'!G139</f>
        <v>157</v>
      </c>
      <c r="P27" s="254">
        <f>'23'!$G$140</f>
        <v>27</v>
      </c>
      <c r="Q27" s="254">
        <f>'23'!$G$141</f>
        <v>217</v>
      </c>
      <c r="R27" s="254">
        <f>'23'!$G$142</f>
        <v>90</v>
      </c>
      <c r="S27" s="254">
        <f>'23'!$G$145</f>
        <v>197</v>
      </c>
      <c r="T27" s="251">
        <f>'23'!$G$146</f>
        <v>26</v>
      </c>
      <c r="U27" s="251">
        <f>'23'!$G$144</f>
        <v>230</v>
      </c>
      <c r="V27" s="251">
        <f>'23'!$G$147</f>
        <v>350</v>
      </c>
      <c r="W27" s="251">
        <f>'23'!$G$148</f>
        <v>251</v>
      </c>
      <c r="X27" s="251">
        <f>'23'!$G$143</f>
        <v>34</v>
      </c>
      <c r="Y27" s="251">
        <f>'23'!$G$58</f>
        <v>260</v>
      </c>
      <c r="Z27" s="251">
        <f>'23'!$G$151</f>
        <v>286</v>
      </c>
      <c r="AA27" s="251">
        <f>'23'!$G$161</f>
        <v>133</v>
      </c>
      <c r="AB27" s="251">
        <f>'23'!G162</f>
        <v>39</v>
      </c>
      <c r="AC27" s="251">
        <f>'23'!G88</f>
        <v>7.5200000000004366</v>
      </c>
      <c r="AD27" s="251">
        <f>'23'!G163+'23'!G164</f>
        <v>2</v>
      </c>
      <c r="AE27" s="254">
        <f>'23'!$G$116</f>
        <v>319</v>
      </c>
      <c r="AF27" s="254">
        <f>'23'!$G$117</f>
        <v>297</v>
      </c>
      <c r="AG27" s="254">
        <f>'23'!$G$118</f>
        <v>614</v>
      </c>
      <c r="AH27" s="254">
        <f>'23'!$G$119</f>
        <v>19</v>
      </c>
      <c r="AI27" s="254">
        <f>'23'!$G$120</f>
        <v>412</v>
      </c>
      <c r="AJ27" s="254">
        <f>'23'!$G$121</f>
        <v>470</v>
      </c>
      <c r="AK27" s="254">
        <f>'23'!$G$122</f>
        <v>305</v>
      </c>
      <c r="AL27" s="254">
        <f>'23'!$G$123</f>
        <v>333</v>
      </c>
      <c r="AM27" s="254">
        <f>'23'!$G$133</f>
        <v>732</v>
      </c>
      <c r="AN27" s="254">
        <f>'23'!$G$15</f>
        <v>1104</v>
      </c>
      <c r="AO27" s="256">
        <f>'23'!$G$74</f>
        <v>297</v>
      </c>
      <c r="AP27" s="256">
        <f>'23'!$G$75</f>
        <v>0</v>
      </c>
      <c r="AQ27" s="256">
        <f>'23'!$G$76</f>
        <v>98</v>
      </c>
      <c r="AR27" s="256">
        <f>'23'!$G$77</f>
        <v>46</v>
      </c>
      <c r="AS27" s="256">
        <f>'23'!$G$78</f>
        <v>0</v>
      </c>
      <c r="AT27" s="256">
        <f t="shared" si="0"/>
        <v>663</v>
      </c>
      <c r="AU27" s="254">
        <f>SUM('23'!G91:G92)</f>
        <v>11.430000000000291</v>
      </c>
      <c r="AV27" s="254">
        <f>'23'!$G$88</f>
        <v>7.5200000000004366</v>
      </c>
      <c r="AW27" s="254">
        <f>'23'!$G$89</f>
        <v>4</v>
      </c>
      <c r="AX27" s="254">
        <f>'23'!$G$90</f>
        <v>11</v>
      </c>
      <c r="AY27" s="252">
        <f t="shared" si="1"/>
        <v>22.520000000000437</v>
      </c>
      <c r="AZ27" s="311">
        <f t="shared" si="6"/>
        <v>25.984251968503276</v>
      </c>
      <c r="BA27" s="311">
        <f t="shared" si="3"/>
        <v>29.440497335701028</v>
      </c>
      <c r="BB27" s="351">
        <f t="shared" si="4"/>
        <v>5302.3699999999953</v>
      </c>
      <c r="BC27" s="351">
        <f t="shared" si="5"/>
        <v>25.765926429855657</v>
      </c>
    </row>
    <row r="28" spans="1:55" s="315" customFormat="1">
      <c r="A28" s="359">
        <v>24</v>
      </c>
      <c r="B28" s="510">
        <f>'24'!G7</f>
        <v>20533.35400000005</v>
      </c>
      <c r="C28" s="510">
        <f>'24'!G8</f>
        <v>20649</v>
      </c>
      <c r="D28" s="510">
        <f>'24'!G15</f>
        <v>1128</v>
      </c>
      <c r="E28" s="510">
        <f>'24'!G20</f>
        <v>277</v>
      </c>
      <c r="F28" s="510">
        <f>SUM('24'!G35,'24'!G49)</f>
        <v>2944.2999999999884</v>
      </c>
      <c r="G28" s="510">
        <f>SUM('24'!G37,'24'!G51)</f>
        <v>1476.9500000000116</v>
      </c>
      <c r="H28" s="510">
        <f>SUM('24'!G38,'24'!G52)</f>
        <v>2452.3499999999767</v>
      </c>
      <c r="I28" s="510">
        <f>SUM('24'!G39,'24'!G53)</f>
        <v>2731.0200000000186</v>
      </c>
      <c r="J28" s="510">
        <f>SUM('24'!G41,'24'!G42,'24'!G55,'24'!G56)</f>
        <v>2892.3900000000722</v>
      </c>
      <c r="K28" s="510">
        <f>SUM('24'!G43,'24'!G57)</f>
        <v>2087.0300000000279</v>
      </c>
      <c r="L28" s="254">
        <f>'24'!G50</f>
        <v>1346.9099999999744</v>
      </c>
      <c r="M28" s="251">
        <f>'24'!G36</f>
        <v>731.63000000000466</v>
      </c>
      <c r="N28" s="251">
        <f>'24'!G138</f>
        <v>127</v>
      </c>
      <c r="O28" s="251">
        <f>'24'!G139</f>
        <v>155</v>
      </c>
      <c r="P28" s="251">
        <f>'24'!$G$140</f>
        <v>21.710000000000036</v>
      </c>
      <c r="Q28" s="251">
        <f>'24'!$G$141</f>
        <v>224</v>
      </c>
      <c r="R28" s="251">
        <f>'24'!$G$142</f>
        <v>82</v>
      </c>
      <c r="S28" s="251">
        <f>'24'!$G$145</f>
        <v>183.83000000000175</v>
      </c>
      <c r="T28" s="251">
        <f>'24'!$G$146</f>
        <v>59</v>
      </c>
      <c r="U28" s="251">
        <f>'24'!$G$144</f>
        <v>218</v>
      </c>
      <c r="V28" s="251">
        <f>'24'!$G$147</f>
        <v>377.14000000001397</v>
      </c>
      <c r="W28" s="251">
        <f>'24'!$G$148</f>
        <v>234</v>
      </c>
      <c r="X28" s="251">
        <f>'24'!$G$143</f>
        <v>32</v>
      </c>
      <c r="Y28" s="251">
        <f>'24'!$G$58</f>
        <v>254.72999999999593</v>
      </c>
      <c r="Z28" s="251">
        <f>'24'!$G$151</f>
        <v>295</v>
      </c>
      <c r="AA28" s="251">
        <f>'24'!G161</f>
        <v>81</v>
      </c>
      <c r="AB28" s="251">
        <f>'24'!G162</f>
        <v>22</v>
      </c>
      <c r="AC28" s="251">
        <f>'24'!G88</f>
        <v>9</v>
      </c>
      <c r="AD28" s="251">
        <f>'24'!G163+'24'!G164</f>
        <v>6</v>
      </c>
      <c r="AE28" s="251">
        <f>'24'!$G$116</f>
        <v>441.61999999999534</v>
      </c>
      <c r="AF28" s="251">
        <f>'24'!$G$117</f>
        <v>334</v>
      </c>
      <c r="AG28" s="251">
        <f>'24'!$G$118</f>
        <v>592</v>
      </c>
      <c r="AH28" s="251">
        <f>'24'!$G$119</f>
        <v>23</v>
      </c>
      <c r="AI28" s="251">
        <f>'24'!$G$120</f>
        <v>409</v>
      </c>
      <c r="AJ28" s="251">
        <f>'24'!$G$121</f>
        <v>421</v>
      </c>
      <c r="AK28" s="251">
        <f>'24'!$G$122</f>
        <v>300</v>
      </c>
      <c r="AL28" s="251">
        <f>'24'!$G$123</f>
        <v>334</v>
      </c>
      <c r="AM28" s="251">
        <f>'24'!$G$133</f>
        <v>642</v>
      </c>
      <c r="AN28" s="251">
        <f>'24'!$G$15</f>
        <v>1128</v>
      </c>
      <c r="AO28" s="256">
        <f>'24'!$G$74</f>
        <v>296</v>
      </c>
      <c r="AP28" s="256">
        <f>'24'!$G$75</f>
        <v>0</v>
      </c>
      <c r="AQ28" s="256">
        <f>'24'!$G$76</f>
        <v>93</v>
      </c>
      <c r="AR28" s="256">
        <f>'24'!$G$77</f>
        <v>59</v>
      </c>
      <c r="AS28" s="256">
        <f>'24'!$G$78</f>
        <v>0</v>
      </c>
      <c r="AT28" s="256">
        <f>AN28-SUM(AO28:AS28)</f>
        <v>680</v>
      </c>
      <c r="AU28" s="251">
        <f>SUM('24'!G91:G92)</f>
        <v>11.239999999999782</v>
      </c>
      <c r="AV28" s="251">
        <f>'24'!$G$88</f>
        <v>9</v>
      </c>
      <c r="AW28" s="251">
        <f>'24'!$G$89</f>
        <v>1.6699999999982538</v>
      </c>
      <c r="AX28" s="251">
        <f>'24'!$G$90</f>
        <v>14.149999999994179</v>
      </c>
      <c r="AY28" s="255">
        <f t="shared" si="1"/>
        <v>24.819999999992433</v>
      </c>
      <c r="AZ28" s="311">
        <f t="shared" si="6"/>
        <v>26.33451957295425</v>
      </c>
      <c r="BA28" s="311">
        <f t="shared" si="3"/>
        <v>27.397260273980955</v>
      </c>
      <c r="BB28" s="351">
        <f t="shared" si="4"/>
        <v>5810.2299999999086</v>
      </c>
      <c r="BC28" s="351">
        <f t="shared" si="5"/>
        <v>28.296546195034157</v>
      </c>
    </row>
    <row r="29" spans="1:55">
      <c r="A29" s="359">
        <v>25</v>
      </c>
      <c r="B29" s="510">
        <f>'25'!G7</f>
        <v>21367.675999999978</v>
      </c>
      <c r="C29" s="510">
        <f>'25'!G8</f>
        <v>21475</v>
      </c>
      <c r="D29" s="510">
        <f>'25'!G15</f>
        <v>1127.7999999998137</v>
      </c>
      <c r="E29" s="510">
        <f>'25'!G20</f>
        <v>279</v>
      </c>
      <c r="F29" s="510">
        <f>SUM('25'!G35,'25'!G49)</f>
        <v>2945.6900000000023</v>
      </c>
      <c r="G29" s="510">
        <f>SUM('25'!G37,'25'!G51)</f>
        <v>1461.0499999999884</v>
      </c>
      <c r="H29" s="510">
        <f>SUM('25'!G38,'25'!G52)</f>
        <v>2575.6500000000233</v>
      </c>
      <c r="I29" s="510">
        <f>SUM('25'!G39,'25'!G53)</f>
        <v>2669.9799999999814</v>
      </c>
      <c r="J29" s="510">
        <f>SUM('25'!G41,'25'!G42,'25'!G55,'25'!G56)</f>
        <v>4330.0099999999511</v>
      </c>
      <c r="K29" s="510">
        <f>SUM('25'!G43,'25'!G57)</f>
        <v>2749.8699999999953</v>
      </c>
      <c r="L29" s="254">
        <f>'25'!G50</f>
        <v>1417.390000000014</v>
      </c>
      <c r="M29" s="254">
        <f>'25'!G36</f>
        <v>771.36999999999534</v>
      </c>
      <c r="N29" s="254">
        <f>'25'!G138</f>
        <v>160</v>
      </c>
      <c r="O29" s="254">
        <f>'25'!$G$139</f>
        <v>144</v>
      </c>
      <c r="P29" s="254">
        <f>'25'!$G$140</f>
        <v>20.289999999999964</v>
      </c>
      <c r="Q29" s="254">
        <f>'25'!$G$141</f>
        <v>219</v>
      </c>
      <c r="R29" s="254">
        <f>'25'!$G$142</f>
        <v>100</v>
      </c>
      <c r="S29" s="254">
        <f>'25'!$G$145</f>
        <v>134.16999999999825</v>
      </c>
      <c r="T29" s="251">
        <f>'25'!$G$146</f>
        <v>21</v>
      </c>
      <c r="U29" s="251">
        <f>'25'!$G$144</f>
        <v>218</v>
      </c>
      <c r="V29" s="251">
        <f>'25'!$G$147</f>
        <v>378.85999999998603</v>
      </c>
      <c r="W29" s="251">
        <f>'25'!$G$148</f>
        <v>368</v>
      </c>
      <c r="X29" s="251">
        <f>'25'!$G$143</f>
        <v>32</v>
      </c>
      <c r="Y29" s="251">
        <f>'25'!$G$58</f>
        <v>270.8700000000099</v>
      </c>
      <c r="Z29" s="251">
        <f>'25'!$G$151</f>
        <v>253</v>
      </c>
      <c r="AA29" s="251">
        <f>'25'!G161</f>
        <v>67</v>
      </c>
      <c r="AB29" s="251">
        <f>'25'!G162</f>
        <v>20</v>
      </c>
      <c r="AC29" s="251">
        <f>'25'!G88</f>
        <v>10</v>
      </c>
      <c r="AD29" s="251">
        <f>'25'!G163+'25'!G164</f>
        <v>4</v>
      </c>
      <c r="AE29" s="254">
        <f>'25'!$G$116</f>
        <v>486.38000000000466</v>
      </c>
      <c r="AF29" s="254">
        <f>'25'!$G$117</f>
        <v>298.80000000000291</v>
      </c>
      <c r="AG29" s="254">
        <f>'25'!$G$118</f>
        <v>550</v>
      </c>
      <c r="AH29" s="254">
        <f>'25'!$G$119</f>
        <v>28</v>
      </c>
      <c r="AI29" s="254">
        <f>'25'!$G$120</f>
        <v>398</v>
      </c>
      <c r="AJ29" s="254">
        <f>'25'!$G$121</f>
        <v>418</v>
      </c>
      <c r="AK29" s="254">
        <f>'25'!$G$122</f>
        <v>298</v>
      </c>
      <c r="AL29" s="254">
        <f>'25'!$G$123</f>
        <v>318</v>
      </c>
      <c r="AM29" s="254">
        <f>'25'!$G$133</f>
        <v>550</v>
      </c>
      <c r="AN29" s="254">
        <f>'25'!$G$15</f>
        <v>1127.7999999998137</v>
      </c>
      <c r="AO29" s="256">
        <f>'25'!$G$74</f>
        <v>299</v>
      </c>
      <c r="AP29" s="256">
        <f>'25'!$G$75</f>
        <v>0</v>
      </c>
      <c r="AQ29" s="256">
        <f>'25'!$G$76</f>
        <v>90</v>
      </c>
      <c r="AR29" s="256">
        <f>'25'!$G$77</f>
        <v>49</v>
      </c>
      <c r="AS29" s="256">
        <f>'25'!$G$78</f>
        <v>0</v>
      </c>
      <c r="AT29" s="256">
        <f t="shared" si="0"/>
        <v>689.79999999981374</v>
      </c>
      <c r="AU29" s="254">
        <f>SUM('25'!G91:G92)</f>
        <v>11.360000000000582</v>
      </c>
      <c r="AV29" s="254">
        <f>'25'!$G$88</f>
        <v>10</v>
      </c>
      <c r="AW29" s="254">
        <f>'25'!$G$89</f>
        <v>1.3300000000017462</v>
      </c>
      <c r="AX29" s="254">
        <f>'25'!$G$90</f>
        <v>10.850000000005821</v>
      </c>
      <c r="AY29" s="252">
        <f t="shared" si="1"/>
        <v>22.180000000007567</v>
      </c>
      <c r="BA29" s="311">
        <f t="shared" si="3"/>
        <v>31.100090171306512</v>
      </c>
      <c r="BB29" s="351">
        <f t="shared" si="4"/>
        <v>4471.8800000000483</v>
      </c>
      <c r="BC29" s="351">
        <f t="shared" si="5"/>
        <v>20.928246946462746</v>
      </c>
    </row>
    <row r="30" spans="1:55">
      <c r="A30" s="359">
        <v>26</v>
      </c>
      <c r="B30" s="510">
        <f>'26'!G7</f>
        <v>20195.679999999935</v>
      </c>
      <c r="C30" s="510">
        <f>'26'!G8</f>
        <v>20198</v>
      </c>
      <c r="D30" s="510">
        <f>'26'!G15</f>
        <v>1135.9900000002235</v>
      </c>
      <c r="E30" s="510">
        <f>'26'!G20</f>
        <v>291</v>
      </c>
      <c r="F30" s="510">
        <f>SUM('26'!G35,'26'!G49)</f>
        <v>2882.9900000000489</v>
      </c>
      <c r="G30" s="510">
        <f>SUM('26'!G37,'26'!G51)</f>
        <v>1374</v>
      </c>
      <c r="H30" s="510">
        <f>SUM('26'!G38,'26'!G52)</f>
        <v>2378.030000000037</v>
      </c>
      <c r="I30" s="510">
        <f>SUM('26'!G39,'26'!G53)</f>
        <v>2707.8200000000652</v>
      </c>
      <c r="J30" s="510">
        <f>SUM('26'!G41,'26'!G42,'26'!G55,'26'!G56)</f>
        <v>3943.2799999999697</v>
      </c>
      <c r="K30" s="510">
        <f>SUM('26'!G43,'26'!G57)</f>
        <v>2584.5300000000279</v>
      </c>
      <c r="L30" s="254">
        <f>'26'!G50</f>
        <v>1151.6900000000023</v>
      </c>
      <c r="M30" s="254">
        <f>'26'!G36</f>
        <v>666.6699999999837</v>
      </c>
      <c r="N30" s="254">
        <f>'26'!G138</f>
        <v>223</v>
      </c>
      <c r="O30" s="254">
        <f>'26'!$G$139</f>
        <v>324</v>
      </c>
      <c r="P30" s="254">
        <f>'26'!$G$140</f>
        <v>21.590000000000146</v>
      </c>
      <c r="Q30" s="254">
        <f>'26'!$G$141</f>
        <v>209.32000000000698</v>
      </c>
      <c r="R30" s="254">
        <f>'26'!$G$142</f>
        <v>126</v>
      </c>
      <c r="S30" s="254">
        <f>'26'!$G$145</f>
        <v>108</v>
      </c>
      <c r="T30" s="251">
        <f>'26'!$G$146</f>
        <v>27</v>
      </c>
      <c r="U30" s="251">
        <f>'26'!$G$144</f>
        <v>207</v>
      </c>
      <c r="V30" s="251">
        <f>'26'!$G$147</f>
        <v>745</v>
      </c>
      <c r="W30" s="251">
        <f>'26'!$G$148</f>
        <v>592.64000000001397</v>
      </c>
      <c r="X30" s="251">
        <f>'26'!$G$143</f>
        <v>34.590000000000146</v>
      </c>
      <c r="Y30" s="251">
        <f>'26'!$G$58</f>
        <v>260.58299999999872</v>
      </c>
      <c r="Z30" s="251">
        <f>'26'!$G$151</f>
        <v>264</v>
      </c>
      <c r="AA30" s="251">
        <f>'26'!G161</f>
        <v>151</v>
      </c>
      <c r="AB30" s="251">
        <f>'26'!G162</f>
        <v>35.700000000000045</v>
      </c>
      <c r="AC30" s="251">
        <f>'26'!G88</f>
        <v>10.709999999999127</v>
      </c>
      <c r="AD30" s="251">
        <f>'26'!G163+'26'!G164</f>
        <v>9.3000000000001819</v>
      </c>
      <c r="AE30" s="254">
        <f>'26'!$G$116</f>
        <v>453</v>
      </c>
      <c r="AF30" s="254">
        <f>'26'!$G$117</f>
        <v>308.19999999999709</v>
      </c>
      <c r="AG30" s="254">
        <f>'26'!$G$118</f>
        <v>552</v>
      </c>
      <c r="AH30" s="254">
        <f>'26'!$G$119</f>
        <v>33.660000000003492</v>
      </c>
      <c r="AI30" s="254">
        <f>'26'!$G$120</f>
        <v>398</v>
      </c>
      <c r="AJ30" s="254">
        <f>'26'!$G$121</f>
        <v>440</v>
      </c>
      <c r="AK30" s="254">
        <f>'26'!$G$122</f>
        <v>287.22999999999593</v>
      </c>
      <c r="AL30" s="254">
        <f>'26'!$G$123</f>
        <v>317.02999999999884</v>
      </c>
      <c r="AM30" s="254">
        <f>'26'!$G$133</f>
        <v>1335</v>
      </c>
      <c r="AN30" s="254">
        <f>'26'!$G$15</f>
        <v>1135.9900000002235</v>
      </c>
      <c r="AO30" s="256">
        <f>'26'!$G$74</f>
        <v>221</v>
      </c>
      <c r="AP30" s="256">
        <f>'26'!$G$75</f>
        <v>0</v>
      </c>
      <c r="AQ30" s="256">
        <f>'26'!$G$76</f>
        <v>105.70000000001164</v>
      </c>
      <c r="AR30" s="256">
        <f>'26'!$G$77</f>
        <v>46</v>
      </c>
      <c r="AS30" s="256">
        <f>'26'!$G$78</f>
        <v>0</v>
      </c>
      <c r="AT30" s="256">
        <f t="shared" si="0"/>
        <v>763.29000000021188</v>
      </c>
      <c r="AU30" s="254">
        <f>SUM('26'!G91:G92)</f>
        <v>10.399999999999636</v>
      </c>
      <c r="AV30" s="254">
        <f>'26'!$G$88</f>
        <v>10.709999999999127</v>
      </c>
      <c r="AW30" s="254">
        <f>'26'!$G$89</f>
        <v>5</v>
      </c>
      <c r="AX30" s="254">
        <f>'26'!$G$90</f>
        <v>6</v>
      </c>
      <c r="AY30" s="252">
        <f t="shared" si="1"/>
        <v>21.709999999999127</v>
      </c>
      <c r="BA30" s="311">
        <f t="shared" si="3"/>
        <v>35.15845232612817</v>
      </c>
      <c r="BB30" s="351">
        <f t="shared" si="4"/>
        <v>4066.7669999998525</v>
      </c>
      <c r="BC30" s="351">
        <f t="shared" si="5"/>
        <v>20.136816388454687</v>
      </c>
    </row>
    <row r="31" spans="1:55">
      <c r="A31" s="359">
        <v>27</v>
      </c>
      <c r="B31" s="510">
        <f>'27'!G7</f>
        <v>20583.600000000093</v>
      </c>
      <c r="C31" s="510">
        <f>'27'!G8</f>
        <v>20797.899999999994</v>
      </c>
      <c r="D31" s="510">
        <f>'27'!G15</f>
        <v>1195.3599999998696</v>
      </c>
      <c r="E31" s="510">
        <f>'27'!G20</f>
        <v>342</v>
      </c>
      <c r="F31" s="510">
        <f>SUM('27'!G35,'27'!G49)</f>
        <v>2961.4399999999441</v>
      </c>
      <c r="G31" s="510">
        <f>SUM('27'!G37,'27'!G51)</f>
        <v>1445.4400000000023</v>
      </c>
      <c r="H31" s="510">
        <f>SUM('27'!G38,'27'!G52)</f>
        <v>2563.1999999999534</v>
      </c>
      <c r="I31" s="510">
        <f>SUM('27'!G39,'27'!G53)</f>
        <v>2738.2399999999907</v>
      </c>
      <c r="J31" s="510">
        <f>SUM('27'!G41,'27'!G42,'27'!G55,'27'!G56)</f>
        <v>4580.3400000000256</v>
      </c>
      <c r="K31" s="510">
        <f>SUM('27'!G43,'27'!G57)</f>
        <v>2773.5699999999488</v>
      </c>
      <c r="L31" s="254">
        <f>'27'!G50</f>
        <v>1151.320000000007</v>
      </c>
      <c r="M31" s="254">
        <f>'27'!G36</f>
        <v>774.3300000000163</v>
      </c>
      <c r="N31" s="254">
        <f>'27'!G138</f>
        <v>30</v>
      </c>
      <c r="O31" s="254">
        <f>'27'!$G$139</f>
        <v>108</v>
      </c>
      <c r="P31" s="254">
        <f>'27'!$G$140</f>
        <v>21.929999999999836</v>
      </c>
      <c r="Q31" s="254">
        <f>'27'!$G$141</f>
        <v>227.42999999999302</v>
      </c>
      <c r="R31" s="254">
        <f>'27'!$G$142</f>
        <v>62</v>
      </c>
      <c r="S31" s="254">
        <f>'27'!$G$145</f>
        <v>175.54000000000087</v>
      </c>
      <c r="T31" s="251">
        <f>'27'!$G$146</f>
        <v>0</v>
      </c>
      <c r="U31" s="251">
        <f>'27'!$G$144</f>
        <v>220</v>
      </c>
      <c r="V31" s="251">
        <f>'27'!$G$147</f>
        <v>0</v>
      </c>
      <c r="W31" s="251">
        <f>'27'!$G$148</f>
        <v>526.35999999998603</v>
      </c>
      <c r="X31" s="251">
        <f>'27'!$G$143</f>
        <v>32.459999999999127</v>
      </c>
      <c r="Y31" s="251">
        <f>'27'!$G$58</f>
        <v>305.81699999999546</v>
      </c>
      <c r="Z31" s="251">
        <f>'27'!$G$151</f>
        <v>279</v>
      </c>
      <c r="AA31" s="251">
        <f>'27'!G161</f>
        <v>110</v>
      </c>
      <c r="AB31" s="251">
        <f>'27'!G162</f>
        <v>12.6099999999999</v>
      </c>
      <c r="AC31" s="251">
        <f>'27'!G88</f>
        <v>11.290000000000873</v>
      </c>
      <c r="AD31" s="251">
        <f>'27'!G163+'27'!G164</f>
        <v>2.6999999999998181</v>
      </c>
      <c r="AE31" s="254">
        <f>'27'!$G$116</f>
        <v>364</v>
      </c>
      <c r="AF31" s="254">
        <f>'27'!$G$117</f>
        <v>380.66999999999825</v>
      </c>
      <c r="AG31" s="254">
        <f>'27'!$G$118</f>
        <v>574</v>
      </c>
      <c r="AH31" s="254">
        <f>'27'!$G$119</f>
        <v>34.379999999997381</v>
      </c>
      <c r="AI31" s="254">
        <f>'27'!$G$120</f>
        <v>419.58000000000175</v>
      </c>
      <c r="AJ31" s="254">
        <f>'27'!$G$121</f>
        <v>442.88999999999942</v>
      </c>
      <c r="AK31" s="254">
        <f>'27'!$G$122</f>
        <v>321.05000000000291</v>
      </c>
      <c r="AL31" s="254">
        <f>'27'!$G$123</f>
        <v>336.91999999999825</v>
      </c>
      <c r="AM31" s="254">
        <f>'27'!$G$133</f>
        <v>0</v>
      </c>
      <c r="AN31" s="254">
        <f>'27'!$G$15</f>
        <v>1195.3599999998696</v>
      </c>
      <c r="AO31" s="254">
        <f>'27'!$G$74</f>
        <v>213</v>
      </c>
      <c r="AP31" s="254">
        <f>'27'!$G$75</f>
        <v>0</v>
      </c>
      <c r="AQ31" s="254">
        <f>'27'!$G$76</f>
        <v>104.29999999998836</v>
      </c>
      <c r="AR31" s="254">
        <f>'27'!$G$77</f>
        <v>53</v>
      </c>
      <c r="AS31" s="254">
        <f>'27'!$G$78</f>
        <v>0</v>
      </c>
      <c r="AT31" s="254">
        <f t="shared" si="0"/>
        <v>825.05999999988126</v>
      </c>
      <c r="AU31" s="254">
        <f>SUM('27'!G91:G92)</f>
        <v>6.3299999999999272</v>
      </c>
      <c r="AV31" s="254">
        <f>'27'!$G$88</f>
        <v>11.290000000000873</v>
      </c>
      <c r="AW31" s="254">
        <f>'27'!$G$89</f>
        <v>5</v>
      </c>
      <c r="AX31" s="254">
        <f>'27'!$G$90</f>
        <v>6</v>
      </c>
      <c r="AY31" s="252">
        <f t="shared" si="1"/>
        <v>22.290000000000873</v>
      </c>
      <c r="BA31" s="311">
        <f t="shared" si="3"/>
        <v>37.014804845215295</v>
      </c>
      <c r="BB31" s="351">
        <f t="shared" si="4"/>
        <v>3429.8530000001338</v>
      </c>
      <c r="BC31" s="351">
        <f t="shared" si="5"/>
        <v>16.663037563886387</v>
      </c>
    </row>
    <row r="32" spans="1:55">
      <c r="A32" s="359">
        <v>28</v>
      </c>
      <c r="B32" s="510">
        <f>'28'!G7</f>
        <v>22059.599999999977</v>
      </c>
      <c r="C32" s="510">
        <f>'28'!G8</f>
        <v>22210.61</v>
      </c>
      <c r="D32" s="510">
        <f>'28'!G15</f>
        <v>1167.570000000298</v>
      </c>
      <c r="E32" s="510">
        <f>'28'!G20</f>
        <v>308</v>
      </c>
      <c r="F32" s="510">
        <f>SUM('28'!G35,'28'!G49)</f>
        <v>2854.5800000000163</v>
      </c>
      <c r="G32" s="510">
        <f>SUM('28'!G37,'28'!G51)</f>
        <v>1409.5599999999977</v>
      </c>
      <c r="H32" s="510">
        <f>SUM('28'!G38,'28'!G52)</f>
        <v>2515.0100000000093</v>
      </c>
      <c r="I32" s="510">
        <f>SUM('28'!G39,'28'!G53)</f>
        <v>2685.9399999999441</v>
      </c>
      <c r="J32" s="510">
        <f>SUM('28'!G41,'28'!G42,'28'!G55,'28'!G56)</f>
        <v>4973.4799999999814</v>
      </c>
      <c r="K32" s="510">
        <f>SUM('28'!G43,'28'!G57)</f>
        <v>2592</v>
      </c>
      <c r="L32" s="254">
        <f>'28'!G50</f>
        <v>1360.6900000000023</v>
      </c>
      <c r="M32" s="254">
        <f>'28'!G36</f>
        <v>1102</v>
      </c>
      <c r="N32" s="254">
        <f>'28'!G138</f>
        <v>105</v>
      </c>
      <c r="O32" s="254">
        <f>'28'!$G$139</f>
        <v>182</v>
      </c>
      <c r="P32" s="254">
        <f>'28'!$G$140</f>
        <v>19.4699999999998</v>
      </c>
      <c r="Q32" s="254">
        <f>'28'!$G$141</f>
        <v>211.25</v>
      </c>
      <c r="R32" s="254">
        <f>'28'!$G$142</f>
        <v>116</v>
      </c>
      <c r="S32" s="254">
        <f>'28'!$G$145</f>
        <v>127.45999999999913</v>
      </c>
      <c r="T32" s="251">
        <f>'28'!$G$146</f>
        <v>115</v>
      </c>
      <c r="U32" s="251">
        <f>'28'!$G$144</f>
        <v>281</v>
      </c>
      <c r="V32" s="251">
        <f>'28'!$G$147</f>
        <v>391</v>
      </c>
      <c r="W32" s="251">
        <f>'28'!$G$148</f>
        <v>135</v>
      </c>
      <c r="X32" s="251">
        <f>'28'!$G$143</f>
        <v>28.950000000000728</v>
      </c>
      <c r="Y32" s="251">
        <f>'28'!$G$58</f>
        <v>336</v>
      </c>
      <c r="Z32" s="251">
        <f>'28'!$G$151</f>
        <v>307</v>
      </c>
      <c r="AA32" s="251">
        <f>'28'!G161</f>
        <v>180</v>
      </c>
      <c r="AB32" s="251">
        <f>'28'!G162</f>
        <v>36.910000000000082</v>
      </c>
      <c r="AC32" s="251">
        <f>'28'!G88</f>
        <v>7.4700000000011642</v>
      </c>
      <c r="AD32" s="251">
        <f>'28'!G163+'28'!G164</f>
        <v>1.6999999999998181</v>
      </c>
      <c r="AE32" s="254">
        <f>'28'!$G$116</f>
        <v>323</v>
      </c>
      <c r="AF32" s="254">
        <f>'28'!$G$117</f>
        <v>323.33000000000175</v>
      </c>
      <c r="AG32" s="254">
        <f>'28'!$G$118</f>
        <v>595</v>
      </c>
      <c r="AH32" s="254">
        <f>'28'!$G$119</f>
        <v>34.089999999996508</v>
      </c>
      <c r="AI32" s="254">
        <f>'28'!$G$120</f>
        <v>402.41999999999825</v>
      </c>
      <c r="AJ32" s="254">
        <f>'28'!$G$121</f>
        <v>408.11000000000058</v>
      </c>
      <c r="AK32" s="254">
        <f>'28'!$G$122</f>
        <v>300.72000000000116</v>
      </c>
      <c r="AL32" s="254">
        <f>'28'!$G$123</f>
        <v>303.5</v>
      </c>
      <c r="AM32" s="254">
        <f>'28'!$G$133</f>
        <v>700</v>
      </c>
      <c r="AN32" s="254">
        <f>'28'!$G$15</f>
        <v>1167.570000000298</v>
      </c>
      <c r="AO32" s="254">
        <f>'28'!$G$74</f>
        <v>205</v>
      </c>
      <c r="AP32" s="254">
        <f>'28'!$G$75</f>
        <v>0</v>
      </c>
      <c r="AQ32" s="254">
        <f>'28'!$G$76</f>
        <v>131</v>
      </c>
      <c r="AR32" s="254">
        <f>'28'!$G$77</f>
        <v>44</v>
      </c>
      <c r="AS32" s="254">
        <f>'28'!$G$78</f>
        <v>0</v>
      </c>
      <c r="AT32" s="254">
        <f t="shared" si="0"/>
        <v>787.57000000029802</v>
      </c>
      <c r="AU32" s="254">
        <f>SUM('28'!G91:G92)</f>
        <v>8.069999999999709</v>
      </c>
      <c r="AV32" s="254">
        <f>'28'!$G$88</f>
        <v>7.4700000000011642</v>
      </c>
      <c r="AW32" s="254">
        <f>'28'!$G$89</f>
        <v>4.2999999999992724</v>
      </c>
      <c r="AX32" s="254">
        <f>'28'!$G$90</f>
        <v>16.970000000001164</v>
      </c>
      <c r="AY32" s="252">
        <f t="shared" si="1"/>
        <v>28.740000000001601</v>
      </c>
      <c r="BA32" s="311">
        <f t="shared" si="3"/>
        <v>27.40327070286201</v>
      </c>
      <c r="BB32" s="351">
        <f t="shared" si="4"/>
        <v>4844.0400000000518</v>
      </c>
      <c r="BC32" s="351">
        <f t="shared" si="5"/>
        <v>21.958875047598582</v>
      </c>
    </row>
    <row r="33" spans="1:55">
      <c r="A33" s="359">
        <v>29</v>
      </c>
      <c r="B33" s="510">
        <f>'29'!G7</f>
        <v>23062.469999999972</v>
      </c>
      <c r="C33" s="510">
        <f>'29'!G8</f>
        <v>23237.490000000005</v>
      </c>
      <c r="D33" s="510">
        <f>'29'!G15</f>
        <v>1254.9899999997579</v>
      </c>
      <c r="E33" s="510">
        <f>'29'!G20</f>
        <v>268</v>
      </c>
      <c r="F33" s="510">
        <f>SUM('29'!G35,'29'!G49)</f>
        <v>3224.4699999999721</v>
      </c>
      <c r="G33" s="510">
        <f>SUM('29'!G37,'29'!G51)</f>
        <v>1446.4400000000023</v>
      </c>
      <c r="H33" s="510">
        <f>SUM('29'!G38,'29'!G52)</f>
        <v>2745</v>
      </c>
      <c r="I33" s="510">
        <f>SUM('29'!G39,'29'!G53)</f>
        <v>2857</v>
      </c>
      <c r="J33" s="510">
        <f>SUM('29'!G41,'29'!G42,'29'!G55,'29'!G56)</f>
        <v>5058.1799999999348</v>
      </c>
      <c r="K33" s="510">
        <f>SUM('29'!G43,'29'!G57)</f>
        <v>2596</v>
      </c>
      <c r="L33" s="254">
        <f>'29'!G50</f>
        <v>1528</v>
      </c>
      <c r="M33" s="254">
        <f>'29'!G36</f>
        <v>1275</v>
      </c>
      <c r="N33" s="254">
        <f>'29'!G138</f>
        <v>100</v>
      </c>
      <c r="O33" s="254">
        <f>'29'!$G$139</f>
        <v>38</v>
      </c>
      <c r="P33" s="254">
        <f>'29'!$G$140</f>
        <v>19.080000000000382</v>
      </c>
      <c r="Q33" s="254">
        <f>'29'!$G$141</f>
        <v>193</v>
      </c>
      <c r="R33" s="254">
        <f>'29'!$G$142</f>
        <v>84</v>
      </c>
      <c r="S33" s="254">
        <f>'29'!$G$145</f>
        <v>130.70000000000073</v>
      </c>
      <c r="T33" s="254">
        <f>'29'!$G$146</f>
        <v>0</v>
      </c>
      <c r="U33" s="254">
        <f>'29'!$G$144</f>
        <v>255</v>
      </c>
      <c r="V33" s="254">
        <f>'29'!$G$147</f>
        <v>412</v>
      </c>
      <c r="W33" s="254">
        <f>'29'!$G$148</f>
        <v>453.19999999995343</v>
      </c>
      <c r="X33" s="254">
        <f>'29'!$G$143</f>
        <v>36</v>
      </c>
      <c r="Y33" s="254">
        <f>'29'!$G$58</f>
        <v>375.55100000000675</v>
      </c>
      <c r="Z33" s="254">
        <f>'29'!$G$151</f>
        <v>363</v>
      </c>
      <c r="AA33" s="254">
        <f>'29'!G161</f>
        <v>167.96000000002095</v>
      </c>
      <c r="AB33" s="254">
        <f>'29'!G162</f>
        <v>38.379999999999995</v>
      </c>
      <c r="AC33" s="254">
        <f>'29'!G88</f>
        <v>8.8799999999973807</v>
      </c>
      <c r="AD33" s="254">
        <f>'29'!G163+'29'!G164</f>
        <v>1</v>
      </c>
      <c r="AE33" s="254">
        <f>'29'!$G$116</f>
        <v>469</v>
      </c>
      <c r="AF33" s="254">
        <f>'29'!$G$117</f>
        <v>362.42999999999302</v>
      </c>
      <c r="AG33" s="254">
        <f>'29'!$G$118</f>
        <v>643</v>
      </c>
      <c r="AH33" s="254">
        <f>'29'!$G$119</f>
        <v>35.870000000002619</v>
      </c>
      <c r="AI33" s="254">
        <f>'29'!$G$120</f>
        <v>411</v>
      </c>
      <c r="AJ33" s="254">
        <f>'29'!$G$121</f>
        <v>437</v>
      </c>
      <c r="AK33" s="254">
        <f>'29'!$G$122</f>
        <v>306.69000000000233</v>
      </c>
      <c r="AL33" s="254">
        <f>'29'!$G$123</f>
        <v>312.22999999999593</v>
      </c>
      <c r="AM33" s="254">
        <f>'29'!$G$133</f>
        <v>1393</v>
      </c>
      <c r="AN33" s="254">
        <f>'29'!$G$15</f>
        <v>1254.9899999997579</v>
      </c>
      <c r="AO33" s="254">
        <f>'29'!$G$74</f>
        <v>309</v>
      </c>
      <c r="AP33" s="254">
        <f>'29'!$G$75</f>
        <v>0</v>
      </c>
      <c r="AQ33" s="254">
        <f>'29'!$G$76</f>
        <v>119</v>
      </c>
      <c r="AR33" s="254">
        <f>'29'!$G$77</f>
        <v>56</v>
      </c>
      <c r="AS33" s="254">
        <f>'29'!$G$78</f>
        <v>0</v>
      </c>
      <c r="AT33" s="254">
        <f t="shared" si="0"/>
        <v>770.98999999975786</v>
      </c>
      <c r="AU33" s="254">
        <f>SUM('29'!G91:G92)</f>
        <v>11.630000000000109</v>
      </c>
      <c r="AV33" s="254">
        <f>'29'!$G$88</f>
        <v>8.8799999999973807</v>
      </c>
      <c r="AW33" s="254">
        <f>'29'!$G$89</f>
        <v>9.7000000000007276</v>
      </c>
      <c r="AX33" s="254">
        <f>'29'!$G$90</f>
        <v>6.1399999999994179</v>
      </c>
      <c r="AY33" s="252">
        <f t="shared" si="1"/>
        <v>24.719999999997526</v>
      </c>
      <c r="BA33" s="311">
        <f t="shared" si="3"/>
        <v>31.188915857598502</v>
      </c>
      <c r="BB33" s="351">
        <f t="shared" si="4"/>
        <v>4934.8490000000893</v>
      </c>
      <c r="BC33" s="351">
        <f t="shared" si="5"/>
        <v>21.397747075660565</v>
      </c>
    </row>
    <row r="34" spans="1:55" s="313" customFormat="1">
      <c r="A34" s="359">
        <v>30</v>
      </c>
      <c r="B34" s="510">
        <f>'30'!G7</f>
        <v>21377.619999999995</v>
      </c>
      <c r="C34" s="510">
        <f>'30'!G8</f>
        <v>21529.170000000013</v>
      </c>
      <c r="D34" s="510">
        <f>'30'!G15</f>
        <v>1214.2900000000373</v>
      </c>
      <c r="E34" s="510">
        <f>'30'!G20</f>
        <v>363</v>
      </c>
      <c r="F34" s="510">
        <f>SUM('30'!G35,'30'!G49)</f>
        <v>3235.5300000000279</v>
      </c>
      <c r="G34" s="510">
        <f>SUM('30'!G37,'30'!G51)</f>
        <v>1447.5599999999977</v>
      </c>
      <c r="H34" s="510">
        <f>SUM('30'!G38,'30'!G52)</f>
        <v>7190</v>
      </c>
      <c r="I34" s="510">
        <f>SUM('30'!G39,'30'!G53)</f>
        <v>2631.1899999999441</v>
      </c>
      <c r="J34" s="510">
        <f>SUM('30'!G41,'30'!G42,'30'!G55,'30'!G56)</f>
        <v>4680.8200000000652</v>
      </c>
      <c r="K34" s="510">
        <f>SUM('30'!G43,'30'!G57)</f>
        <v>2488</v>
      </c>
      <c r="L34" s="251">
        <f>'30'!G50</f>
        <v>1238</v>
      </c>
      <c r="M34" s="251">
        <f>'30'!G36</f>
        <v>917</v>
      </c>
      <c r="N34" s="251">
        <f>'30'!G138</f>
        <v>112</v>
      </c>
      <c r="O34" s="251">
        <f>'30'!$G$139</f>
        <v>162</v>
      </c>
      <c r="P34" s="251">
        <f>'30'!$G$140</f>
        <v>15.960000000000036</v>
      </c>
      <c r="Q34" s="251">
        <f>'30'!$G$141</f>
        <v>192</v>
      </c>
      <c r="R34" s="251">
        <f>'30'!$G$142</f>
        <v>97.589999999996508</v>
      </c>
      <c r="S34" s="251">
        <f>'30'!$G$145</f>
        <v>84.299999999999272</v>
      </c>
      <c r="T34" s="251">
        <f>'30'!$G$146</f>
        <v>45</v>
      </c>
      <c r="U34" s="251">
        <f>'30'!$G$144</f>
        <v>272</v>
      </c>
      <c r="V34" s="251">
        <f>'30'!$G$147</f>
        <v>361.31999999994878</v>
      </c>
      <c r="W34" s="251">
        <f>'30'!$G$148</f>
        <v>48.320000000065193</v>
      </c>
      <c r="X34" s="251">
        <f>'30'!$G$143</f>
        <v>36.530000000000655</v>
      </c>
      <c r="Y34" s="251">
        <f>'30'!$G$58</f>
        <v>291.94899999999325</v>
      </c>
      <c r="Z34" s="251">
        <f>'30'!$G$151</f>
        <v>293</v>
      </c>
      <c r="AA34" s="251">
        <f>'30'!G161</f>
        <v>183.67999999999302</v>
      </c>
      <c r="AB34" s="251">
        <f>'30'!G162</f>
        <v>31</v>
      </c>
      <c r="AC34" s="251">
        <f>'30'!G88</f>
        <v>2.6500000000014552</v>
      </c>
      <c r="AD34" s="251">
        <f>'30'!G163+'30'!G164</f>
        <v>11</v>
      </c>
      <c r="AE34" s="251">
        <f>'30'!$G$116</f>
        <v>244</v>
      </c>
      <c r="AF34" s="251">
        <f>'30'!$G$117</f>
        <v>349.57000000000698</v>
      </c>
      <c r="AG34" s="251">
        <f>'30'!$G$118</f>
        <v>628</v>
      </c>
      <c r="AH34" s="251">
        <f>'30'!$G$119</f>
        <v>35.839999999996508</v>
      </c>
      <c r="AI34" s="251">
        <f>'30'!$G$120</f>
        <v>409</v>
      </c>
      <c r="AJ34" s="251">
        <f>'30'!$G$121</f>
        <v>423.2100000000064</v>
      </c>
      <c r="AK34" s="251">
        <f>'30'!$G$122</f>
        <v>297.97999999999593</v>
      </c>
      <c r="AL34" s="251">
        <f>'30'!$G$123</f>
        <v>300.32000000000698</v>
      </c>
      <c r="AM34" s="251">
        <f>'30'!$G$133</f>
        <v>216</v>
      </c>
      <c r="AN34" s="251">
        <f>'30'!$G$15</f>
        <v>1214.2900000000373</v>
      </c>
      <c r="AO34" s="251">
        <f>'30'!$G$74</f>
        <v>574</v>
      </c>
      <c r="AP34" s="251">
        <f>'30'!$G$75</f>
        <v>0</v>
      </c>
      <c r="AQ34" s="251">
        <f>'30'!$G$76</f>
        <v>112</v>
      </c>
      <c r="AR34" s="251">
        <f>'30'!$G$77</f>
        <v>51</v>
      </c>
      <c r="AS34" s="251">
        <f>'30'!$G$78</f>
        <v>0</v>
      </c>
      <c r="AT34" s="251">
        <f t="shared" si="0"/>
        <v>477.29000000003725</v>
      </c>
      <c r="AU34" s="251">
        <f>SUM('30'!G91:G92)</f>
        <v>19.130000000000109</v>
      </c>
      <c r="AV34" s="251">
        <f>'30'!$G$88</f>
        <v>2.6500000000014552</v>
      </c>
      <c r="AW34" s="251">
        <f>'30'!$G$89</f>
        <v>11.130000000001019</v>
      </c>
      <c r="AX34" s="251">
        <f>'30'!$G$90</f>
        <v>10.889999999999418</v>
      </c>
      <c r="AY34" s="255">
        <f t="shared" si="1"/>
        <v>24.670000000001892</v>
      </c>
      <c r="BA34" s="311">
        <f t="shared" si="3"/>
        <v>19.346980137819241</v>
      </c>
      <c r="BB34" s="351">
        <f t="shared" si="4"/>
        <v>-435.87900000001537</v>
      </c>
      <c r="BC34" s="351">
        <f t="shared" si="5"/>
        <v>-2.0389500795692665</v>
      </c>
    </row>
    <row r="35" spans="1:55">
      <c r="A35" s="359">
        <v>31</v>
      </c>
      <c r="B35" s="510">
        <f>'31'!G7</f>
        <v>22926</v>
      </c>
      <c r="C35" s="510">
        <f>'31'!G8</f>
        <v>22341.829999999987</v>
      </c>
      <c r="D35" s="510">
        <f>'31'!G15</f>
        <v>1090.3580000000075</v>
      </c>
      <c r="E35" s="510">
        <f>'31'!G20</f>
        <v>228</v>
      </c>
      <c r="F35" s="510">
        <f>SUM('31'!G35,'31'!G49)</f>
        <v>3327.140000000014</v>
      </c>
      <c r="G35" s="510">
        <f>SUM('31'!G37,'31'!G51)</f>
        <v>1379.8699999999953</v>
      </c>
      <c r="H35" s="510">
        <f>SUM('31'!G38,'31'!G52)</f>
        <v>177.34999999997672</v>
      </c>
      <c r="I35" s="510">
        <f>SUM('31'!G39,'31'!G53)</f>
        <v>2837.8400000000838</v>
      </c>
      <c r="J35" s="510">
        <f>SUM('31'!G41,'31'!G42,'31'!G55,'31'!G56)</f>
        <v>4675.6900000000023</v>
      </c>
      <c r="K35" s="510">
        <f>SUM('31'!G43,'31'!G57)</f>
        <v>2607</v>
      </c>
      <c r="L35" s="251">
        <f>'31'!G50</f>
        <v>1439</v>
      </c>
      <c r="M35" s="251">
        <f>'31'!G36</f>
        <v>1010.9000000000233</v>
      </c>
      <c r="N35" s="251">
        <f>'31'!G138</f>
        <v>132</v>
      </c>
      <c r="O35" s="251">
        <f>'31'!$G$139</f>
        <v>159</v>
      </c>
      <c r="P35" s="251">
        <f>'31'!$G$140</f>
        <v>17.000999999999749</v>
      </c>
      <c r="Q35" s="251">
        <f>'31'!$G$141</f>
        <v>227</v>
      </c>
      <c r="R35" s="251">
        <f>'31'!$G$142</f>
        <v>114.9600000000064</v>
      </c>
      <c r="S35" s="251">
        <f>'31'!$G$145</f>
        <v>40.770000000000437</v>
      </c>
      <c r="T35" s="251">
        <f>'31'!$G$146</f>
        <v>26</v>
      </c>
      <c r="U35" s="251">
        <f>'31'!$G$144</f>
        <v>244</v>
      </c>
      <c r="V35" s="251">
        <f>'31'!$G$147</f>
        <v>421.68000000005122</v>
      </c>
      <c r="W35" s="251">
        <f>'31'!$G$148</f>
        <v>380.55999999993946</v>
      </c>
      <c r="X35" s="251">
        <f>'31'!$G$143</f>
        <v>27.469999999999345</v>
      </c>
      <c r="Y35" s="251">
        <f>'31'!$G$58</f>
        <v>278.99899999999616</v>
      </c>
      <c r="Z35" s="251">
        <f>'31'!$G$151</f>
        <v>279</v>
      </c>
      <c r="AA35" s="251">
        <f>'31'!G161</f>
        <v>141.67999999999302</v>
      </c>
      <c r="AB35" s="251">
        <f>'31'!G162</f>
        <v>22</v>
      </c>
      <c r="AC35" s="251">
        <f>'31'!G89</f>
        <v>8.8699999999989814</v>
      </c>
      <c r="AD35" s="251">
        <f>'31'!G163+'31'!G164</f>
        <v>5.3000000000001819</v>
      </c>
      <c r="AE35" s="251">
        <f>'31'!$G$116</f>
        <v>482.39000000001397</v>
      </c>
      <c r="AF35" s="251">
        <f>'31'!$G$117</f>
        <v>218</v>
      </c>
      <c r="AG35" s="251">
        <f>'31'!$G$118</f>
        <v>640.14999999999418</v>
      </c>
      <c r="AH35" s="251">
        <f>'31'!$G$119</f>
        <v>34.335000000006403</v>
      </c>
      <c r="AI35" s="251">
        <f>'31'!$G$120</f>
        <v>392.13999999999942</v>
      </c>
      <c r="AJ35" s="251">
        <f>'31'!$G$121</f>
        <v>408.67999999999302</v>
      </c>
      <c r="AK35" s="251">
        <f>'31'!$G$122</f>
        <v>297.69999999999709</v>
      </c>
      <c r="AL35" s="251">
        <f>'31'!$G$123</f>
        <v>218</v>
      </c>
      <c r="AM35" s="251">
        <f>'31'!$G$133</f>
        <v>793</v>
      </c>
      <c r="AN35" s="251">
        <f>'31'!$G$15</f>
        <v>1090.3580000000075</v>
      </c>
      <c r="AO35" s="251">
        <f>'31'!$G$74</f>
        <v>302</v>
      </c>
      <c r="AP35" s="251">
        <f>'31'!$G$75</f>
        <v>0</v>
      </c>
      <c r="AQ35" s="251">
        <f>'31'!$G$76</f>
        <v>105</v>
      </c>
      <c r="AR35" s="251">
        <f>'31'!$G$77</f>
        <v>59</v>
      </c>
      <c r="AS35" s="251">
        <f>'31'!$G$78</f>
        <v>0</v>
      </c>
      <c r="AT35" s="251">
        <f t="shared" ref="AT35" si="7">AN35-SUM(AO35:AS35)</f>
        <v>624.35800000000745</v>
      </c>
      <c r="AU35" s="251">
        <f>SUM('31'!G92:G142)</f>
        <v>29618.662353485259</v>
      </c>
      <c r="AV35" s="251">
        <f>'31'!$G$88</f>
        <v>2.5999999999985448</v>
      </c>
      <c r="AW35" s="251">
        <f>'31'!$G$89</f>
        <v>8.8699999999989814</v>
      </c>
      <c r="AX35" s="251">
        <f>'30'!$G$90</f>
        <v>10.889999999999418</v>
      </c>
      <c r="AY35" s="255">
        <f t="shared" ref="AY35" si="8">SUM(AV35:AX35)</f>
        <v>22.359999999996944</v>
      </c>
      <c r="BA35" s="311">
        <f t="shared" si="3"/>
        <v>27.922987477642788</v>
      </c>
      <c r="BB35" s="351">
        <f t="shared" si="4"/>
        <v>7057.9409999999189</v>
      </c>
      <c r="BC35" s="351">
        <f t="shared" si="5"/>
        <v>30.785749803715952</v>
      </c>
    </row>
    <row r="36" spans="1:55" s="316" customFormat="1">
      <c r="A36" s="304" t="s">
        <v>357</v>
      </c>
      <c r="B36" s="305">
        <f>AVERAGE(B5:B35)</f>
        <v>22681.208064516126</v>
      </c>
      <c r="C36" s="305">
        <f t="shared" ref="C36:BC36" si="9">AVERAGE(C5:C35)</f>
        <v>22793.419354838708</v>
      </c>
      <c r="D36" s="305">
        <f t="shared" si="9"/>
        <v>1108.3986451612905</v>
      </c>
      <c r="E36" s="305">
        <f t="shared" si="9"/>
        <v>318.19354838709677</v>
      </c>
      <c r="F36" s="305">
        <f t="shared" si="9"/>
        <v>3171.0412903225833</v>
      </c>
      <c r="G36" s="305">
        <f t="shared" si="9"/>
        <v>1193.0525806451615</v>
      </c>
      <c r="H36" s="305">
        <f t="shared" si="9"/>
        <v>2058.8696774193536</v>
      </c>
      <c r="I36" s="305">
        <f t="shared" si="9"/>
        <v>3629.6635483870987</v>
      </c>
      <c r="J36" s="305">
        <f t="shared" si="9"/>
        <v>4264.2409677419346</v>
      </c>
      <c r="K36" s="305">
        <f t="shared" si="9"/>
        <v>2667.4041935483879</v>
      </c>
      <c r="L36" s="305">
        <f t="shared" si="9"/>
        <v>1434.9654838709675</v>
      </c>
      <c r="M36" s="305">
        <f t="shared" si="9"/>
        <v>1028.1222580645174</v>
      </c>
      <c r="N36" s="305">
        <f t="shared" si="9"/>
        <v>124.51612903225806</v>
      </c>
      <c r="O36" s="305">
        <f t="shared" si="9"/>
        <v>163.83870967741936</v>
      </c>
      <c r="P36" s="305">
        <f t="shared" si="9"/>
        <v>22.675193548387099</v>
      </c>
      <c r="Q36" s="305">
        <f t="shared" si="9"/>
        <v>227.09741935483885</v>
      </c>
      <c r="R36" s="305">
        <f t="shared" si="9"/>
        <v>98.743548387096865</v>
      </c>
      <c r="S36" s="305">
        <f t="shared" si="9"/>
        <v>141.79580645161298</v>
      </c>
      <c r="T36" s="305">
        <f t="shared" si="9"/>
        <v>38.387096774193552</v>
      </c>
      <c r="U36" s="305">
        <f t="shared" si="9"/>
        <v>234.58064516129033</v>
      </c>
      <c r="V36" s="305">
        <f t="shared" si="9"/>
        <v>405.93032258064409</v>
      </c>
      <c r="W36" s="305">
        <f t="shared" si="9"/>
        <v>379.58322580645029</v>
      </c>
      <c r="X36" s="305">
        <f t="shared" si="9"/>
        <v>31.34193548387098</v>
      </c>
      <c r="Y36" s="305">
        <f t="shared" si="9"/>
        <v>253.05835483870948</v>
      </c>
      <c r="Z36" s="305">
        <f t="shared" si="9"/>
        <v>271.61290322580646</v>
      </c>
      <c r="AA36" s="305">
        <f t="shared" si="9"/>
        <v>161.68258064516235</v>
      </c>
      <c r="AB36" s="305">
        <f t="shared" si="9"/>
        <v>37.154838709677236</v>
      </c>
      <c r="AC36" s="305">
        <f t="shared" si="9"/>
        <v>4.6699999999999857</v>
      </c>
      <c r="AD36" s="305">
        <f t="shared" si="9"/>
        <v>6.735483870967748</v>
      </c>
      <c r="AE36" s="305">
        <f t="shared" si="9"/>
        <v>375.10290322580698</v>
      </c>
      <c r="AF36" s="305">
        <f t="shared" si="9"/>
        <v>281.5741935483872</v>
      </c>
      <c r="AG36" s="305">
        <f t="shared" si="9"/>
        <v>623.37741935483814</v>
      </c>
      <c r="AH36" s="305">
        <f t="shared" si="9"/>
        <v>18.886290322580834</v>
      </c>
      <c r="AI36" s="305">
        <f t="shared" si="9"/>
        <v>410.63032258064493</v>
      </c>
      <c r="AJ36" s="305">
        <f t="shared" si="9"/>
        <v>432.05935483870957</v>
      </c>
      <c r="AK36" s="305">
        <f t="shared" si="9"/>
        <v>330.20870967741939</v>
      </c>
      <c r="AL36" s="305">
        <f t="shared" si="9"/>
        <v>309.40967741935475</v>
      </c>
      <c r="AM36" s="305">
        <f t="shared" si="9"/>
        <v>735.61290322580646</v>
      </c>
      <c r="AN36" s="305">
        <f t="shared" si="9"/>
        <v>1108.3986451612905</v>
      </c>
      <c r="AO36" s="305">
        <f t="shared" si="9"/>
        <v>295.35387096774105</v>
      </c>
      <c r="AP36" s="305">
        <f t="shared" si="9"/>
        <v>2.5806451612997109E-2</v>
      </c>
      <c r="AQ36" s="305">
        <f t="shared" si="9"/>
        <v>119.83870967741936</v>
      </c>
      <c r="AR36" s="305">
        <f t="shared" si="9"/>
        <v>52.58064516129032</v>
      </c>
      <c r="AS36" s="305">
        <f t="shared" si="9"/>
        <v>-1.2903225806439877E-2</v>
      </c>
      <c r="AT36" s="305">
        <f t="shared" si="9"/>
        <v>640.61251612903334</v>
      </c>
      <c r="AU36" s="305">
        <f t="shared" si="9"/>
        <v>966.21685011242778</v>
      </c>
      <c r="AV36" s="305">
        <f t="shared" si="9"/>
        <v>2.9612903225806217</v>
      </c>
      <c r="AW36" s="305">
        <f t="shared" si="9"/>
        <v>8.2677419354838477</v>
      </c>
      <c r="AX36" s="305">
        <f t="shared" si="9"/>
        <v>11.07387096774173</v>
      </c>
      <c r="AY36" s="305">
        <f t="shared" si="9"/>
        <v>22.302903225806197</v>
      </c>
      <c r="AZ36" s="305">
        <f t="shared" si="9"/>
        <v>26.404497028296706</v>
      </c>
      <c r="BA36" s="305">
        <f t="shared" si="9"/>
        <v>28.828547275727825</v>
      </c>
      <c r="BB36" s="305">
        <f t="shared" si="9"/>
        <v>5556.0887419354813</v>
      </c>
      <c r="BC36" s="305">
        <f t="shared" si="9"/>
        <v>24.402406307499355</v>
      </c>
    </row>
    <row r="37" spans="1:55">
      <c r="A37" s="261" t="s">
        <v>196</v>
      </c>
      <c r="B37" s="305">
        <f>SUM(B5:B35)</f>
        <v>703117.45</v>
      </c>
      <c r="C37" s="305">
        <f t="shared" ref="C37:BC37" si="10">SUM(C5:C35)</f>
        <v>706596</v>
      </c>
      <c r="D37" s="305">
        <f t="shared" si="10"/>
        <v>34360.358000000007</v>
      </c>
      <c r="E37" s="305">
        <f t="shared" si="10"/>
        <v>9864</v>
      </c>
      <c r="F37" s="305">
        <f>SUM(F5:F35)</f>
        <v>98302.280000000086</v>
      </c>
      <c r="G37" s="305">
        <f t="shared" si="10"/>
        <v>36984.630000000005</v>
      </c>
      <c r="H37" s="305">
        <f t="shared" si="10"/>
        <v>63824.959999999963</v>
      </c>
      <c r="I37" s="305">
        <f t="shared" si="10"/>
        <v>112519.57000000007</v>
      </c>
      <c r="J37" s="305">
        <f t="shared" si="10"/>
        <v>132191.46999999997</v>
      </c>
      <c r="K37" s="305">
        <f t="shared" si="10"/>
        <v>82689.530000000028</v>
      </c>
      <c r="L37" s="305">
        <f t="shared" si="10"/>
        <v>44483.929999999993</v>
      </c>
      <c r="M37" s="305">
        <f t="shared" si="10"/>
        <v>31871.790000000037</v>
      </c>
      <c r="N37" s="305">
        <f t="shared" si="10"/>
        <v>3860</v>
      </c>
      <c r="O37" s="305">
        <f t="shared" si="10"/>
        <v>5079</v>
      </c>
      <c r="P37" s="305">
        <f t="shared" si="10"/>
        <v>702.93100000000004</v>
      </c>
      <c r="Q37" s="305">
        <f t="shared" si="10"/>
        <v>7040.0200000000041</v>
      </c>
      <c r="R37" s="305">
        <f t="shared" si="10"/>
        <v>3061.0500000000029</v>
      </c>
      <c r="S37" s="305">
        <f t="shared" si="10"/>
        <v>4395.6700000000019</v>
      </c>
      <c r="T37" s="305">
        <f t="shared" si="10"/>
        <v>1190</v>
      </c>
      <c r="U37" s="305">
        <f t="shared" si="10"/>
        <v>7272</v>
      </c>
      <c r="V37" s="305">
        <f t="shared" si="10"/>
        <v>12583.839999999967</v>
      </c>
      <c r="W37" s="305">
        <f t="shared" si="10"/>
        <v>11767.079999999958</v>
      </c>
      <c r="X37" s="305">
        <f t="shared" si="10"/>
        <v>971.60000000000036</v>
      </c>
      <c r="Y37" s="305">
        <f t="shared" si="10"/>
        <v>7844.8089999999938</v>
      </c>
      <c r="Z37" s="305">
        <f t="shared" si="10"/>
        <v>8420</v>
      </c>
      <c r="AA37" s="305">
        <f t="shared" si="10"/>
        <v>5012.1600000000326</v>
      </c>
      <c r="AB37" s="305">
        <f t="shared" si="10"/>
        <v>1151.7999999999943</v>
      </c>
      <c r="AC37" s="305">
        <f t="shared" si="10"/>
        <v>98.069999999999709</v>
      </c>
      <c r="AD37" s="305">
        <f t="shared" si="10"/>
        <v>208.80000000000018</v>
      </c>
      <c r="AE37" s="305">
        <f t="shared" si="10"/>
        <v>11628.190000000017</v>
      </c>
      <c r="AF37" s="305">
        <f t="shared" si="10"/>
        <v>8728.8000000000029</v>
      </c>
      <c r="AG37" s="305">
        <f t="shared" si="10"/>
        <v>19324.699999999983</v>
      </c>
      <c r="AH37" s="305">
        <f t="shared" si="10"/>
        <v>585.47500000000582</v>
      </c>
      <c r="AI37" s="305">
        <f t="shared" si="10"/>
        <v>12729.539999999994</v>
      </c>
      <c r="AJ37" s="305">
        <f t="shared" si="10"/>
        <v>13393.839999999997</v>
      </c>
      <c r="AK37" s="305">
        <f t="shared" si="10"/>
        <v>10236.470000000001</v>
      </c>
      <c r="AL37" s="305">
        <f t="shared" si="10"/>
        <v>9591.6999999999971</v>
      </c>
      <c r="AM37" s="305">
        <f t="shared" si="10"/>
        <v>22804</v>
      </c>
      <c r="AN37" s="305">
        <f t="shared" si="10"/>
        <v>34360.358000000007</v>
      </c>
      <c r="AO37" s="305">
        <f t="shared" si="10"/>
        <v>9155.9699999999721</v>
      </c>
      <c r="AP37" s="305">
        <f t="shared" si="10"/>
        <v>0.80000000000291038</v>
      </c>
      <c r="AQ37" s="305">
        <f t="shared" si="10"/>
        <v>3715</v>
      </c>
      <c r="AR37" s="305">
        <f t="shared" si="10"/>
        <v>1630</v>
      </c>
      <c r="AS37" s="305">
        <f t="shared" si="10"/>
        <v>-0.3999999999996362</v>
      </c>
      <c r="AT37" s="305">
        <f t="shared" si="10"/>
        <v>19858.988000000034</v>
      </c>
      <c r="AU37" s="305">
        <f t="shared" si="10"/>
        <v>29952.72235348526</v>
      </c>
      <c r="AV37" s="305">
        <f t="shared" si="10"/>
        <v>91.799999999999272</v>
      </c>
      <c r="AW37" s="305">
        <f t="shared" si="10"/>
        <v>256.29999999999927</v>
      </c>
      <c r="AX37" s="305">
        <f t="shared" si="10"/>
        <v>343.2899999999936</v>
      </c>
      <c r="AY37" s="305">
        <f t="shared" si="10"/>
        <v>691.38999999999214</v>
      </c>
      <c r="AZ37" s="305">
        <f t="shared" si="10"/>
        <v>633.70792867912098</v>
      </c>
      <c r="BA37" s="305">
        <f t="shared" si="10"/>
        <v>893.68496554756257</v>
      </c>
      <c r="BB37" s="305">
        <f t="shared" si="10"/>
        <v>172238.75099999993</v>
      </c>
      <c r="BC37" s="305">
        <f t="shared" si="10"/>
        <v>756.47459553247995</v>
      </c>
    </row>
    <row r="38" spans="1:55" s="316" customFormat="1">
      <c r="A38" s="304"/>
      <c r="B38" s="305"/>
      <c r="C38" s="304"/>
      <c r="D38" s="304"/>
      <c r="E38" s="304"/>
      <c r="F38" s="304"/>
      <c r="G38" s="304"/>
      <c r="H38" s="304"/>
      <c r="I38" s="304"/>
      <c r="J38" s="304"/>
      <c r="K38" s="304"/>
      <c r="L38" s="304"/>
      <c r="M38" s="304"/>
      <c r="N38" s="304"/>
      <c r="O38" s="304"/>
      <c r="P38" s="304"/>
      <c r="Q38" s="304"/>
      <c r="R38" s="304"/>
      <c r="S38" s="304"/>
      <c r="T38" s="304"/>
      <c r="U38" s="304"/>
      <c r="V38" s="304"/>
      <c r="W38" s="304"/>
      <c r="X38" s="304"/>
      <c r="Y38" s="304"/>
      <c r="Z38" s="304"/>
      <c r="AA38" s="304"/>
      <c r="AB38" s="304"/>
      <c r="AC38" s="304"/>
      <c r="AD38" s="304"/>
      <c r="AE38" s="304"/>
      <c r="AF38" s="304"/>
      <c r="AG38" s="304"/>
      <c r="AH38" s="304"/>
      <c r="AI38" s="304"/>
      <c r="AJ38" s="304"/>
      <c r="AK38" s="304"/>
      <c r="AL38" s="304"/>
      <c r="AM38" s="304"/>
      <c r="AN38" s="304"/>
      <c r="AO38" s="304"/>
      <c r="AP38" s="304"/>
      <c r="AQ38" s="304"/>
      <c r="AR38" s="304"/>
      <c r="AS38" s="304"/>
      <c r="AT38" s="304"/>
      <c r="AU38" s="304"/>
      <c r="AV38" s="304"/>
      <c r="AW38" s="304"/>
      <c r="AX38" s="304"/>
      <c r="AY38" s="304"/>
      <c r="BB38" s="350"/>
      <c r="BC38" s="350"/>
    </row>
    <row r="39" spans="1:55">
      <c r="A39" s="261"/>
      <c r="B39" s="261"/>
      <c r="C39" s="261"/>
      <c r="D39" s="261"/>
      <c r="E39" s="261"/>
      <c r="F39" s="511">
        <f t="shared" ref="F39:K39" si="11">F19-F18</f>
        <v>-327.68999999994412</v>
      </c>
      <c r="G39" s="511">
        <f t="shared" si="11"/>
        <v>8</v>
      </c>
      <c r="H39" s="511">
        <f t="shared" si="11"/>
        <v>-2041.24</v>
      </c>
      <c r="I39" s="511">
        <f t="shared" si="11"/>
        <v>1032</v>
      </c>
      <c r="J39" s="511">
        <f t="shared" si="11"/>
        <v>-635.36000000010245</v>
      </c>
      <c r="K39" s="511">
        <f t="shared" si="11"/>
        <v>1826.1500000000233</v>
      </c>
      <c r="L39" s="511"/>
      <c r="M39" s="511"/>
      <c r="AO39" s="317" t="s">
        <v>109</v>
      </c>
      <c r="AP39" s="318">
        <v>191</v>
      </c>
      <c r="AQ39" s="318"/>
      <c r="AR39" s="318"/>
    </row>
    <row r="40" spans="1:55">
      <c r="A40" s="261"/>
      <c r="B40" s="261"/>
      <c r="C40" s="261"/>
      <c r="D40" s="261"/>
      <c r="E40" s="261"/>
      <c r="AO40" s="318"/>
      <c r="AP40" s="318">
        <v>88</v>
      </c>
      <c r="AQ40" s="318"/>
      <c r="AR40" s="318"/>
    </row>
    <row r="41" spans="1:55">
      <c r="A41" s="261"/>
      <c r="B41" s="261"/>
      <c r="C41" s="261"/>
      <c r="D41" s="261"/>
      <c r="E41" s="261"/>
      <c r="AO41" s="318"/>
      <c r="AP41" s="319">
        <f>SUM(AP39:AP40)</f>
        <v>279</v>
      </c>
      <c r="AQ41" s="318" t="s">
        <v>110</v>
      </c>
      <c r="AR41" s="318">
        <v>335</v>
      </c>
    </row>
    <row r="42" spans="1:55">
      <c r="A42" s="261"/>
      <c r="B42" s="261"/>
      <c r="C42" s="261"/>
      <c r="D42" s="261"/>
      <c r="E42" s="261"/>
      <c r="AO42" s="318"/>
      <c r="AP42" s="318"/>
      <c r="AQ42" s="318"/>
      <c r="AR42" s="318"/>
    </row>
    <row r="43" spans="1:55">
      <c r="A43" s="261"/>
      <c r="B43" s="261"/>
      <c r="C43" s="261"/>
      <c r="D43" s="261"/>
      <c r="E43" s="261"/>
      <c r="N43" s="314"/>
      <c r="O43" s="314"/>
      <c r="P43" s="314"/>
      <c r="Q43" s="314"/>
      <c r="R43" s="314"/>
      <c r="S43" s="314"/>
      <c r="T43" s="314"/>
      <c r="U43" s="314"/>
      <c r="V43" s="314"/>
      <c r="W43" s="314"/>
      <c r="X43" s="314"/>
      <c r="Y43" s="314"/>
      <c r="Z43" s="314"/>
      <c r="AA43" s="314"/>
      <c r="AB43" s="314"/>
      <c r="AC43" s="314"/>
      <c r="AD43" s="314"/>
      <c r="AE43" s="314"/>
      <c r="AF43" s="314"/>
      <c r="AG43" s="314"/>
      <c r="AH43" s="314"/>
      <c r="AI43" s="314"/>
      <c r="AJ43" s="314"/>
      <c r="AK43" s="314"/>
      <c r="AL43" s="314"/>
      <c r="AN43" s="314"/>
      <c r="AO43" s="317" t="s">
        <v>111</v>
      </c>
      <c r="AP43" s="319">
        <v>168</v>
      </c>
      <c r="AQ43" s="318"/>
      <c r="AR43" s="318"/>
    </row>
    <row r="44" spans="1:55">
      <c r="A44" s="261"/>
      <c r="B44" s="261"/>
      <c r="C44" s="261"/>
      <c r="D44" s="261"/>
      <c r="E44" s="261"/>
      <c r="AO44" s="318"/>
      <c r="AP44" s="318"/>
      <c r="AQ44" s="318" t="s">
        <v>112</v>
      </c>
      <c r="AR44" s="318"/>
    </row>
    <row r="45" spans="1:55">
      <c r="A45" s="261"/>
      <c r="B45" s="261"/>
      <c r="C45" s="261"/>
      <c r="D45" s="261"/>
      <c r="E45" s="261"/>
      <c r="AO45" s="318" t="s">
        <v>113</v>
      </c>
      <c r="AP45" s="318">
        <f>20*38.68</f>
        <v>773.6</v>
      </c>
      <c r="AQ45" s="318" t="s">
        <v>114</v>
      </c>
      <c r="AR45" s="318"/>
    </row>
    <row r="46" spans="1:55">
      <c r="A46" s="261"/>
      <c r="B46" s="261"/>
      <c r="C46" s="261"/>
      <c r="D46" s="261"/>
      <c r="E46" s="261"/>
    </row>
    <row r="47" spans="1:55">
      <c r="A47" s="261"/>
      <c r="B47" s="261"/>
      <c r="C47" s="261"/>
      <c r="D47" s="261"/>
      <c r="E47" s="261"/>
    </row>
    <row r="48" spans="1:55">
      <c r="A48" s="261"/>
      <c r="B48" s="261"/>
      <c r="C48" s="261"/>
      <c r="D48" s="261"/>
      <c r="E48" s="261"/>
    </row>
    <row r="49" spans="1:5">
      <c r="A49" s="261"/>
      <c r="B49" s="261"/>
      <c r="C49" s="261"/>
      <c r="D49" s="261"/>
      <c r="E49" s="261"/>
    </row>
    <row r="50" spans="1:5">
      <c r="A50" s="261"/>
      <c r="B50" s="261"/>
      <c r="C50" s="261"/>
      <c r="D50" s="261"/>
      <c r="E50" s="261"/>
    </row>
    <row r="51" spans="1:5">
      <c r="A51" s="261"/>
      <c r="B51" s="261"/>
      <c r="C51" s="261"/>
      <c r="D51" s="261"/>
      <c r="E51" s="261"/>
    </row>
    <row r="52" spans="1:5">
      <c r="A52" s="261"/>
      <c r="B52" s="261"/>
      <c r="C52" s="261"/>
      <c r="D52" s="261"/>
      <c r="E52" s="261"/>
    </row>
    <row r="53" spans="1:5">
      <c r="A53" s="261"/>
      <c r="B53" s="261"/>
      <c r="C53" s="261"/>
      <c r="D53" s="261"/>
      <c r="E53" s="261"/>
    </row>
    <row r="54" spans="1:5">
      <c r="A54" s="261"/>
      <c r="B54" s="261"/>
      <c r="C54" s="261"/>
      <c r="D54" s="261"/>
      <c r="E54" s="261"/>
    </row>
    <row r="55" spans="1:5">
      <c r="A55" s="261"/>
      <c r="B55" s="261"/>
      <c r="C55" s="261"/>
      <c r="D55" s="261"/>
      <c r="E55" s="261"/>
    </row>
    <row r="56" spans="1:5">
      <c r="A56" s="261"/>
      <c r="B56" s="261"/>
      <c r="C56" s="261"/>
      <c r="D56" s="261"/>
      <c r="E56" s="261"/>
    </row>
    <row r="57" spans="1:5">
      <c r="A57" s="261"/>
      <c r="B57" s="261"/>
      <c r="C57" s="261"/>
      <c r="D57" s="261"/>
      <c r="E57" s="261"/>
    </row>
    <row r="58" spans="1:5">
      <c r="A58" s="261"/>
      <c r="B58" s="261"/>
      <c r="C58" s="261"/>
      <c r="D58" s="261"/>
      <c r="E58" s="261"/>
    </row>
    <row r="59" spans="1:5">
      <c r="A59" s="261"/>
      <c r="B59" s="261"/>
      <c r="C59" s="261"/>
      <c r="D59" s="261"/>
      <c r="E59" s="261"/>
    </row>
    <row r="60" spans="1:5">
      <c r="A60" s="261"/>
      <c r="B60" s="261"/>
      <c r="C60" s="261"/>
      <c r="D60" s="261"/>
      <c r="E60" s="261"/>
    </row>
    <row r="61" spans="1:5">
      <c r="A61" s="261"/>
      <c r="B61" s="261"/>
      <c r="C61" s="261"/>
      <c r="D61" s="261"/>
      <c r="E61" s="261"/>
    </row>
    <row r="62" spans="1:5">
      <c r="A62" s="261"/>
      <c r="B62" s="261"/>
      <c r="C62" s="261"/>
      <c r="D62" s="261"/>
      <c r="E62" s="261"/>
    </row>
    <row r="63" spans="1:5">
      <c r="A63" s="261"/>
      <c r="B63" s="261"/>
      <c r="C63" s="261"/>
      <c r="D63" s="261"/>
      <c r="E63" s="261"/>
    </row>
    <row r="64" spans="1:5">
      <c r="A64" s="261"/>
      <c r="B64" s="261"/>
      <c r="C64" s="261"/>
      <c r="D64" s="261"/>
      <c r="E64" s="261"/>
    </row>
    <row r="65" spans="1:5">
      <c r="A65" s="261"/>
      <c r="B65" s="261"/>
      <c r="C65" s="261"/>
      <c r="D65" s="261"/>
      <c r="E65" s="261"/>
    </row>
    <row r="66" spans="1:5">
      <c r="A66" s="261"/>
      <c r="B66" s="261"/>
      <c r="C66" s="261"/>
      <c r="D66" s="261"/>
      <c r="E66" s="261"/>
    </row>
    <row r="67" spans="1:5">
      <c r="A67" s="261"/>
      <c r="B67" s="261"/>
      <c r="C67" s="261"/>
      <c r="D67" s="261"/>
      <c r="E67" s="261"/>
    </row>
    <row r="68" spans="1:5">
      <c r="A68" s="261"/>
      <c r="B68" s="261"/>
      <c r="C68" s="261"/>
      <c r="D68" s="261"/>
      <c r="E68" s="261"/>
    </row>
    <row r="69" spans="1:5">
      <c r="A69" s="261"/>
      <c r="B69" s="261"/>
      <c r="C69" s="261"/>
      <c r="D69" s="261"/>
      <c r="E69" s="261"/>
    </row>
    <row r="70" spans="1:5">
      <c r="A70" s="261"/>
      <c r="B70" s="261"/>
      <c r="C70" s="261"/>
      <c r="D70" s="261"/>
      <c r="E70" s="261"/>
    </row>
    <row r="71" spans="1:5">
      <c r="A71" s="261"/>
      <c r="B71" s="261"/>
      <c r="C71" s="261"/>
      <c r="D71" s="261"/>
      <c r="E71" s="261"/>
    </row>
    <row r="72" spans="1:5">
      <c r="A72" s="261"/>
      <c r="B72" s="261"/>
      <c r="C72" s="261"/>
      <c r="D72" s="261"/>
      <c r="E72" s="261"/>
    </row>
    <row r="73" spans="1:5">
      <c r="A73" s="261"/>
      <c r="B73" s="261"/>
      <c r="C73" s="261"/>
      <c r="D73" s="261"/>
      <c r="E73" s="261"/>
    </row>
    <row r="74" spans="1:5">
      <c r="A74" s="261"/>
      <c r="B74" s="261"/>
      <c r="C74" s="261"/>
      <c r="D74" s="261"/>
      <c r="E74" s="261"/>
    </row>
    <row r="75" spans="1:5">
      <c r="A75" s="261"/>
      <c r="B75" s="261"/>
      <c r="C75" s="261"/>
      <c r="D75" s="261"/>
      <c r="E75" s="261"/>
    </row>
    <row r="76" spans="1:5">
      <c r="A76" s="261"/>
      <c r="B76" s="261"/>
      <c r="C76" s="261"/>
      <c r="D76" s="261"/>
      <c r="E76" s="261"/>
    </row>
    <row r="77" spans="1:5">
      <c r="A77" s="261"/>
      <c r="B77" s="261"/>
      <c r="C77" s="261"/>
      <c r="D77" s="261"/>
      <c r="E77" s="261"/>
    </row>
    <row r="78" spans="1:5">
      <c r="A78" s="261"/>
      <c r="B78" s="261"/>
      <c r="C78" s="261"/>
      <c r="D78" s="261"/>
      <c r="E78" s="261"/>
    </row>
    <row r="79" spans="1:5">
      <c r="A79" s="261"/>
      <c r="B79" s="261"/>
      <c r="C79" s="261"/>
      <c r="D79" s="261"/>
      <c r="E79" s="261"/>
    </row>
    <row r="80" spans="1:5">
      <c r="A80" s="261"/>
      <c r="B80" s="261"/>
      <c r="C80" s="261"/>
      <c r="D80" s="261"/>
      <c r="E80" s="261"/>
    </row>
    <row r="81" spans="1:5">
      <c r="A81" s="261"/>
      <c r="B81" s="261"/>
      <c r="C81" s="261"/>
      <c r="D81" s="261"/>
      <c r="E81" s="261"/>
    </row>
    <row r="82" spans="1:5">
      <c r="A82" s="261"/>
      <c r="B82" s="261"/>
      <c r="C82" s="261"/>
      <c r="D82" s="261"/>
      <c r="E82" s="261"/>
    </row>
    <row r="83" spans="1:5">
      <c r="A83" s="261"/>
      <c r="B83" s="261"/>
      <c r="C83" s="261"/>
      <c r="D83" s="261"/>
      <c r="E83" s="261"/>
    </row>
    <row r="84" spans="1:5">
      <c r="A84" s="261"/>
      <c r="B84" s="261"/>
      <c r="C84" s="261"/>
      <c r="D84" s="261"/>
      <c r="E84" s="261"/>
    </row>
    <row r="85" spans="1:5">
      <c r="A85" s="261"/>
      <c r="B85" s="261"/>
      <c r="C85" s="261"/>
      <c r="D85" s="261"/>
      <c r="E85" s="261"/>
    </row>
    <row r="86" spans="1:5">
      <c r="A86" s="261"/>
      <c r="B86" s="261"/>
      <c r="C86" s="261"/>
      <c r="D86" s="261"/>
      <c r="E86" s="261"/>
    </row>
    <row r="87" spans="1:5">
      <c r="A87" s="261"/>
      <c r="B87" s="261"/>
      <c r="C87" s="261"/>
      <c r="D87" s="261"/>
      <c r="E87" s="261"/>
    </row>
    <row r="88" spans="1:5">
      <c r="A88" s="261"/>
      <c r="B88" s="261"/>
      <c r="C88" s="261"/>
      <c r="D88" s="261"/>
      <c r="E88" s="261"/>
    </row>
    <row r="89" spans="1:5">
      <c r="A89" s="320"/>
      <c r="B89" s="320"/>
      <c r="C89" s="320"/>
      <c r="D89" s="320"/>
      <c r="E89" s="320"/>
    </row>
    <row r="90" spans="1:5">
      <c r="A90" s="320"/>
      <c r="B90" s="320"/>
      <c r="C90" s="320"/>
      <c r="D90" s="320"/>
      <c r="E90" s="320"/>
    </row>
    <row r="91" spans="1:5">
      <c r="A91" s="320"/>
      <c r="B91" s="320"/>
      <c r="C91" s="320"/>
      <c r="D91" s="320"/>
      <c r="E91" s="320"/>
    </row>
    <row r="92" spans="1:5">
      <c r="A92" s="320"/>
      <c r="B92" s="320"/>
      <c r="C92" s="320"/>
      <c r="D92" s="320"/>
      <c r="E92" s="320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270"/>
  <sheetViews>
    <sheetView view="pageBreakPreview" zoomScale="55" zoomScaleNormal="61" zoomScaleSheetLayoutView="55" zoomScalePageLayoutView="70" workbookViewId="0">
      <selection activeCell="G17" sqref="G17"/>
    </sheetView>
  </sheetViews>
  <sheetFormatPr defaultColWidth="22.33203125" defaultRowHeight="21.95" customHeight="1"/>
  <cols>
    <col min="1" max="1" width="50.21875" style="97" customWidth="1"/>
    <col min="2" max="2" width="27.88671875" style="96" bestFit="1" customWidth="1"/>
    <col min="3" max="3" width="14.44140625" style="96" customWidth="1"/>
    <col min="4" max="4" width="13.6640625" style="97" customWidth="1"/>
    <col min="5" max="5" width="15.77734375" style="718" bestFit="1" customWidth="1"/>
    <col min="6" max="6" width="19.44140625" style="718" customWidth="1"/>
    <col min="7" max="7" width="28.88671875" style="719" customWidth="1"/>
    <col min="8" max="8" width="24.6640625" style="720" customWidth="1"/>
    <col min="9" max="9" width="23.5546875" style="718" customWidth="1"/>
    <col min="10" max="10" width="24" style="720" customWidth="1"/>
    <col min="11" max="11" width="43.21875" style="96" hidden="1" customWidth="1"/>
    <col min="12" max="13" width="0" style="96" hidden="1" customWidth="1"/>
    <col min="14" max="14" width="25.109375" style="96" customWidth="1"/>
    <col min="15" max="16" width="22.33203125" style="96"/>
    <col min="17" max="17" width="44.77734375" style="96" customWidth="1"/>
    <col min="18" max="16384" width="22.33203125" style="96"/>
  </cols>
  <sheetData>
    <row r="1" spans="1:15" ht="26.25">
      <c r="A1" s="797" t="s">
        <v>115</v>
      </c>
      <c r="B1" s="798"/>
      <c r="C1" s="798"/>
      <c r="D1" s="798"/>
      <c r="E1" s="798"/>
      <c r="F1" s="798"/>
      <c r="G1" s="798"/>
      <c r="H1" s="798"/>
      <c r="I1" s="798"/>
      <c r="J1" s="799"/>
    </row>
    <row r="2" spans="1:15" s="105" customFormat="1" ht="28.5">
      <c r="A2" s="191" t="s">
        <v>349</v>
      </c>
      <c r="B2" s="566">
        <v>44896</v>
      </c>
      <c r="C2" s="567" t="s">
        <v>67</v>
      </c>
      <c r="D2" s="611">
        <v>0.92</v>
      </c>
      <c r="E2" s="637"/>
      <c r="F2" s="638"/>
      <c r="G2" s="639" t="s">
        <v>116</v>
      </c>
      <c r="H2" s="640" t="s">
        <v>5</v>
      </c>
      <c r="I2" s="638" t="s">
        <v>7</v>
      </c>
      <c r="J2" s="641" t="s">
        <v>117</v>
      </c>
    </row>
    <row r="3" spans="1:15" s="105" customFormat="1" ht="28.5">
      <c r="A3" s="189"/>
      <c r="B3" s="568"/>
      <c r="C3" s="567" t="s">
        <v>118</v>
      </c>
      <c r="D3" s="612">
        <v>26</v>
      </c>
      <c r="E3" s="806" t="s">
        <v>119</v>
      </c>
      <c r="F3" s="807"/>
      <c r="G3" s="639"/>
      <c r="H3" s="640"/>
      <c r="I3" s="640"/>
      <c r="J3" s="641"/>
      <c r="K3" s="569"/>
      <c r="L3" s="570"/>
    </row>
    <row r="4" spans="1:15" s="105" customFormat="1" ht="28.5">
      <c r="A4" s="192"/>
      <c r="B4" s="571"/>
      <c r="C4" s="567" t="s">
        <v>120</v>
      </c>
      <c r="D4" s="611">
        <v>0.78</v>
      </c>
      <c r="E4" s="637"/>
      <c r="F4" s="642"/>
      <c r="G4" s="639"/>
      <c r="H4" s="640"/>
      <c r="I4" s="643"/>
      <c r="J4" s="641"/>
      <c r="K4" s="572"/>
      <c r="L4" s="570"/>
    </row>
    <row r="5" spans="1:15" s="97" customFormat="1" ht="28.5">
      <c r="A5" s="563" t="s">
        <v>121</v>
      </c>
      <c r="B5" s="98"/>
      <c r="C5" s="98"/>
      <c r="D5" s="98" t="s">
        <v>122</v>
      </c>
      <c r="E5" s="748" t="s">
        <v>123</v>
      </c>
      <c r="F5" s="749" t="s">
        <v>110</v>
      </c>
      <c r="G5" s="750" t="s">
        <v>124</v>
      </c>
      <c r="H5" s="751" t="s">
        <v>125</v>
      </c>
      <c r="I5" s="751" t="s">
        <v>126</v>
      </c>
      <c r="J5" s="752" t="s">
        <v>127</v>
      </c>
      <c r="K5" s="564"/>
      <c r="L5" s="565"/>
    </row>
    <row r="6" spans="1:15" s="105" customFormat="1" ht="28.5">
      <c r="A6" s="800" t="s">
        <v>128</v>
      </c>
      <c r="B6" s="801"/>
      <c r="C6" s="802"/>
      <c r="D6" s="613"/>
      <c r="E6" s="646"/>
      <c r="F6" s="646"/>
      <c r="G6" s="647"/>
      <c r="H6" s="648"/>
      <c r="I6" s="646"/>
      <c r="J6" s="649"/>
      <c r="K6" s="573"/>
      <c r="L6" s="570"/>
    </row>
    <row r="7" spans="1:15" s="105" customFormat="1" ht="29.25" thickBot="1">
      <c r="A7" s="194" t="s">
        <v>129</v>
      </c>
      <c r="B7" s="574"/>
      <c r="C7" s="574"/>
      <c r="D7" s="307" t="s">
        <v>130</v>
      </c>
      <c r="E7" s="672">
        <v>273682.55</v>
      </c>
      <c r="F7" s="645">
        <v>296176</v>
      </c>
      <c r="G7" s="651">
        <f>F7-E7</f>
        <v>22493.450000000012</v>
      </c>
      <c r="H7" s="645">
        <f>G7</f>
        <v>22493.450000000012</v>
      </c>
      <c r="I7" s="652">
        <v>12000</v>
      </c>
      <c r="J7" s="653">
        <f>H7/DAY(B2)</f>
        <v>22493.450000000012</v>
      </c>
      <c r="K7" s="576">
        <v>1375467</v>
      </c>
      <c r="L7" s="570"/>
      <c r="N7" s="577"/>
      <c r="O7" s="578"/>
    </row>
    <row r="8" spans="1:15" s="105" customFormat="1" ht="29.25" thickBot="1">
      <c r="A8" s="196" t="s">
        <v>131</v>
      </c>
      <c r="B8" s="579"/>
      <c r="C8" s="580"/>
      <c r="D8" s="614" t="s">
        <v>24</v>
      </c>
      <c r="E8" s="672">
        <v>451261</v>
      </c>
      <c r="F8" s="645">
        <v>473851.8</v>
      </c>
      <c r="G8" s="651">
        <f>F8-E8</f>
        <v>22590.799999999988</v>
      </c>
      <c r="H8" s="645">
        <f>G8</f>
        <v>22590.799999999988</v>
      </c>
      <c r="I8" s="654">
        <v>12000</v>
      </c>
      <c r="J8" s="653">
        <f>H8/DAY(B2)</f>
        <v>22590.799999999988</v>
      </c>
      <c r="K8" s="576">
        <v>1715917</v>
      </c>
      <c r="L8" s="581">
        <v>1728480</v>
      </c>
      <c r="M8" s="577">
        <f>L8-K8</f>
        <v>12563</v>
      </c>
      <c r="N8" s="577"/>
      <c r="O8" s="578"/>
    </row>
    <row r="9" spans="1:15" s="105" customFormat="1" ht="28.5">
      <c r="A9" s="199" t="s">
        <v>132</v>
      </c>
      <c r="B9" s="582"/>
      <c r="C9" s="582"/>
      <c r="D9" s="307" t="s">
        <v>130</v>
      </c>
      <c r="E9" s="672">
        <v>4114170.3</v>
      </c>
      <c r="F9" s="655">
        <v>4120395</v>
      </c>
      <c r="G9" s="656">
        <f>F9-E9</f>
        <v>6224.7000000001863</v>
      </c>
      <c r="H9" s="645">
        <f t="shared" ref="H9:H13" si="0">G9</f>
        <v>6224.7000000001863</v>
      </c>
      <c r="I9" s="652">
        <f>I8-J8</f>
        <v>-10590.799999999988</v>
      </c>
      <c r="J9" s="653">
        <f>H9/DAY(B2)</f>
        <v>6224.7000000001863</v>
      </c>
      <c r="K9" s="583">
        <f>K8-100</f>
        <v>1715817</v>
      </c>
      <c r="L9" s="570"/>
      <c r="N9" s="577"/>
      <c r="O9" s="578"/>
    </row>
    <row r="10" spans="1:15" s="105" customFormat="1" ht="28.5">
      <c r="A10" s="194" t="s">
        <v>133</v>
      </c>
      <c r="B10" s="574"/>
      <c r="C10" s="574"/>
      <c r="D10" s="307" t="s">
        <v>130</v>
      </c>
      <c r="E10" s="672">
        <v>3689479.1</v>
      </c>
      <c r="F10" s="655">
        <v>3705134.7</v>
      </c>
      <c r="G10" s="656">
        <f t="shared" ref="G10:G11" si="1">F10-E10</f>
        <v>15655.600000000093</v>
      </c>
      <c r="H10" s="645">
        <f t="shared" si="0"/>
        <v>15655.600000000093</v>
      </c>
      <c r="I10" s="645"/>
      <c r="J10" s="653">
        <f>H10/DAY(B2)</f>
        <v>15655.600000000093</v>
      </c>
      <c r="K10" s="583"/>
      <c r="L10" s="570"/>
      <c r="N10" s="577"/>
      <c r="O10" s="578"/>
    </row>
    <row r="11" spans="1:15" s="105" customFormat="1" ht="28.5">
      <c r="A11" s="194" t="s">
        <v>134</v>
      </c>
      <c r="B11" s="574"/>
      <c r="C11" s="574"/>
      <c r="D11" s="307" t="s">
        <v>130</v>
      </c>
      <c r="E11" s="672">
        <v>38120</v>
      </c>
      <c r="F11" s="645">
        <v>38120</v>
      </c>
      <c r="G11" s="656">
        <f t="shared" si="1"/>
        <v>0</v>
      </c>
      <c r="H11" s="645">
        <f t="shared" si="0"/>
        <v>0</v>
      </c>
      <c r="I11" s="645"/>
      <c r="J11" s="653">
        <f>H11/DAY(B2)</f>
        <v>0</v>
      </c>
      <c r="K11" s="583"/>
      <c r="L11" s="570"/>
      <c r="N11" s="577"/>
      <c r="O11" s="578">
        <f>142-18</f>
        <v>124</v>
      </c>
    </row>
    <row r="12" spans="1:15" s="105" customFormat="1" ht="28.5">
      <c r="A12" s="194" t="s">
        <v>135</v>
      </c>
      <c r="B12" s="574"/>
      <c r="C12" s="574"/>
      <c r="D12" s="307" t="s">
        <v>130</v>
      </c>
      <c r="E12" s="672">
        <v>40390</v>
      </c>
      <c r="F12" s="655">
        <v>40390</v>
      </c>
      <c r="G12" s="656">
        <f>F12-E12</f>
        <v>0</v>
      </c>
      <c r="H12" s="645">
        <f t="shared" si="0"/>
        <v>0</v>
      </c>
      <c r="I12" s="645"/>
      <c r="J12" s="653">
        <f>H12/DAY(B2)</f>
        <v>0</v>
      </c>
      <c r="K12" s="583"/>
      <c r="L12" s="570"/>
      <c r="N12" s="577"/>
      <c r="O12" s="578"/>
    </row>
    <row r="13" spans="1:15" s="105" customFormat="1" ht="28.5">
      <c r="A13" s="201" t="s">
        <v>136</v>
      </c>
      <c r="B13" s="584"/>
      <c r="C13" s="584"/>
      <c r="D13" s="307"/>
      <c r="E13" s="672"/>
      <c r="F13" s="645"/>
      <c r="G13" s="656">
        <v>26109</v>
      </c>
      <c r="H13" s="645">
        <f t="shared" si="0"/>
        <v>26109</v>
      </c>
      <c r="I13" s="652">
        <f>G7-G13</f>
        <v>-3615.5499999999884</v>
      </c>
      <c r="J13" s="653">
        <f>H13/DAY(B2)</f>
        <v>26109</v>
      </c>
      <c r="K13" s="583"/>
      <c r="L13" s="570"/>
      <c r="N13" s="577"/>
      <c r="O13" s="578"/>
    </row>
    <row r="14" spans="1:15" s="105" customFormat="1" ht="28.5">
      <c r="A14" s="803" t="s">
        <v>137</v>
      </c>
      <c r="B14" s="804"/>
      <c r="C14" s="805"/>
      <c r="D14" s="615"/>
      <c r="E14" s="648"/>
      <c r="F14" s="648"/>
      <c r="G14" s="657"/>
      <c r="H14" s="648"/>
      <c r="I14" s="648"/>
      <c r="J14" s="649"/>
      <c r="K14" s="585"/>
      <c r="L14" s="570"/>
      <c r="N14" s="577"/>
      <c r="O14" s="578"/>
    </row>
    <row r="15" spans="1:15" s="105" customFormat="1" ht="28.5">
      <c r="A15" s="345" t="s">
        <v>138</v>
      </c>
      <c r="B15" s="586"/>
      <c r="C15" s="586"/>
      <c r="D15" s="307" t="s">
        <v>139</v>
      </c>
      <c r="E15" s="736">
        <v>2218941</v>
      </c>
      <c r="F15" s="658">
        <v>2219923.4</v>
      </c>
      <c r="G15" s="659">
        <f>(F15-E15)</f>
        <v>982.39999999990687</v>
      </c>
      <c r="H15" s="652">
        <f>G15</f>
        <v>982.39999999990687</v>
      </c>
      <c r="I15" s="652">
        <v>800</v>
      </c>
      <c r="J15" s="653">
        <f>H15/DAY(B2)</f>
        <v>982.39999999990687</v>
      </c>
      <c r="K15" s="583"/>
      <c r="L15" s="570"/>
      <c r="N15" s="577"/>
      <c r="O15" s="578"/>
    </row>
    <row r="16" spans="1:15" s="105" customFormat="1" ht="28.5">
      <c r="A16" s="203"/>
      <c r="B16" s="587"/>
      <c r="C16" s="587"/>
      <c r="D16" s="616"/>
      <c r="E16" s="672"/>
      <c r="F16" s="660"/>
      <c r="G16" s="656"/>
      <c r="H16" s="652"/>
      <c r="I16" s="652">
        <f>I15-J15</f>
        <v>-182.39999999990687</v>
      </c>
      <c r="J16" s="661"/>
      <c r="K16" s="583"/>
      <c r="L16" s="570"/>
      <c r="N16" s="577"/>
      <c r="O16" s="578"/>
    </row>
    <row r="17" spans="1:15" s="105" customFormat="1" ht="28.5">
      <c r="A17" s="803" t="s">
        <v>140</v>
      </c>
      <c r="B17" s="804"/>
      <c r="C17" s="805"/>
      <c r="D17" s="615"/>
      <c r="E17" s="746"/>
      <c r="F17" s="648"/>
      <c r="G17" s="657"/>
      <c r="H17" s="648"/>
      <c r="I17" s="648"/>
      <c r="J17" s="649"/>
      <c r="K17" s="583"/>
      <c r="L17" s="570"/>
      <c r="N17" s="577"/>
      <c r="O17" s="578"/>
    </row>
    <row r="18" spans="1:15" s="105" customFormat="1" ht="28.5">
      <c r="A18" s="794" t="s">
        <v>141</v>
      </c>
      <c r="B18" s="795"/>
      <c r="C18" s="796"/>
      <c r="D18" s="307" t="s">
        <v>142</v>
      </c>
      <c r="E18" s="672">
        <v>28</v>
      </c>
      <c r="F18" s="662">
        <v>25</v>
      </c>
      <c r="G18" s="663">
        <f>F18*10</f>
        <v>250</v>
      </c>
      <c r="H18" s="645">
        <f>G18</f>
        <v>250</v>
      </c>
      <c r="I18" s="652">
        <v>65</v>
      </c>
      <c r="J18" s="653">
        <f>H18/DAY(B2)</f>
        <v>250</v>
      </c>
      <c r="K18" s="583"/>
      <c r="L18" s="570"/>
      <c r="N18" s="577"/>
      <c r="O18" s="578"/>
    </row>
    <row r="19" spans="1:15" s="105" customFormat="1" ht="28.5">
      <c r="A19" s="794" t="s">
        <v>69</v>
      </c>
      <c r="B19" s="795"/>
      <c r="C19" s="796"/>
      <c r="D19" s="307" t="s">
        <v>142</v>
      </c>
      <c r="E19" s="672">
        <v>167960</v>
      </c>
      <c r="F19" s="662">
        <v>168013</v>
      </c>
      <c r="G19" s="656">
        <f t="shared" ref="G19" si="2">F19-E19</f>
        <v>53</v>
      </c>
      <c r="H19" s="645">
        <f t="shared" ref="H19" si="3">G19</f>
        <v>53</v>
      </c>
      <c r="I19" s="655"/>
      <c r="J19" s="653">
        <f>H19/DAY(B2)</f>
        <v>53</v>
      </c>
      <c r="K19" s="583"/>
      <c r="L19" s="570"/>
      <c r="N19" s="577"/>
      <c r="O19" s="578"/>
    </row>
    <row r="20" spans="1:15" s="105" customFormat="1" ht="28.5">
      <c r="A20" s="201" t="s">
        <v>143</v>
      </c>
      <c r="B20" s="584"/>
      <c r="C20" s="584"/>
      <c r="D20" s="617"/>
      <c r="E20" s="747"/>
      <c r="F20" s="664"/>
      <c r="G20" s="665">
        <f>G18+G19</f>
        <v>303</v>
      </c>
      <c r="H20" s="645">
        <f>G20</f>
        <v>303</v>
      </c>
      <c r="I20" s="666">
        <f>I18-J20</f>
        <v>-238</v>
      </c>
      <c r="J20" s="653">
        <f>H20/DAY(B2)</f>
        <v>303</v>
      </c>
      <c r="K20" s="583"/>
      <c r="L20" s="570"/>
      <c r="N20" s="577"/>
      <c r="O20" s="578"/>
    </row>
    <row r="21" spans="1:15" s="105" customFormat="1" ht="28.5">
      <c r="A21" s="803" t="s">
        <v>144</v>
      </c>
      <c r="B21" s="804"/>
      <c r="C21" s="805"/>
      <c r="D21" s="615"/>
      <c r="E21" s="746"/>
      <c r="F21" s="648"/>
      <c r="G21" s="657"/>
      <c r="H21" s="648"/>
      <c r="I21" s="648"/>
      <c r="J21" s="649"/>
      <c r="K21" s="583"/>
      <c r="L21" s="570"/>
      <c r="N21" s="577"/>
      <c r="O21" s="578"/>
    </row>
    <row r="22" spans="1:15" s="105" customFormat="1" ht="28.5">
      <c r="A22" s="345" t="s">
        <v>145</v>
      </c>
      <c r="B22" s="586"/>
      <c r="C22" s="586"/>
      <c r="D22" s="307" t="s">
        <v>146</v>
      </c>
      <c r="E22" s="672">
        <v>2970</v>
      </c>
      <c r="F22" s="662">
        <v>2970</v>
      </c>
      <c r="G22" s="663">
        <f>(F22-E22)</f>
        <v>0</v>
      </c>
      <c r="H22" s="645">
        <f>G22</f>
        <v>0</v>
      </c>
      <c r="I22" s="645"/>
      <c r="J22" s="653">
        <f>H22/DAY(B2)</f>
        <v>0</v>
      </c>
      <c r="K22" s="583"/>
      <c r="L22" s="570"/>
      <c r="N22" s="577"/>
      <c r="O22" s="578"/>
    </row>
    <row r="23" spans="1:15" s="105" customFormat="1" ht="28.5">
      <c r="A23" s="345" t="s">
        <v>147</v>
      </c>
      <c r="B23" s="586"/>
      <c r="C23" s="586"/>
      <c r="D23" s="307" t="s">
        <v>146</v>
      </c>
      <c r="E23" s="672">
        <v>2000</v>
      </c>
      <c r="F23" s="662">
        <v>2000</v>
      </c>
      <c r="G23" s="663">
        <f t="shared" ref="G23" si="4">(F23-E23)</f>
        <v>0</v>
      </c>
      <c r="H23" s="645">
        <f t="shared" ref="H23:H24" si="5">G23</f>
        <v>0</v>
      </c>
      <c r="I23" s="645"/>
      <c r="J23" s="653">
        <f>H23/DAY(B2)</f>
        <v>0</v>
      </c>
      <c r="K23" s="583"/>
      <c r="L23" s="570"/>
      <c r="N23" s="577"/>
      <c r="O23" s="578"/>
    </row>
    <row r="24" spans="1:15" s="105" customFormat="1" ht="28.5">
      <c r="A24" s="206" t="s">
        <v>148</v>
      </c>
      <c r="B24" s="588"/>
      <c r="C24" s="588"/>
      <c r="D24" s="618" t="s">
        <v>146</v>
      </c>
      <c r="E24" s="672">
        <v>4970</v>
      </c>
      <c r="F24" s="667">
        <v>4970</v>
      </c>
      <c r="G24" s="663">
        <f>SUM(G22:G23)</f>
        <v>0</v>
      </c>
      <c r="H24" s="645">
        <f t="shared" si="5"/>
        <v>0</v>
      </c>
      <c r="I24" s="645"/>
      <c r="J24" s="653">
        <f>H24/DAY(B2)</f>
        <v>0</v>
      </c>
      <c r="K24" s="583"/>
      <c r="L24" s="570"/>
      <c r="N24" s="577"/>
      <c r="O24" s="578"/>
    </row>
    <row r="25" spans="1:15" s="105" customFormat="1" ht="28.5">
      <c r="A25" s="800" t="s">
        <v>149</v>
      </c>
      <c r="B25" s="801"/>
      <c r="C25" s="802"/>
      <c r="D25" s="613"/>
      <c r="E25" s="746"/>
      <c r="F25" s="648"/>
      <c r="G25" s="657"/>
      <c r="H25" s="648"/>
      <c r="I25" s="668"/>
      <c r="J25" s="649"/>
      <c r="K25" s="583"/>
      <c r="L25" s="570"/>
      <c r="N25" s="577"/>
      <c r="O25" s="578"/>
    </row>
    <row r="26" spans="1:15" s="105" customFormat="1" ht="28.5">
      <c r="A26" s="208" t="s">
        <v>150</v>
      </c>
      <c r="B26" s="589"/>
      <c r="C26" s="590"/>
      <c r="D26" s="619" t="s">
        <v>151</v>
      </c>
      <c r="E26" s="672"/>
      <c r="F26" s="669"/>
      <c r="G26" s="670"/>
      <c r="H26" s="645"/>
      <c r="I26" s="671"/>
      <c r="J26" s="653"/>
      <c r="K26" s="585"/>
      <c r="L26" s="570"/>
      <c r="N26" s="577"/>
      <c r="O26" s="578"/>
    </row>
    <row r="27" spans="1:15" s="105" customFormat="1" ht="28.5">
      <c r="A27" s="208" t="s">
        <v>5</v>
      </c>
      <c r="B27" s="589"/>
      <c r="C27" s="590"/>
      <c r="D27" s="620" t="s">
        <v>24</v>
      </c>
      <c r="E27" s="672">
        <f>G8</f>
        <v>22590.799999999988</v>
      </c>
      <c r="F27" s="673">
        <v>10</v>
      </c>
      <c r="G27" s="674">
        <f>E27*F27</f>
        <v>225907.99999999988</v>
      </c>
      <c r="H27" s="645">
        <f t="shared" ref="H27:H32" si="6">G27</f>
        <v>225907.99999999988</v>
      </c>
      <c r="I27" s="675"/>
      <c r="J27" s="653">
        <f>H27/DAY(B2)</f>
        <v>225907.99999999988</v>
      </c>
      <c r="K27" s="583"/>
      <c r="L27" s="570"/>
      <c r="N27" s="577"/>
      <c r="O27" s="578"/>
    </row>
    <row r="28" spans="1:15" s="105" customFormat="1" ht="28.5">
      <c r="A28" s="208" t="s">
        <v>152</v>
      </c>
      <c r="B28" s="589"/>
      <c r="C28" s="590"/>
      <c r="D28" s="620" t="s">
        <v>153</v>
      </c>
      <c r="E28" s="672">
        <f>G15</f>
        <v>982.39999999990687</v>
      </c>
      <c r="F28" s="673">
        <v>75</v>
      </c>
      <c r="G28" s="674">
        <f>E28*F28</f>
        <v>73679.999999993015</v>
      </c>
      <c r="H28" s="645">
        <f t="shared" si="6"/>
        <v>73679.999999993015</v>
      </c>
      <c r="I28" s="671"/>
      <c r="J28" s="653">
        <f>H28/DAY(B2)</f>
        <v>73679.999999993015</v>
      </c>
      <c r="K28" s="583"/>
      <c r="L28" s="570"/>
      <c r="N28" s="577"/>
      <c r="O28" s="578"/>
    </row>
    <row r="29" spans="1:15" s="105" customFormat="1" ht="28.5">
      <c r="A29" s="208" t="s">
        <v>154</v>
      </c>
      <c r="B29" s="589"/>
      <c r="C29" s="590"/>
      <c r="D29" s="620" t="s">
        <v>155</v>
      </c>
      <c r="E29" s="672">
        <f>G24</f>
        <v>0</v>
      </c>
      <c r="F29" s="673">
        <v>69</v>
      </c>
      <c r="G29" s="674">
        <f>E29*F29</f>
        <v>0</v>
      </c>
      <c r="H29" s="645">
        <f t="shared" si="6"/>
        <v>0</v>
      </c>
      <c r="I29" s="671"/>
      <c r="J29" s="653">
        <f>H29/DAY(B2)</f>
        <v>0</v>
      </c>
      <c r="K29" s="583"/>
      <c r="L29" s="570"/>
      <c r="N29" s="577"/>
      <c r="O29" s="578"/>
    </row>
    <row r="30" spans="1:15" s="105" customFormat="1" ht="28.5">
      <c r="A30" s="208" t="s">
        <v>156</v>
      </c>
      <c r="B30" s="589"/>
      <c r="C30" s="590"/>
      <c r="D30" s="620" t="s">
        <v>157</v>
      </c>
      <c r="E30" s="672">
        <f>G19</f>
        <v>53</v>
      </c>
      <c r="F30" s="673">
        <v>151</v>
      </c>
      <c r="G30" s="674">
        <f>E30*F30</f>
        <v>8003</v>
      </c>
      <c r="H30" s="645">
        <f t="shared" si="6"/>
        <v>8003</v>
      </c>
      <c r="I30" s="671"/>
      <c r="J30" s="653">
        <f>H30/DAY(B2)</f>
        <v>8003</v>
      </c>
      <c r="K30" s="583"/>
      <c r="L30" s="570"/>
      <c r="N30" s="577"/>
      <c r="O30" s="578"/>
    </row>
    <row r="31" spans="1:15" s="105" customFormat="1" ht="28.5">
      <c r="A31" s="208" t="s">
        <v>158</v>
      </c>
      <c r="B31" s="589"/>
      <c r="C31" s="590"/>
      <c r="D31" s="620" t="s">
        <v>142</v>
      </c>
      <c r="E31" s="672">
        <f>G18</f>
        <v>250</v>
      </c>
      <c r="F31" s="673">
        <v>80</v>
      </c>
      <c r="G31" s="674">
        <f>E31*F31</f>
        <v>20000</v>
      </c>
      <c r="H31" s="645">
        <f t="shared" si="6"/>
        <v>20000</v>
      </c>
      <c r="I31" s="671"/>
      <c r="J31" s="653">
        <f>H31/DAY(B2)</f>
        <v>20000</v>
      </c>
      <c r="K31" s="583"/>
      <c r="L31" s="570"/>
      <c r="N31" s="577"/>
      <c r="O31" s="578"/>
    </row>
    <row r="32" spans="1:15" s="105" customFormat="1" ht="28.5">
      <c r="A32" s="211" t="s">
        <v>159</v>
      </c>
      <c r="B32" s="591"/>
      <c r="C32" s="592"/>
      <c r="D32" s="621"/>
      <c r="E32" s="672"/>
      <c r="F32" s="676"/>
      <c r="G32" s="677">
        <f>G27+G28+G29+G30+G31</f>
        <v>327590.9999999929</v>
      </c>
      <c r="H32" s="678">
        <f t="shared" si="6"/>
        <v>327590.9999999929</v>
      </c>
      <c r="I32" s="679"/>
      <c r="J32" s="680">
        <f>H32/DAY(B2)</f>
        <v>327590.9999999929</v>
      </c>
      <c r="K32" s="583"/>
      <c r="L32" s="570"/>
      <c r="N32" s="577"/>
      <c r="O32" s="578"/>
    </row>
    <row r="33" spans="1:15" s="105" customFormat="1" ht="25.5" customHeight="1">
      <c r="A33" s="808" t="s">
        <v>331</v>
      </c>
      <c r="B33" s="809"/>
      <c r="C33" s="809"/>
      <c r="D33" s="622"/>
      <c r="E33" s="681"/>
      <c r="F33" s="681"/>
      <c r="G33" s="681"/>
      <c r="H33" s="681"/>
      <c r="I33" s="681"/>
      <c r="J33" s="682"/>
      <c r="K33" s="583"/>
      <c r="L33" s="570"/>
      <c r="N33" s="577"/>
      <c r="O33" s="578"/>
    </row>
    <row r="34" spans="1:15" s="105" customFormat="1" ht="28.5">
      <c r="A34" s="214" t="s">
        <v>160</v>
      </c>
      <c r="B34" s="593"/>
      <c r="C34" s="593"/>
      <c r="D34" s="615"/>
      <c r="E34" s="648"/>
      <c r="F34" s="648"/>
      <c r="G34" s="648"/>
      <c r="H34" s="648"/>
      <c r="I34" s="648"/>
      <c r="J34" s="649"/>
      <c r="K34" s="583"/>
      <c r="L34" s="570"/>
      <c r="N34" s="577"/>
      <c r="O34" s="578"/>
    </row>
    <row r="35" spans="1:15" s="105" customFormat="1" ht="28.5">
      <c r="A35" s="194" t="s">
        <v>161</v>
      </c>
      <c r="B35" s="574"/>
      <c r="C35" s="574"/>
      <c r="D35" s="307" t="s">
        <v>130</v>
      </c>
      <c r="E35" s="672">
        <v>369096.91</v>
      </c>
      <c r="F35" s="655">
        <v>371906.71</v>
      </c>
      <c r="G35" s="656">
        <f t="shared" ref="G35:G46" si="7">F35-E35</f>
        <v>2809.8000000000466</v>
      </c>
      <c r="H35" s="645">
        <f t="shared" ref="H35:H47" si="8">G35</f>
        <v>2809.8000000000466</v>
      </c>
      <c r="I35" s="645"/>
      <c r="J35" s="653">
        <f>H35/DAY(B2)</f>
        <v>2809.8000000000466</v>
      </c>
      <c r="K35" s="583"/>
      <c r="L35" s="570"/>
      <c r="N35" s="577"/>
      <c r="O35" s="578"/>
    </row>
    <row r="36" spans="1:15" s="105" customFormat="1" ht="28.5">
      <c r="A36" s="194" t="s">
        <v>162</v>
      </c>
      <c r="B36" s="574"/>
      <c r="C36" s="574"/>
      <c r="D36" s="307" t="s">
        <v>130</v>
      </c>
      <c r="E36" s="672">
        <v>322217.11</v>
      </c>
      <c r="F36" s="655">
        <v>323178.8</v>
      </c>
      <c r="G36" s="656">
        <f t="shared" si="7"/>
        <v>961.69000000000233</v>
      </c>
      <c r="H36" s="645">
        <f t="shared" si="8"/>
        <v>961.69000000000233</v>
      </c>
      <c r="I36" s="645"/>
      <c r="J36" s="653">
        <f>H36/DAY(B2)</f>
        <v>961.69000000000233</v>
      </c>
      <c r="K36" s="583"/>
      <c r="L36" s="570"/>
      <c r="N36" s="577"/>
      <c r="O36" s="594"/>
    </row>
    <row r="37" spans="1:15" s="105" customFormat="1" ht="28.5">
      <c r="A37" s="194" t="s">
        <v>163</v>
      </c>
      <c r="B37" s="574"/>
      <c r="C37" s="574"/>
      <c r="D37" s="307" t="s">
        <v>130</v>
      </c>
      <c r="E37" s="672">
        <v>322998.69</v>
      </c>
      <c r="F37" s="655">
        <v>322998.59999999998</v>
      </c>
      <c r="G37" s="656">
        <f t="shared" si="7"/>
        <v>-9.0000000025611371E-2</v>
      </c>
      <c r="H37" s="645">
        <f t="shared" si="8"/>
        <v>-9.0000000025611371E-2</v>
      </c>
      <c r="I37" s="645"/>
      <c r="J37" s="653">
        <f>H37/DAY(B2)</f>
        <v>-9.0000000025611371E-2</v>
      </c>
      <c r="K37" s="583"/>
      <c r="L37" s="570"/>
      <c r="N37" s="577"/>
      <c r="O37" s="595"/>
    </row>
    <row r="38" spans="1:15" s="105" customFormat="1" ht="28.5">
      <c r="A38" s="194" t="s">
        <v>164</v>
      </c>
      <c r="B38" s="574"/>
      <c r="C38" s="574"/>
      <c r="D38" s="307" t="s">
        <v>130</v>
      </c>
      <c r="E38" s="672">
        <v>735852.39</v>
      </c>
      <c r="F38" s="645">
        <v>738218.95</v>
      </c>
      <c r="G38" s="656">
        <f t="shared" si="7"/>
        <v>2366.5599999999395</v>
      </c>
      <c r="H38" s="645">
        <f t="shared" si="8"/>
        <v>2366.5599999999395</v>
      </c>
      <c r="I38" s="645"/>
      <c r="J38" s="653">
        <f>H38/DAY(B2)</f>
        <v>2366.5599999999395</v>
      </c>
      <c r="K38" s="583"/>
      <c r="L38" s="570"/>
      <c r="N38" s="577"/>
      <c r="O38" s="578"/>
    </row>
    <row r="39" spans="1:15" s="105" customFormat="1" ht="28.5">
      <c r="A39" s="194" t="s">
        <v>165</v>
      </c>
      <c r="B39" s="574"/>
      <c r="C39" s="574"/>
      <c r="D39" s="307" t="s">
        <v>130</v>
      </c>
      <c r="E39" s="672">
        <v>591584.18999999994</v>
      </c>
      <c r="F39" s="655">
        <v>591584.18999999994</v>
      </c>
      <c r="G39" s="656">
        <f t="shared" si="7"/>
        <v>0</v>
      </c>
      <c r="H39" s="645">
        <f t="shared" si="8"/>
        <v>0</v>
      </c>
      <c r="I39" s="645"/>
      <c r="J39" s="653">
        <f>H39/DAY(B2)</f>
        <v>0</v>
      </c>
      <c r="K39" s="583"/>
      <c r="L39" s="570"/>
      <c r="N39" s="577"/>
      <c r="O39" s="578"/>
    </row>
    <row r="40" spans="1:15" s="105" customFormat="1" ht="28.5">
      <c r="A40" s="215" t="s">
        <v>166</v>
      </c>
      <c r="B40" s="596"/>
      <c r="C40" s="596"/>
      <c r="D40" s="307" t="s">
        <v>130</v>
      </c>
      <c r="E40" s="672">
        <v>196729.97</v>
      </c>
      <c r="F40" s="655">
        <v>197182</v>
      </c>
      <c r="G40" s="656">
        <f t="shared" si="7"/>
        <v>452.02999999999884</v>
      </c>
      <c r="H40" s="645">
        <f t="shared" si="8"/>
        <v>452.02999999999884</v>
      </c>
      <c r="I40" s="645"/>
      <c r="J40" s="653">
        <f>H40/DAY(B2)</f>
        <v>452.02999999999884</v>
      </c>
      <c r="K40" s="585"/>
      <c r="L40" s="570"/>
      <c r="N40" s="577"/>
      <c r="O40" s="578"/>
    </row>
    <row r="41" spans="1:15" s="105" customFormat="1" ht="28.5">
      <c r="A41" s="194" t="s">
        <v>167</v>
      </c>
      <c r="B41" s="574"/>
      <c r="C41" s="574"/>
      <c r="D41" s="307" t="s">
        <v>130</v>
      </c>
      <c r="E41" s="672">
        <v>419167.59</v>
      </c>
      <c r="F41" s="655">
        <v>419167.59</v>
      </c>
      <c r="G41" s="656">
        <f t="shared" si="7"/>
        <v>0</v>
      </c>
      <c r="H41" s="645">
        <f t="shared" si="8"/>
        <v>0</v>
      </c>
      <c r="I41" s="645"/>
      <c r="J41" s="653">
        <f>H41/DAY(B2)</f>
        <v>0</v>
      </c>
      <c r="K41" s="583"/>
      <c r="L41" s="570"/>
      <c r="N41" s="577"/>
      <c r="O41" s="578"/>
    </row>
    <row r="42" spans="1:15" s="105" customFormat="1" ht="28.5">
      <c r="A42" s="194" t="s">
        <v>168</v>
      </c>
      <c r="B42" s="574"/>
      <c r="C42" s="574"/>
      <c r="D42" s="307" t="s">
        <v>130</v>
      </c>
      <c r="E42" s="672">
        <v>871870.87</v>
      </c>
      <c r="F42" s="655">
        <v>871870.87</v>
      </c>
      <c r="G42" s="656">
        <f t="shared" si="7"/>
        <v>0</v>
      </c>
      <c r="H42" s="645">
        <f t="shared" si="8"/>
        <v>0</v>
      </c>
      <c r="I42" s="645"/>
      <c r="J42" s="653">
        <f>H42/DAY(B2)</f>
        <v>0</v>
      </c>
      <c r="K42" s="583"/>
      <c r="L42" s="570"/>
      <c r="N42" s="577"/>
      <c r="O42" s="578"/>
    </row>
    <row r="43" spans="1:15" s="105" customFormat="1" ht="28.5">
      <c r="A43" s="194" t="s">
        <v>169</v>
      </c>
      <c r="B43" s="574"/>
      <c r="C43" s="574"/>
      <c r="D43" s="307" t="s">
        <v>130</v>
      </c>
      <c r="E43" s="672">
        <v>407028</v>
      </c>
      <c r="F43" s="655">
        <v>407028</v>
      </c>
      <c r="G43" s="656">
        <f t="shared" si="7"/>
        <v>0</v>
      </c>
      <c r="H43" s="645">
        <f t="shared" si="8"/>
        <v>0</v>
      </c>
      <c r="I43" s="645"/>
      <c r="J43" s="653">
        <f>H43/DAY(B2)</f>
        <v>0</v>
      </c>
      <c r="K43" s="583"/>
      <c r="L43" s="570"/>
      <c r="N43" s="577"/>
      <c r="O43" s="578"/>
    </row>
    <row r="44" spans="1:15" s="105" customFormat="1" ht="28.5">
      <c r="A44" s="194" t="s">
        <v>170</v>
      </c>
      <c r="B44" s="574"/>
      <c r="C44" s="574"/>
      <c r="D44" s="307" t="s">
        <v>130</v>
      </c>
      <c r="E44" s="672">
        <v>0</v>
      </c>
      <c r="F44" s="655">
        <v>0</v>
      </c>
      <c r="G44" s="656">
        <f t="shared" si="7"/>
        <v>0</v>
      </c>
      <c r="H44" s="645">
        <f t="shared" si="8"/>
        <v>0</v>
      </c>
      <c r="I44" s="645"/>
      <c r="J44" s="653">
        <f>H44/DAY(B2)</f>
        <v>0</v>
      </c>
      <c r="K44" s="583"/>
      <c r="L44" s="570"/>
      <c r="N44" s="577"/>
      <c r="O44" s="578"/>
    </row>
    <row r="45" spans="1:15" s="105" customFormat="1" ht="28.5">
      <c r="A45" s="194" t="s">
        <v>171</v>
      </c>
      <c r="B45" s="574"/>
      <c r="C45" s="574"/>
      <c r="D45" s="307" t="s">
        <v>130</v>
      </c>
      <c r="E45" s="672">
        <v>0</v>
      </c>
      <c r="F45" s="655">
        <v>0</v>
      </c>
      <c r="G45" s="656">
        <f t="shared" si="7"/>
        <v>0</v>
      </c>
      <c r="H45" s="645">
        <f t="shared" si="8"/>
        <v>0</v>
      </c>
      <c r="I45" s="645"/>
      <c r="J45" s="653">
        <f>H45/DAY(B2)</f>
        <v>0</v>
      </c>
      <c r="K45" s="583"/>
      <c r="L45" s="570"/>
      <c r="N45" s="577"/>
      <c r="O45" s="578"/>
    </row>
    <row r="46" spans="1:15" s="105" customFormat="1" ht="28.5">
      <c r="A46" s="194" t="s">
        <v>172</v>
      </c>
      <c r="B46" s="574"/>
      <c r="C46" s="574"/>
      <c r="D46" s="307" t="s">
        <v>130</v>
      </c>
      <c r="E46" s="672">
        <v>0</v>
      </c>
      <c r="F46" s="655">
        <v>0</v>
      </c>
      <c r="G46" s="656">
        <f t="shared" si="7"/>
        <v>0</v>
      </c>
      <c r="H46" s="645">
        <f t="shared" si="8"/>
        <v>0</v>
      </c>
      <c r="I46" s="645"/>
      <c r="J46" s="653">
        <f>H46/DAY(B2)</f>
        <v>0</v>
      </c>
      <c r="K46" s="583"/>
      <c r="L46" s="570"/>
      <c r="N46" s="577"/>
      <c r="O46" s="578"/>
    </row>
    <row r="47" spans="1:15" s="105" customFormat="1" ht="28.5">
      <c r="A47" s="201" t="s">
        <v>173</v>
      </c>
      <c r="B47" s="584"/>
      <c r="C47" s="584"/>
      <c r="D47" s="623"/>
      <c r="E47" s="672"/>
      <c r="F47" s="645"/>
      <c r="G47" s="663">
        <f>G35+G36+G37+G38+G39+G40+G41+G42+G43+G44+G45+G46</f>
        <v>6589.9899999999616</v>
      </c>
      <c r="H47" s="645">
        <f t="shared" si="8"/>
        <v>6589.9899999999616</v>
      </c>
      <c r="I47" s="645"/>
      <c r="J47" s="653">
        <f>H47/DAY(B2)</f>
        <v>6589.9899999999616</v>
      </c>
      <c r="K47" s="583"/>
      <c r="L47" s="570"/>
      <c r="N47" s="577"/>
      <c r="O47" s="578"/>
    </row>
    <row r="48" spans="1:15" s="105" customFormat="1" ht="28.5">
      <c r="A48" s="214" t="s">
        <v>174</v>
      </c>
      <c r="B48" s="593"/>
      <c r="C48" s="593"/>
      <c r="D48" s="615"/>
      <c r="E48" s="648"/>
      <c r="F48" s="648"/>
      <c r="G48" s="648"/>
      <c r="H48" s="648"/>
      <c r="I48" s="648"/>
      <c r="J48" s="649"/>
      <c r="K48" s="583"/>
      <c r="L48" s="570"/>
      <c r="N48" s="577"/>
      <c r="O48" s="578"/>
    </row>
    <row r="49" spans="1:15" s="105" customFormat="1" ht="28.5">
      <c r="A49" s="194" t="s">
        <v>161</v>
      </c>
      <c r="B49" s="597"/>
      <c r="C49" s="597"/>
      <c r="D49" s="307" t="s">
        <v>130</v>
      </c>
      <c r="E49" s="672">
        <v>793622.95</v>
      </c>
      <c r="F49" s="655">
        <v>794016.15</v>
      </c>
      <c r="G49" s="656">
        <f t="shared" ref="G49:G58" si="9">F49-E49</f>
        <v>393.20000000006985</v>
      </c>
      <c r="H49" s="645">
        <f t="shared" ref="H49:H60" si="10">G49</f>
        <v>393.20000000006985</v>
      </c>
      <c r="I49" s="645"/>
      <c r="J49" s="653">
        <f>H49/DAY(B2)</f>
        <v>393.20000000006985</v>
      </c>
      <c r="K49" s="583"/>
      <c r="L49" s="570"/>
      <c r="N49" s="577"/>
      <c r="O49" s="578"/>
    </row>
    <row r="50" spans="1:15" s="105" customFormat="1" ht="28.5">
      <c r="A50" s="194" t="s">
        <v>175</v>
      </c>
      <c r="B50" s="597"/>
      <c r="C50" s="597"/>
      <c r="D50" s="307" t="s">
        <v>130</v>
      </c>
      <c r="E50" s="672">
        <v>456669.07</v>
      </c>
      <c r="F50" s="655">
        <v>458411.19</v>
      </c>
      <c r="G50" s="656">
        <f t="shared" si="9"/>
        <v>1742.1199999999953</v>
      </c>
      <c r="H50" s="645">
        <f t="shared" si="10"/>
        <v>1742.1199999999953</v>
      </c>
      <c r="I50" s="645"/>
      <c r="J50" s="653">
        <f>H50/DAY(B2)</f>
        <v>1742.1199999999953</v>
      </c>
      <c r="K50" s="583"/>
      <c r="L50" s="570"/>
      <c r="N50" s="577"/>
      <c r="O50" s="578"/>
    </row>
    <row r="51" spans="1:15" s="105" customFormat="1" ht="28.5">
      <c r="A51" s="194" t="s">
        <v>163</v>
      </c>
      <c r="B51" s="597"/>
      <c r="C51" s="597"/>
      <c r="D51" s="307" t="s">
        <v>130</v>
      </c>
      <c r="E51" s="672">
        <v>135244.54999999999</v>
      </c>
      <c r="F51" s="655">
        <v>136296.01</v>
      </c>
      <c r="G51" s="656">
        <f t="shared" si="9"/>
        <v>1051.460000000021</v>
      </c>
      <c r="H51" s="645">
        <f t="shared" si="10"/>
        <v>1051.460000000021</v>
      </c>
      <c r="I51" s="645"/>
      <c r="J51" s="653">
        <f>H51/DAY(B2)</f>
        <v>1051.460000000021</v>
      </c>
      <c r="K51" s="583"/>
      <c r="L51" s="570"/>
      <c r="N51" s="577"/>
      <c r="O51" s="578"/>
    </row>
    <row r="52" spans="1:15" s="105" customFormat="1" ht="28.5">
      <c r="A52" s="194" t="s">
        <v>176</v>
      </c>
      <c r="B52" s="597"/>
      <c r="C52" s="597"/>
      <c r="D52" s="307" t="s">
        <v>130</v>
      </c>
      <c r="E52" s="672">
        <v>10</v>
      </c>
      <c r="F52" s="655">
        <v>9.76</v>
      </c>
      <c r="G52" s="656">
        <f t="shared" si="9"/>
        <v>-0.24000000000000021</v>
      </c>
      <c r="H52" s="645">
        <f t="shared" si="10"/>
        <v>-0.24000000000000021</v>
      </c>
      <c r="I52" s="645"/>
      <c r="J52" s="653">
        <f>H52/DAY(B2)</f>
        <v>-0.24000000000000021</v>
      </c>
      <c r="K52" s="583"/>
      <c r="L52" s="570"/>
      <c r="N52" s="577"/>
      <c r="O52" s="578"/>
    </row>
    <row r="53" spans="1:15" s="105" customFormat="1" ht="28.5">
      <c r="A53" s="194" t="s">
        <v>165</v>
      </c>
      <c r="B53" s="597"/>
      <c r="C53" s="597"/>
      <c r="D53" s="307" t="s">
        <v>130</v>
      </c>
      <c r="E53" s="672">
        <v>546541.27</v>
      </c>
      <c r="F53" s="655">
        <v>550795.75</v>
      </c>
      <c r="G53" s="656">
        <f t="shared" si="9"/>
        <v>4254.4799999999814</v>
      </c>
      <c r="H53" s="645">
        <f t="shared" si="10"/>
        <v>4254.4799999999814</v>
      </c>
      <c r="I53" s="645"/>
      <c r="J53" s="653">
        <f>H53/DAY(B2)</f>
        <v>4254.4799999999814</v>
      </c>
      <c r="K53" s="583"/>
      <c r="L53" s="570"/>
      <c r="N53" s="577"/>
      <c r="O53" s="578"/>
    </row>
    <row r="54" spans="1:15" s="105" customFormat="1" ht="28.5">
      <c r="A54" s="194" t="s">
        <v>177</v>
      </c>
      <c r="B54" s="597"/>
      <c r="C54" s="597"/>
      <c r="D54" s="307" t="s">
        <v>130</v>
      </c>
      <c r="E54" s="672">
        <v>107663.16</v>
      </c>
      <c r="F54" s="655">
        <v>107826.6</v>
      </c>
      <c r="G54" s="656">
        <f t="shared" si="9"/>
        <v>163.44000000000233</v>
      </c>
      <c r="H54" s="645">
        <f t="shared" si="10"/>
        <v>163.44000000000233</v>
      </c>
      <c r="I54" s="645"/>
      <c r="J54" s="653">
        <f>H54/DAY(B2)</f>
        <v>163.44000000000233</v>
      </c>
      <c r="K54" s="583"/>
      <c r="L54" s="570"/>
      <c r="N54" s="577"/>
      <c r="O54" s="578"/>
    </row>
    <row r="55" spans="1:15" s="105" customFormat="1" ht="28.5">
      <c r="A55" s="194" t="s">
        <v>178</v>
      </c>
      <c r="B55" s="597"/>
      <c r="C55" s="597"/>
      <c r="D55" s="307" t="s">
        <v>130</v>
      </c>
      <c r="E55" s="672">
        <v>561484.67000000004</v>
      </c>
      <c r="F55" s="655">
        <v>561484.67000000004</v>
      </c>
      <c r="G55" s="656">
        <f t="shared" si="9"/>
        <v>0</v>
      </c>
      <c r="H55" s="645">
        <f t="shared" si="10"/>
        <v>0</v>
      </c>
      <c r="I55" s="645"/>
      <c r="J55" s="653">
        <f>H55/DAY(B2)</f>
        <v>0</v>
      </c>
      <c r="K55" s="583"/>
      <c r="L55" s="570"/>
      <c r="N55" s="577"/>
      <c r="O55" s="578"/>
    </row>
    <row r="56" spans="1:15" s="105" customFormat="1" ht="28.5">
      <c r="A56" s="194" t="s">
        <v>179</v>
      </c>
      <c r="B56" s="597"/>
      <c r="C56" s="597"/>
      <c r="D56" s="307" t="s">
        <v>180</v>
      </c>
      <c r="E56" s="672">
        <v>268115.01</v>
      </c>
      <c r="F56" s="655">
        <v>271496.15000000002</v>
      </c>
      <c r="G56" s="656">
        <f t="shared" si="9"/>
        <v>3381.140000000014</v>
      </c>
      <c r="H56" s="645">
        <f t="shared" si="10"/>
        <v>3381.140000000014</v>
      </c>
      <c r="I56" s="645"/>
      <c r="J56" s="653">
        <f>H56/DAY(B2)</f>
        <v>3381.140000000014</v>
      </c>
      <c r="K56" s="573"/>
      <c r="L56" s="570"/>
      <c r="N56" s="577"/>
      <c r="O56" s="578"/>
    </row>
    <row r="57" spans="1:15" s="105" customFormat="1" ht="28.5">
      <c r="A57" s="194" t="s">
        <v>169</v>
      </c>
      <c r="B57" s="597"/>
      <c r="C57" s="597"/>
      <c r="D57" s="307" t="s">
        <v>130</v>
      </c>
      <c r="E57" s="672">
        <v>568578.47</v>
      </c>
      <c r="F57" s="655">
        <v>570977.91</v>
      </c>
      <c r="G57" s="656">
        <f t="shared" si="9"/>
        <v>2399.4400000000605</v>
      </c>
      <c r="H57" s="645">
        <f t="shared" si="10"/>
        <v>2399.4400000000605</v>
      </c>
      <c r="I57" s="645"/>
      <c r="J57" s="653">
        <f>H57/DAY(B2)</f>
        <v>2399.4400000000605</v>
      </c>
      <c r="K57" s="583"/>
      <c r="L57" s="570"/>
      <c r="N57" s="577"/>
      <c r="O57" s="578"/>
    </row>
    <row r="58" spans="1:15" s="105" customFormat="1" ht="28.5">
      <c r="A58" s="194" t="s">
        <v>181</v>
      </c>
      <c r="B58" s="597"/>
      <c r="C58" s="597"/>
      <c r="D58" s="307" t="s">
        <v>130</v>
      </c>
      <c r="E58" s="672">
        <v>78715.69</v>
      </c>
      <c r="F58" s="655">
        <v>78955.55</v>
      </c>
      <c r="G58" s="656">
        <f t="shared" si="9"/>
        <v>239.86000000000058</v>
      </c>
      <c r="H58" s="645">
        <f t="shared" si="10"/>
        <v>239.86000000000058</v>
      </c>
      <c r="I58" s="645"/>
      <c r="J58" s="653">
        <f>H58/DAY(B2)</f>
        <v>239.86000000000058</v>
      </c>
      <c r="K58" s="583"/>
      <c r="L58" s="570"/>
      <c r="N58" s="577"/>
      <c r="O58" s="578"/>
    </row>
    <row r="59" spans="1:15" s="105" customFormat="1" ht="28.5">
      <c r="A59" s="201" t="s">
        <v>173</v>
      </c>
      <c r="B59" s="584"/>
      <c r="C59" s="584"/>
      <c r="D59" s="618"/>
      <c r="E59" s="650"/>
      <c r="F59" s="645"/>
      <c r="G59" s="663">
        <f>G49+G50+G51+G52+G53+G54+G55+G56+G57+G58</f>
        <v>13624.900000000145</v>
      </c>
      <c r="H59" s="645">
        <f t="shared" si="10"/>
        <v>13624.900000000145</v>
      </c>
      <c r="I59" s="645">
        <f>G7-G60</f>
        <v>2278.5599999999031</v>
      </c>
      <c r="J59" s="653">
        <f>H59/DAY(B2)</f>
        <v>13624.900000000145</v>
      </c>
      <c r="K59" s="583"/>
      <c r="L59" s="570"/>
      <c r="N59" s="577"/>
      <c r="O59" s="578"/>
    </row>
    <row r="60" spans="1:15" s="105" customFormat="1" ht="28.5">
      <c r="A60" s="194"/>
      <c r="B60" s="574"/>
      <c r="C60" s="574"/>
      <c r="D60" s="618" t="s">
        <v>182</v>
      </c>
      <c r="E60" s="650"/>
      <c r="F60" s="645"/>
      <c r="G60" s="663">
        <f>G47+G59</f>
        <v>20214.890000000109</v>
      </c>
      <c r="H60" s="645">
        <f t="shared" si="10"/>
        <v>20214.890000000109</v>
      </c>
      <c r="I60" s="645">
        <f>G13-G60</f>
        <v>5894.1099999998914</v>
      </c>
      <c r="J60" s="653">
        <f>H60/DAY(B2)</f>
        <v>20214.890000000109</v>
      </c>
      <c r="K60" s="583"/>
      <c r="L60" s="570"/>
      <c r="N60" s="577"/>
      <c r="O60" s="578"/>
    </row>
    <row r="61" spans="1:15" s="600" customFormat="1" ht="28.5">
      <c r="A61" s="810" t="s">
        <v>332</v>
      </c>
      <c r="B61" s="811"/>
      <c r="C61" s="812"/>
      <c r="D61" s="624"/>
      <c r="E61" s="637"/>
      <c r="F61" s="683"/>
      <c r="G61" s="684"/>
      <c r="H61" s="683"/>
      <c r="I61" s="683"/>
      <c r="J61" s="685"/>
      <c r="K61" s="598"/>
      <c r="L61" s="599"/>
      <c r="N61" s="577"/>
      <c r="O61" s="578"/>
    </row>
    <row r="62" spans="1:15" s="105" customFormat="1" ht="28.5">
      <c r="A62" s="794" t="s">
        <v>198</v>
      </c>
      <c r="B62" s="795"/>
      <c r="C62" s="796"/>
      <c r="D62" s="307" t="s">
        <v>142</v>
      </c>
      <c r="E62" s="650">
        <v>308314</v>
      </c>
      <c r="F62" s="662">
        <v>308448</v>
      </c>
      <c r="G62" s="656">
        <f t="shared" ref="G62:G63" si="11">F62-E62</f>
        <v>134</v>
      </c>
      <c r="H62" s="645">
        <f t="shared" ref="H62:H71" si="12">G62</f>
        <v>134</v>
      </c>
      <c r="I62" s="645"/>
      <c r="J62" s="653">
        <f>H62/DAY(B2)</f>
        <v>134</v>
      </c>
      <c r="K62" s="585"/>
      <c r="L62" s="570"/>
      <c r="N62" s="577"/>
      <c r="O62" s="578"/>
    </row>
    <row r="63" spans="1:15" s="105" customFormat="1" ht="28.5">
      <c r="A63" s="794" t="s">
        <v>199</v>
      </c>
      <c r="B63" s="795"/>
      <c r="C63" s="796"/>
      <c r="D63" s="307" t="s">
        <v>142</v>
      </c>
      <c r="E63" s="650">
        <v>246929</v>
      </c>
      <c r="F63" s="662">
        <v>246962</v>
      </c>
      <c r="G63" s="656">
        <f t="shared" si="11"/>
        <v>33</v>
      </c>
      <c r="H63" s="645">
        <f t="shared" si="12"/>
        <v>33</v>
      </c>
      <c r="I63" s="645"/>
      <c r="J63" s="653">
        <f>H63/DAY(B2)</f>
        <v>33</v>
      </c>
      <c r="K63" s="598"/>
      <c r="L63" s="570"/>
      <c r="N63" s="577"/>
      <c r="O63" s="578"/>
    </row>
    <row r="64" spans="1:15" s="105" customFormat="1" ht="28.5">
      <c r="A64" s="779" t="s">
        <v>200</v>
      </c>
      <c r="B64" s="780"/>
      <c r="C64" s="781"/>
      <c r="D64" s="307"/>
      <c r="E64" s="650"/>
      <c r="F64" s="662"/>
      <c r="G64" s="656">
        <f>G62+G63</f>
        <v>167</v>
      </c>
      <c r="H64" s="645">
        <f t="shared" si="12"/>
        <v>167</v>
      </c>
      <c r="I64" s="645"/>
      <c r="J64" s="653">
        <f>H64/DAY(B2)</f>
        <v>167</v>
      </c>
      <c r="K64" s="598"/>
      <c r="L64" s="570"/>
      <c r="N64" s="577"/>
      <c r="O64" s="578"/>
    </row>
    <row r="65" spans="1:15" s="105" customFormat="1" ht="28.5">
      <c r="A65" s="794" t="s">
        <v>201</v>
      </c>
      <c r="B65" s="795"/>
      <c r="C65" s="796"/>
      <c r="D65" s="307" t="s">
        <v>142</v>
      </c>
      <c r="E65" s="650">
        <v>467901</v>
      </c>
      <c r="F65" s="662">
        <v>468042</v>
      </c>
      <c r="G65" s="656">
        <f t="shared" ref="G65:G70" si="13">F65-E65</f>
        <v>141</v>
      </c>
      <c r="H65" s="645">
        <f t="shared" si="12"/>
        <v>141</v>
      </c>
      <c r="I65" s="645"/>
      <c r="J65" s="653">
        <f>H65/DAY(B2)</f>
        <v>141</v>
      </c>
      <c r="K65" s="598"/>
      <c r="L65" s="570"/>
      <c r="N65" s="577"/>
      <c r="O65" s="578"/>
    </row>
    <row r="66" spans="1:15" s="105" customFormat="1" ht="28.5">
      <c r="A66" s="345" t="s">
        <v>202</v>
      </c>
      <c r="B66" s="586"/>
      <c r="C66" s="586"/>
      <c r="D66" s="307" t="s">
        <v>142</v>
      </c>
      <c r="E66" s="650">
        <v>113192</v>
      </c>
      <c r="F66" s="662">
        <v>113202</v>
      </c>
      <c r="G66" s="656">
        <f t="shared" si="13"/>
        <v>10</v>
      </c>
      <c r="H66" s="645">
        <f t="shared" si="12"/>
        <v>10</v>
      </c>
      <c r="I66" s="645"/>
      <c r="J66" s="653">
        <f>H66/DAY(B2)</f>
        <v>10</v>
      </c>
      <c r="K66" s="573"/>
      <c r="L66" s="570"/>
      <c r="N66" s="577"/>
      <c r="O66" s="578"/>
    </row>
    <row r="67" spans="1:15" s="105" customFormat="1" ht="28.5">
      <c r="A67" s="345" t="s">
        <v>203</v>
      </c>
      <c r="B67" s="586"/>
      <c r="C67" s="586"/>
      <c r="D67" s="307" t="s">
        <v>142</v>
      </c>
      <c r="E67" s="650">
        <v>115855</v>
      </c>
      <c r="F67" s="662">
        <v>115874</v>
      </c>
      <c r="G67" s="656">
        <f t="shared" si="13"/>
        <v>19</v>
      </c>
      <c r="H67" s="645">
        <f t="shared" si="12"/>
        <v>19</v>
      </c>
      <c r="I67" s="645"/>
      <c r="J67" s="653">
        <f>H67/DAY(B2)</f>
        <v>19</v>
      </c>
      <c r="K67" s="601"/>
      <c r="L67" s="570"/>
      <c r="N67" s="577"/>
      <c r="O67" s="578"/>
    </row>
    <row r="68" spans="1:15" s="105" customFormat="1" ht="28.5">
      <c r="A68" s="345" t="s">
        <v>204</v>
      </c>
      <c r="B68" s="586"/>
      <c r="C68" s="586"/>
      <c r="D68" s="307" t="s">
        <v>142</v>
      </c>
      <c r="E68" s="650">
        <v>168507</v>
      </c>
      <c r="F68" s="662">
        <v>168552</v>
      </c>
      <c r="G68" s="656">
        <f t="shared" si="13"/>
        <v>45</v>
      </c>
      <c r="H68" s="645">
        <f t="shared" si="12"/>
        <v>45</v>
      </c>
      <c r="I68" s="645"/>
      <c r="J68" s="653">
        <f>H68/DAY(B2)</f>
        <v>45</v>
      </c>
      <c r="K68" s="598"/>
      <c r="L68" s="570"/>
      <c r="N68" s="577"/>
      <c r="O68" s="578"/>
    </row>
    <row r="69" spans="1:15" s="105" customFormat="1" ht="28.5">
      <c r="A69" s="345" t="s">
        <v>205</v>
      </c>
      <c r="B69" s="586"/>
      <c r="C69" s="586"/>
      <c r="D69" s="307" t="s">
        <v>142</v>
      </c>
      <c r="E69" s="650">
        <v>12810</v>
      </c>
      <c r="F69" s="662">
        <v>12815</v>
      </c>
      <c r="G69" s="656">
        <f t="shared" si="13"/>
        <v>5</v>
      </c>
      <c r="H69" s="645">
        <f t="shared" si="12"/>
        <v>5</v>
      </c>
      <c r="I69" s="645"/>
      <c r="J69" s="653">
        <f>H69/DAY(B2)</f>
        <v>5</v>
      </c>
      <c r="K69" s="598"/>
      <c r="L69" s="570"/>
      <c r="N69" s="577"/>
      <c r="O69" s="578"/>
    </row>
    <row r="70" spans="1:15" s="105" customFormat="1" ht="28.5">
      <c r="A70" s="345" t="s">
        <v>206</v>
      </c>
      <c r="B70" s="586"/>
      <c r="C70" s="586"/>
      <c r="D70" s="307" t="s">
        <v>142</v>
      </c>
      <c r="E70" s="650">
        <v>10779</v>
      </c>
      <c r="F70" s="686">
        <v>10787</v>
      </c>
      <c r="G70" s="687">
        <f t="shared" si="13"/>
        <v>8</v>
      </c>
      <c r="H70" s="645">
        <f t="shared" si="12"/>
        <v>8</v>
      </c>
      <c r="I70" s="688"/>
      <c r="J70" s="653">
        <f>H70/DAY(B2)</f>
        <v>8</v>
      </c>
      <c r="K70" s="598"/>
      <c r="L70" s="570"/>
      <c r="N70" s="577"/>
      <c r="O70" s="578"/>
    </row>
    <row r="71" spans="1:15" s="105" customFormat="1" ht="28.5">
      <c r="A71" s="779" t="s">
        <v>208</v>
      </c>
      <c r="B71" s="780"/>
      <c r="C71" s="781"/>
      <c r="D71" s="616"/>
      <c r="E71" s="650"/>
      <c r="F71" s="689"/>
      <c r="G71" s="690">
        <f>SUM(G65:G70)</f>
        <v>228</v>
      </c>
      <c r="H71" s="645">
        <f t="shared" si="12"/>
        <v>228</v>
      </c>
      <c r="I71" s="691"/>
      <c r="J71" s="653">
        <f>H71/DAY(B2)</f>
        <v>228</v>
      </c>
      <c r="K71" s="598"/>
      <c r="L71" s="570"/>
      <c r="N71" s="577"/>
      <c r="O71" s="578"/>
    </row>
    <row r="72" spans="1:15" s="105" customFormat="1" ht="28.5">
      <c r="A72" s="813"/>
      <c r="B72" s="793"/>
      <c r="C72" s="602"/>
      <c r="D72" s="625"/>
      <c r="E72" s="650"/>
      <c r="F72" s="692"/>
      <c r="G72" s="693"/>
      <c r="H72" s="694"/>
      <c r="I72" s="692"/>
      <c r="J72" s="695"/>
      <c r="N72" s="577"/>
      <c r="O72" s="578"/>
    </row>
    <row r="73" spans="1:15" s="105" customFormat="1" ht="28.5">
      <c r="A73" s="810" t="s">
        <v>333</v>
      </c>
      <c r="B73" s="811"/>
      <c r="C73" s="812"/>
      <c r="D73" s="624"/>
      <c r="E73" s="637"/>
      <c r="F73" s="696"/>
      <c r="G73" s="697"/>
      <c r="H73" s="684"/>
      <c r="I73" s="698"/>
      <c r="J73" s="699"/>
      <c r="K73" s="598"/>
      <c r="L73" s="570"/>
      <c r="N73" s="577"/>
      <c r="O73" s="578"/>
    </row>
    <row r="74" spans="1:15" s="105" customFormat="1" ht="28.5">
      <c r="A74" s="794" t="s">
        <v>220</v>
      </c>
      <c r="B74" s="795"/>
      <c r="C74" s="796"/>
      <c r="D74" s="307" t="s">
        <v>139</v>
      </c>
      <c r="E74" s="650">
        <v>993359.03</v>
      </c>
      <c r="F74" s="700">
        <v>993641.61</v>
      </c>
      <c r="G74" s="687">
        <f t="shared" ref="G74:G78" si="14">F74-E74</f>
        <v>282.57999999995809</v>
      </c>
      <c r="H74" s="645">
        <f t="shared" ref="H74:H79" si="15">G74</f>
        <v>282.57999999995809</v>
      </c>
      <c r="I74" s="691"/>
      <c r="J74" s="653">
        <f>H74/DAY(B2)</f>
        <v>282.57999999995809</v>
      </c>
      <c r="K74" s="598"/>
      <c r="L74" s="570"/>
      <c r="N74" s="577"/>
      <c r="O74" s="578"/>
    </row>
    <row r="75" spans="1:15" s="105" customFormat="1" ht="28.5">
      <c r="A75" s="794" t="s">
        <v>221</v>
      </c>
      <c r="B75" s="795"/>
      <c r="C75" s="796"/>
      <c r="D75" s="307" t="s">
        <v>139</v>
      </c>
      <c r="E75" s="650">
        <v>73586</v>
      </c>
      <c r="F75" s="700">
        <v>73586.8</v>
      </c>
      <c r="G75" s="687">
        <f t="shared" si="14"/>
        <v>0.80000000000291038</v>
      </c>
      <c r="H75" s="645">
        <f t="shared" si="15"/>
        <v>0.80000000000291038</v>
      </c>
      <c r="I75" s="691"/>
      <c r="J75" s="653">
        <f>H75/DAY(B2)</f>
        <v>0.80000000000291038</v>
      </c>
      <c r="K75" s="598"/>
      <c r="L75" s="570"/>
      <c r="N75" s="577"/>
      <c r="O75" s="578"/>
    </row>
    <row r="76" spans="1:15" s="105" customFormat="1" ht="28.5">
      <c r="A76" s="814" t="s">
        <v>222</v>
      </c>
      <c r="B76" s="815"/>
      <c r="C76" s="816"/>
      <c r="D76" s="307" t="s">
        <v>139</v>
      </c>
      <c r="E76" s="650">
        <v>203662</v>
      </c>
      <c r="F76" s="700">
        <v>203800</v>
      </c>
      <c r="G76" s="687">
        <f t="shared" si="14"/>
        <v>138</v>
      </c>
      <c r="H76" s="645">
        <f t="shared" si="15"/>
        <v>138</v>
      </c>
      <c r="I76" s="691"/>
      <c r="J76" s="653">
        <f>H76/DAY(B2)</f>
        <v>138</v>
      </c>
      <c r="K76" s="598"/>
      <c r="L76" s="570"/>
      <c r="N76" s="577"/>
      <c r="O76" s="578"/>
    </row>
    <row r="77" spans="1:15" s="105" customFormat="1" ht="28.5">
      <c r="A77" s="814" t="s">
        <v>223</v>
      </c>
      <c r="B77" s="815"/>
      <c r="C77" s="816"/>
      <c r="D77" s="307" t="s">
        <v>139</v>
      </c>
      <c r="E77" s="650">
        <v>56522</v>
      </c>
      <c r="F77" s="700">
        <v>56569</v>
      </c>
      <c r="G77" s="687">
        <f t="shared" si="14"/>
        <v>47</v>
      </c>
      <c r="H77" s="645">
        <f t="shared" si="15"/>
        <v>47</v>
      </c>
      <c r="I77" s="691"/>
      <c r="J77" s="653">
        <f>H77/DAY(B2)</f>
        <v>47</v>
      </c>
      <c r="K77" s="598"/>
      <c r="L77" s="570"/>
      <c r="N77" s="577"/>
      <c r="O77" s="578"/>
    </row>
    <row r="78" spans="1:15" s="105" customFormat="1" ht="28.5">
      <c r="A78" s="814" t="s">
        <v>224</v>
      </c>
      <c r="B78" s="815"/>
      <c r="C78" s="816"/>
      <c r="D78" s="307" t="s">
        <v>139</v>
      </c>
      <c r="E78" s="650">
        <v>9563.4</v>
      </c>
      <c r="F78" s="700">
        <v>9563.4</v>
      </c>
      <c r="G78" s="687">
        <f t="shared" si="14"/>
        <v>0</v>
      </c>
      <c r="H78" s="645">
        <f t="shared" si="15"/>
        <v>0</v>
      </c>
      <c r="I78" s="688"/>
      <c r="J78" s="653">
        <f>H78/DAY(B2)</f>
        <v>0</v>
      </c>
      <c r="K78" s="598"/>
      <c r="L78" s="570"/>
      <c r="N78" s="577"/>
      <c r="O78" s="578"/>
    </row>
    <row r="79" spans="1:15" s="105" customFormat="1" ht="28.5">
      <c r="A79" s="814" t="s">
        <v>225</v>
      </c>
      <c r="B79" s="815"/>
      <c r="C79" s="816"/>
      <c r="D79" s="307"/>
      <c r="E79" s="650"/>
      <c r="F79" s="700"/>
      <c r="G79" s="687">
        <f>G15-SUM(G74:G78)</f>
        <v>514.01999999994587</v>
      </c>
      <c r="H79" s="645">
        <f t="shared" si="15"/>
        <v>514.01999999994587</v>
      </c>
      <c r="I79" s="688"/>
      <c r="J79" s="653"/>
      <c r="K79" s="598"/>
      <c r="L79" s="570"/>
      <c r="N79" s="577"/>
      <c r="O79" s="578"/>
    </row>
    <row r="80" spans="1:15" s="105" customFormat="1" ht="28.5">
      <c r="A80" s="779" t="s">
        <v>329</v>
      </c>
      <c r="B80" s="780"/>
      <c r="C80" s="781"/>
      <c r="D80" s="307"/>
      <c r="E80" s="650"/>
      <c r="F80" s="701"/>
      <c r="G80" s="687">
        <f>SUM(G74:G79)</f>
        <v>982.39999999990687</v>
      </c>
      <c r="H80" s="645"/>
      <c r="I80" s="688"/>
      <c r="J80" s="653"/>
      <c r="K80" s="598"/>
      <c r="L80" s="570"/>
      <c r="N80" s="577"/>
      <c r="O80" s="578"/>
    </row>
    <row r="81" spans="1:15" s="105" customFormat="1" ht="28.5">
      <c r="A81" s="817" t="s">
        <v>226</v>
      </c>
      <c r="B81" s="818"/>
      <c r="C81" s="819"/>
      <c r="D81" s="613"/>
      <c r="E81" s="637"/>
      <c r="F81" s="646"/>
      <c r="G81" s="702"/>
      <c r="H81" s="703"/>
      <c r="I81" s="703"/>
      <c r="J81" s="704"/>
      <c r="O81" s="578"/>
    </row>
    <row r="82" spans="1:15" s="105" customFormat="1" ht="28.5">
      <c r="A82" s="345" t="s">
        <v>227</v>
      </c>
      <c r="B82" s="586"/>
      <c r="C82" s="586"/>
      <c r="D82" s="307" t="s">
        <v>228</v>
      </c>
      <c r="E82" s="650">
        <v>0</v>
      </c>
      <c r="F82" s="686">
        <v>0</v>
      </c>
      <c r="G82" s="687">
        <f t="shared" ref="G82:G92" si="16">F82-E82</f>
        <v>0</v>
      </c>
      <c r="H82" s="645">
        <f t="shared" ref="H82:H92" si="17">G82</f>
        <v>0</v>
      </c>
      <c r="I82" s="688"/>
      <c r="J82" s="653">
        <f>H82/DAY(B2)</f>
        <v>0</v>
      </c>
      <c r="O82" s="578"/>
    </row>
    <row r="83" spans="1:15" s="105" customFormat="1" ht="28.5">
      <c r="A83" s="345" t="s">
        <v>229</v>
      </c>
      <c r="B83" s="586"/>
      <c r="C83" s="586"/>
      <c r="D83" s="307" t="s">
        <v>228</v>
      </c>
      <c r="E83" s="650">
        <v>0</v>
      </c>
      <c r="F83" s="686">
        <v>0</v>
      </c>
      <c r="G83" s="687">
        <f t="shared" si="16"/>
        <v>0</v>
      </c>
      <c r="H83" s="645">
        <f t="shared" si="17"/>
        <v>0</v>
      </c>
      <c r="I83" s="688"/>
      <c r="J83" s="653">
        <f>H83/DAY(B2)</f>
        <v>0</v>
      </c>
      <c r="O83" s="578"/>
    </row>
    <row r="84" spans="1:15" s="105" customFormat="1" ht="28.5">
      <c r="A84" s="345" t="s">
        <v>230</v>
      </c>
      <c r="B84" s="586"/>
      <c r="C84" s="586"/>
      <c r="D84" s="307" t="s">
        <v>228</v>
      </c>
      <c r="E84" s="650">
        <v>43540.21</v>
      </c>
      <c r="F84" s="705">
        <v>43540.21</v>
      </c>
      <c r="G84" s="687">
        <f t="shared" si="16"/>
        <v>0</v>
      </c>
      <c r="H84" s="645">
        <f t="shared" si="17"/>
        <v>0</v>
      </c>
      <c r="I84" s="688"/>
      <c r="J84" s="653">
        <f>H84/DAY(B2)</f>
        <v>0</v>
      </c>
      <c r="O84" s="578"/>
    </row>
    <row r="85" spans="1:15" s="105" customFormat="1" ht="28.5">
      <c r="A85" s="345" t="s">
        <v>231</v>
      </c>
      <c r="B85" s="586"/>
      <c r="C85" s="586"/>
      <c r="D85" s="307" t="s">
        <v>228</v>
      </c>
      <c r="E85" s="650">
        <v>5684</v>
      </c>
      <c r="F85" s="705">
        <v>5684</v>
      </c>
      <c r="G85" s="687">
        <f t="shared" si="16"/>
        <v>0</v>
      </c>
      <c r="H85" s="645">
        <f t="shared" si="17"/>
        <v>0</v>
      </c>
      <c r="I85" s="688"/>
      <c r="J85" s="653">
        <f>H85/DAY(B2)</f>
        <v>0</v>
      </c>
      <c r="O85" s="578"/>
    </row>
    <row r="86" spans="1:15" s="105" customFormat="1" ht="28.5">
      <c r="A86" s="345" t="s">
        <v>232</v>
      </c>
      <c r="B86" s="586"/>
      <c r="C86" s="586"/>
      <c r="D86" s="307" t="s">
        <v>228</v>
      </c>
      <c r="E86" s="650">
        <v>46734</v>
      </c>
      <c r="F86" s="705">
        <v>46734</v>
      </c>
      <c r="G86" s="706">
        <f t="shared" si="16"/>
        <v>0</v>
      </c>
      <c r="H86" s="645">
        <f t="shared" si="17"/>
        <v>0</v>
      </c>
      <c r="I86" s="688"/>
      <c r="J86" s="653">
        <f>H86/DAY(B2)</f>
        <v>0</v>
      </c>
      <c r="O86" s="578"/>
    </row>
    <row r="87" spans="1:15" s="105" customFormat="1" ht="28.5">
      <c r="A87" s="345" t="s">
        <v>233</v>
      </c>
      <c r="B87" s="586"/>
      <c r="C87" s="586"/>
      <c r="D87" s="307" t="s">
        <v>228</v>
      </c>
      <c r="E87" s="650">
        <v>36550.21</v>
      </c>
      <c r="F87" s="705">
        <v>36574.32</v>
      </c>
      <c r="G87" s="687">
        <f t="shared" si="16"/>
        <v>24.110000000000582</v>
      </c>
      <c r="H87" s="645">
        <f t="shared" si="17"/>
        <v>24.110000000000582</v>
      </c>
      <c r="I87" s="688">
        <f>G84+G85+G86+G87</f>
        <v>24.110000000000582</v>
      </c>
      <c r="J87" s="653">
        <f>H87/DAY(B2)</f>
        <v>24.110000000000582</v>
      </c>
      <c r="O87" s="578"/>
    </row>
    <row r="88" spans="1:15" s="105" customFormat="1" ht="28.5">
      <c r="A88" s="345" t="s">
        <v>234</v>
      </c>
      <c r="B88" s="586"/>
      <c r="C88" s="586"/>
      <c r="D88" s="307" t="s">
        <v>228</v>
      </c>
      <c r="E88" s="650">
        <v>24511.8</v>
      </c>
      <c r="F88" s="705">
        <v>24511.8</v>
      </c>
      <c r="G88" s="687">
        <f t="shared" si="16"/>
        <v>0</v>
      </c>
      <c r="H88" s="645">
        <f t="shared" si="17"/>
        <v>0</v>
      </c>
      <c r="I88" s="688"/>
      <c r="J88" s="653">
        <f>H88/DAY(B2)</f>
        <v>0</v>
      </c>
      <c r="O88" s="578"/>
    </row>
    <row r="89" spans="1:15" s="105" customFormat="1" ht="28.5">
      <c r="A89" s="345" t="s">
        <v>235</v>
      </c>
      <c r="B89" s="586"/>
      <c r="C89" s="586"/>
      <c r="D89" s="307" t="s">
        <v>228</v>
      </c>
      <c r="E89" s="650">
        <v>28501.7</v>
      </c>
      <c r="F89" s="705">
        <v>28511.45</v>
      </c>
      <c r="G89" s="687">
        <f t="shared" si="16"/>
        <v>9.75</v>
      </c>
      <c r="H89" s="645">
        <f t="shared" si="17"/>
        <v>9.75</v>
      </c>
      <c r="I89" s="688">
        <f>G88+G89</f>
        <v>9.75</v>
      </c>
      <c r="J89" s="653">
        <f>H89/DAY(B2)</f>
        <v>9.75</v>
      </c>
      <c r="O89" s="578"/>
    </row>
    <row r="90" spans="1:15" s="105" customFormat="1" ht="28.5">
      <c r="A90" s="345" t="s">
        <v>236</v>
      </c>
      <c r="B90" s="586"/>
      <c r="C90" s="586"/>
      <c r="D90" s="307" t="s">
        <v>228</v>
      </c>
      <c r="E90" s="650">
        <v>73860.600000000006</v>
      </c>
      <c r="F90" s="705">
        <v>73873.67</v>
      </c>
      <c r="G90" s="687">
        <f t="shared" si="16"/>
        <v>13.069999999992433</v>
      </c>
      <c r="H90" s="645">
        <f t="shared" si="17"/>
        <v>13.069999999992433</v>
      </c>
      <c r="I90" s="688">
        <f>G90</f>
        <v>13.069999999992433</v>
      </c>
      <c r="J90" s="653">
        <f>H90/DAY(B2)</f>
        <v>13.069999999992433</v>
      </c>
      <c r="O90" s="578"/>
    </row>
    <row r="91" spans="1:15" s="105" customFormat="1" ht="28.5">
      <c r="A91" s="345" t="s">
        <v>237</v>
      </c>
      <c r="B91" s="586"/>
      <c r="C91" s="586"/>
      <c r="D91" s="307" t="s">
        <v>228</v>
      </c>
      <c r="E91" s="650">
        <v>5352.77</v>
      </c>
      <c r="F91" s="686">
        <v>5363.19</v>
      </c>
      <c r="G91" s="687">
        <f t="shared" si="16"/>
        <v>10.419999999999163</v>
      </c>
      <c r="H91" s="645">
        <f t="shared" si="17"/>
        <v>10.419999999999163</v>
      </c>
      <c r="I91" s="650"/>
      <c r="J91" s="653">
        <f>H91/DAY(B2)</f>
        <v>10.419999999999163</v>
      </c>
      <c r="O91" s="578"/>
    </row>
    <row r="92" spans="1:15" s="105" customFormat="1" ht="28.5">
      <c r="A92" s="345" t="s">
        <v>238</v>
      </c>
      <c r="B92" s="586"/>
      <c r="C92" s="586"/>
      <c r="D92" s="307" t="s">
        <v>228</v>
      </c>
      <c r="E92" s="650">
        <v>7000</v>
      </c>
      <c r="F92" s="686">
        <v>7000</v>
      </c>
      <c r="G92" s="687">
        <f t="shared" si="16"/>
        <v>0</v>
      </c>
      <c r="H92" s="645">
        <f t="shared" si="17"/>
        <v>0</v>
      </c>
      <c r="I92" s="707">
        <f>G91+G92</f>
        <v>10.419999999999163</v>
      </c>
      <c r="J92" s="653">
        <f>H92/DAY(B2)</f>
        <v>0</v>
      </c>
      <c r="O92" s="578"/>
    </row>
    <row r="93" spans="1:15" s="105" customFormat="1" ht="28.5">
      <c r="A93" s="820" t="s">
        <v>239</v>
      </c>
      <c r="B93" s="821"/>
      <c r="C93" s="822"/>
      <c r="D93" s="615"/>
      <c r="E93" s="637"/>
      <c r="F93" s="646"/>
      <c r="G93" s="708"/>
      <c r="H93" s="657"/>
      <c r="I93" s="709"/>
      <c r="J93" s="710"/>
      <c r="K93" s="598"/>
      <c r="L93" s="570"/>
      <c r="O93" s="578"/>
    </row>
    <row r="94" spans="1:15" s="105" customFormat="1" ht="28.5">
      <c r="A94" s="794" t="s">
        <v>240</v>
      </c>
      <c r="B94" s="795"/>
      <c r="C94" s="796"/>
      <c r="D94" s="307" t="s">
        <v>130</v>
      </c>
      <c r="E94" s="650"/>
      <c r="F94" s="711"/>
      <c r="G94" s="712">
        <f>G35+G43+G49+G57</f>
        <v>5602.440000000177</v>
      </c>
      <c r="H94" s="645">
        <f t="shared" ref="H94:H105" si="18">G94</f>
        <v>5602.440000000177</v>
      </c>
      <c r="I94" s="688"/>
      <c r="J94" s="653">
        <f>H94/DAY(B2)</f>
        <v>5602.440000000177</v>
      </c>
      <c r="K94" s="598"/>
      <c r="L94" s="570"/>
      <c r="O94" s="578"/>
    </row>
    <row r="95" spans="1:15" s="105" customFormat="1" ht="28.5">
      <c r="A95" s="794" t="s">
        <v>241</v>
      </c>
      <c r="B95" s="795"/>
      <c r="C95" s="796"/>
      <c r="D95" s="307" t="s">
        <v>23</v>
      </c>
      <c r="E95" s="650"/>
      <c r="F95" s="711"/>
      <c r="G95" s="713">
        <f>G94/G7</f>
        <v>0.24906984033130419</v>
      </c>
      <c r="H95" s="645">
        <f t="shared" si="18"/>
        <v>0.24906984033130419</v>
      </c>
      <c r="I95" s="714"/>
      <c r="J95" s="653">
        <f>H95/DAY(B2)</f>
        <v>0.24906984033130419</v>
      </c>
      <c r="K95" s="598"/>
      <c r="L95" s="570"/>
      <c r="O95" s="578"/>
    </row>
    <row r="96" spans="1:15" s="105" customFormat="1" ht="28.5">
      <c r="A96" s="794" t="s">
        <v>242</v>
      </c>
      <c r="B96" s="795"/>
      <c r="C96" s="796"/>
      <c r="D96" s="307" t="s">
        <v>130</v>
      </c>
      <c r="E96" s="650"/>
      <c r="F96" s="688"/>
      <c r="G96" s="712">
        <f>G41+G42+G55+G56</f>
        <v>3381.140000000014</v>
      </c>
      <c r="H96" s="645">
        <f t="shared" si="18"/>
        <v>3381.140000000014</v>
      </c>
      <c r="I96" s="688"/>
      <c r="J96" s="653">
        <f>H96/DAY(B2)</f>
        <v>3381.140000000014</v>
      </c>
      <c r="K96" s="598"/>
      <c r="L96" s="570"/>
      <c r="O96" s="578"/>
    </row>
    <row r="97" spans="1:15" s="105" customFormat="1" ht="28.5">
      <c r="A97" s="794" t="s">
        <v>243</v>
      </c>
      <c r="B97" s="795"/>
      <c r="C97" s="796"/>
      <c r="D97" s="307" t="s">
        <v>23</v>
      </c>
      <c r="E97" s="650"/>
      <c r="F97" s="688"/>
      <c r="G97" s="713">
        <f>G96/G7</f>
        <v>0.15031664773523012</v>
      </c>
      <c r="H97" s="645">
        <f t="shared" si="18"/>
        <v>0.15031664773523012</v>
      </c>
      <c r="I97" s="714"/>
      <c r="J97" s="653">
        <f>H97/DAY(B2)</f>
        <v>0.15031664773523012</v>
      </c>
      <c r="K97" s="598"/>
      <c r="L97" s="570"/>
      <c r="O97" s="578"/>
    </row>
    <row r="98" spans="1:15" s="105" customFormat="1" ht="28.5">
      <c r="A98" s="794" t="s">
        <v>244</v>
      </c>
      <c r="B98" s="795"/>
      <c r="C98" s="796"/>
      <c r="D98" s="307" t="s">
        <v>130</v>
      </c>
      <c r="E98" s="650"/>
      <c r="F98" s="688"/>
      <c r="G98" s="712">
        <f>G39+G53</f>
        <v>4254.4799999999814</v>
      </c>
      <c r="H98" s="645">
        <f t="shared" si="18"/>
        <v>4254.4799999999814</v>
      </c>
      <c r="I98" s="663"/>
      <c r="J98" s="653">
        <f>H98/DAY(B2)</f>
        <v>4254.4799999999814</v>
      </c>
      <c r="K98" s="598"/>
      <c r="L98" s="570"/>
      <c r="O98" s="578"/>
    </row>
    <row r="99" spans="1:15" s="105" customFormat="1" ht="28.5">
      <c r="A99" s="794" t="s">
        <v>245</v>
      </c>
      <c r="B99" s="795"/>
      <c r="C99" s="796"/>
      <c r="D99" s="307" t="s">
        <v>23</v>
      </c>
      <c r="E99" s="650"/>
      <c r="F99" s="688"/>
      <c r="G99" s="713">
        <f>G98/G7</f>
        <v>0.18914306164683403</v>
      </c>
      <c r="H99" s="645">
        <f t="shared" si="18"/>
        <v>0.18914306164683403</v>
      </c>
      <c r="I99" s="663"/>
      <c r="J99" s="653">
        <f>H99/DAY(B2)</f>
        <v>0.18914306164683403</v>
      </c>
      <c r="O99" s="578"/>
    </row>
    <row r="100" spans="1:15" s="105" customFormat="1" ht="28.5">
      <c r="A100" s="794" t="s">
        <v>246</v>
      </c>
      <c r="B100" s="795"/>
      <c r="C100" s="796"/>
      <c r="D100" s="307" t="s">
        <v>180</v>
      </c>
      <c r="E100" s="650"/>
      <c r="F100" s="688"/>
      <c r="G100" s="712">
        <f>G38+G52</f>
        <v>2366.3199999999397</v>
      </c>
      <c r="H100" s="645">
        <f t="shared" si="18"/>
        <v>2366.3199999999397</v>
      </c>
      <c r="I100" s="688"/>
      <c r="J100" s="653">
        <f>H100/DAY(B2)</f>
        <v>2366.3199999999397</v>
      </c>
      <c r="K100" s="603"/>
      <c r="O100" s="578"/>
    </row>
    <row r="101" spans="1:15" s="105" customFormat="1" ht="28.5">
      <c r="A101" s="794" t="s">
        <v>247</v>
      </c>
      <c r="B101" s="795"/>
      <c r="C101" s="796"/>
      <c r="D101" s="307" t="s">
        <v>23</v>
      </c>
      <c r="E101" s="650"/>
      <c r="F101" s="688"/>
      <c r="G101" s="713">
        <f>G100/G7</f>
        <v>0.1052004027839188</v>
      </c>
      <c r="H101" s="645">
        <f t="shared" si="18"/>
        <v>0.1052004027839188</v>
      </c>
      <c r="I101" s="663"/>
      <c r="J101" s="653">
        <f>H101/DAY(B2)</f>
        <v>0.1052004027839188</v>
      </c>
      <c r="O101" s="578"/>
    </row>
    <row r="102" spans="1:15" s="105" customFormat="1" ht="28.5">
      <c r="A102" s="794" t="s">
        <v>248</v>
      </c>
      <c r="B102" s="795"/>
      <c r="C102" s="796"/>
      <c r="D102" s="307" t="s">
        <v>180</v>
      </c>
      <c r="E102" s="650"/>
      <c r="F102" s="688"/>
      <c r="G102" s="712">
        <f>G36+G50</f>
        <v>2703.8099999999977</v>
      </c>
      <c r="H102" s="645">
        <f t="shared" si="18"/>
        <v>2703.8099999999977</v>
      </c>
      <c r="I102" s="663"/>
      <c r="J102" s="653">
        <f>H102/DAY(B2)</f>
        <v>2703.8099999999977</v>
      </c>
      <c r="O102" s="578"/>
    </row>
    <row r="103" spans="1:15" s="105" customFormat="1" ht="28.5">
      <c r="A103" s="794" t="s">
        <v>249</v>
      </c>
      <c r="B103" s="795"/>
      <c r="C103" s="796"/>
      <c r="D103" s="307" t="s">
        <v>23</v>
      </c>
      <c r="E103" s="650"/>
      <c r="F103" s="688"/>
      <c r="G103" s="713">
        <f>G102/G7</f>
        <v>0.12020432614827856</v>
      </c>
      <c r="H103" s="645">
        <f t="shared" si="18"/>
        <v>0.12020432614827856</v>
      </c>
      <c r="I103" s="688"/>
      <c r="J103" s="653">
        <f>H103/DAY(B2)</f>
        <v>0.12020432614827856</v>
      </c>
      <c r="O103" s="578"/>
    </row>
    <row r="104" spans="1:15" s="105" customFormat="1" ht="28.5">
      <c r="A104" s="794" t="s">
        <v>250</v>
      </c>
      <c r="B104" s="795"/>
      <c r="C104" s="796"/>
      <c r="D104" s="307" t="s">
        <v>180</v>
      </c>
      <c r="E104" s="650"/>
      <c r="F104" s="688"/>
      <c r="G104" s="712">
        <f>G37+G51</f>
        <v>1051.3699999999953</v>
      </c>
      <c r="H104" s="645">
        <f t="shared" si="18"/>
        <v>1051.3699999999953</v>
      </c>
      <c r="I104" s="688"/>
      <c r="J104" s="653">
        <f>H104/DAY(B2)</f>
        <v>1051.3699999999953</v>
      </c>
      <c r="O104" s="578"/>
    </row>
    <row r="105" spans="1:15" s="105" customFormat="1" ht="29.25" thickBot="1">
      <c r="A105" s="827" t="s">
        <v>251</v>
      </c>
      <c r="B105" s="828"/>
      <c r="C105" s="829"/>
      <c r="D105" s="626" t="s">
        <v>23</v>
      </c>
      <c r="E105" s="650"/>
      <c r="F105" s="715"/>
      <c r="G105" s="716">
        <f>G104/G7</f>
        <v>4.6741162427284155E-2</v>
      </c>
      <c r="H105" s="645">
        <f t="shared" si="18"/>
        <v>4.6741162427284155E-2</v>
      </c>
      <c r="I105" s="715"/>
      <c r="J105" s="717">
        <f>H105/DAY(B2)</f>
        <v>4.6741162427284155E-2</v>
      </c>
      <c r="O105" s="578"/>
    </row>
    <row r="106" spans="1:15" s="105" customFormat="1" ht="28.5">
      <c r="A106" s="94"/>
      <c r="D106" s="94"/>
      <c r="E106" s="650"/>
      <c r="F106" s="718"/>
      <c r="G106" s="719"/>
      <c r="H106" s="720"/>
      <c r="I106" s="718"/>
      <c r="J106" s="720"/>
      <c r="O106" s="578"/>
    </row>
    <row r="107" spans="1:15" s="105" customFormat="1" ht="28.5">
      <c r="A107" s="94"/>
      <c r="D107" s="94"/>
      <c r="E107" s="650"/>
      <c r="F107" s="718"/>
      <c r="G107" s="719"/>
      <c r="H107" s="720"/>
      <c r="I107" s="718"/>
      <c r="J107" s="720"/>
    </row>
    <row r="108" spans="1:15" s="105" customFormat="1" ht="23.25">
      <c r="A108" s="830" t="s">
        <v>324</v>
      </c>
      <c r="B108" s="830"/>
      <c r="C108" s="830"/>
      <c r="D108" s="830"/>
      <c r="E108" s="830"/>
      <c r="F108" s="830"/>
      <c r="G108" s="830"/>
      <c r="H108" s="830"/>
      <c r="I108" s="830"/>
      <c r="J108" s="830"/>
    </row>
    <row r="109" spans="1:15" s="105" customFormat="1" ht="28.5">
      <c r="A109" s="823"/>
      <c r="B109" s="823"/>
      <c r="D109" s="94"/>
      <c r="E109" s="650"/>
      <c r="F109" s="718"/>
      <c r="G109" s="719"/>
      <c r="H109" s="720"/>
      <c r="I109" s="718"/>
      <c r="J109" s="720"/>
    </row>
    <row r="110" spans="1:15" s="105" customFormat="1" ht="23.25">
      <c r="A110" s="831" t="s">
        <v>165</v>
      </c>
      <c r="B110" s="832"/>
      <c r="C110" s="832"/>
      <c r="D110" s="832"/>
      <c r="E110" s="832"/>
      <c r="F110" s="832"/>
      <c r="G110" s="832"/>
      <c r="H110" s="832"/>
      <c r="I110" s="832"/>
      <c r="J110" s="833"/>
    </row>
    <row r="111" spans="1:15" s="105" customFormat="1" ht="28.5">
      <c r="A111" s="834"/>
      <c r="B111" s="835"/>
      <c r="C111" s="836"/>
      <c r="D111" s="245"/>
      <c r="E111" s="650"/>
      <c r="F111" s="650"/>
      <c r="G111" s="707"/>
      <c r="H111" s="672"/>
      <c r="I111" s="650"/>
      <c r="J111" s="672"/>
    </row>
    <row r="112" spans="1:15" s="105" customFormat="1" ht="28.5">
      <c r="A112" s="791" t="s">
        <v>252</v>
      </c>
      <c r="B112" s="792"/>
      <c r="C112" s="793"/>
      <c r="D112" s="618" t="s">
        <v>183</v>
      </c>
      <c r="E112" s="650">
        <v>15613.8</v>
      </c>
      <c r="F112" s="721">
        <v>15675.7</v>
      </c>
      <c r="G112" s="687">
        <f t="shared" ref="G112:G123" si="19">F112-E112</f>
        <v>61.900000000001455</v>
      </c>
      <c r="H112" s="645">
        <f t="shared" ref="H112:H123" si="20">G112</f>
        <v>61.900000000001455</v>
      </c>
      <c r="I112" s="650"/>
      <c r="J112" s="722">
        <f>H112/DAY(B2)</f>
        <v>61.900000000001455</v>
      </c>
    </row>
    <row r="113" spans="1:18" s="105" customFormat="1" ht="29.25" customHeight="1">
      <c r="A113" s="791" t="s">
        <v>253</v>
      </c>
      <c r="B113" s="792"/>
      <c r="C113" s="793"/>
      <c r="D113" s="618" t="s">
        <v>183</v>
      </c>
      <c r="E113" s="650">
        <v>32450.67</v>
      </c>
      <c r="F113" s="723">
        <v>32595.15</v>
      </c>
      <c r="G113" s="687">
        <f t="shared" si="19"/>
        <v>144.4800000000032</v>
      </c>
      <c r="H113" s="645">
        <f t="shared" si="20"/>
        <v>144.4800000000032</v>
      </c>
      <c r="I113" s="650"/>
      <c r="J113" s="722">
        <f>H113/DAY(B2)</f>
        <v>144.4800000000032</v>
      </c>
    </row>
    <row r="114" spans="1:18" s="105" customFormat="1" ht="29.25" customHeight="1">
      <c r="A114" s="791" t="s">
        <v>254</v>
      </c>
      <c r="B114" s="792"/>
      <c r="C114" s="793"/>
      <c r="D114" s="618" t="s">
        <v>183</v>
      </c>
      <c r="E114" s="650">
        <v>47966.3</v>
      </c>
      <c r="F114" s="721">
        <v>48185.4</v>
      </c>
      <c r="G114" s="687">
        <f t="shared" si="19"/>
        <v>219.09999999999854</v>
      </c>
      <c r="H114" s="645">
        <f t="shared" si="20"/>
        <v>219.09999999999854</v>
      </c>
      <c r="I114" s="650"/>
      <c r="J114" s="722">
        <f>H114/DAY(B2)</f>
        <v>219.09999999999854</v>
      </c>
    </row>
    <row r="115" spans="1:18" s="105" customFormat="1" ht="29.25" customHeight="1">
      <c r="A115" s="791" t="s">
        <v>255</v>
      </c>
      <c r="B115" s="792"/>
      <c r="C115" s="793"/>
      <c r="D115" s="618" t="s">
        <v>183</v>
      </c>
      <c r="E115" s="650">
        <v>30436.400000000001</v>
      </c>
      <c r="F115" s="721">
        <v>30568.400000000001</v>
      </c>
      <c r="G115" s="687">
        <f t="shared" si="19"/>
        <v>132</v>
      </c>
      <c r="H115" s="645">
        <f t="shared" si="20"/>
        <v>132</v>
      </c>
      <c r="I115" s="650"/>
      <c r="J115" s="722">
        <f>H115/DAY(B2)</f>
        <v>132</v>
      </c>
    </row>
    <row r="116" spans="1:18" s="105" customFormat="1" ht="29.25" customHeight="1">
      <c r="A116" s="824" t="s">
        <v>96</v>
      </c>
      <c r="B116" s="825"/>
      <c r="C116" s="826"/>
      <c r="D116" s="618" t="s">
        <v>183</v>
      </c>
      <c r="E116" s="650">
        <v>122860.2</v>
      </c>
      <c r="F116" s="721">
        <v>123354.8</v>
      </c>
      <c r="G116" s="687">
        <f t="shared" si="19"/>
        <v>494.60000000000582</v>
      </c>
      <c r="H116" s="645">
        <f t="shared" si="20"/>
        <v>494.60000000000582</v>
      </c>
      <c r="I116" s="650"/>
      <c r="J116" s="722">
        <f>H116/DAY(B2)</f>
        <v>494.60000000000582</v>
      </c>
      <c r="Q116" s="791"/>
      <c r="R116" s="793"/>
    </row>
    <row r="117" spans="1:18" s="105" customFormat="1" ht="29.25" customHeight="1">
      <c r="A117" s="824" t="s">
        <v>184</v>
      </c>
      <c r="B117" s="825"/>
      <c r="C117" s="826"/>
      <c r="D117" s="618" t="s">
        <v>183</v>
      </c>
      <c r="E117" s="650">
        <v>73981.2</v>
      </c>
      <c r="F117" s="721">
        <v>74259.899999999994</v>
      </c>
      <c r="G117" s="687">
        <f t="shared" si="19"/>
        <v>278.69999999999709</v>
      </c>
      <c r="H117" s="645">
        <f t="shared" si="20"/>
        <v>278.69999999999709</v>
      </c>
      <c r="I117" s="650"/>
      <c r="J117" s="722">
        <f>H117/DAY(B2)</f>
        <v>278.69999999999709</v>
      </c>
      <c r="Q117" s="791"/>
      <c r="R117" s="793"/>
    </row>
    <row r="118" spans="1:18" s="105" customFormat="1" ht="28.5">
      <c r="A118" s="844" t="s">
        <v>97</v>
      </c>
      <c r="B118" s="844"/>
      <c r="C118" s="844"/>
      <c r="D118" s="307" t="s">
        <v>183</v>
      </c>
      <c r="E118" s="650">
        <v>138812.45000000001</v>
      </c>
      <c r="F118" s="721">
        <v>139453.85</v>
      </c>
      <c r="G118" s="687">
        <f t="shared" si="19"/>
        <v>641.39999999999418</v>
      </c>
      <c r="H118" s="645">
        <f t="shared" si="20"/>
        <v>641.39999999999418</v>
      </c>
      <c r="I118" s="650"/>
      <c r="J118" s="722">
        <f>H118/DAY(B2)</f>
        <v>641.39999999999418</v>
      </c>
      <c r="Q118" s="791"/>
      <c r="R118" s="793"/>
    </row>
    <row r="119" spans="1:18" s="105" customFormat="1" ht="28.5">
      <c r="A119" s="844" t="s">
        <v>98</v>
      </c>
      <c r="B119" s="844"/>
      <c r="C119" s="844"/>
      <c r="D119" s="307" t="s">
        <v>183</v>
      </c>
      <c r="E119" s="650">
        <v>43353.7</v>
      </c>
      <c r="F119" s="721">
        <v>43366</v>
      </c>
      <c r="G119" s="687">
        <f t="shared" si="19"/>
        <v>12.30000000000291</v>
      </c>
      <c r="H119" s="645">
        <f t="shared" si="20"/>
        <v>12.30000000000291</v>
      </c>
      <c r="I119" s="650"/>
      <c r="J119" s="722">
        <f>H119/DAY(B2)</f>
        <v>12.30000000000291</v>
      </c>
    </row>
    <row r="120" spans="1:18" s="105" customFormat="1" ht="28.5">
      <c r="A120" s="844" t="s">
        <v>99</v>
      </c>
      <c r="B120" s="844"/>
      <c r="C120" s="844"/>
      <c r="D120" s="307" t="s">
        <v>183</v>
      </c>
      <c r="E120" s="650">
        <v>95707.6</v>
      </c>
      <c r="F120" s="721">
        <v>96116.6</v>
      </c>
      <c r="G120" s="687">
        <f t="shared" si="19"/>
        <v>409</v>
      </c>
      <c r="H120" s="645">
        <f t="shared" si="20"/>
        <v>409</v>
      </c>
      <c r="I120" s="650"/>
      <c r="J120" s="722">
        <f>H120/DAY(B2)</f>
        <v>409</v>
      </c>
    </row>
    <row r="121" spans="1:18" s="105" customFormat="1" ht="28.5">
      <c r="A121" s="844" t="s">
        <v>100</v>
      </c>
      <c r="B121" s="844"/>
      <c r="C121" s="844"/>
      <c r="D121" s="307" t="s">
        <v>183</v>
      </c>
      <c r="E121" s="650">
        <v>107829.05</v>
      </c>
      <c r="F121" s="721">
        <v>108250</v>
      </c>
      <c r="G121" s="687">
        <f t="shared" si="19"/>
        <v>420.94999999999709</v>
      </c>
      <c r="H121" s="645">
        <f t="shared" si="20"/>
        <v>420.94999999999709</v>
      </c>
      <c r="I121" s="650"/>
      <c r="J121" s="722">
        <f>H121/DAY(B2)</f>
        <v>420.94999999999709</v>
      </c>
    </row>
    <row r="122" spans="1:18" s="105" customFormat="1" ht="28.5">
      <c r="A122" s="844" t="s">
        <v>101</v>
      </c>
      <c r="B122" s="844"/>
      <c r="C122" s="844"/>
      <c r="D122" s="307" t="s">
        <v>183</v>
      </c>
      <c r="E122" s="650">
        <v>71037.899999999994</v>
      </c>
      <c r="F122" s="721">
        <v>71420.899999999994</v>
      </c>
      <c r="G122" s="687">
        <f t="shared" si="19"/>
        <v>383</v>
      </c>
      <c r="H122" s="645">
        <f t="shared" si="20"/>
        <v>383</v>
      </c>
      <c r="I122" s="650"/>
      <c r="J122" s="722">
        <f>H122/DAY(B2)</f>
        <v>383</v>
      </c>
    </row>
    <row r="123" spans="1:18" s="105" customFormat="1" ht="28.5">
      <c r="A123" s="844" t="s">
        <v>102</v>
      </c>
      <c r="B123" s="844"/>
      <c r="C123" s="844"/>
      <c r="D123" s="307" t="s">
        <v>183</v>
      </c>
      <c r="E123" s="650">
        <v>68357.3</v>
      </c>
      <c r="F123" s="721">
        <v>68665.399999999994</v>
      </c>
      <c r="G123" s="687">
        <f t="shared" si="19"/>
        <v>308.09999999999127</v>
      </c>
      <c r="H123" s="645">
        <f t="shared" si="20"/>
        <v>308.09999999999127</v>
      </c>
      <c r="I123" s="650"/>
      <c r="J123" s="722">
        <f>H123/DAY(B2)</f>
        <v>308.09999999999127</v>
      </c>
    </row>
    <row r="124" spans="1:18" s="105" customFormat="1" ht="29.25" customHeight="1">
      <c r="A124" s="834"/>
      <c r="B124" s="835"/>
      <c r="C124" s="836"/>
      <c r="D124" s="245"/>
      <c r="E124" s="650"/>
      <c r="F124" s="650"/>
      <c r="G124" s="707"/>
      <c r="H124" s="672"/>
      <c r="I124" s="650"/>
      <c r="J124" s="672"/>
    </row>
    <row r="125" spans="1:18" s="105" customFormat="1" ht="28.5">
      <c r="A125" s="779" t="s">
        <v>196</v>
      </c>
      <c r="B125" s="780"/>
      <c r="C125" s="781"/>
      <c r="D125" s="307"/>
      <c r="E125" s="650"/>
      <c r="F125" s="650"/>
      <c r="G125" s="687">
        <f>SUM(G112:G124)</f>
        <v>3505.5299999999916</v>
      </c>
      <c r="H125" s="672"/>
      <c r="I125" s="672">
        <f>G125-(G39+G53)</f>
        <v>-748.94999999998981</v>
      </c>
      <c r="J125" s="672"/>
    </row>
    <row r="126" spans="1:18" s="105" customFormat="1" ht="23.25">
      <c r="A126" s="846" t="s">
        <v>317</v>
      </c>
      <c r="B126" s="846"/>
      <c r="C126" s="846"/>
      <c r="D126" s="846"/>
      <c r="E126" s="846"/>
      <c r="F126" s="846"/>
      <c r="G126" s="846"/>
      <c r="H126" s="846"/>
      <c r="I126" s="846"/>
      <c r="J126" s="846"/>
    </row>
    <row r="127" spans="1:18" s="105" customFormat="1" ht="28.5">
      <c r="A127" s="837"/>
      <c r="B127" s="837"/>
      <c r="C127" s="575"/>
      <c r="D127" s="307"/>
      <c r="E127" s="650"/>
      <c r="F127" s="650"/>
      <c r="G127" s="687"/>
      <c r="H127" s="645">
        <f t="shared" ref="H127:H135" si="21">G127</f>
        <v>0</v>
      </c>
      <c r="I127" s="650"/>
      <c r="J127" s="722">
        <f>H127/DAY(B2)</f>
        <v>0</v>
      </c>
    </row>
    <row r="128" spans="1:18" s="105" customFormat="1" ht="29.25" customHeight="1">
      <c r="A128" s="791" t="s">
        <v>318</v>
      </c>
      <c r="B128" s="792"/>
      <c r="C128" s="793"/>
      <c r="D128" s="307" t="s">
        <v>183</v>
      </c>
      <c r="E128" s="650">
        <v>179411.85</v>
      </c>
      <c r="F128" s="650">
        <v>179769.3</v>
      </c>
      <c r="G128" s="687">
        <f t="shared" ref="G128:G133" si="22">F128-E128</f>
        <v>357.44999999998254</v>
      </c>
      <c r="H128" s="645">
        <f t="shared" si="21"/>
        <v>357.44999999998254</v>
      </c>
      <c r="I128" s="650"/>
      <c r="J128" s="722">
        <f>H128/DAY(B2)</f>
        <v>357.44999999998254</v>
      </c>
    </row>
    <row r="129" spans="1:15" s="105" customFormat="1" ht="28.5">
      <c r="A129" s="329" t="s">
        <v>319</v>
      </c>
      <c r="B129" s="605"/>
      <c r="C129" s="606"/>
      <c r="D129" s="307" t="s">
        <v>183</v>
      </c>
      <c r="E129" s="650">
        <v>96029.5</v>
      </c>
      <c r="F129" s="650">
        <v>96252.3</v>
      </c>
      <c r="G129" s="687">
        <f t="shared" si="22"/>
        <v>222.80000000000291</v>
      </c>
      <c r="H129" s="645">
        <f t="shared" si="21"/>
        <v>222.80000000000291</v>
      </c>
      <c r="I129" s="650"/>
      <c r="J129" s="722">
        <f>H129/DAY(B2)</f>
        <v>222.80000000000291</v>
      </c>
      <c r="N129" s="607"/>
      <c r="O129" s="604"/>
    </row>
    <row r="130" spans="1:15" s="105" customFormat="1" ht="28.5">
      <c r="A130" s="329" t="s">
        <v>320</v>
      </c>
      <c r="B130" s="605"/>
      <c r="C130" s="606"/>
      <c r="D130" s="307" t="s">
        <v>183</v>
      </c>
      <c r="E130" s="650">
        <v>246839.75</v>
      </c>
      <c r="F130" s="650">
        <v>247509.3</v>
      </c>
      <c r="G130" s="687">
        <f t="shared" si="22"/>
        <v>669.54999999998836</v>
      </c>
      <c r="H130" s="645">
        <f t="shared" si="21"/>
        <v>669.54999999998836</v>
      </c>
      <c r="I130" s="650"/>
      <c r="J130" s="722">
        <f>H130/DAY(B2)</f>
        <v>669.54999999998836</v>
      </c>
      <c r="N130" s="607"/>
      <c r="O130" s="604"/>
    </row>
    <row r="131" spans="1:15" s="105" customFormat="1" ht="28.5">
      <c r="A131" s="791" t="s">
        <v>321</v>
      </c>
      <c r="B131" s="792"/>
      <c r="C131" s="793"/>
      <c r="D131" s="307" t="s">
        <v>183</v>
      </c>
      <c r="E131" s="650">
        <v>73510.600000000006</v>
      </c>
      <c r="F131" s="644">
        <v>73766.899999999994</v>
      </c>
      <c r="G131" s="706">
        <f t="shared" si="22"/>
        <v>256.29999999998836</v>
      </c>
      <c r="H131" s="645">
        <f t="shared" si="21"/>
        <v>256.29999999998836</v>
      </c>
      <c r="I131" s="650"/>
      <c r="J131" s="722">
        <f>H131/DAY(B2)</f>
        <v>256.29999999998836</v>
      </c>
      <c r="N131" s="607"/>
      <c r="O131" s="604"/>
    </row>
    <row r="132" spans="1:15" s="105" customFormat="1" ht="28.5">
      <c r="A132" s="791" t="s">
        <v>322</v>
      </c>
      <c r="B132" s="792"/>
      <c r="C132" s="793"/>
      <c r="D132" s="307" t="s">
        <v>183</v>
      </c>
      <c r="E132" s="650">
        <v>146985</v>
      </c>
      <c r="F132" s="644">
        <v>146985</v>
      </c>
      <c r="G132" s="706">
        <f t="shared" si="22"/>
        <v>0</v>
      </c>
      <c r="H132" s="645">
        <f t="shared" si="21"/>
        <v>0</v>
      </c>
      <c r="I132" s="650"/>
      <c r="J132" s="722">
        <f>H132/DAY(B2)</f>
        <v>0</v>
      </c>
    </row>
    <row r="133" spans="1:15" s="105" customFormat="1" ht="28.5">
      <c r="A133" s="791" t="s">
        <v>342</v>
      </c>
      <c r="B133" s="792"/>
      <c r="C133" s="793"/>
      <c r="D133" s="307" t="s">
        <v>183</v>
      </c>
      <c r="E133" s="644">
        <v>910244</v>
      </c>
      <c r="F133" s="644">
        <v>911013</v>
      </c>
      <c r="G133" s="706">
        <f t="shared" si="22"/>
        <v>769</v>
      </c>
      <c r="H133" s="645">
        <f t="shared" si="21"/>
        <v>769</v>
      </c>
      <c r="I133" s="650"/>
      <c r="J133" s="722">
        <f>H133/DAY(B2)</f>
        <v>769</v>
      </c>
    </row>
    <row r="134" spans="1:15" s="105" customFormat="1" ht="28.5">
      <c r="A134" s="845" t="s">
        <v>340</v>
      </c>
      <c r="B134" s="842"/>
      <c r="C134" s="843"/>
      <c r="D134" s="307" t="s">
        <v>183</v>
      </c>
      <c r="E134" s="650">
        <v>78759.600000000006</v>
      </c>
      <c r="F134" s="644">
        <v>78968.5</v>
      </c>
      <c r="G134" s="706">
        <f>F134-E134</f>
        <v>208.89999999999418</v>
      </c>
      <c r="H134" s="645">
        <f t="shared" ref="H134" si="23">G134</f>
        <v>208.89999999999418</v>
      </c>
      <c r="I134" s="650"/>
      <c r="J134" s="722">
        <f>H134/DAY(B2)</f>
        <v>208.89999999999418</v>
      </c>
    </row>
    <row r="135" spans="1:15" s="105" customFormat="1" ht="28.5">
      <c r="A135" s="779" t="s">
        <v>196</v>
      </c>
      <c r="B135" s="780"/>
      <c r="C135" s="781"/>
      <c r="D135" s="307"/>
      <c r="E135" s="650"/>
      <c r="F135" s="650"/>
      <c r="G135" s="687">
        <f>SUM(G128:G134)</f>
        <v>2483.9999999999563</v>
      </c>
      <c r="H135" s="645">
        <f t="shared" si="21"/>
        <v>2483.9999999999563</v>
      </c>
      <c r="I135" s="672">
        <f>G135-(G35+G49)</f>
        <v>-719.00000000016007</v>
      </c>
      <c r="J135" s="722">
        <f>H135/DAY(B2)</f>
        <v>2483.9999999999563</v>
      </c>
    </row>
    <row r="136" spans="1:15" s="105" customFormat="1" ht="23.25">
      <c r="A136" s="846" t="s">
        <v>325</v>
      </c>
      <c r="B136" s="846"/>
      <c r="C136" s="846"/>
      <c r="D136" s="846"/>
      <c r="E136" s="846"/>
      <c r="F136" s="846"/>
      <c r="G136" s="846"/>
      <c r="H136" s="846"/>
      <c r="I136" s="846"/>
      <c r="J136" s="846"/>
    </row>
    <row r="137" spans="1:15" s="105" customFormat="1" ht="28.5">
      <c r="A137" s="245"/>
      <c r="B137" s="575"/>
      <c r="C137" s="575"/>
      <c r="D137" s="245"/>
      <c r="E137" s="650"/>
      <c r="F137" s="650"/>
      <c r="G137" s="707"/>
      <c r="H137" s="672"/>
      <c r="I137" s="650"/>
      <c r="J137" s="672"/>
    </row>
    <row r="138" spans="1:15" s="105" customFormat="1" ht="28.5">
      <c r="A138" s="844" t="s">
        <v>185</v>
      </c>
      <c r="B138" s="844"/>
      <c r="C138" s="844"/>
      <c r="D138" s="307" t="s">
        <v>183</v>
      </c>
      <c r="E138" s="650">
        <v>905659</v>
      </c>
      <c r="F138" s="724">
        <v>905740</v>
      </c>
      <c r="G138" s="687">
        <f t="shared" ref="G138:G150" si="24">F138-E138</f>
        <v>81</v>
      </c>
      <c r="H138" s="645">
        <f t="shared" ref="H138:H150" si="25">G138</f>
        <v>81</v>
      </c>
      <c r="I138" s="688"/>
      <c r="J138" s="722">
        <f>H138/DAY(B2)</f>
        <v>81</v>
      </c>
    </row>
    <row r="139" spans="1:15" s="105" customFormat="1" ht="28.5">
      <c r="A139" s="844" t="s">
        <v>186</v>
      </c>
      <c r="B139" s="844"/>
      <c r="C139" s="844"/>
      <c r="D139" s="307" t="s">
        <v>183</v>
      </c>
      <c r="E139" s="650">
        <v>927281</v>
      </c>
      <c r="F139" s="725">
        <v>927446</v>
      </c>
      <c r="G139" s="687">
        <f t="shared" si="24"/>
        <v>165</v>
      </c>
      <c r="H139" s="645">
        <f t="shared" si="25"/>
        <v>165</v>
      </c>
      <c r="I139" s="688"/>
      <c r="J139" s="722">
        <f>H139/DAY(B2)</f>
        <v>165</v>
      </c>
    </row>
    <row r="140" spans="1:15" s="105" customFormat="1" ht="28.5">
      <c r="A140" s="844" t="s">
        <v>187</v>
      </c>
      <c r="B140" s="844"/>
      <c r="C140" s="844"/>
      <c r="D140" s="307" t="s">
        <v>183</v>
      </c>
      <c r="E140" s="650">
        <v>3331.1</v>
      </c>
      <c r="F140" s="726">
        <v>3351.2</v>
      </c>
      <c r="G140" s="687">
        <f t="shared" si="24"/>
        <v>20.099999999999909</v>
      </c>
      <c r="H140" s="645">
        <f t="shared" si="25"/>
        <v>20.099999999999909</v>
      </c>
      <c r="I140" s="688"/>
      <c r="J140" s="722">
        <f>H140/DAY(B2)</f>
        <v>20.099999999999909</v>
      </c>
    </row>
    <row r="141" spans="1:15" s="105" customFormat="1" ht="28.5">
      <c r="A141" s="785" t="s">
        <v>188</v>
      </c>
      <c r="B141" s="785"/>
      <c r="C141" s="785"/>
      <c r="D141" s="627" t="s">
        <v>183</v>
      </c>
      <c r="E141" s="650">
        <v>117557.98</v>
      </c>
      <c r="F141" s="725">
        <v>117792.36</v>
      </c>
      <c r="G141" s="706">
        <f t="shared" si="24"/>
        <v>234.38000000000466</v>
      </c>
      <c r="H141" s="727">
        <f t="shared" si="25"/>
        <v>234.38000000000466</v>
      </c>
      <c r="I141" s="728"/>
      <c r="J141" s="729">
        <f>H141/DAY(B2)</f>
        <v>234.38000000000466</v>
      </c>
    </row>
    <row r="142" spans="1:15" s="105" customFormat="1" ht="28.5">
      <c r="A142" s="785" t="s">
        <v>189</v>
      </c>
      <c r="B142" s="785"/>
      <c r="C142" s="785"/>
      <c r="D142" s="627" t="s">
        <v>183</v>
      </c>
      <c r="E142" s="650">
        <v>47504.5</v>
      </c>
      <c r="F142" s="725">
        <v>47585.9</v>
      </c>
      <c r="G142" s="706">
        <f t="shared" si="24"/>
        <v>81.400000000001455</v>
      </c>
      <c r="H142" s="727">
        <f t="shared" si="25"/>
        <v>81.400000000001455</v>
      </c>
      <c r="I142" s="730"/>
      <c r="J142" s="729">
        <f>H142/DAY(B2)</f>
        <v>81.400000000001455</v>
      </c>
    </row>
    <row r="143" spans="1:15" s="105" customFormat="1" ht="28.5">
      <c r="A143" s="787" t="s">
        <v>91</v>
      </c>
      <c r="B143" s="787"/>
      <c r="C143" s="787"/>
      <c r="D143" s="627" t="s">
        <v>183</v>
      </c>
      <c r="E143" s="650">
        <v>12415.4</v>
      </c>
      <c r="F143" s="725">
        <v>12447.5</v>
      </c>
      <c r="G143" s="706">
        <f t="shared" si="24"/>
        <v>32.100000000000364</v>
      </c>
      <c r="H143" s="727">
        <f t="shared" si="25"/>
        <v>32.100000000000364</v>
      </c>
      <c r="I143" s="730"/>
      <c r="J143" s="729">
        <f>H143/DAY(B2)</f>
        <v>32.100000000000364</v>
      </c>
    </row>
    <row r="144" spans="1:15" s="105" customFormat="1" ht="28.5">
      <c r="A144" s="785" t="s">
        <v>90</v>
      </c>
      <c r="B144" s="785"/>
      <c r="C144" s="785"/>
      <c r="D144" s="627" t="s">
        <v>183</v>
      </c>
      <c r="E144" s="650">
        <v>948198</v>
      </c>
      <c r="F144" s="725">
        <v>948432</v>
      </c>
      <c r="G144" s="706">
        <f t="shared" si="24"/>
        <v>234</v>
      </c>
      <c r="H144" s="727">
        <f t="shared" si="25"/>
        <v>234</v>
      </c>
      <c r="I144" s="730"/>
      <c r="J144" s="729">
        <f>H144/DAY(B2)</f>
        <v>234</v>
      </c>
    </row>
    <row r="145" spans="1:10" s="105" customFormat="1" ht="28.5">
      <c r="A145" s="787" t="s">
        <v>190</v>
      </c>
      <c r="B145" s="787"/>
      <c r="C145" s="787"/>
      <c r="D145" s="627" t="s">
        <v>183</v>
      </c>
      <c r="E145" s="650">
        <v>22596.1</v>
      </c>
      <c r="F145" s="725">
        <v>22724</v>
      </c>
      <c r="G145" s="706">
        <f t="shared" si="24"/>
        <v>127.90000000000146</v>
      </c>
      <c r="H145" s="727">
        <f t="shared" si="25"/>
        <v>127.90000000000146</v>
      </c>
      <c r="I145" s="730"/>
      <c r="J145" s="729">
        <f>H145/DAY(B2)</f>
        <v>127.90000000000146</v>
      </c>
    </row>
    <row r="146" spans="1:10" s="105" customFormat="1" ht="28.5">
      <c r="A146" s="788" t="s">
        <v>191</v>
      </c>
      <c r="B146" s="789"/>
      <c r="C146" s="790"/>
      <c r="D146" s="627" t="s">
        <v>183</v>
      </c>
      <c r="E146" s="650">
        <v>786668</v>
      </c>
      <c r="F146" s="725">
        <v>786699</v>
      </c>
      <c r="G146" s="706">
        <f t="shared" si="24"/>
        <v>31</v>
      </c>
      <c r="H146" s="727">
        <f t="shared" si="25"/>
        <v>31</v>
      </c>
      <c r="I146" s="730"/>
      <c r="J146" s="729">
        <f>H146/DAY(B2)</f>
        <v>31</v>
      </c>
    </row>
    <row r="147" spans="1:10" s="105" customFormat="1" ht="28.5">
      <c r="A147" s="785" t="s">
        <v>192</v>
      </c>
      <c r="B147" s="785"/>
      <c r="C147" s="785"/>
      <c r="D147" s="627" t="s">
        <v>183</v>
      </c>
      <c r="E147" s="650">
        <v>747554.16</v>
      </c>
      <c r="F147" s="725">
        <v>747980.80000000005</v>
      </c>
      <c r="G147" s="706">
        <f t="shared" si="24"/>
        <v>426.64000000001397</v>
      </c>
      <c r="H147" s="727">
        <f t="shared" si="25"/>
        <v>426.64000000001397</v>
      </c>
      <c r="I147" s="730"/>
      <c r="J147" s="729">
        <f>H147/DAY(B2)</f>
        <v>426.64000000001397</v>
      </c>
    </row>
    <row r="148" spans="1:10" s="105" customFormat="1" ht="28.5">
      <c r="A148" s="782" t="s">
        <v>193</v>
      </c>
      <c r="B148" s="783"/>
      <c r="C148" s="784"/>
      <c r="D148" s="628" t="s">
        <v>130</v>
      </c>
      <c r="E148" s="650">
        <v>784645</v>
      </c>
      <c r="F148" s="705">
        <v>784723.12</v>
      </c>
      <c r="G148" s="706">
        <f t="shared" si="24"/>
        <v>78.119999999995343</v>
      </c>
      <c r="H148" s="727">
        <f t="shared" si="25"/>
        <v>78.119999999995343</v>
      </c>
      <c r="I148" s="727"/>
      <c r="J148" s="729">
        <f>H148/DAY(B2)</f>
        <v>78.119999999995343</v>
      </c>
    </row>
    <row r="149" spans="1:10" s="105" customFormat="1" ht="28.5">
      <c r="A149" s="782" t="s">
        <v>336</v>
      </c>
      <c r="B149" s="783"/>
      <c r="C149" s="784"/>
      <c r="D149" s="629" t="s">
        <v>130</v>
      </c>
      <c r="E149" s="650">
        <v>185296.89</v>
      </c>
      <c r="F149" s="731">
        <v>185822</v>
      </c>
      <c r="G149" s="706">
        <f t="shared" si="24"/>
        <v>525.10999999998603</v>
      </c>
      <c r="H149" s="727">
        <f t="shared" si="25"/>
        <v>525.10999999998603</v>
      </c>
      <c r="I149" s="651"/>
      <c r="J149" s="729">
        <f>H149/DAY(B2)</f>
        <v>525.10999999998603</v>
      </c>
    </row>
    <row r="150" spans="1:10" s="105" customFormat="1" ht="28.5">
      <c r="A150" s="782" t="s">
        <v>337</v>
      </c>
      <c r="B150" s="783"/>
      <c r="C150" s="784"/>
      <c r="D150" s="628" t="s">
        <v>130</v>
      </c>
      <c r="E150" s="650">
        <v>77666.3</v>
      </c>
      <c r="F150" s="731">
        <v>77880.600000000006</v>
      </c>
      <c r="G150" s="706">
        <f t="shared" si="24"/>
        <v>214.30000000000291</v>
      </c>
      <c r="H150" s="727">
        <f t="shared" si="25"/>
        <v>214.30000000000291</v>
      </c>
      <c r="I150" s="651"/>
      <c r="J150" s="729">
        <f>H150/DAY(B2)</f>
        <v>214.30000000000291</v>
      </c>
    </row>
    <row r="151" spans="1:10" s="105" customFormat="1" ht="28.5">
      <c r="A151" s="782" t="s">
        <v>338</v>
      </c>
      <c r="B151" s="783"/>
      <c r="C151" s="784"/>
      <c r="D151" s="630"/>
      <c r="E151" s="650">
        <v>158310</v>
      </c>
      <c r="F151" s="731">
        <v>158535</v>
      </c>
      <c r="G151" s="706">
        <f t="shared" ref="G151:G152" si="26">F151-E151</f>
        <v>225</v>
      </c>
      <c r="H151" s="727">
        <f t="shared" ref="H151:H158" si="27">G151</f>
        <v>225</v>
      </c>
      <c r="I151" s="651"/>
      <c r="J151" s="729">
        <f>H151/DAY(B2)</f>
        <v>225</v>
      </c>
    </row>
    <row r="152" spans="1:10" s="105" customFormat="1" ht="28.5">
      <c r="A152" s="782" t="s">
        <v>339</v>
      </c>
      <c r="B152" s="783"/>
      <c r="C152" s="784"/>
      <c r="D152" s="630"/>
      <c r="E152" s="650">
        <v>38615.9</v>
      </c>
      <c r="F152" s="731">
        <v>38750.400000000001</v>
      </c>
      <c r="G152" s="706">
        <f t="shared" si="26"/>
        <v>134.5</v>
      </c>
      <c r="H152" s="727">
        <f t="shared" si="27"/>
        <v>134.5</v>
      </c>
      <c r="I152" s="651"/>
      <c r="J152" s="729">
        <f>H152/DAY(B2)</f>
        <v>134.5</v>
      </c>
    </row>
    <row r="153" spans="1:10" s="105" customFormat="1" ht="28.5">
      <c r="A153" s="779" t="s">
        <v>196</v>
      </c>
      <c r="B153" s="780"/>
      <c r="C153" s="781"/>
      <c r="D153" s="630"/>
      <c r="E153" s="650"/>
      <c r="F153" s="732"/>
      <c r="G153" s="733">
        <f>SUM(G138:G152)</f>
        <v>2610.5500000000061</v>
      </c>
      <c r="H153" s="734">
        <f t="shared" si="27"/>
        <v>2610.5500000000061</v>
      </c>
      <c r="I153" s="663">
        <f>G153-(G38+G52)</f>
        <v>244.23000000006641</v>
      </c>
      <c r="J153" s="735"/>
    </row>
    <row r="154" spans="1:10" s="105" customFormat="1" ht="23.25">
      <c r="A154" s="786" t="s">
        <v>344</v>
      </c>
      <c r="B154" s="786"/>
      <c r="C154" s="786"/>
      <c r="D154" s="786"/>
      <c r="E154" s="786"/>
      <c r="F154" s="786"/>
      <c r="G154" s="786"/>
      <c r="H154" s="786"/>
      <c r="I154" s="786"/>
      <c r="J154" s="786"/>
    </row>
    <row r="155" spans="1:10" s="105" customFormat="1" ht="27.75" customHeight="1">
      <c r="A155" s="785" t="s">
        <v>345</v>
      </c>
      <c r="B155" s="785"/>
      <c r="C155" s="785"/>
      <c r="D155" s="631" t="s">
        <v>130</v>
      </c>
      <c r="E155" s="650">
        <v>219987.7</v>
      </c>
      <c r="F155" s="644">
        <v>220567.7</v>
      </c>
      <c r="G155" s="706">
        <f t="shared" ref="G155:G158" si="28">F155-E155</f>
        <v>580</v>
      </c>
      <c r="H155" s="727">
        <f t="shared" si="27"/>
        <v>580</v>
      </c>
      <c r="I155" s="644"/>
      <c r="J155" s="729">
        <f>H155/DAY(B2)</f>
        <v>580</v>
      </c>
    </row>
    <row r="156" spans="1:10" s="105" customFormat="1" ht="25.5" customHeight="1">
      <c r="A156" s="785" t="s">
        <v>368</v>
      </c>
      <c r="B156" s="785"/>
      <c r="C156" s="785"/>
      <c r="D156" s="631" t="s">
        <v>130</v>
      </c>
      <c r="E156" s="650">
        <v>26530.2</v>
      </c>
      <c r="F156" s="644">
        <v>26613.200000000001</v>
      </c>
      <c r="G156" s="706">
        <f t="shared" si="28"/>
        <v>83</v>
      </c>
      <c r="H156" s="727">
        <f t="shared" si="27"/>
        <v>83</v>
      </c>
      <c r="I156" s="644"/>
      <c r="J156" s="729">
        <f>H156/DAY(B2)</f>
        <v>83</v>
      </c>
    </row>
    <row r="157" spans="1:10" s="105" customFormat="1" ht="25.5" customHeight="1">
      <c r="A157" s="847" t="s">
        <v>360</v>
      </c>
      <c r="B157" s="848"/>
      <c r="C157" s="849"/>
      <c r="D157" s="631" t="s">
        <v>130</v>
      </c>
      <c r="E157" s="650">
        <v>37559</v>
      </c>
      <c r="F157" s="644">
        <v>37559</v>
      </c>
      <c r="G157" s="706">
        <f t="shared" si="28"/>
        <v>0</v>
      </c>
      <c r="H157" s="727">
        <f t="shared" si="27"/>
        <v>0</v>
      </c>
      <c r="I157" s="644"/>
      <c r="J157" s="729"/>
    </row>
    <row r="158" spans="1:10" s="105" customFormat="1" ht="25.5" customHeight="1">
      <c r="A158" s="847" t="s">
        <v>361</v>
      </c>
      <c r="B158" s="848"/>
      <c r="C158" s="849"/>
      <c r="D158" s="631" t="s">
        <v>130</v>
      </c>
      <c r="E158" s="650">
        <v>1561.35</v>
      </c>
      <c r="F158" s="644">
        <v>1579.2</v>
      </c>
      <c r="G158" s="706">
        <f t="shared" si="28"/>
        <v>17.850000000000136</v>
      </c>
      <c r="H158" s="727">
        <f t="shared" si="27"/>
        <v>17.850000000000136</v>
      </c>
      <c r="I158" s="644"/>
      <c r="J158" s="729"/>
    </row>
    <row r="159" spans="1:10" s="105" customFormat="1" ht="25.5" customHeight="1">
      <c r="A159" s="850"/>
      <c r="B159" s="851"/>
      <c r="C159" s="852"/>
      <c r="D159" s="632"/>
      <c r="E159" s="650"/>
      <c r="F159" s="644"/>
      <c r="G159" s="706"/>
      <c r="H159" s="736"/>
      <c r="I159" s="644"/>
      <c r="J159" s="729"/>
    </row>
    <row r="160" spans="1:10" s="105" customFormat="1" ht="23.25">
      <c r="A160" s="846" t="s">
        <v>326</v>
      </c>
      <c r="B160" s="846"/>
      <c r="C160" s="846"/>
      <c r="D160" s="846"/>
      <c r="E160" s="846"/>
      <c r="F160" s="846"/>
      <c r="G160" s="846"/>
      <c r="H160" s="846"/>
      <c r="I160" s="846"/>
      <c r="J160" s="846"/>
    </row>
    <row r="161" spans="1:10" s="105" customFormat="1" ht="28.5">
      <c r="A161" s="242" t="s">
        <v>92</v>
      </c>
      <c r="B161" s="608"/>
      <c r="C161" s="608"/>
      <c r="D161" s="633" t="s">
        <v>180</v>
      </c>
      <c r="E161" s="650">
        <v>503371.16</v>
      </c>
      <c r="F161" s="737">
        <v>503493.56</v>
      </c>
      <c r="G161" s="738">
        <f t="shared" ref="G161:G168" si="29">F161-E161</f>
        <v>122.40000000002328</v>
      </c>
      <c r="H161" s="645">
        <f t="shared" ref="H161:H168" si="30">G161</f>
        <v>122.40000000002328</v>
      </c>
      <c r="I161" s="651"/>
      <c r="J161" s="739">
        <f>H161/DAY(B2)</f>
        <v>122.40000000002328</v>
      </c>
    </row>
    <row r="162" spans="1:10" s="105" customFormat="1" ht="28.5">
      <c r="A162" s="242" t="s">
        <v>93</v>
      </c>
      <c r="B162" s="608"/>
      <c r="C162" s="608"/>
      <c r="D162" s="633" t="s">
        <v>180</v>
      </c>
      <c r="E162" s="650">
        <v>99653.6</v>
      </c>
      <c r="F162" s="737">
        <v>99703.7</v>
      </c>
      <c r="G162" s="738">
        <f t="shared" si="29"/>
        <v>50.099999999991269</v>
      </c>
      <c r="H162" s="645">
        <f t="shared" si="30"/>
        <v>50.099999999991269</v>
      </c>
      <c r="I162" s="651"/>
      <c r="J162" s="739">
        <f>H162/DAY(B2)</f>
        <v>50.099999999991269</v>
      </c>
    </row>
    <row r="163" spans="1:10" s="105" customFormat="1" ht="28.5">
      <c r="A163" s="242" t="s">
        <v>367</v>
      </c>
      <c r="B163" s="608"/>
      <c r="C163" s="608"/>
      <c r="D163" s="633" t="s">
        <v>180</v>
      </c>
      <c r="E163" s="650">
        <v>0</v>
      </c>
      <c r="F163" s="737">
        <v>0</v>
      </c>
      <c r="G163" s="738">
        <f t="shared" si="29"/>
        <v>0</v>
      </c>
      <c r="H163" s="645">
        <f t="shared" si="30"/>
        <v>0</v>
      </c>
      <c r="I163" s="651"/>
      <c r="J163" s="739">
        <f>H163/DAY(B2)</f>
        <v>0</v>
      </c>
    </row>
    <row r="164" spans="1:10" s="105" customFormat="1" ht="28.5">
      <c r="A164" s="242" t="s">
        <v>367</v>
      </c>
      <c r="B164" s="608"/>
      <c r="C164" s="608"/>
      <c r="D164" s="633" t="s">
        <v>180</v>
      </c>
      <c r="E164" s="650">
        <v>6990.2</v>
      </c>
      <c r="F164" s="737">
        <v>6997.5</v>
      </c>
      <c r="G164" s="738">
        <f>F164-E164</f>
        <v>7.3000000000001819</v>
      </c>
      <c r="H164" s="645">
        <f t="shared" si="30"/>
        <v>7.3000000000001819</v>
      </c>
      <c r="I164" s="651"/>
      <c r="J164" s="739">
        <f>H164/DAY(B2)</f>
        <v>7.3000000000001819</v>
      </c>
    </row>
    <row r="165" spans="1:10" s="105" customFormat="1" ht="28.5">
      <c r="A165" s="242" t="s">
        <v>309</v>
      </c>
      <c r="B165" s="608"/>
      <c r="C165" s="608"/>
      <c r="D165" s="633" t="s">
        <v>180</v>
      </c>
      <c r="E165" s="650">
        <v>32574.1</v>
      </c>
      <c r="F165" s="737">
        <v>32582.83</v>
      </c>
      <c r="G165" s="738">
        <f t="shared" si="29"/>
        <v>8.7300000000032014</v>
      </c>
      <c r="H165" s="645">
        <f t="shared" si="30"/>
        <v>8.7300000000032014</v>
      </c>
      <c r="I165" s="651"/>
      <c r="J165" s="739">
        <f>H165/DAY(B2)</f>
        <v>8.7300000000032014</v>
      </c>
    </row>
    <row r="166" spans="1:10" s="105" customFormat="1" ht="28.5">
      <c r="A166" s="837"/>
      <c r="B166" s="837"/>
      <c r="C166" s="575"/>
      <c r="D166" s="633" t="s">
        <v>180</v>
      </c>
      <c r="E166" s="650"/>
      <c r="F166" s="650"/>
      <c r="G166" s="738">
        <f t="shared" si="29"/>
        <v>0</v>
      </c>
      <c r="H166" s="645">
        <f t="shared" si="30"/>
        <v>0</v>
      </c>
      <c r="I166" s="650"/>
      <c r="J166" s="672"/>
    </row>
    <row r="167" spans="1:10" s="105" customFormat="1" ht="28.5">
      <c r="A167" s="837"/>
      <c r="B167" s="837"/>
      <c r="C167" s="575"/>
      <c r="D167" s="633" t="s">
        <v>180</v>
      </c>
      <c r="E167" s="650"/>
      <c r="F167" s="650"/>
      <c r="G167" s="738">
        <f t="shared" si="29"/>
        <v>0</v>
      </c>
      <c r="H167" s="645">
        <f t="shared" si="30"/>
        <v>0</v>
      </c>
      <c r="I167" s="650"/>
      <c r="J167" s="672"/>
    </row>
    <row r="168" spans="1:10" s="105" customFormat="1" ht="28.5">
      <c r="A168" s="837"/>
      <c r="B168" s="837"/>
      <c r="C168" s="575"/>
      <c r="D168" s="633" t="s">
        <v>180</v>
      </c>
      <c r="E168" s="650"/>
      <c r="F168" s="650"/>
      <c r="G168" s="738">
        <f t="shared" si="29"/>
        <v>0</v>
      </c>
      <c r="H168" s="645">
        <f t="shared" si="30"/>
        <v>0</v>
      </c>
      <c r="I168" s="650"/>
      <c r="J168" s="672"/>
    </row>
    <row r="169" spans="1:10" s="105" customFormat="1" ht="28.5">
      <c r="A169" s="94"/>
      <c r="D169" s="94"/>
      <c r="E169" s="650"/>
      <c r="F169" s="718"/>
      <c r="G169" s="719"/>
      <c r="H169" s="720"/>
      <c r="I169" s="718"/>
      <c r="J169" s="720"/>
    </row>
    <row r="170" spans="1:10" s="105" customFormat="1" ht="28.5">
      <c r="A170" s="94"/>
      <c r="D170" s="94"/>
      <c r="E170" s="650"/>
      <c r="F170" s="718"/>
      <c r="G170" s="719"/>
      <c r="H170" s="720"/>
      <c r="I170" s="718"/>
      <c r="J170" s="720"/>
    </row>
    <row r="171" spans="1:10" s="105" customFormat="1" ht="23.25">
      <c r="A171" s="838" t="s">
        <v>330</v>
      </c>
      <c r="B171" s="839"/>
      <c r="C171" s="839"/>
      <c r="D171" s="839"/>
      <c r="E171" s="839"/>
      <c r="F171" s="839"/>
      <c r="G171" s="839"/>
      <c r="H171" s="839"/>
      <c r="I171" s="839"/>
      <c r="J171" s="840"/>
    </row>
    <row r="172" spans="1:10" s="105" customFormat="1" ht="28.5">
      <c r="A172" s="859"/>
      <c r="B172" s="860"/>
      <c r="C172" s="609"/>
      <c r="D172" s="561"/>
      <c r="E172" s="650"/>
      <c r="F172" s="650"/>
      <c r="G172" s="707"/>
      <c r="H172" s="672"/>
      <c r="I172" s="650"/>
      <c r="J172" s="740">
        <f>H172/DAY(B2)</f>
        <v>0</v>
      </c>
    </row>
    <row r="173" spans="1:10" s="105" customFormat="1" ht="28.5">
      <c r="A173" s="841" t="s">
        <v>209</v>
      </c>
      <c r="B173" s="843"/>
      <c r="C173" s="562"/>
      <c r="D173" s="561" t="s">
        <v>142</v>
      </c>
      <c r="E173" s="650">
        <v>8584</v>
      </c>
      <c r="F173" s="650">
        <f>8584+2</f>
        <v>8586</v>
      </c>
      <c r="G173" s="707">
        <f>F173-E173</f>
        <v>2</v>
      </c>
      <c r="H173" s="645">
        <f t="shared" ref="H173:H189" si="31">G173</f>
        <v>2</v>
      </c>
      <c r="I173" s="650"/>
      <c r="J173" s="740">
        <f>H173/DAY(B2)</f>
        <v>2</v>
      </c>
    </row>
    <row r="174" spans="1:10" s="105" customFormat="1" ht="28.5">
      <c r="A174" s="841" t="s">
        <v>75</v>
      </c>
      <c r="B174" s="843"/>
      <c r="C174" s="562"/>
      <c r="D174" s="561" t="s">
        <v>142</v>
      </c>
      <c r="E174" s="650">
        <v>42669</v>
      </c>
      <c r="F174" s="644">
        <v>42680</v>
      </c>
      <c r="G174" s="707">
        <f t="shared" ref="G174:G175" si="32">F174-E174</f>
        <v>11</v>
      </c>
      <c r="H174" s="645">
        <f t="shared" si="31"/>
        <v>11</v>
      </c>
      <c r="I174" s="650"/>
      <c r="J174" s="740">
        <f>H174/DAY(B2)</f>
        <v>11</v>
      </c>
    </row>
    <row r="175" spans="1:10" s="105" customFormat="1" ht="28.5">
      <c r="A175" s="841" t="s">
        <v>76</v>
      </c>
      <c r="B175" s="842"/>
      <c r="C175" s="843"/>
      <c r="D175" s="561" t="s">
        <v>142</v>
      </c>
      <c r="E175" s="650">
        <v>25393</v>
      </c>
      <c r="F175" s="650">
        <v>25406</v>
      </c>
      <c r="G175" s="707">
        <f t="shared" si="32"/>
        <v>13</v>
      </c>
      <c r="H175" s="645">
        <f t="shared" si="31"/>
        <v>13</v>
      </c>
      <c r="I175" s="650"/>
      <c r="J175" s="740"/>
    </row>
    <row r="176" spans="1:10" s="105" customFormat="1" ht="28.5">
      <c r="A176" s="853" t="s">
        <v>196</v>
      </c>
      <c r="B176" s="854"/>
      <c r="C176" s="562"/>
      <c r="D176" s="561"/>
      <c r="E176" s="650"/>
      <c r="F176" s="650"/>
      <c r="G176" s="707">
        <f>SUM(G173:G175)</f>
        <v>26</v>
      </c>
      <c r="H176" s="645">
        <f t="shared" si="31"/>
        <v>26</v>
      </c>
      <c r="I176" s="650"/>
      <c r="J176" s="740">
        <f>H176/DAY(B2)</f>
        <v>26</v>
      </c>
    </row>
    <row r="177" spans="1:10" s="105" customFormat="1" ht="28.5">
      <c r="A177" s="841" t="s">
        <v>77</v>
      </c>
      <c r="B177" s="843"/>
      <c r="C177" s="562"/>
      <c r="D177" s="561" t="s">
        <v>142</v>
      </c>
      <c r="E177" s="650"/>
      <c r="F177" s="650"/>
      <c r="G177" s="707"/>
      <c r="H177" s="645">
        <f t="shared" si="31"/>
        <v>0</v>
      </c>
      <c r="I177" s="650"/>
      <c r="J177" s="740">
        <f>H177/DAY(B2)</f>
        <v>0</v>
      </c>
    </row>
    <row r="178" spans="1:10" s="105" customFormat="1" ht="28.5">
      <c r="A178" s="841" t="s">
        <v>210</v>
      </c>
      <c r="B178" s="843"/>
      <c r="C178" s="562"/>
      <c r="D178" s="561" t="s">
        <v>142</v>
      </c>
      <c r="E178" s="650">
        <v>103643</v>
      </c>
      <c r="F178" s="650">
        <v>103685</v>
      </c>
      <c r="G178" s="707">
        <f>F178-E178</f>
        <v>42</v>
      </c>
      <c r="H178" s="645">
        <f t="shared" si="31"/>
        <v>42</v>
      </c>
      <c r="I178" s="650"/>
      <c r="J178" s="740">
        <f>H178/DAY(B2)</f>
        <v>42</v>
      </c>
    </row>
    <row r="179" spans="1:10" s="105" customFormat="1" ht="28.5">
      <c r="A179" s="841" t="s">
        <v>211</v>
      </c>
      <c r="B179" s="843"/>
      <c r="C179" s="562"/>
      <c r="D179" s="561" t="s">
        <v>142</v>
      </c>
      <c r="E179" s="650">
        <v>37501</v>
      </c>
      <c r="F179" s="650">
        <v>37501</v>
      </c>
      <c r="G179" s="707">
        <f t="shared" ref="G179:G180" si="33">F179-E179</f>
        <v>0</v>
      </c>
      <c r="H179" s="645">
        <f t="shared" si="31"/>
        <v>0</v>
      </c>
      <c r="I179" s="650"/>
      <c r="J179" s="740">
        <f>H179/DAY(B2)</f>
        <v>0</v>
      </c>
    </row>
    <row r="180" spans="1:10" s="105" customFormat="1" ht="28.5">
      <c r="A180" s="841" t="s">
        <v>212</v>
      </c>
      <c r="B180" s="843"/>
      <c r="C180" s="562"/>
      <c r="D180" s="561" t="s">
        <v>142</v>
      </c>
      <c r="E180" s="650">
        <v>7420</v>
      </c>
      <c r="F180" s="650">
        <v>7420</v>
      </c>
      <c r="G180" s="707">
        <f t="shared" si="33"/>
        <v>0</v>
      </c>
      <c r="H180" s="645">
        <f t="shared" si="31"/>
        <v>0</v>
      </c>
      <c r="I180" s="650"/>
      <c r="J180" s="740">
        <f>H180/DAY(B2)</f>
        <v>0</v>
      </c>
    </row>
    <row r="181" spans="1:10" s="105" customFormat="1" ht="28.5">
      <c r="A181" s="853" t="s">
        <v>108</v>
      </c>
      <c r="B181" s="854"/>
      <c r="C181" s="562"/>
      <c r="D181" s="561"/>
      <c r="E181" s="650"/>
      <c r="F181" s="650"/>
      <c r="G181" s="707">
        <f>SUM(G178:G180)</f>
        <v>42</v>
      </c>
      <c r="H181" s="645">
        <f t="shared" si="31"/>
        <v>42</v>
      </c>
      <c r="I181" s="650"/>
      <c r="J181" s="740">
        <f>H181/DAY(B2)</f>
        <v>42</v>
      </c>
    </row>
    <row r="182" spans="1:10" s="105" customFormat="1" ht="21.95" customHeight="1">
      <c r="A182" s="841" t="s">
        <v>213</v>
      </c>
      <c r="B182" s="843"/>
      <c r="C182" s="562"/>
      <c r="D182" s="561"/>
      <c r="E182" s="650"/>
      <c r="F182" s="650"/>
      <c r="G182" s="707"/>
      <c r="H182" s="645">
        <f t="shared" si="31"/>
        <v>0</v>
      </c>
      <c r="I182" s="650"/>
      <c r="J182" s="740">
        <f>H182/DAY(B2)</f>
        <v>0</v>
      </c>
    </row>
    <row r="183" spans="1:10" s="105" customFormat="1" ht="21.95" customHeight="1">
      <c r="A183" s="841" t="s">
        <v>214</v>
      </c>
      <c r="B183" s="843"/>
      <c r="C183" s="562"/>
      <c r="D183" s="561" t="s">
        <v>142</v>
      </c>
      <c r="E183" s="650">
        <v>18168</v>
      </c>
      <c r="F183" s="644">
        <v>18174</v>
      </c>
      <c r="G183" s="741">
        <f>F183-E183</f>
        <v>6</v>
      </c>
      <c r="H183" s="645">
        <f t="shared" si="31"/>
        <v>6</v>
      </c>
      <c r="I183" s="650"/>
      <c r="J183" s="740">
        <f>H183/DAY(B2)</f>
        <v>6</v>
      </c>
    </row>
    <row r="184" spans="1:10" s="105" customFormat="1" ht="21.95" customHeight="1">
      <c r="A184" s="841" t="s">
        <v>215</v>
      </c>
      <c r="B184" s="843"/>
      <c r="C184" s="562"/>
      <c r="D184" s="561" t="s">
        <v>142</v>
      </c>
      <c r="E184" s="650">
        <v>12750</v>
      </c>
      <c r="F184" s="644">
        <v>12760</v>
      </c>
      <c r="G184" s="741">
        <f t="shared" ref="G184:G185" si="34">F184-E184</f>
        <v>10</v>
      </c>
      <c r="H184" s="645">
        <f t="shared" si="31"/>
        <v>10</v>
      </c>
      <c r="I184" s="650"/>
      <c r="J184" s="740">
        <f>H184/DAY(B2)</f>
        <v>10</v>
      </c>
    </row>
    <row r="185" spans="1:10" s="105" customFormat="1" ht="28.5">
      <c r="A185" s="841" t="s">
        <v>216</v>
      </c>
      <c r="B185" s="843"/>
      <c r="C185" s="562"/>
      <c r="D185" s="561" t="s">
        <v>142</v>
      </c>
      <c r="E185" s="650"/>
      <c r="F185" s="644"/>
      <c r="G185" s="741">
        <f t="shared" si="34"/>
        <v>0</v>
      </c>
      <c r="H185" s="645">
        <f t="shared" si="31"/>
        <v>0</v>
      </c>
      <c r="I185" s="650"/>
      <c r="J185" s="742">
        <f>H185/DAY(B2)</f>
        <v>0</v>
      </c>
    </row>
    <row r="186" spans="1:10" s="105" customFormat="1" ht="28.5">
      <c r="A186" s="853" t="s">
        <v>196</v>
      </c>
      <c r="B186" s="854"/>
      <c r="C186" s="562"/>
      <c r="D186" s="634"/>
      <c r="E186" s="650"/>
      <c r="F186" s="644"/>
      <c r="G186" s="741">
        <f>SUM(G183:G185)</f>
        <v>16</v>
      </c>
      <c r="H186" s="645">
        <f t="shared" si="31"/>
        <v>16</v>
      </c>
      <c r="I186" s="644"/>
      <c r="J186" s="742">
        <f>H186/DAY(B2)</f>
        <v>16</v>
      </c>
    </row>
    <row r="187" spans="1:10" s="105" customFormat="1" ht="28.5">
      <c r="A187" s="841" t="s">
        <v>217</v>
      </c>
      <c r="B187" s="843"/>
      <c r="C187" s="562"/>
      <c r="D187" s="635" t="s">
        <v>142</v>
      </c>
      <c r="E187" s="650"/>
      <c r="F187" s="736"/>
      <c r="G187" s="741">
        <f>G62+G19</f>
        <v>187</v>
      </c>
      <c r="H187" s="645">
        <f t="shared" si="31"/>
        <v>187</v>
      </c>
      <c r="I187" s="644"/>
      <c r="J187" s="742">
        <f>H187/DAY(B2)</f>
        <v>187</v>
      </c>
    </row>
    <row r="188" spans="1:10" s="105" customFormat="1" ht="28.5">
      <c r="A188" s="841" t="s">
        <v>218</v>
      </c>
      <c r="B188" s="843"/>
      <c r="C188" s="562"/>
      <c r="D188" s="635" t="s">
        <v>142</v>
      </c>
      <c r="E188" s="650"/>
      <c r="F188" s="736"/>
      <c r="G188" s="741">
        <f>G65+G66+G67+G69+G70</f>
        <v>183</v>
      </c>
      <c r="H188" s="645">
        <f t="shared" si="31"/>
        <v>183</v>
      </c>
      <c r="I188" s="644"/>
      <c r="J188" s="695"/>
    </row>
    <row r="189" spans="1:10" s="105" customFormat="1" ht="28.5">
      <c r="A189" s="841" t="s">
        <v>219</v>
      </c>
      <c r="B189" s="843"/>
      <c r="C189" s="562"/>
      <c r="D189" s="635" t="s">
        <v>142</v>
      </c>
      <c r="E189" s="650"/>
      <c r="F189" s="644"/>
      <c r="G189" s="741">
        <f>G181</f>
        <v>42</v>
      </c>
      <c r="H189" s="645">
        <f t="shared" si="31"/>
        <v>42</v>
      </c>
      <c r="I189" s="644"/>
      <c r="J189" s="739">
        <f>H189/DAY(B2)</f>
        <v>42</v>
      </c>
    </row>
    <row r="190" spans="1:10" s="105" customFormat="1" ht="28.5">
      <c r="A190" s="857" t="s">
        <v>358</v>
      </c>
      <c r="B190" s="858"/>
      <c r="C190" s="610"/>
      <c r="D190" s="636"/>
      <c r="E190" s="718"/>
      <c r="F190" s="743">
        <v>53763</v>
      </c>
      <c r="G190" s="744">
        <f>F190-E190</f>
        <v>53763</v>
      </c>
      <c r="H190" s="745"/>
      <c r="I190" s="743"/>
      <c r="J190" s="745"/>
    </row>
    <row r="191" spans="1:10" ht="28.5">
      <c r="A191" s="855"/>
      <c r="B191" s="856"/>
    </row>
    <row r="192" spans="1:10" ht="28.5"/>
    <row r="193" ht="28.5"/>
    <row r="194" ht="28.5"/>
    <row r="195" ht="28.5"/>
    <row r="196" ht="28.5"/>
    <row r="197" ht="28.5"/>
    <row r="198" ht="28.5"/>
    <row r="199" ht="28.5"/>
    <row r="200" ht="28.5"/>
    <row r="201" ht="28.5"/>
    <row r="202" ht="28.5"/>
    <row r="203" ht="28.5"/>
    <row r="204" ht="28.5"/>
    <row r="205" ht="28.5"/>
    <row r="206" ht="28.5"/>
    <row r="207" ht="28.5"/>
    <row r="208" ht="28.5"/>
    <row r="209" ht="28.5"/>
    <row r="210" ht="28.5"/>
    <row r="211" ht="28.5"/>
    <row r="212" ht="28.5"/>
    <row r="213" ht="28.5"/>
    <row r="214" ht="28.5"/>
    <row r="215" ht="28.5"/>
    <row r="216" ht="28.5"/>
    <row r="217" ht="28.5"/>
    <row r="218" ht="28.5"/>
    <row r="219" ht="28.5"/>
    <row r="220" ht="28.5"/>
    <row r="221" ht="28.5"/>
    <row r="222" ht="28.5"/>
    <row r="223" ht="28.5"/>
    <row r="224" ht="28.5"/>
    <row r="225" ht="28.5"/>
    <row r="226" ht="28.5"/>
    <row r="227" ht="28.5"/>
    <row r="228" ht="28.5"/>
    <row r="229" ht="28.5"/>
    <row r="230" ht="28.5"/>
    <row r="231" ht="28.5"/>
    <row r="232" ht="28.5"/>
    <row r="233" ht="28.5"/>
    <row r="234" ht="28.5"/>
    <row r="235" ht="28.5"/>
    <row r="236" ht="28.5"/>
    <row r="237" ht="28.5"/>
    <row r="238" ht="28.5"/>
    <row r="239" ht="28.5"/>
    <row r="240" ht="28.5"/>
    <row r="241" ht="28.5"/>
    <row r="242" ht="28.5"/>
    <row r="243" ht="28.5"/>
    <row r="244" ht="28.5"/>
    <row r="245" ht="28.5"/>
    <row r="246" ht="28.5"/>
    <row r="247" ht="28.5"/>
    <row r="248" ht="28.5"/>
    <row r="249" ht="28.5"/>
    <row r="250" ht="28.5"/>
    <row r="251" ht="28.5"/>
    <row r="252" ht="28.5"/>
    <row r="253" ht="28.5"/>
    <row r="254" ht="28.5"/>
    <row r="255" ht="28.5"/>
    <row r="256" ht="28.5"/>
    <row r="257" ht="28.5"/>
    <row r="258" ht="28.5"/>
    <row r="259" ht="28.5"/>
    <row r="260" ht="28.5"/>
    <row r="261" ht="28.5"/>
    <row r="262" ht="28.5"/>
    <row r="263" ht="28.5"/>
    <row r="264" ht="28.5"/>
    <row r="265" ht="28.5"/>
    <row r="266" ht="28.5"/>
    <row r="267" ht="28.5"/>
    <row r="268" ht="28.5"/>
    <row r="269" ht="28.5"/>
    <row r="270" ht="28.5"/>
  </sheetData>
  <mergeCells count="116">
    <mergeCell ref="A157:C157"/>
    <mergeCell ref="A158:C158"/>
    <mergeCell ref="A159:C159"/>
    <mergeCell ref="A186:B186"/>
    <mergeCell ref="A187:B187"/>
    <mergeCell ref="A188:B188"/>
    <mergeCell ref="A189:B189"/>
    <mergeCell ref="A191:B191"/>
    <mergeCell ref="A178:B178"/>
    <mergeCell ref="A179:B179"/>
    <mergeCell ref="A180:B180"/>
    <mergeCell ref="A181:B181"/>
    <mergeCell ref="A185:B185"/>
    <mergeCell ref="A182:B182"/>
    <mergeCell ref="A183:B183"/>
    <mergeCell ref="A184:B184"/>
    <mergeCell ref="A190:B190"/>
    <mergeCell ref="A172:B172"/>
    <mergeCell ref="A173:B173"/>
    <mergeCell ref="A174:B174"/>
    <mergeCell ref="A176:B176"/>
    <mergeCell ref="A177:B177"/>
    <mergeCell ref="A160:J160"/>
    <mergeCell ref="A166:B166"/>
    <mergeCell ref="A167:B167"/>
    <mergeCell ref="A168:B168"/>
    <mergeCell ref="A171:J171"/>
    <mergeCell ref="A175:C175"/>
    <mergeCell ref="A118:C118"/>
    <mergeCell ref="Q118:R118"/>
    <mergeCell ref="A138:C138"/>
    <mergeCell ref="A139:C139"/>
    <mergeCell ref="A140:C140"/>
    <mergeCell ref="A141:C141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A126:J126"/>
    <mergeCell ref="A127:B127"/>
    <mergeCell ref="A128:C128"/>
    <mergeCell ref="A100:C100"/>
    <mergeCell ref="A101:C101"/>
    <mergeCell ref="A103:C103"/>
    <mergeCell ref="A104:C104"/>
    <mergeCell ref="A102:C102"/>
    <mergeCell ref="A109:B109"/>
    <mergeCell ref="Q116:R116"/>
    <mergeCell ref="A117:C117"/>
    <mergeCell ref="Q117:R117"/>
    <mergeCell ref="A113:C113"/>
    <mergeCell ref="A114:C114"/>
    <mergeCell ref="A115:C115"/>
    <mergeCell ref="A116:C116"/>
    <mergeCell ref="A105:C105"/>
    <mergeCell ref="A108:J108"/>
    <mergeCell ref="A110:J110"/>
    <mergeCell ref="A111:C111"/>
    <mergeCell ref="A112:C112"/>
    <mergeCell ref="A81:C81"/>
    <mergeCell ref="A93:C93"/>
    <mergeCell ref="A73:C73"/>
    <mergeCell ref="A74:C74"/>
    <mergeCell ref="A75:C75"/>
    <mergeCell ref="A76:C76"/>
    <mergeCell ref="A95:C95"/>
    <mergeCell ref="A96:C96"/>
    <mergeCell ref="A94:C94"/>
    <mergeCell ref="A99:C99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C33"/>
    <mergeCell ref="A61:C61"/>
    <mergeCell ref="A62:C62"/>
    <mergeCell ref="A63:C63"/>
    <mergeCell ref="A71:C71"/>
    <mergeCell ref="A72:B72"/>
    <mergeCell ref="A78:C78"/>
    <mergeCell ref="A97:C97"/>
    <mergeCell ref="A98:C98"/>
    <mergeCell ref="A77:C77"/>
    <mergeCell ref="A79:C79"/>
    <mergeCell ref="A80:C80"/>
    <mergeCell ref="A153:C153"/>
    <mergeCell ref="A125:C125"/>
    <mergeCell ref="A148:C148"/>
    <mergeCell ref="A149:C149"/>
    <mergeCell ref="A150:C150"/>
    <mergeCell ref="A151:C151"/>
    <mergeCell ref="A152:C152"/>
    <mergeCell ref="A156:C156"/>
    <mergeCell ref="A147:C147"/>
    <mergeCell ref="A154:J154"/>
    <mergeCell ref="A155:C155"/>
    <mergeCell ref="A145:C145"/>
    <mergeCell ref="A146:C146"/>
    <mergeCell ref="A144:C144"/>
    <mergeCell ref="A143:C143"/>
    <mergeCell ref="A142:C142"/>
    <mergeCell ref="A131:C131"/>
  </mergeCells>
  <pageMargins left="0.22" right="0.17" top="0.14000000000000001" bottom="0.2" header="0.2" footer="0.2"/>
  <pageSetup paperSize="5" scale="1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270"/>
  <sheetViews>
    <sheetView view="pageBreakPreview" topLeftCell="A13" zoomScale="55" zoomScaleSheetLayoutView="55" workbookViewId="0">
      <selection activeCell="F19" sqref="F19"/>
    </sheetView>
  </sheetViews>
  <sheetFormatPr defaultColWidth="22.33203125" defaultRowHeight="21.95" customHeight="1"/>
  <cols>
    <col min="1" max="1" width="36" style="94" customWidth="1"/>
    <col min="2" max="2" width="22.88671875" style="97" customWidth="1"/>
    <col min="3" max="3" width="15.88671875" style="97" customWidth="1"/>
    <col min="4" max="4" width="13.6640625" style="160" customWidth="1"/>
    <col min="5" max="5" width="27" style="160" customWidth="1"/>
    <col min="6" max="6" width="27.44140625" style="160" customWidth="1"/>
    <col min="7" max="7" width="28.88671875" style="160" customWidth="1"/>
    <col min="8" max="8" width="2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867" t="s">
        <v>115</v>
      </c>
      <c r="B1" s="868"/>
      <c r="C1" s="868"/>
      <c r="D1" s="868"/>
      <c r="E1" s="868"/>
      <c r="F1" s="868"/>
      <c r="G1" s="868"/>
      <c r="H1" s="868"/>
      <c r="I1" s="868"/>
      <c r="J1" s="869"/>
    </row>
    <row r="2" spans="1:16" s="57" customFormat="1" ht="23.25">
      <c r="A2" s="191" t="s">
        <v>354</v>
      </c>
      <c r="B2" s="262">
        <v>44867</v>
      </c>
      <c r="C2" s="348" t="s">
        <v>67</v>
      </c>
      <c r="D2" s="218">
        <v>0.46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3.25">
      <c r="A3" s="189"/>
      <c r="B3" s="221"/>
      <c r="C3" s="348" t="s">
        <v>118</v>
      </c>
      <c r="D3" s="219">
        <v>28</v>
      </c>
      <c r="E3" s="876" t="s">
        <v>119</v>
      </c>
      <c r="F3" s="877"/>
      <c r="G3" s="101"/>
      <c r="H3" s="102"/>
      <c r="I3" s="102"/>
      <c r="J3" s="222"/>
      <c r="K3" s="61"/>
      <c r="L3" s="58"/>
    </row>
    <row r="4" spans="1:16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6.25">
      <c r="A6" s="870" t="s">
        <v>128</v>
      </c>
      <c r="B6" s="871"/>
      <c r="C6" s="872"/>
      <c r="D6" s="110"/>
      <c r="E6" s="110"/>
      <c r="F6" s="110"/>
      <c r="G6" s="110"/>
      <c r="H6" s="111"/>
      <c r="I6" s="111"/>
      <c r="J6" s="174"/>
      <c r="K6" s="78"/>
      <c r="L6" s="66"/>
    </row>
    <row r="7" spans="1:16" ht="27" thickBot="1">
      <c r="A7" s="194" t="s">
        <v>129</v>
      </c>
      <c r="B7" s="195"/>
      <c r="C7" s="195"/>
      <c r="D7" s="151" t="s">
        <v>130</v>
      </c>
      <c r="E7" s="95">
        <f>'1'!F7</f>
        <v>296176</v>
      </c>
      <c r="F7" s="95">
        <v>318277.59000000003</v>
      </c>
      <c r="G7" s="112">
        <f>F7-E7</f>
        <v>22101.590000000026</v>
      </c>
      <c r="H7" s="99">
        <f>G7+'1'!H7</f>
        <v>44595.040000000037</v>
      </c>
      <c r="I7" s="113">
        <f>'[1]1'!I7</f>
        <v>12000</v>
      </c>
      <c r="J7" s="175">
        <f>H7/DAY(B2)</f>
        <v>22297.520000000019</v>
      </c>
      <c r="K7" s="172">
        <v>1375467</v>
      </c>
      <c r="L7" s="66"/>
      <c r="N7" s="87"/>
      <c r="O7" s="373"/>
      <c r="P7" s="57"/>
    </row>
    <row r="8" spans="1:16" ht="27" thickBot="1">
      <c r="A8" s="196" t="s">
        <v>131</v>
      </c>
      <c r="B8" s="197"/>
      <c r="C8" s="198"/>
      <c r="D8" s="224" t="s">
        <v>24</v>
      </c>
      <c r="E8" s="95">
        <f>'1'!F8</f>
        <v>473851.8</v>
      </c>
      <c r="F8" s="114">
        <v>496033.35</v>
      </c>
      <c r="G8" s="115">
        <f>F8-E8</f>
        <v>22181.549999999988</v>
      </c>
      <c r="H8" s="99">
        <f>G8+'1'!H8</f>
        <v>44772.349999999977</v>
      </c>
      <c r="I8" s="116">
        <v>12000</v>
      </c>
      <c r="J8" s="175">
        <f>H8/DAY(B2)</f>
        <v>22386.174999999988</v>
      </c>
      <c r="K8" s="172">
        <v>1715917</v>
      </c>
      <c r="L8" s="76">
        <v>1728480</v>
      </c>
      <c r="M8" s="87">
        <f>L8-K8</f>
        <v>12563</v>
      </c>
      <c r="N8" s="87"/>
      <c r="O8" s="373"/>
      <c r="P8" s="57"/>
    </row>
    <row r="9" spans="1:16" ht="26.25">
      <c r="A9" s="199" t="s">
        <v>132</v>
      </c>
      <c r="B9" s="200"/>
      <c r="C9" s="200"/>
      <c r="D9" s="151" t="s">
        <v>130</v>
      </c>
      <c r="E9" s="95">
        <f>'1'!F9</f>
        <v>4120395</v>
      </c>
      <c r="F9" s="353">
        <v>4126849.1</v>
      </c>
      <c r="G9" s="112">
        <f t="shared" ref="G9:G11" si="0">F9-E9</f>
        <v>6454.1000000000931</v>
      </c>
      <c r="H9" s="99">
        <f>G9+'1'!H9</f>
        <v>12678.800000000279</v>
      </c>
      <c r="I9" s="124">
        <f>I8-J8</f>
        <v>-10386.174999999988</v>
      </c>
      <c r="J9" s="175">
        <f>H9/DAY(B2)</f>
        <v>6339.4000000001397</v>
      </c>
      <c r="K9" s="79">
        <f>K8-100</f>
        <v>1715817</v>
      </c>
      <c r="L9" s="66"/>
      <c r="N9" s="87"/>
      <c r="O9" s="71"/>
    </row>
    <row r="10" spans="1:16" ht="26.25">
      <c r="A10" s="194" t="s">
        <v>133</v>
      </c>
      <c r="B10" s="195"/>
      <c r="C10" s="195"/>
      <c r="D10" s="151" t="s">
        <v>130</v>
      </c>
      <c r="E10" s="95">
        <f>'1'!F10</f>
        <v>3705134.7</v>
      </c>
      <c r="F10" s="117">
        <v>3720182.7</v>
      </c>
      <c r="G10" s="112">
        <f t="shared" si="0"/>
        <v>15048</v>
      </c>
      <c r="H10" s="99">
        <f>G10+'1'!H10</f>
        <v>30703.600000000093</v>
      </c>
      <c r="I10" s="118"/>
      <c r="J10" s="175">
        <f>H10/DAY(B2)</f>
        <v>15351.800000000047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'1'!F11</f>
        <v>38120</v>
      </c>
      <c r="F11" s="95">
        <v>38120</v>
      </c>
      <c r="G11" s="112">
        <f t="shared" si="0"/>
        <v>0</v>
      </c>
      <c r="H11" s="99">
        <f>G11+'1'!H11</f>
        <v>0</v>
      </c>
      <c r="I11" s="118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'1'!F12</f>
        <v>40390</v>
      </c>
      <c r="F12" s="117">
        <v>40390</v>
      </c>
      <c r="G12" s="112">
        <v>0</v>
      </c>
      <c r="H12" s="99">
        <f>G12+'1'!H12</f>
        <v>0</v>
      </c>
      <c r="I12" s="118"/>
      <c r="J12" s="175">
        <f>H12/DAY(B2)</f>
        <v>0</v>
      </c>
      <c r="K12" s="79"/>
      <c r="L12" s="66"/>
      <c r="N12" s="87"/>
      <c r="O12" s="71"/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21502.100000000093</v>
      </c>
      <c r="H13" s="99">
        <f>G13+'1'!H13</f>
        <v>47611.100000000093</v>
      </c>
      <c r="I13" s="120">
        <f>G7-G13</f>
        <v>599.48999999993248</v>
      </c>
      <c r="J13" s="175">
        <f>H13/DAY(B2)</f>
        <v>23805.550000000047</v>
      </c>
      <c r="K13" s="79"/>
      <c r="L13" s="66"/>
      <c r="N13" s="87"/>
      <c r="O13" s="71"/>
    </row>
    <row r="14" spans="1:16" ht="26.25">
      <c r="A14" s="873" t="s">
        <v>137</v>
      </c>
      <c r="B14" s="874"/>
      <c r="C14" s="87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5" t="s">
        <v>138</v>
      </c>
      <c r="B15" s="205"/>
      <c r="C15" s="205"/>
      <c r="D15" s="151" t="s">
        <v>139</v>
      </c>
      <c r="E15" s="95">
        <f>'1'!F15</f>
        <v>2219923.4</v>
      </c>
      <c r="F15" s="352">
        <v>2221043.35</v>
      </c>
      <c r="G15" s="356">
        <f>(F15-E15)</f>
        <v>1119.9500000001863</v>
      </c>
      <c r="H15" s="99">
        <f>G15+'1'!H15</f>
        <v>2102.3500000000931</v>
      </c>
      <c r="I15" s="113">
        <v>800</v>
      </c>
      <c r="J15" s="175">
        <f>H15/DAY(B2)</f>
        <v>1051.1750000000466</v>
      </c>
      <c r="K15" s="79"/>
      <c r="L15" s="66"/>
      <c r="N15" s="87"/>
      <c r="O15" s="71"/>
    </row>
    <row r="16" spans="1:16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-251.17500000004657</v>
      </c>
      <c r="J16" s="176"/>
      <c r="K16" s="79"/>
      <c r="L16" s="66"/>
      <c r="N16" s="87"/>
      <c r="O16" s="71"/>
      <c r="P16" s="71"/>
    </row>
    <row r="17" spans="1:16" ht="26.25">
      <c r="A17" s="873" t="s">
        <v>140</v>
      </c>
      <c r="B17" s="874"/>
      <c r="C17" s="87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  <c r="P17" s="71"/>
    </row>
    <row r="18" spans="1:16" ht="25.5">
      <c r="A18" s="864" t="s">
        <v>141</v>
      </c>
      <c r="B18" s="865"/>
      <c r="C18" s="866"/>
      <c r="D18" s="151" t="s">
        <v>142</v>
      </c>
      <c r="E18" s="95">
        <f>'1'!F18</f>
        <v>25</v>
      </c>
      <c r="F18" s="117">
        <v>26</v>
      </c>
      <c r="G18" s="119">
        <f>F18*10</f>
        <v>260</v>
      </c>
      <c r="H18" s="99">
        <f>G18+'1'!H18</f>
        <v>510</v>
      </c>
      <c r="I18" s="113">
        <f>'[1]1'!I18</f>
        <v>65</v>
      </c>
      <c r="J18" s="175">
        <f>H18/DAY(B2)</f>
        <v>255</v>
      </c>
      <c r="K18" s="79"/>
      <c r="L18" s="66"/>
      <c r="N18" s="87"/>
      <c r="O18" s="71"/>
    </row>
    <row r="19" spans="1:16" ht="25.5">
      <c r="A19" s="864" t="s">
        <v>69</v>
      </c>
      <c r="B19" s="865"/>
      <c r="C19" s="866"/>
      <c r="D19" s="151" t="s">
        <v>142</v>
      </c>
      <c r="E19" s="95">
        <f>'1'!F19</f>
        <v>168013</v>
      </c>
      <c r="F19" s="353">
        <v>168066</v>
      </c>
      <c r="G19" s="112">
        <f>F19-E19</f>
        <v>53</v>
      </c>
      <c r="H19" s="99">
        <f>G19+'1'!H19</f>
        <v>106</v>
      </c>
      <c r="I19" s="354"/>
      <c r="J19" s="175">
        <f>H19/DAY(B2)</f>
        <v>53</v>
      </c>
      <c r="K19" s="79"/>
      <c r="L19" s="66"/>
      <c r="N19" s="87"/>
      <c r="O19" s="71"/>
    </row>
    <row r="20" spans="1:16" ht="26.25">
      <c r="A20" s="201" t="s">
        <v>143</v>
      </c>
      <c r="B20" s="202"/>
      <c r="C20" s="202"/>
      <c r="D20" s="126"/>
      <c r="E20" s="126"/>
      <c r="F20" s="151"/>
      <c r="G20" s="355">
        <f>G18+G19</f>
        <v>313</v>
      </c>
      <c r="H20" s="99">
        <f>G20+'1'!H20</f>
        <v>616</v>
      </c>
      <c r="I20" s="336">
        <f>I18-J20</f>
        <v>-243</v>
      </c>
      <c r="J20" s="175">
        <f>H20/DAY(B2)</f>
        <v>308</v>
      </c>
      <c r="K20" s="79"/>
      <c r="L20" s="66"/>
      <c r="N20" s="87"/>
      <c r="O20" s="71"/>
    </row>
    <row r="21" spans="1:16" ht="26.25">
      <c r="A21" s="873" t="s">
        <v>144</v>
      </c>
      <c r="B21" s="874"/>
      <c r="C21" s="87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6" ht="26.25">
      <c r="A22" s="345" t="s">
        <v>145</v>
      </c>
      <c r="B22" s="205"/>
      <c r="C22" s="205"/>
      <c r="D22" s="151" t="s">
        <v>146</v>
      </c>
      <c r="E22" s="95">
        <f>'1'!F22</f>
        <v>2970</v>
      </c>
      <c r="F22" s="117">
        <v>2970</v>
      </c>
      <c r="G22" s="119">
        <f t="shared" ref="G22" si="1">(F22-E22)</f>
        <v>0</v>
      </c>
      <c r="H22" s="99">
        <f>G22+'1'!H22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6.25">
      <c r="A23" s="345" t="s">
        <v>147</v>
      </c>
      <c r="B23" s="205"/>
      <c r="C23" s="205"/>
      <c r="D23" s="151" t="s">
        <v>146</v>
      </c>
      <c r="E23" s="95">
        <f>'1'!F23</f>
        <v>2000</v>
      </c>
      <c r="F23" s="117">
        <v>2000</v>
      </c>
      <c r="G23" s="119">
        <v>0</v>
      </c>
      <c r="H23" s="99">
        <f>G23+'1'!H23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6.25">
      <c r="A24" s="206" t="s">
        <v>148</v>
      </c>
      <c r="B24" s="207"/>
      <c r="C24" s="207"/>
      <c r="D24" s="146" t="s">
        <v>146</v>
      </c>
      <c r="E24" s="95">
        <f>'1'!F24</f>
        <v>4970</v>
      </c>
      <c r="F24" s="123">
        <v>4970</v>
      </c>
      <c r="G24" s="119">
        <v>0</v>
      </c>
      <c r="H24" s="99">
        <f>G24+'1'!H24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5.5">
      <c r="A25" s="878" t="s">
        <v>149</v>
      </c>
      <c r="B25" s="879"/>
      <c r="C25" s="88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6" s="88" customFormat="1" ht="25.5">
      <c r="A27" s="208" t="s">
        <v>5</v>
      </c>
      <c r="B27" s="209"/>
      <c r="C27" s="210"/>
      <c r="D27" s="226" t="s">
        <v>24</v>
      </c>
      <c r="E27" s="135">
        <f>G8</f>
        <v>22181.549999999988</v>
      </c>
      <c r="F27" s="136">
        <v>9</v>
      </c>
      <c r="G27" s="137">
        <f>E27*F27</f>
        <v>199633.9499999999</v>
      </c>
      <c r="H27" s="99">
        <f>G27+'1'!H27</f>
        <v>425541.94999999978</v>
      </c>
      <c r="I27" s="138"/>
      <c r="J27" s="175">
        <f>H27/DAY(B2)</f>
        <v>212770.97499999989</v>
      </c>
      <c r="K27" s="63"/>
      <c r="L27" s="89"/>
      <c r="N27" s="87"/>
      <c r="O27" s="71"/>
    </row>
    <row r="28" spans="1:16" s="88" customFormat="1" ht="25.5">
      <c r="A28" s="208" t="s">
        <v>152</v>
      </c>
      <c r="B28" s="209"/>
      <c r="C28" s="210"/>
      <c r="D28" s="226" t="s">
        <v>153</v>
      </c>
      <c r="E28" s="139">
        <f>G15</f>
        <v>1119.9500000001863</v>
      </c>
      <c r="F28" s="136">
        <v>75</v>
      </c>
      <c r="G28" s="137">
        <f t="shared" ref="G28:G31" si="2">E28*F28</f>
        <v>83996.25000001397</v>
      </c>
      <c r="H28" s="99">
        <f>G28+'1'!H28</f>
        <v>157676.25000000698</v>
      </c>
      <c r="I28" s="140"/>
      <c r="J28" s="175">
        <f>H28/DAY(B2)</f>
        <v>78838.125000003492</v>
      </c>
      <c r="K28" s="63"/>
      <c r="L28" s="89"/>
      <c r="N28" s="87"/>
      <c r="O28" s="71"/>
    </row>
    <row r="29" spans="1:16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 t="shared" si="2"/>
        <v>0</v>
      </c>
      <c r="H29" s="99">
        <f>G29+'1'!H29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5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151</v>
      </c>
      <c r="G30" s="137">
        <f t="shared" si="2"/>
        <v>8003</v>
      </c>
      <c r="H30" s="99">
        <f>G30+'1'!H30</f>
        <v>16006</v>
      </c>
      <c r="I30" s="140"/>
      <c r="J30" s="175">
        <f>H30/DAY(B2)</f>
        <v>8003</v>
      </c>
      <c r="K30" s="63"/>
      <c r="L30" s="89"/>
      <c r="N30" s="87"/>
      <c r="O30" s="71"/>
    </row>
    <row r="31" spans="1:16" s="88" customFormat="1" ht="25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 t="shared" si="2"/>
        <v>20800</v>
      </c>
      <c r="H31" s="99">
        <f>G31+'1'!H31</f>
        <v>40800</v>
      </c>
      <c r="I31" s="140"/>
      <c r="J31" s="175">
        <f>H31/DAY(B2)</f>
        <v>20400</v>
      </c>
      <c r="K31" s="63"/>
      <c r="L31" s="89"/>
      <c r="N31" s="87"/>
      <c r="O31" s="71"/>
    </row>
    <row r="32" spans="1:16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312433.20000001387</v>
      </c>
      <c r="H32" s="99">
        <f>G32+'1'!H32</f>
        <v>640024.20000000671</v>
      </c>
      <c r="I32" s="144"/>
      <c r="J32" s="175">
        <f>H32/DAY(B2)</f>
        <v>320012.10000000335</v>
      </c>
      <c r="K32" s="63"/>
      <c r="L32" s="89"/>
      <c r="N32" s="87"/>
      <c r="O32" s="71"/>
    </row>
    <row r="33" spans="1:15" ht="25.5" customHeight="1">
      <c r="A33" s="881" t="s">
        <v>331</v>
      </c>
      <c r="B33" s="882"/>
      <c r="C33" s="88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'1'!F35</f>
        <v>371906.71</v>
      </c>
      <c r="F35" s="145">
        <v>374706.31</v>
      </c>
      <c r="G35" s="112">
        <f t="shared" ref="G35:G46" si="3">F35-E35</f>
        <v>2799.5999999999767</v>
      </c>
      <c r="H35" s="99">
        <f>G35+'1'!H35</f>
        <v>5609.4000000000233</v>
      </c>
      <c r="I35" s="95"/>
      <c r="J35" s="175">
        <f>H35/DAY(B2)</f>
        <v>2804.7000000000116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'1'!F36</f>
        <v>323178.8</v>
      </c>
      <c r="F36" s="145">
        <v>324282.34999999998</v>
      </c>
      <c r="G36" s="112">
        <f t="shared" si="3"/>
        <v>1103.5499999999884</v>
      </c>
      <c r="H36" s="99">
        <f>G36+'1'!H36</f>
        <v>2065.2399999999907</v>
      </c>
      <c r="I36" s="95"/>
      <c r="J36" s="175">
        <f>H36/DAY(B2)</f>
        <v>1032.6199999999953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'1'!F37</f>
        <v>322998.59999999998</v>
      </c>
      <c r="F37" s="145">
        <v>322998.69</v>
      </c>
      <c r="G37" s="112">
        <f t="shared" si="3"/>
        <v>9.0000000025611371E-2</v>
      </c>
      <c r="H37" s="99">
        <f>G37+'1'!H37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'1'!F38</f>
        <v>738218.95</v>
      </c>
      <c r="F38" s="108">
        <v>740690.31</v>
      </c>
      <c r="G38" s="112">
        <f t="shared" si="3"/>
        <v>2471.3600000001024</v>
      </c>
      <c r="H38" s="99">
        <f>G38+'1'!H38</f>
        <v>4837.9200000000419</v>
      </c>
      <c r="I38" s="95"/>
      <c r="J38" s="175">
        <f>H38/DAY(B2)</f>
        <v>2418.960000000021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'1'!F39</f>
        <v>591584.18999999994</v>
      </c>
      <c r="F39" s="145">
        <v>591584.18999999994</v>
      </c>
      <c r="G39" s="112">
        <f t="shared" si="3"/>
        <v>0</v>
      </c>
      <c r="H39" s="99">
        <f>G39+'1'!H39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'1'!F40</f>
        <v>197182</v>
      </c>
      <c r="F40" s="145">
        <v>197610.15</v>
      </c>
      <c r="G40" s="112">
        <f t="shared" si="3"/>
        <v>428.14999999999418</v>
      </c>
      <c r="H40" s="99">
        <f>G40+'1'!H40</f>
        <v>880.17999999999302</v>
      </c>
      <c r="I40" s="95"/>
      <c r="J40" s="175">
        <f>H40/DAY(B2)</f>
        <v>440.08999999999651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'1'!F41</f>
        <v>419167.59</v>
      </c>
      <c r="F41" s="145">
        <v>419167.59</v>
      </c>
      <c r="G41" s="112">
        <f t="shared" si="3"/>
        <v>0</v>
      </c>
      <c r="H41" s="99">
        <f>G41+'1'!H41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'1'!F42</f>
        <v>871870.87</v>
      </c>
      <c r="F42" s="145">
        <v>871870.87</v>
      </c>
      <c r="G42" s="112">
        <f t="shared" si="3"/>
        <v>0</v>
      </c>
      <c r="H42" s="99">
        <f>G42+'1'!H42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'1'!F43</f>
        <v>407028</v>
      </c>
      <c r="F43" s="145">
        <v>407028</v>
      </c>
      <c r="G43" s="112">
        <f t="shared" si="3"/>
        <v>0</v>
      </c>
      <c r="H43" s="99">
        <f>G43+'1'!H43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'1'!F44</f>
        <v>0</v>
      </c>
      <c r="F44" s="145">
        <v>0</v>
      </c>
      <c r="G44" s="112">
        <f t="shared" si="3"/>
        <v>0</v>
      </c>
      <c r="H44" s="99">
        <f>G44+'1'!H44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'1'!F45</f>
        <v>0</v>
      </c>
      <c r="F45" s="145">
        <v>0</v>
      </c>
      <c r="G45" s="112">
        <f t="shared" si="3"/>
        <v>0</v>
      </c>
      <c r="H45" s="99">
        <f>G45+'1'!H45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'1'!F46</f>
        <v>0</v>
      </c>
      <c r="F46" s="145">
        <v>0</v>
      </c>
      <c r="G46" s="112">
        <f t="shared" si="3"/>
        <v>0</v>
      </c>
      <c r="H46" s="99">
        <f>G46+'1'!H46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6802.7500000000873</v>
      </c>
      <c r="H47" s="99">
        <f>G47+'1'!H47</f>
        <v>13392.740000000049</v>
      </c>
      <c r="I47" s="95"/>
      <c r="J47" s="175">
        <f>H47/DAY(B2)</f>
        <v>6696.3700000000244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'1'!F49</f>
        <v>794016.15</v>
      </c>
      <c r="F49" s="145">
        <v>794409.35</v>
      </c>
      <c r="G49" s="112">
        <f t="shared" ref="G49:G58" si="4">F49-E49</f>
        <v>393.19999999995343</v>
      </c>
      <c r="H49" s="99">
        <f>G49+'1'!H49</f>
        <v>786.40000000002328</v>
      </c>
      <c r="I49" s="95"/>
      <c r="J49" s="175">
        <f>H49/DAY(B2)</f>
        <v>393.20000000001164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'1'!F50</f>
        <v>458411.19</v>
      </c>
      <c r="F50" s="145">
        <v>459845.19</v>
      </c>
      <c r="G50" s="112">
        <f t="shared" si="4"/>
        <v>1434</v>
      </c>
      <c r="H50" s="99">
        <f>G50+'1'!H50</f>
        <v>3176.1199999999953</v>
      </c>
      <c r="I50" s="95"/>
      <c r="J50" s="175">
        <f>H50/DAY(B2)</f>
        <v>1588.0599999999977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'1'!F51</f>
        <v>136296.01</v>
      </c>
      <c r="F51" s="145">
        <v>137321.88</v>
      </c>
      <c r="G51" s="112">
        <f t="shared" si="4"/>
        <v>1025.8699999999953</v>
      </c>
      <c r="H51" s="99">
        <f>G51+'1'!H51</f>
        <v>2077.3300000000163</v>
      </c>
      <c r="I51" s="95"/>
      <c r="J51" s="175">
        <f>H51/DAY(B2)</f>
        <v>1038.6650000000081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'1'!F52</f>
        <v>9.76</v>
      </c>
      <c r="F52" s="145">
        <v>9.76</v>
      </c>
      <c r="G52" s="112">
        <f t="shared" si="4"/>
        <v>0</v>
      </c>
      <c r="H52" s="99">
        <f>G52+'1'!H52</f>
        <v>-0.24000000000000021</v>
      </c>
      <c r="I52" s="95"/>
      <c r="J52" s="175">
        <f>H52/DAY(B2)</f>
        <v>-0.12000000000000011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'1'!F53</f>
        <v>550795.75</v>
      </c>
      <c r="F53" s="145">
        <v>554997.91</v>
      </c>
      <c r="G53" s="112">
        <f t="shared" si="4"/>
        <v>4202.1600000000326</v>
      </c>
      <c r="H53" s="99">
        <f>G53+'1'!H53</f>
        <v>8456.640000000014</v>
      </c>
      <c r="I53" s="95"/>
      <c r="J53" s="175">
        <f>H53/DAY(B2)</f>
        <v>4228.320000000007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'1'!F54</f>
        <v>107826.6</v>
      </c>
      <c r="F54" s="145">
        <v>107993.03</v>
      </c>
      <c r="G54" s="112">
        <f t="shared" si="4"/>
        <v>166.42999999999302</v>
      </c>
      <c r="H54" s="99">
        <f>G54+'1'!H54</f>
        <v>329.86999999999534</v>
      </c>
      <c r="I54" s="95"/>
      <c r="J54" s="175">
        <f>H54/DAY(B2)</f>
        <v>164.93499999999767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'1'!F55</f>
        <v>561484.67000000004</v>
      </c>
      <c r="F55" s="145">
        <v>561484.67000000004</v>
      </c>
      <c r="G55" s="112">
        <f t="shared" si="4"/>
        <v>0</v>
      </c>
      <c r="H55" s="99">
        <f>G55+'1'!H55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'1'!F56</f>
        <v>271496.15000000002</v>
      </c>
      <c r="F56" s="145">
        <v>274763.19</v>
      </c>
      <c r="G56" s="112">
        <f t="shared" si="4"/>
        <v>3267.039999999979</v>
      </c>
      <c r="H56" s="99">
        <f>G56+'1'!H56</f>
        <v>6648.179999999993</v>
      </c>
      <c r="I56" s="95"/>
      <c r="J56" s="175">
        <f>H56/DAY(B2)</f>
        <v>3324.0899999999965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'1'!F57</f>
        <v>570977.91</v>
      </c>
      <c r="F57" s="145">
        <v>573364.23</v>
      </c>
      <c r="G57" s="112">
        <f t="shared" si="4"/>
        <v>2386.3199999999488</v>
      </c>
      <c r="H57" s="99">
        <f>G57+'1'!H57</f>
        <v>4785.7600000000093</v>
      </c>
      <c r="I57" s="95"/>
      <c r="J57" s="175">
        <f>H57/DAY(B2)</f>
        <v>2392.8800000000047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'1'!F58</f>
        <v>78955.55</v>
      </c>
      <c r="F58" s="145">
        <v>79214.63</v>
      </c>
      <c r="G58" s="112">
        <f t="shared" si="4"/>
        <v>259.08000000000175</v>
      </c>
      <c r="H58" s="99">
        <f>G58+'1'!H58</f>
        <v>498.94000000000233</v>
      </c>
      <c r="I58" s="95"/>
      <c r="J58" s="175">
        <f>H58/DAY(B2)</f>
        <v>249.47000000000116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13134.099999999904</v>
      </c>
      <c r="H59" s="99">
        <f>G59+'1'!H59</f>
        <v>26759.000000000051</v>
      </c>
      <c r="I59" s="95">
        <f>G7-G60</f>
        <v>2164.7400000000343</v>
      </c>
      <c r="J59" s="175">
        <f>H59/DAY(B2)</f>
        <v>13379.500000000025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19936.849999999991</v>
      </c>
      <c r="H60" s="99">
        <f>G60+'1'!H60</f>
        <v>40151.7400000001</v>
      </c>
      <c r="I60" s="95">
        <f>G13-G60</f>
        <v>1565.2500000001019</v>
      </c>
      <c r="J60" s="175">
        <f>H60/DAY(B2)</f>
        <v>20075.87000000005</v>
      </c>
      <c r="K60" s="79"/>
      <c r="L60" s="66"/>
      <c r="N60" s="87"/>
      <c r="O60" s="71"/>
    </row>
    <row r="61" spans="1:15" s="68" customFormat="1" ht="26.25">
      <c r="A61" s="883" t="s">
        <v>332</v>
      </c>
      <c r="B61" s="884"/>
      <c r="C61" s="88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64" t="s">
        <v>198</v>
      </c>
      <c r="B62" s="865"/>
      <c r="C62" s="866"/>
      <c r="D62" s="151" t="s">
        <v>142</v>
      </c>
      <c r="E62" s="95">
        <f>'1'!F62</f>
        <v>308448</v>
      </c>
      <c r="F62" s="122">
        <v>308557</v>
      </c>
      <c r="G62" s="112">
        <f t="shared" ref="G62:G63" si="5">F62-E62</f>
        <v>109</v>
      </c>
      <c r="H62" s="99">
        <f>G62+'1'!H62</f>
        <v>243</v>
      </c>
      <c r="I62" s="118"/>
      <c r="J62" s="175">
        <f>H62/DAY(B2)</f>
        <v>121.5</v>
      </c>
      <c r="K62" s="80"/>
      <c r="L62" s="66"/>
      <c r="N62" s="87"/>
      <c r="O62" s="71"/>
    </row>
    <row r="63" spans="1:15" ht="25.5">
      <c r="A63" s="864" t="s">
        <v>199</v>
      </c>
      <c r="B63" s="865"/>
      <c r="C63" s="866"/>
      <c r="D63" s="151" t="s">
        <v>142</v>
      </c>
      <c r="E63" s="95">
        <f>'1'!F63</f>
        <v>246962</v>
      </c>
      <c r="F63" s="122">
        <v>247052</v>
      </c>
      <c r="G63" s="112">
        <f t="shared" si="5"/>
        <v>90</v>
      </c>
      <c r="H63" s="99">
        <f>G63+'1'!H63</f>
        <v>123</v>
      </c>
      <c r="I63" s="118"/>
      <c r="J63" s="175">
        <f>H63/DAY(B2)</f>
        <v>61.5</v>
      </c>
      <c r="K63" s="69"/>
      <c r="L63" s="66"/>
      <c r="N63" s="87"/>
      <c r="O63" s="71"/>
    </row>
    <row r="64" spans="1:15" ht="26.25">
      <c r="A64" s="861" t="s">
        <v>200</v>
      </c>
      <c r="B64" s="862"/>
      <c r="C64" s="863"/>
      <c r="D64" s="151"/>
      <c r="E64" s="95">
        <f>'1'!F64</f>
        <v>0</v>
      </c>
      <c r="F64" s="122"/>
      <c r="G64" s="112">
        <f>G62+G63</f>
        <v>199</v>
      </c>
      <c r="H64" s="99">
        <f>G64+'1'!H64</f>
        <v>366</v>
      </c>
      <c r="I64" s="118"/>
      <c r="J64" s="175">
        <f>H64/DAY(B2)</f>
        <v>183</v>
      </c>
      <c r="K64" s="69"/>
      <c r="L64" s="66"/>
      <c r="N64" s="87"/>
      <c r="O64" s="71"/>
    </row>
    <row r="65" spans="1:15" ht="25.5">
      <c r="A65" s="864" t="s">
        <v>201</v>
      </c>
      <c r="B65" s="865"/>
      <c r="C65" s="866"/>
      <c r="D65" s="151" t="s">
        <v>142</v>
      </c>
      <c r="E65" s="95">
        <f>'1'!F65</f>
        <v>468042</v>
      </c>
      <c r="F65" s="122">
        <v>468156</v>
      </c>
      <c r="G65" s="112">
        <f t="shared" ref="G65:G70" si="6">F65-E65</f>
        <v>114</v>
      </c>
      <c r="H65" s="99">
        <f>G65+'1'!H65</f>
        <v>255</v>
      </c>
      <c r="I65" s="118"/>
      <c r="J65" s="175">
        <f>H65/DAY(B2)</f>
        <v>127.5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'1'!F66</f>
        <v>113202</v>
      </c>
      <c r="F66" s="122">
        <v>113222</v>
      </c>
      <c r="G66" s="112">
        <f t="shared" si="6"/>
        <v>20</v>
      </c>
      <c r="H66" s="99">
        <f>G66+'1'!H66</f>
        <v>30</v>
      </c>
      <c r="I66" s="118"/>
      <c r="J66" s="175">
        <f>H66/DAY(B2)</f>
        <v>15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'1'!F67</f>
        <v>115874</v>
      </c>
      <c r="F67" s="122">
        <v>115890</v>
      </c>
      <c r="G67" s="112">
        <f t="shared" si="6"/>
        <v>16</v>
      </c>
      <c r="H67" s="99">
        <f>G67+'1'!H67</f>
        <v>35</v>
      </c>
      <c r="I67" s="118"/>
      <c r="J67" s="175">
        <f>H67/DAY(B2)</f>
        <v>17.5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'1'!F68</f>
        <v>168552</v>
      </c>
      <c r="F68" s="122">
        <v>168598</v>
      </c>
      <c r="G68" s="112">
        <f t="shared" si="6"/>
        <v>46</v>
      </c>
      <c r="H68" s="99">
        <f>G68+'1'!H68</f>
        <v>91</v>
      </c>
      <c r="I68" s="118"/>
      <c r="J68" s="175">
        <f>H68/DAY(B2)</f>
        <v>45.5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'1'!F69</f>
        <v>12815</v>
      </c>
      <c r="F69" s="122">
        <v>12818</v>
      </c>
      <c r="G69" s="236">
        <f t="shared" si="6"/>
        <v>3</v>
      </c>
      <c r="H69" s="99">
        <f>G69+'1'!H69</f>
        <v>8</v>
      </c>
      <c r="I69" s="118"/>
      <c r="J69" s="175">
        <f>H69/DAY(B2)</f>
        <v>4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'1'!F70</f>
        <v>10787</v>
      </c>
      <c r="F70" s="122">
        <v>10798</v>
      </c>
      <c r="G70" s="112">
        <f t="shared" si="6"/>
        <v>11</v>
      </c>
      <c r="H70" s="99">
        <f>G70+'1'!H70</f>
        <v>19</v>
      </c>
      <c r="I70" s="118"/>
      <c r="J70" s="175">
        <f>H70/DAY(B2)</f>
        <v>9.5</v>
      </c>
      <c r="K70" s="69"/>
      <c r="L70" s="66"/>
      <c r="N70" s="87"/>
      <c r="O70" s="71"/>
    </row>
    <row r="71" spans="1:15" ht="26.25">
      <c r="A71" s="861" t="s">
        <v>208</v>
      </c>
      <c r="B71" s="862"/>
      <c r="C71" s="863"/>
      <c r="D71" s="152"/>
      <c r="E71" s="152"/>
      <c r="F71" s="152"/>
      <c r="G71" s="153">
        <f>SUM(G65:G70)</f>
        <v>210</v>
      </c>
      <c r="H71" s="99">
        <f>G71+'1'!H71</f>
        <v>438</v>
      </c>
      <c r="I71" s="154"/>
      <c r="J71" s="175">
        <f>H71/DAY(B2)</f>
        <v>219</v>
      </c>
      <c r="K71" s="69"/>
      <c r="L71" s="66"/>
      <c r="N71" s="87"/>
      <c r="O71" s="71"/>
    </row>
    <row r="72" spans="1:15" s="88" customFormat="1" ht="25.5">
      <c r="A72" s="904"/>
      <c r="B72" s="89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09" t="s">
        <v>333</v>
      </c>
      <c r="B73" s="910"/>
      <c r="C73" s="91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64" t="s">
        <v>220</v>
      </c>
      <c r="B74" s="865"/>
      <c r="C74" s="866"/>
      <c r="D74" s="151" t="s">
        <v>139</v>
      </c>
      <c r="E74" s="95">
        <f>'1'!F74</f>
        <v>993641.61</v>
      </c>
      <c r="F74" s="123">
        <v>993933.37</v>
      </c>
      <c r="G74" s="112">
        <f t="shared" ref="G74:G78" si="7">F74-E74</f>
        <v>291.76000000000931</v>
      </c>
      <c r="H74" s="99">
        <f>G74+'1'!H74</f>
        <v>574.3399999999674</v>
      </c>
      <c r="I74" s="154"/>
      <c r="J74" s="175">
        <f>H74/DAY(B2)</f>
        <v>287.1699999999837</v>
      </c>
      <c r="K74" s="69"/>
      <c r="L74" s="66"/>
      <c r="N74" s="87"/>
      <c r="O74" s="71"/>
    </row>
    <row r="75" spans="1:15" ht="25.5">
      <c r="A75" s="864" t="s">
        <v>221</v>
      </c>
      <c r="B75" s="865"/>
      <c r="C75" s="866"/>
      <c r="D75" s="151" t="s">
        <v>139</v>
      </c>
      <c r="E75" s="95">
        <f>'1'!F75</f>
        <v>73586.8</v>
      </c>
      <c r="F75" s="123">
        <v>73586.8</v>
      </c>
      <c r="G75" s="112">
        <f t="shared" si="7"/>
        <v>0</v>
      </c>
      <c r="H75" s="99">
        <f>G75+'1'!H75</f>
        <v>0.80000000000291038</v>
      </c>
      <c r="I75" s="154"/>
      <c r="J75" s="175">
        <f>H75/DAY(B2)</f>
        <v>0.40000000000145519</v>
      </c>
      <c r="K75" s="69"/>
      <c r="L75" s="66"/>
      <c r="N75" s="87"/>
      <c r="O75" s="71"/>
    </row>
    <row r="76" spans="1:15" ht="25.5">
      <c r="A76" s="905" t="s">
        <v>222</v>
      </c>
      <c r="B76" s="891"/>
      <c r="C76" s="892"/>
      <c r="D76" s="151" t="s">
        <v>139</v>
      </c>
      <c r="E76" s="95">
        <f>'1'!F76</f>
        <v>203800</v>
      </c>
      <c r="F76" s="123">
        <v>203944</v>
      </c>
      <c r="G76" s="112">
        <f t="shared" si="7"/>
        <v>144</v>
      </c>
      <c r="H76" s="99">
        <f>G76+'1'!H76</f>
        <v>282</v>
      </c>
      <c r="I76" s="154"/>
      <c r="J76" s="175">
        <f>H76/DAY(B2)</f>
        <v>141</v>
      </c>
      <c r="K76" s="69"/>
      <c r="L76" s="66"/>
      <c r="N76" s="87"/>
      <c r="O76" s="71"/>
    </row>
    <row r="77" spans="1:15" ht="25.5">
      <c r="A77" s="905" t="s">
        <v>223</v>
      </c>
      <c r="B77" s="891"/>
      <c r="C77" s="892"/>
      <c r="D77" s="151" t="s">
        <v>139</v>
      </c>
      <c r="E77" s="95">
        <f>'1'!F77</f>
        <v>56569</v>
      </c>
      <c r="F77" s="123">
        <v>56625.8</v>
      </c>
      <c r="G77" s="112">
        <f t="shared" si="7"/>
        <v>56.80000000000291</v>
      </c>
      <c r="H77" s="99">
        <f>G77+'1'!H77</f>
        <v>103.80000000000291</v>
      </c>
      <c r="I77" s="154"/>
      <c r="J77" s="175">
        <f>H77/DAY(B2)</f>
        <v>51.900000000001455</v>
      </c>
      <c r="K77" s="69"/>
      <c r="L77" s="66"/>
      <c r="N77" s="87"/>
      <c r="O77" s="71"/>
    </row>
    <row r="78" spans="1:15" ht="25.5">
      <c r="A78" s="905" t="s">
        <v>224</v>
      </c>
      <c r="B78" s="891"/>
      <c r="C78" s="892"/>
      <c r="D78" s="151" t="s">
        <v>139</v>
      </c>
      <c r="E78" s="95">
        <f>'1'!F78</f>
        <v>9563.4</v>
      </c>
      <c r="F78" s="123">
        <v>9563</v>
      </c>
      <c r="G78" s="112">
        <f t="shared" si="7"/>
        <v>-0.3999999999996362</v>
      </c>
      <c r="H78" s="99">
        <f>G78+'1'!H78</f>
        <v>-0.3999999999996362</v>
      </c>
      <c r="I78" s="118"/>
      <c r="J78" s="175">
        <f>H78/DAY(B2)</f>
        <v>-0.1999999999998181</v>
      </c>
      <c r="K78" s="69"/>
      <c r="L78" s="66"/>
      <c r="N78" s="87"/>
      <c r="O78" s="71"/>
    </row>
    <row r="79" spans="1:15" s="57" customFormat="1" ht="25.5">
      <c r="A79" s="905" t="s">
        <v>225</v>
      </c>
      <c r="B79" s="891"/>
      <c r="C79" s="892"/>
      <c r="D79" s="151"/>
      <c r="E79" s="95">
        <f>'1'!F79</f>
        <v>0</v>
      </c>
      <c r="F79" s="123"/>
      <c r="G79" s="112">
        <f>G15-SUM(G74:G78)</f>
        <v>627.79000000017368</v>
      </c>
      <c r="H79" s="99">
        <f>G79+'1'!H79</f>
        <v>1141.8100000001195</v>
      </c>
      <c r="I79" s="118"/>
      <c r="J79" s="175"/>
      <c r="K79" s="59"/>
      <c r="L79" s="58"/>
      <c r="N79" s="87"/>
      <c r="O79" s="71"/>
    </row>
    <row r="80" spans="1:15" s="57" customFormat="1" ht="26.25">
      <c r="A80" s="861" t="s">
        <v>329</v>
      </c>
      <c r="B80" s="862"/>
      <c r="C80" s="863"/>
      <c r="D80" s="151"/>
      <c r="E80" s="117"/>
      <c r="F80" s="117"/>
      <c r="G80" s="112">
        <f>SUM(G74:G79)</f>
        <v>1119.9500000001863</v>
      </c>
      <c r="H80" s="99">
        <f>G80+'1'!H80</f>
        <v>1119.9500000001863</v>
      </c>
      <c r="I80" s="118"/>
      <c r="J80" s="175"/>
      <c r="K80" s="59"/>
      <c r="L80" s="58"/>
      <c r="N80" s="87"/>
      <c r="O80" s="71"/>
    </row>
    <row r="81" spans="1:15" ht="25.5">
      <c r="A81" s="897" t="s">
        <v>226</v>
      </c>
      <c r="B81" s="898"/>
      <c r="C81" s="89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'1'!F82</f>
        <v>0</v>
      </c>
      <c r="F82" s="122">
        <v>0</v>
      </c>
      <c r="G82" s="112">
        <f t="shared" ref="G82:G92" si="8">F82-E82</f>
        <v>0</v>
      </c>
      <c r="H82" s="99">
        <f>G82+'1'!H82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'1'!F83</f>
        <v>0</v>
      </c>
      <c r="F83" s="122">
        <v>0</v>
      </c>
      <c r="G83" s="112">
        <f t="shared" si="8"/>
        <v>0</v>
      </c>
      <c r="H83" s="99">
        <f>G83+'1'!H83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'1'!F84</f>
        <v>43540.21</v>
      </c>
      <c r="F84" s="164">
        <v>43540.21</v>
      </c>
      <c r="G84" s="112">
        <f t="shared" si="8"/>
        <v>0</v>
      </c>
      <c r="H84" s="99">
        <f>G84+'1'!H84</f>
        <v>0</v>
      </c>
      <c r="I84" s="545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'1'!F85</f>
        <v>5684</v>
      </c>
      <c r="F85" s="164">
        <v>5684</v>
      </c>
      <c r="G85" s="112">
        <f t="shared" si="8"/>
        <v>0</v>
      </c>
      <c r="H85" s="99">
        <f>G85+'1'!H85</f>
        <v>0</v>
      </c>
      <c r="I85" s="545"/>
      <c r="J85" s="175">
        <f>H85/DAY(B2)</f>
        <v>0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'1'!F86</f>
        <v>46734</v>
      </c>
      <c r="F86" s="164">
        <v>46734</v>
      </c>
      <c r="G86" s="112">
        <f t="shared" si="8"/>
        <v>0</v>
      </c>
      <c r="H86" s="99">
        <f>G86+'1'!H86</f>
        <v>0</v>
      </c>
      <c r="I86" s="545"/>
      <c r="J86" s="175">
        <f>H86/DAY(B2)</f>
        <v>0</v>
      </c>
      <c r="O86" s="71">
        <f>24-8</f>
        <v>16</v>
      </c>
    </row>
    <row r="87" spans="1:15" ht="26.25">
      <c r="A87" s="345" t="s">
        <v>233</v>
      </c>
      <c r="B87" s="346"/>
      <c r="C87" s="346"/>
      <c r="D87" s="151" t="s">
        <v>228</v>
      </c>
      <c r="E87" s="95">
        <f>'1'!F87</f>
        <v>36574.32</v>
      </c>
      <c r="F87" s="164">
        <v>36598.720000000001</v>
      </c>
      <c r="G87" s="112">
        <f t="shared" si="8"/>
        <v>24.400000000001455</v>
      </c>
      <c r="H87" s="99">
        <f>G87+'1'!H87</f>
        <v>48.510000000002037</v>
      </c>
      <c r="I87" s="545">
        <f>G84+G85+G86+G87</f>
        <v>24.400000000001455</v>
      </c>
      <c r="J87" s="175">
        <f>H87/DAY(B2)</f>
        <v>24.255000000001019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'1'!F88</f>
        <v>24511.8</v>
      </c>
      <c r="F88" s="164">
        <v>24511.8</v>
      </c>
      <c r="G88" s="112">
        <f t="shared" si="8"/>
        <v>0</v>
      </c>
      <c r="H88" s="99">
        <f>G88+'1'!H88</f>
        <v>0</v>
      </c>
      <c r="I88" s="545"/>
      <c r="J88" s="175">
        <f>H88/DAY(B2)</f>
        <v>0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'1'!F89</f>
        <v>28511.45</v>
      </c>
      <c r="F89" s="164">
        <v>28521.59</v>
      </c>
      <c r="G89" s="112">
        <f t="shared" si="8"/>
        <v>10.139999999999418</v>
      </c>
      <c r="H89" s="99">
        <f>G89+'1'!H89</f>
        <v>19.889999999999418</v>
      </c>
      <c r="I89" s="545">
        <f>G88+G89</f>
        <v>10.139999999999418</v>
      </c>
      <c r="J89" s="175">
        <f>H89/DAY(B2)</f>
        <v>9.944999999999709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'1'!F90</f>
        <v>73873.67</v>
      </c>
      <c r="F90" s="164">
        <v>73885.850000000006</v>
      </c>
      <c r="G90" s="112">
        <f t="shared" si="8"/>
        <v>12.180000000007567</v>
      </c>
      <c r="H90" s="99">
        <f>G90+'1'!H90</f>
        <v>25.25</v>
      </c>
      <c r="I90" s="545">
        <f>G90</f>
        <v>12.180000000007567</v>
      </c>
      <c r="J90" s="175">
        <f>H90/DAY(B2)</f>
        <v>12.625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'1'!F91</f>
        <v>5363.19</v>
      </c>
      <c r="F91" s="122">
        <v>5374.33</v>
      </c>
      <c r="G91" s="112">
        <f t="shared" si="8"/>
        <v>11.140000000000327</v>
      </c>
      <c r="H91" s="99">
        <f>G91+'1'!H91</f>
        <v>21.559999999999491</v>
      </c>
      <c r="I91" s="546"/>
      <c r="J91" s="175">
        <f>H91/DAY(B2)</f>
        <v>10.779999999999745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'1'!F92</f>
        <v>7000</v>
      </c>
      <c r="F92" s="122">
        <v>7000</v>
      </c>
      <c r="G92" s="112">
        <f t="shared" si="8"/>
        <v>0</v>
      </c>
      <c r="H92" s="99">
        <f>G92+'1'!H92</f>
        <v>0</v>
      </c>
      <c r="I92" s="547">
        <f>G91+G92</f>
        <v>11.140000000000327</v>
      </c>
      <c r="J92" s="175">
        <f>H92/DAY(B2)</f>
        <v>0</v>
      </c>
      <c r="O92" s="71"/>
    </row>
    <row r="93" spans="1:15" ht="26.25">
      <c r="A93" s="906" t="s">
        <v>239</v>
      </c>
      <c r="B93" s="907"/>
      <c r="C93" s="90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64" t="s">
        <v>240</v>
      </c>
      <c r="B94" s="865"/>
      <c r="C94" s="866"/>
      <c r="D94" s="151" t="s">
        <v>130</v>
      </c>
      <c r="E94" s="151"/>
      <c r="F94" s="151"/>
      <c r="G94" s="99">
        <f>G35+G43+G49+G57</f>
        <v>5579.1199999998789</v>
      </c>
      <c r="H94" s="99">
        <f>G94+'1'!H94</f>
        <v>11181.560000000056</v>
      </c>
      <c r="I94" s="118"/>
      <c r="J94" s="175">
        <f>H94/DAY(B2)</f>
        <v>5590.7800000000279</v>
      </c>
      <c r="K94" s="69"/>
      <c r="L94" s="66"/>
      <c r="O94" s="71"/>
    </row>
    <row r="95" spans="1:15" ht="25.5">
      <c r="A95" s="864" t="s">
        <v>241</v>
      </c>
      <c r="B95" s="865"/>
      <c r="C95" s="866"/>
      <c r="D95" s="151" t="s">
        <v>23</v>
      </c>
      <c r="E95" s="146"/>
      <c r="F95" s="146"/>
      <c r="G95" s="166">
        <f>G94/G7</f>
        <v>0.25243070747398139</v>
      </c>
      <c r="H95" s="99">
        <f>G95+'1'!H95</f>
        <v>0.50150054780528563</v>
      </c>
      <c r="I95" s="167"/>
      <c r="J95" s="175">
        <f>H95/DAY(B2)</f>
        <v>0.25075027390264282</v>
      </c>
      <c r="K95" s="69"/>
      <c r="L95" s="66"/>
      <c r="O95" s="71"/>
    </row>
    <row r="96" spans="1:15" ht="25.5">
      <c r="A96" s="864" t="s">
        <v>242</v>
      </c>
      <c r="B96" s="865"/>
      <c r="C96" s="866"/>
      <c r="D96" s="151" t="s">
        <v>130</v>
      </c>
      <c r="E96" s="95"/>
      <c r="F96" s="95"/>
      <c r="G96" s="99">
        <f>G41+G42+G55+G56</f>
        <v>3267.039999999979</v>
      </c>
      <c r="H96" s="99">
        <f>G96+'1'!H96</f>
        <v>6648.179999999993</v>
      </c>
      <c r="I96" s="118"/>
      <c r="J96" s="175">
        <f>H96/DAY(B2)</f>
        <v>3324.0899999999965</v>
      </c>
      <c r="K96" s="69"/>
      <c r="L96" s="66"/>
      <c r="O96" s="71"/>
    </row>
    <row r="97" spans="1:15" ht="25.5">
      <c r="A97" s="864" t="s">
        <v>243</v>
      </c>
      <c r="B97" s="865"/>
      <c r="C97" s="866"/>
      <c r="D97" s="151" t="s">
        <v>23</v>
      </c>
      <c r="E97" s="95"/>
      <c r="F97" s="95"/>
      <c r="G97" s="166">
        <f>G96/G7</f>
        <v>0.14781922929526678</v>
      </c>
      <c r="H97" s="99">
        <f>G97+'1'!H97</f>
        <v>0.29813587703049693</v>
      </c>
      <c r="I97" s="167"/>
      <c r="J97" s="175">
        <f>H97/DAY(B2)</f>
        <v>0.14906793851524847</v>
      </c>
      <c r="K97" s="69"/>
      <c r="L97" s="66"/>
      <c r="O97" s="71"/>
    </row>
    <row r="98" spans="1:15" ht="25.5">
      <c r="A98" s="864" t="s">
        <v>244</v>
      </c>
      <c r="B98" s="865"/>
      <c r="C98" s="866"/>
      <c r="D98" s="151" t="s">
        <v>130</v>
      </c>
      <c r="E98" s="95"/>
      <c r="F98" s="95"/>
      <c r="G98" s="99">
        <f>G39+G53</f>
        <v>4202.1600000000326</v>
      </c>
      <c r="H98" s="99">
        <f>G98+'1'!H98</f>
        <v>8456.640000000014</v>
      </c>
      <c r="I98" s="168"/>
      <c r="J98" s="175">
        <f>H98/DAY(B2)</f>
        <v>4228.320000000007</v>
      </c>
      <c r="K98" s="69"/>
      <c r="L98" s="66"/>
      <c r="O98" s="71"/>
    </row>
    <row r="99" spans="1:15" ht="25.5">
      <c r="A99" s="864" t="s">
        <v>245</v>
      </c>
      <c r="B99" s="865"/>
      <c r="C99" s="866"/>
      <c r="D99" s="151" t="s">
        <v>23</v>
      </c>
      <c r="E99" s="95"/>
      <c r="F99" s="95"/>
      <c r="G99" s="166">
        <f>G98/G7</f>
        <v>0.1901293074389683</v>
      </c>
      <c r="H99" s="99">
        <f>G99+'1'!H99</f>
        <v>0.37927236908580231</v>
      </c>
      <c r="I99" s="168"/>
      <c r="J99" s="175">
        <f>H99/DAY(B2)</f>
        <v>0.18963618454290115</v>
      </c>
      <c r="O99" s="71"/>
    </row>
    <row r="100" spans="1:15" ht="26.25">
      <c r="A100" s="864" t="s">
        <v>246</v>
      </c>
      <c r="B100" s="865"/>
      <c r="C100" s="866"/>
      <c r="D100" s="151" t="s">
        <v>180</v>
      </c>
      <c r="E100" s="95"/>
      <c r="F100" s="95"/>
      <c r="G100" s="99">
        <f>G38+G52</f>
        <v>2471.3600000001024</v>
      </c>
      <c r="H100" s="99">
        <f>G100+'1'!H100</f>
        <v>4837.6800000000421</v>
      </c>
      <c r="I100" s="118"/>
      <c r="J100" s="175">
        <f>H100/DAY(B2)</f>
        <v>2418.8400000000211</v>
      </c>
      <c r="K100" s="70"/>
      <c r="O100" s="71"/>
    </row>
    <row r="101" spans="1:15" ht="25.5">
      <c r="A101" s="864" t="s">
        <v>247</v>
      </c>
      <c r="B101" s="865"/>
      <c r="C101" s="866"/>
      <c r="D101" s="151" t="s">
        <v>23</v>
      </c>
      <c r="E101" s="95"/>
      <c r="F101" s="95"/>
      <c r="G101" s="166">
        <f>G100/G7</f>
        <v>0.11181819950510799</v>
      </c>
      <c r="H101" s="99">
        <f>G101+'1'!H101</f>
        <v>0.21701860228902681</v>
      </c>
      <c r="I101" s="168"/>
      <c r="J101" s="175">
        <f>H101/DAY(B2)</f>
        <v>0.1085093011445134</v>
      </c>
      <c r="O101" s="71"/>
    </row>
    <row r="102" spans="1:15" ht="25.5">
      <c r="A102" s="864" t="s">
        <v>248</v>
      </c>
      <c r="B102" s="865"/>
      <c r="C102" s="866"/>
      <c r="D102" s="151" t="s">
        <v>180</v>
      </c>
      <c r="E102" s="95"/>
      <c r="F102" s="95"/>
      <c r="G102" s="99">
        <f>G36+G50</f>
        <v>2537.5499999999884</v>
      </c>
      <c r="H102" s="99">
        <f>G102+'1'!H102</f>
        <v>5241.359999999986</v>
      </c>
      <c r="I102" s="168"/>
      <c r="J102" s="175">
        <f>H102/DAY(B2)</f>
        <v>2620.679999999993</v>
      </c>
      <c r="O102" s="71"/>
    </row>
    <row r="103" spans="1:15" ht="25.5">
      <c r="A103" s="864" t="s">
        <v>249</v>
      </c>
      <c r="B103" s="865"/>
      <c r="C103" s="866"/>
      <c r="D103" s="151" t="s">
        <v>23</v>
      </c>
      <c r="E103" s="95"/>
      <c r="F103" s="95"/>
      <c r="G103" s="166">
        <f>G102/G7</f>
        <v>0.11481300666603558</v>
      </c>
      <c r="H103" s="99">
        <f>G103+'1'!H103</f>
        <v>0.23501733281431414</v>
      </c>
      <c r="I103" s="118"/>
      <c r="J103" s="175">
        <f>H103/DAY(B2)</f>
        <v>0.11750866640715707</v>
      </c>
      <c r="O103" s="71"/>
    </row>
    <row r="104" spans="1:15" ht="25.5">
      <c r="A104" s="864" t="s">
        <v>250</v>
      </c>
      <c r="B104" s="865"/>
      <c r="C104" s="866"/>
      <c r="D104" s="151" t="s">
        <v>180</v>
      </c>
      <c r="E104" s="95"/>
      <c r="F104" s="95"/>
      <c r="G104" s="99">
        <f>G37+G51</f>
        <v>1025.960000000021</v>
      </c>
      <c r="H104" s="99">
        <f>G104+'1'!H104</f>
        <v>2077.3300000000163</v>
      </c>
      <c r="I104" s="118"/>
      <c r="J104" s="175">
        <f>H104/DAY(B2)</f>
        <v>1038.6650000000081</v>
      </c>
      <c r="O104" s="71"/>
    </row>
    <row r="105" spans="1:15" ht="26.25" thickBot="1">
      <c r="A105" s="901" t="s">
        <v>251</v>
      </c>
      <c r="B105" s="902"/>
      <c r="C105" s="903"/>
      <c r="D105" s="231" t="s">
        <v>23</v>
      </c>
      <c r="E105" s="185"/>
      <c r="F105" s="185"/>
      <c r="G105" s="186">
        <f>G104/G7</f>
        <v>4.6420189678662023E-2</v>
      </c>
      <c r="H105" s="99">
        <f>G105+'1'!H105</f>
        <v>9.3161352105946171E-2</v>
      </c>
      <c r="I105" s="187"/>
      <c r="J105" s="188">
        <f>H105/DAY(B2)</f>
        <v>4.6580676052973086E-2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15" t="s">
        <v>324</v>
      </c>
      <c r="B108" s="915"/>
      <c r="C108" s="915"/>
      <c r="D108" s="915"/>
      <c r="E108" s="915"/>
      <c r="F108" s="915"/>
      <c r="G108" s="915"/>
      <c r="H108" s="915"/>
      <c r="I108" s="915"/>
      <c r="J108" s="915"/>
    </row>
    <row r="109" spans="1:15" ht="26.25">
      <c r="A109" s="900"/>
      <c r="B109" s="900"/>
    </row>
    <row r="110" spans="1:15" ht="26.25">
      <c r="A110" s="916" t="s">
        <v>165</v>
      </c>
      <c r="B110" s="917"/>
      <c r="C110" s="917"/>
      <c r="D110" s="917"/>
      <c r="E110" s="917"/>
      <c r="F110" s="917"/>
      <c r="G110" s="917"/>
      <c r="H110" s="917"/>
      <c r="I110" s="917"/>
      <c r="J110" s="918"/>
    </row>
    <row r="111" spans="1:15" ht="25.5">
      <c r="A111" s="919"/>
      <c r="B111" s="920"/>
      <c r="C111" s="921"/>
      <c r="D111" s="165"/>
      <c r="E111" s="165"/>
      <c r="F111" s="165"/>
      <c r="G111" s="165"/>
      <c r="H111" s="156"/>
      <c r="I111" s="165"/>
      <c r="J111" s="327"/>
    </row>
    <row r="112" spans="1:15" ht="25.5">
      <c r="A112" s="894" t="s">
        <v>252</v>
      </c>
      <c r="B112" s="895"/>
      <c r="C112" s="896"/>
      <c r="D112" s="146" t="s">
        <v>183</v>
      </c>
      <c r="E112" s="95">
        <f>'1'!F112</f>
        <v>15675.7</v>
      </c>
      <c r="F112" s="237">
        <v>15737.48</v>
      </c>
      <c r="G112" s="112">
        <f t="shared" ref="G112:G123" si="9">F112-E112</f>
        <v>61.779999999998836</v>
      </c>
      <c r="H112" s="99">
        <f>G112+'1'!H112</f>
        <v>123.68000000000029</v>
      </c>
      <c r="I112" s="165"/>
      <c r="J112" s="328">
        <f>H112/DAY(B2)</f>
        <v>61.840000000000146</v>
      </c>
    </row>
    <row r="113" spans="1:18" ht="29.25" customHeight="1">
      <c r="A113" s="894" t="s">
        <v>253</v>
      </c>
      <c r="B113" s="895"/>
      <c r="C113" s="896"/>
      <c r="D113" s="146" t="s">
        <v>183</v>
      </c>
      <c r="E113" s="95">
        <f>'1'!F113</f>
        <v>32595.15</v>
      </c>
      <c r="F113" s="237">
        <v>32737.64</v>
      </c>
      <c r="G113" s="112">
        <f t="shared" si="9"/>
        <v>142.48999999999796</v>
      </c>
      <c r="H113" s="99">
        <f>G113+'1'!H113</f>
        <v>286.97000000000116</v>
      </c>
      <c r="I113" s="165"/>
      <c r="J113" s="328">
        <f>H113/DAY(B2)</f>
        <v>143.48500000000058</v>
      </c>
    </row>
    <row r="114" spans="1:18" ht="29.25" customHeight="1">
      <c r="A114" s="894" t="s">
        <v>254</v>
      </c>
      <c r="B114" s="895"/>
      <c r="C114" s="896"/>
      <c r="D114" s="146" t="s">
        <v>183</v>
      </c>
      <c r="E114" s="95">
        <f>'1'!F114</f>
        <v>48185.4</v>
      </c>
      <c r="F114" s="237">
        <v>48404.17</v>
      </c>
      <c r="G114" s="112">
        <f t="shared" si="9"/>
        <v>218.7699999999968</v>
      </c>
      <c r="H114" s="99">
        <f>G114+'1'!H114</f>
        <v>437.86999999999534</v>
      </c>
      <c r="I114" s="165"/>
      <c r="J114" s="328">
        <f>H114/DAY(B2)</f>
        <v>218.93499999999767</v>
      </c>
    </row>
    <row r="115" spans="1:18" ht="29.25" customHeight="1">
      <c r="A115" s="894" t="s">
        <v>255</v>
      </c>
      <c r="B115" s="895"/>
      <c r="C115" s="896"/>
      <c r="D115" s="146" t="s">
        <v>183</v>
      </c>
      <c r="E115" s="95">
        <f>'1'!F115</f>
        <v>30568.400000000001</v>
      </c>
      <c r="F115" s="416">
        <v>30695.21</v>
      </c>
      <c r="G115" s="112">
        <f t="shared" si="9"/>
        <v>126.80999999999767</v>
      </c>
      <c r="H115" s="99">
        <f>G115+'1'!H115</f>
        <v>258.80999999999767</v>
      </c>
      <c r="I115" s="165"/>
      <c r="J115" s="328">
        <f>H115/DAY(B2)</f>
        <v>129.40499999999884</v>
      </c>
    </row>
    <row r="116" spans="1:18" ht="29.25" customHeight="1">
      <c r="A116" s="912" t="s">
        <v>96</v>
      </c>
      <c r="B116" s="913"/>
      <c r="C116" s="914"/>
      <c r="D116" s="515" t="s">
        <v>183</v>
      </c>
      <c r="E116" s="95">
        <f>'1'!F116</f>
        <v>123354.8</v>
      </c>
      <c r="F116" s="416">
        <v>123787.12</v>
      </c>
      <c r="G116" s="112">
        <f t="shared" si="9"/>
        <v>432.31999999999243</v>
      </c>
      <c r="H116" s="99">
        <f>G116+'1'!H116</f>
        <v>926.91999999999825</v>
      </c>
      <c r="I116" s="165"/>
      <c r="J116" s="328">
        <f>H116/DAY(B2)</f>
        <v>463.45999999999913</v>
      </c>
      <c r="Q116" s="894"/>
      <c r="R116" s="896"/>
    </row>
    <row r="117" spans="1:18" ht="29.25" customHeight="1">
      <c r="A117" s="912" t="s">
        <v>184</v>
      </c>
      <c r="B117" s="913"/>
      <c r="C117" s="914"/>
      <c r="D117" s="146" t="s">
        <v>183</v>
      </c>
      <c r="E117" s="95">
        <f>'1'!F117</f>
        <v>74259.899999999994</v>
      </c>
      <c r="F117" s="416">
        <v>74542.5</v>
      </c>
      <c r="G117" s="112">
        <f t="shared" si="9"/>
        <v>282.60000000000582</v>
      </c>
      <c r="H117" s="99">
        <f>G117+'1'!H117</f>
        <v>561.30000000000291</v>
      </c>
      <c r="I117" s="165"/>
      <c r="J117" s="328">
        <f>H117/DAY(B2)</f>
        <v>280.65000000000146</v>
      </c>
      <c r="Q117" s="894"/>
      <c r="R117" s="896"/>
    </row>
    <row r="118" spans="1:18" ht="25.5">
      <c r="A118" s="889" t="s">
        <v>97</v>
      </c>
      <c r="B118" s="889"/>
      <c r="C118" s="889"/>
      <c r="D118" s="151" t="s">
        <v>183</v>
      </c>
      <c r="E118" s="95">
        <f>'1'!F118</f>
        <v>139453.85</v>
      </c>
      <c r="F118" s="416">
        <v>140103</v>
      </c>
      <c r="G118" s="112">
        <f t="shared" si="9"/>
        <v>649.14999999999418</v>
      </c>
      <c r="H118" s="99">
        <f>G118+'1'!H118</f>
        <v>1290.5499999999884</v>
      </c>
      <c r="I118" s="165"/>
      <c r="J118" s="328">
        <f>H118/DAY(B2)</f>
        <v>645.27499999999418</v>
      </c>
      <c r="Q118" s="894"/>
      <c r="R118" s="896"/>
    </row>
    <row r="119" spans="1:18" ht="25.5">
      <c r="A119" s="889" t="s">
        <v>98</v>
      </c>
      <c r="B119" s="889"/>
      <c r="C119" s="889"/>
      <c r="D119" s="151" t="s">
        <v>183</v>
      </c>
      <c r="E119" s="95">
        <f>'1'!F119</f>
        <v>43366</v>
      </c>
      <c r="F119" s="416">
        <v>43378</v>
      </c>
      <c r="G119" s="112">
        <f t="shared" si="9"/>
        <v>12</v>
      </c>
      <c r="H119" s="99">
        <f>G119+'1'!H119</f>
        <v>24.30000000000291</v>
      </c>
      <c r="I119" s="165"/>
      <c r="J119" s="328">
        <f>H119/DAY(B2)</f>
        <v>12.150000000001455</v>
      </c>
    </row>
    <row r="120" spans="1:18" ht="25.5">
      <c r="A120" s="889" t="s">
        <v>99</v>
      </c>
      <c r="B120" s="889"/>
      <c r="C120" s="889"/>
      <c r="D120" s="151" t="s">
        <v>183</v>
      </c>
      <c r="E120" s="95">
        <f>'1'!F120</f>
        <v>96116.6</v>
      </c>
      <c r="F120" s="237">
        <v>96527</v>
      </c>
      <c r="G120" s="112">
        <f t="shared" si="9"/>
        <v>410.39999999999418</v>
      </c>
      <c r="H120" s="99">
        <f>G120+'1'!H120</f>
        <v>819.39999999999418</v>
      </c>
      <c r="I120" s="165"/>
      <c r="J120" s="328">
        <f>H120/DAY(B2)</f>
        <v>409.69999999999709</v>
      </c>
    </row>
    <row r="121" spans="1:18" ht="25.5">
      <c r="A121" s="889" t="s">
        <v>100</v>
      </c>
      <c r="B121" s="889"/>
      <c r="C121" s="889"/>
      <c r="D121" s="151" t="s">
        <v>183</v>
      </c>
      <c r="E121" s="95">
        <f>'1'!F121</f>
        <v>108250</v>
      </c>
      <c r="F121" s="237">
        <v>108683</v>
      </c>
      <c r="G121" s="112">
        <f t="shared" si="9"/>
        <v>433</v>
      </c>
      <c r="H121" s="99">
        <f>G121+'1'!H121</f>
        <v>853.94999999999709</v>
      </c>
      <c r="I121" s="165"/>
      <c r="J121" s="328">
        <f>H121/DAY(B2)</f>
        <v>426.97499999999854</v>
      </c>
    </row>
    <row r="122" spans="1:18" ht="25.5">
      <c r="A122" s="889" t="s">
        <v>101</v>
      </c>
      <c r="B122" s="889"/>
      <c r="C122" s="889"/>
      <c r="D122" s="151" t="s">
        <v>183</v>
      </c>
      <c r="E122" s="95">
        <f>'1'!F122</f>
        <v>71420.899999999994</v>
      </c>
      <c r="F122" s="237">
        <v>71787</v>
      </c>
      <c r="G122" s="112">
        <f t="shared" si="9"/>
        <v>366.10000000000582</v>
      </c>
      <c r="H122" s="99">
        <f>G122+'1'!H122</f>
        <v>749.10000000000582</v>
      </c>
      <c r="I122" s="165"/>
      <c r="J122" s="328">
        <f>H122/DAY(B2)</f>
        <v>374.55000000000291</v>
      </c>
    </row>
    <row r="123" spans="1:18" ht="25.5">
      <c r="A123" s="889" t="s">
        <v>102</v>
      </c>
      <c r="B123" s="889"/>
      <c r="C123" s="889"/>
      <c r="D123" s="151" t="s">
        <v>183</v>
      </c>
      <c r="E123" s="95">
        <f>'1'!F123</f>
        <v>68665.399999999994</v>
      </c>
      <c r="F123" s="237">
        <v>68974</v>
      </c>
      <c r="G123" s="112">
        <f t="shared" si="9"/>
        <v>308.60000000000582</v>
      </c>
      <c r="H123" s="99">
        <f>G123+'1'!H123</f>
        <v>616.69999999999709</v>
      </c>
      <c r="I123" s="165"/>
      <c r="J123" s="328">
        <f>H123/DAY(B2)</f>
        <v>308.34999999999854</v>
      </c>
    </row>
    <row r="124" spans="1:18" ht="29.25" customHeight="1">
      <c r="A124" s="919"/>
      <c r="B124" s="920"/>
      <c r="C124" s="921"/>
      <c r="D124" s="165"/>
      <c r="E124" s="165"/>
      <c r="F124" s="165"/>
      <c r="G124" s="327"/>
      <c r="H124" s="156"/>
      <c r="I124" s="165"/>
      <c r="J124" s="327"/>
    </row>
    <row r="125" spans="1:18" ht="25.5">
      <c r="A125" s="853" t="s">
        <v>196</v>
      </c>
      <c r="B125" s="854"/>
      <c r="C125" s="245"/>
      <c r="D125" s="307"/>
      <c r="E125" s="308"/>
      <c r="F125" s="308"/>
      <c r="G125" s="309">
        <f>SUM(G112:G124)</f>
        <v>3444.0199999999895</v>
      </c>
      <c r="H125" s="156"/>
      <c r="I125" s="327">
        <f>G125-(G39+G53)</f>
        <v>-758.14000000004307</v>
      </c>
      <c r="J125" s="327"/>
    </row>
    <row r="126" spans="1:18" ht="25.5">
      <c r="A126" s="922" t="s">
        <v>317</v>
      </c>
      <c r="B126" s="922"/>
      <c r="C126" s="922"/>
      <c r="D126" s="922"/>
      <c r="E126" s="922"/>
      <c r="F126" s="922"/>
      <c r="G126" s="922"/>
      <c r="H126" s="922"/>
      <c r="I126" s="922"/>
      <c r="J126" s="922"/>
    </row>
    <row r="127" spans="1:18" ht="25.5">
      <c r="A127" s="923"/>
      <c r="B127" s="923"/>
      <c r="C127" s="245"/>
      <c r="D127" s="307"/>
      <c r="E127" s="308"/>
      <c r="F127" s="308"/>
      <c r="G127" s="309"/>
      <c r="H127" s="99">
        <f>G127+'1'!H127</f>
        <v>0</v>
      </c>
      <c r="I127" s="165"/>
      <c r="J127" s="328">
        <f>H127/DAY(B2)</f>
        <v>0</v>
      </c>
    </row>
    <row r="128" spans="1:18" ht="29.25" customHeight="1">
      <c r="A128" s="894" t="s">
        <v>318</v>
      </c>
      <c r="B128" s="895"/>
      <c r="C128" s="896"/>
      <c r="D128" s="151" t="s">
        <v>183</v>
      </c>
      <c r="E128" s="95">
        <f>'1'!F128</f>
        <v>179769.3</v>
      </c>
      <c r="F128" s="165">
        <v>180124</v>
      </c>
      <c r="G128" s="112">
        <f t="shared" ref="G128:G133" si="10">F128-E128</f>
        <v>354.70000000001164</v>
      </c>
      <c r="H128" s="99">
        <f>G128+'1'!H128</f>
        <v>712.14999999999418</v>
      </c>
      <c r="I128" s="165"/>
      <c r="J128" s="328">
        <f>H128/DAY(B2)</f>
        <v>356.07499999999709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'1'!F129</f>
        <v>96252.3</v>
      </c>
      <c r="F129" s="165">
        <v>96476.39</v>
      </c>
      <c r="G129" s="112">
        <f t="shared" si="10"/>
        <v>224.08999999999651</v>
      </c>
      <c r="H129" s="99">
        <f>G129+'1'!H129</f>
        <v>446.88999999999942</v>
      </c>
      <c r="I129" s="165"/>
      <c r="J129" s="328">
        <f>H129/DAY(B2)</f>
        <v>223.44499999999971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'1'!F130</f>
        <v>247509.3</v>
      </c>
      <c r="F130" s="165">
        <v>248175</v>
      </c>
      <c r="G130" s="112">
        <f t="shared" si="10"/>
        <v>665.70000000001164</v>
      </c>
      <c r="H130" s="99">
        <f>G130+'1'!H130</f>
        <v>1335.25</v>
      </c>
      <c r="I130" s="165"/>
      <c r="J130" s="328">
        <f>H130/DAY(B2)</f>
        <v>667.625</v>
      </c>
      <c r="N130" s="240"/>
      <c r="O130" s="241"/>
    </row>
    <row r="131" spans="1:15" ht="25.5">
      <c r="A131" s="894" t="s">
        <v>321</v>
      </c>
      <c r="B131" s="895"/>
      <c r="C131" s="896"/>
      <c r="D131" s="151" t="s">
        <v>183</v>
      </c>
      <c r="E131" s="95">
        <f>'1'!F131</f>
        <v>73766.899999999994</v>
      </c>
      <c r="F131" s="165">
        <v>74023.11</v>
      </c>
      <c r="G131" s="112">
        <f t="shared" si="10"/>
        <v>256.2100000000064</v>
      </c>
      <c r="H131" s="99">
        <f>G131+'1'!H131</f>
        <v>512.50999999999476</v>
      </c>
      <c r="I131" s="165"/>
      <c r="J131" s="328">
        <f>H131/DAY(B2)</f>
        <v>256.25499999999738</v>
      </c>
      <c r="N131" s="240"/>
      <c r="O131" s="241"/>
    </row>
    <row r="132" spans="1:15" ht="25.5">
      <c r="A132" s="894" t="s">
        <v>322</v>
      </c>
      <c r="B132" s="895"/>
      <c r="C132" s="896"/>
      <c r="D132" s="151" t="s">
        <v>183</v>
      </c>
      <c r="E132" s="95">
        <f>'1'!F132</f>
        <v>146985</v>
      </c>
      <c r="F132" s="165">
        <v>146985</v>
      </c>
      <c r="G132" s="112">
        <f t="shared" si="10"/>
        <v>0</v>
      </c>
      <c r="H132" s="99">
        <f>G132+'1'!H132</f>
        <v>0</v>
      </c>
      <c r="I132" s="165"/>
      <c r="J132" s="328">
        <f>H132/DAY(B2)</f>
        <v>0</v>
      </c>
    </row>
    <row r="133" spans="1:15" ht="25.5">
      <c r="A133" s="894" t="s">
        <v>342</v>
      </c>
      <c r="B133" s="895"/>
      <c r="C133" s="896"/>
      <c r="D133" s="151" t="s">
        <v>183</v>
      </c>
      <c r="E133" s="95">
        <f>'1'!F133</f>
        <v>911013</v>
      </c>
      <c r="F133" s="165">
        <v>911748</v>
      </c>
      <c r="G133" s="112">
        <f t="shared" si="10"/>
        <v>735</v>
      </c>
      <c r="H133" s="99">
        <f>G133+'1'!H133</f>
        <v>1504</v>
      </c>
      <c r="I133" s="165"/>
      <c r="J133" s="328">
        <f>H133/DAY(B2)</f>
        <v>752</v>
      </c>
    </row>
    <row r="134" spans="1:15" ht="25.5">
      <c r="A134" s="894" t="s">
        <v>340</v>
      </c>
      <c r="B134" s="895"/>
      <c r="C134" s="896"/>
      <c r="D134" s="513" t="s">
        <v>183</v>
      </c>
      <c r="E134" s="95">
        <f>'1'!F134</f>
        <v>78968.5</v>
      </c>
      <c r="F134" s="158">
        <v>79180</v>
      </c>
      <c r="G134" s="112">
        <f>F134-E134</f>
        <v>211.5</v>
      </c>
      <c r="H134" s="99">
        <f>G134+'1'!H134</f>
        <v>420.39999999999418</v>
      </c>
      <c r="I134" s="165"/>
      <c r="J134" s="328">
        <f>H134/DAY(B2)</f>
        <v>210.19999999999709</v>
      </c>
    </row>
    <row r="135" spans="1:15" ht="25.5">
      <c r="A135" s="853" t="s">
        <v>196</v>
      </c>
      <c r="B135" s="854"/>
      <c r="C135" s="331"/>
      <c r="D135" s="151"/>
      <c r="E135" s="95"/>
      <c r="F135" s="165"/>
      <c r="G135" s="112">
        <f>SUM(G128:G134)</f>
        <v>2447.2000000000262</v>
      </c>
      <c r="H135" s="99">
        <f>G135+'1'!H135</f>
        <v>4931.1999999999825</v>
      </c>
      <c r="I135" s="327">
        <f>G135-(G35+G49)</f>
        <v>-745.59999999990396</v>
      </c>
      <c r="J135" s="328">
        <f>H135/DAY(B2)</f>
        <v>2465.5999999999913</v>
      </c>
    </row>
    <row r="136" spans="1:15" ht="27.75">
      <c r="A136" s="924" t="s">
        <v>325</v>
      </c>
      <c r="B136" s="924"/>
      <c r="C136" s="924"/>
      <c r="D136" s="924"/>
      <c r="E136" s="924"/>
      <c r="F136" s="924"/>
      <c r="G136" s="924"/>
      <c r="H136" s="924"/>
      <c r="I136" s="924"/>
      <c r="J136" s="92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9" t="s">
        <v>185</v>
      </c>
      <c r="B138" s="889"/>
      <c r="C138" s="889"/>
      <c r="D138" s="513" t="s">
        <v>183</v>
      </c>
      <c r="E138" s="95">
        <f>'1'!F138</f>
        <v>905740</v>
      </c>
      <c r="F138" s="147">
        <v>905837</v>
      </c>
      <c r="G138" s="112">
        <f t="shared" ref="G138:G152" si="11">F138-E138</f>
        <v>97</v>
      </c>
      <c r="H138" s="99">
        <f>G138+'1'!H138</f>
        <v>178</v>
      </c>
      <c r="I138" s="118"/>
      <c r="J138" s="328">
        <f>H138/DAY(B2)</f>
        <v>89</v>
      </c>
    </row>
    <row r="139" spans="1:15" ht="25.5">
      <c r="A139" s="889" t="s">
        <v>186</v>
      </c>
      <c r="B139" s="889"/>
      <c r="C139" s="889"/>
      <c r="D139" s="513" t="s">
        <v>183</v>
      </c>
      <c r="E139" s="95">
        <f>'1'!F139</f>
        <v>927446</v>
      </c>
      <c r="F139" s="148">
        <v>927629</v>
      </c>
      <c r="G139" s="112">
        <f t="shared" si="11"/>
        <v>183</v>
      </c>
      <c r="H139" s="99">
        <f>G139+'1'!H139</f>
        <v>348</v>
      </c>
      <c r="I139" s="118"/>
      <c r="J139" s="328">
        <f>H139/DAY(B2)</f>
        <v>174</v>
      </c>
    </row>
    <row r="140" spans="1:15" ht="25.5">
      <c r="A140" s="889" t="s">
        <v>187</v>
      </c>
      <c r="B140" s="889"/>
      <c r="C140" s="889"/>
      <c r="D140" s="513" t="s">
        <v>183</v>
      </c>
      <c r="E140" s="95">
        <f>'1'!F140</f>
        <v>3351.2</v>
      </c>
      <c r="F140" s="149">
        <v>3372</v>
      </c>
      <c r="G140" s="112">
        <f t="shared" si="11"/>
        <v>20.800000000000182</v>
      </c>
      <c r="H140" s="99">
        <f>G140+'1'!H140</f>
        <v>40.900000000000091</v>
      </c>
      <c r="I140" s="118"/>
      <c r="J140" s="328">
        <f>H140/DAY(B2)</f>
        <v>20.450000000000045</v>
      </c>
    </row>
    <row r="141" spans="1:15" ht="25.5">
      <c r="A141" s="893" t="s">
        <v>188</v>
      </c>
      <c r="B141" s="893"/>
      <c r="C141" s="893"/>
      <c r="D141" s="151" t="s">
        <v>183</v>
      </c>
      <c r="E141" s="95">
        <f>'1'!F141</f>
        <v>117792.36</v>
      </c>
      <c r="F141" s="149">
        <v>118031.48</v>
      </c>
      <c r="G141" s="112">
        <f t="shared" si="11"/>
        <v>239.11999999999534</v>
      </c>
      <c r="H141" s="99">
        <f>G141+'1'!H141</f>
        <v>473.5</v>
      </c>
      <c r="I141" s="118"/>
      <c r="J141" s="328">
        <f>H141/DAY(B2)</f>
        <v>236.75</v>
      </c>
    </row>
    <row r="142" spans="1:15" ht="25.5">
      <c r="A142" s="893" t="s">
        <v>189</v>
      </c>
      <c r="B142" s="893"/>
      <c r="C142" s="893"/>
      <c r="D142" s="151" t="s">
        <v>183</v>
      </c>
      <c r="E142" s="95">
        <f>'1'!F142</f>
        <v>47585.9</v>
      </c>
      <c r="F142" s="148">
        <v>47666.83</v>
      </c>
      <c r="G142" s="112">
        <f t="shared" si="11"/>
        <v>80.930000000000291</v>
      </c>
      <c r="H142" s="99">
        <f>G142+'1'!H142</f>
        <v>162.33000000000175</v>
      </c>
      <c r="I142" s="140"/>
      <c r="J142" s="328">
        <f>H142/DAY(B2)</f>
        <v>81.165000000000873</v>
      </c>
    </row>
    <row r="143" spans="1:15" ht="25.5">
      <c r="A143" s="889" t="s">
        <v>91</v>
      </c>
      <c r="B143" s="889"/>
      <c r="C143" s="889"/>
      <c r="D143" s="151" t="s">
        <v>183</v>
      </c>
      <c r="E143" s="95">
        <f>'1'!F143</f>
        <v>12447.5</v>
      </c>
      <c r="F143" s="149">
        <v>12478.7</v>
      </c>
      <c r="G143" s="112">
        <f t="shared" si="11"/>
        <v>31.200000000000728</v>
      </c>
      <c r="H143" s="99">
        <f>G143+'1'!H143</f>
        <v>63.300000000001091</v>
      </c>
      <c r="I143" s="140"/>
      <c r="J143" s="328">
        <f>H143/DAY(B2)</f>
        <v>31.650000000000546</v>
      </c>
    </row>
    <row r="144" spans="1:15" ht="25.5">
      <c r="A144" s="893" t="s">
        <v>90</v>
      </c>
      <c r="B144" s="893"/>
      <c r="C144" s="893"/>
      <c r="D144" s="513" t="s">
        <v>183</v>
      </c>
      <c r="E144" s="95">
        <f>'1'!F144</f>
        <v>948432</v>
      </c>
      <c r="F144" s="149">
        <v>948661</v>
      </c>
      <c r="G144" s="112">
        <f t="shared" si="11"/>
        <v>229</v>
      </c>
      <c r="H144" s="99">
        <f>G144+'1'!H144</f>
        <v>463</v>
      </c>
      <c r="I144" s="140"/>
      <c r="J144" s="328">
        <f>H144/DAY(B2)</f>
        <v>231.5</v>
      </c>
    </row>
    <row r="145" spans="1:10" ht="25.5">
      <c r="A145" s="889" t="s">
        <v>190</v>
      </c>
      <c r="B145" s="889"/>
      <c r="C145" s="889"/>
      <c r="D145" s="152" t="s">
        <v>183</v>
      </c>
      <c r="E145" s="95">
        <f>'1'!F145</f>
        <v>22724</v>
      </c>
      <c r="F145" s="149">
        <v>22857.64</v>
      </c>
      <c r="G145" s="112">
        <f t="shared" si="11"/>
        <v>133.63999999999942</v>
      </c>
      <c r="H145" s="99">
        <f>G145+'1'!H145</f>
        <v>261.54000000000087</v>
      </c>
      <c r="I145" s="140"/>
      <c r="J145" s="328">
        <f>H145/DAY(B2)</f>
        <v>130.77000000000044</v>
      </c>
    </row>
    <row r="146" spans="1:10" ht="25.5">
      <c r="A146" s="890" t="s">
        <v>191</v>
      </c>
      <c r="B146" s="891"/>
      <c r="C146" s="892"/>
      <c r="D146" s="513" t="s">
        <v>183</v>
      </c>
      <c r="E146" s="95">
        <f>'1'!F146</f>
        <v>786699</v>
      </c>
      <c r="F146" s="148">
        <v>786736</v>
      </c>
      <c r="G146" s="112">
        <f t="shared" si="11"/>
        <v>37</v>
      </c>
      <c r="H146" s="99">
        <f>G146+'1'!H146</f>
        <v>68</v>
      </c>
      <c r="I146" s="140"/>
      <c r="J146" s="328">
        <f>H146/DAY(B2)</f>
        <v>34</v>
      </c>
    </row>
    <row r="147" spans="1:10" ht="25.5">
      <c r="A147" s="893" t="s">
        <v>192</v>
      </c>
      <c r="B147" s="893"/>
      <c r="C147" s="893"/>
      <c r="D147" s="513" t="s">
        <v>183</v>
      </c>
      <c r="E147" s="95">
        <f>'1'!F147</f>
        <v>747980.80000000005</v>
      </c>
      <c r="F147" s="148">
        <v>748413</v>
      </c>
      <c r="G147" s="112">
        <f t="shared" si="11"/>
        <v>432.19999999995343</v>
      </c>
      <c r="H147" s="99">
        <f>G147+'1'!H147</f>
        <v>858.8399999999674</v>
      </c>
      <c r="I147" s="140"/>
      <c r="J147" s="328">
        <f>H147/DAY(B2)</f>
        <v>429.4199999999837</v>
      </c>
    </row>
    <row r="148" spans="1:10" ht="25.5">
      <c r="A148" s="886" t="s">
        <v>193</v>
      </c>
      <c r="B148" s="887"/>
      <c r="C148" s="888"/>
      <c r="D148" s="514" t="s">
        <v>130</v>
      </c>
      <c r="E148" s="95">
        <f>'1'!F148</f>
        <v>784723.12</v>
      </c>
      <c r="F148" s="164">
        <v>785109</v>
      </c>
      <c r="G148" s="112">
        <f t="shared" si="11"/>
        <v>385.88000000000466</v>
      </c>
      <c r="H148" s="99">
        <f>G148+'1'!H148</f>
        <v>464</v>
      </c>
      <c r="I148" s="124"/>
      <c r="J148" s="328">
        <f>H148/DAY(B2)</f>
        <v>232</v>
      </c>
    </row>
    <row r="149" spans="1:10" ht="25.5">
      <c r="A149" s="886" t="s">
        <v>336</v>
      </c>
      <c r="B149" s="887"/>
      <c r="C149" s="888"/>
      <c r="D149" s="515" t="s">
        <v>130</v>
      </c>
      <c r="E149" s="95">
        <f>'1'!F149</f>
        <v>185822</v>
      </c>
      <c r="F149" s="146">
        <v>186318</v>
      </c>
      <c r="G149" s="112">
        <f t="shared" si="11"/>
        <v>496</v>
      </c>
      <c r="H149" s="99">
        <f>G149+'1'!H149</f>
        <v>1021.109999999986</v>
      </c>
      <c r="I149" s="119"/>
      <c r="J149" s="328">
        <f>H149/DAY(B2)</f>
        <v>510.55499999999302</v>
      </c>
    </row>
    <row r="150" spans="1:10" ht="25.5">
      <c r="A150" s="886" t="s">
        <v>337</v>
      </c>
      <c r="B150" s="887"/>
      <c r="C150" s="888"/>
      <c r="D150" s="117" t="s">
        <v>130</v>
      </c>
      <c r="E150" s="95">
        <f>'1'!F150</f>
        <v>77880.600000000006</v>
      </c>
      <c r="F150" s="233">
        <v>78124.03</v>
      </c>
      <c r="G150" s="112">
        <f t="shared" si="11"/>
        <v>243.42999999999302</v>
      </c>
      <c r="H150" s="99">
        <f>G150+'1'!H150</f>
        <v>457.72999999999593</v>
      </c>
      <c r="I150" s="119"/>
      <c r="J150" s="328">
        <f>H150/DAY(B2)</f>
        <v>228.86499999999796</v>
      </c>
    </row>
    <row r="151" spans="1:10" ht="25.5">
      <c r="A151" s="886" t="s">
        <v>338</v>
      </c>
      <c r="B151" s="887"/>
      <c r="C151" s="888"/>
      <c r="D151" s="514" t="s">
        <v>130</v>
      </c>
      <c r="E151" s="95">
        <f>'1'!F151</f>
        <v>158535</v>
      </c>
      <c r="F151" s="233">
        <v>158826</v>
      </c>
      <c r="G151" s="112">
        <f t="shared" si="11"/>
        <v>291</v>
      </c>
      <c r="H151" s="99">
        <f>G151+'1'!H151</f>
        <v>516</v>
      </c>
      <c r="I151" s="119"/>
      <c r="J151" s="328">
        <f>H151/DAY(B2)</f>
        <v>258</v>
      </c>
    </row>
    <row r="152" spans="1:10" ht="25.5">
      <c r="A152" s="886" t="s">
        <v>339</v>
      </c>
      <c r="B152" s="887"/>
      <c r="C152" s="888"/>
      <c r="D152" s="117" t="s">
        <v>130</v>
      </c>
      <c r="E152" s="95">
        <f>'1'!F152</f>
        <v>38750.400000000001</v>
      </c>
      <c r="F152" s="233">
        <v>38884</v>
      </c>
      <c r="G152" s="112">
        <f t="shared" si="11"/>
        <v>133.59999999999854</v>
      </c>
      <c r="H152" s="99">
        <f>G152+'1'!H152</f>
        <v>268.09999999999854</v>
      </c>
      <c r="I152" s="119"/>
      <c r="J152" s="328">
        <f>H152/DAY(B2)</f>
        <v>134.04999999999927</v>
      </c>
    </row>
    <row r="153" spans="1:10" ht="25.5">
      <c r="A153" s="853" t="s">
        <v>196</v>
      </c>
      <c r="B153" s="854"/>
      <c r="C153" s="365"/>
      <c r="D153" s="358"/>
      <c r="E153" s="360"/>
      <c r="F153" s="361"/>
      <c r="G153" s="362">
        <f>SUM(G138:G152)</f>
        <v>3033.7999999999456</v>
      </c>
      <c r="H153" s="363"/>
      <c r="I153" s="119">
        <f>G153-(G38+G52)</f>
        <v>562.43999999984317</v>
      </c>
      <c r="J153" s="366"/>
    </row>
    <row r="154" spans="1:10" ht="27.75">
      <c r="A154" s="924" t="s">
        <v>344</v>
      </c>
      <c r="B154" s="924"/>
      <c r="C154" s="924"/>
      <c r="D154" s="924"/>
      <c r="E154" s="924"/>
      <c r="F154" s="924"/>
      <c r="G154" s="924"/>
      <c r="H154" s="924"/>
      <c r="I154" s="924"/>
      <c r="J154" s="924"/>
    </row>
    <row r="155" spans="1:10" ht="27.75">
      <c r="A155" s="893" t="s">
        <v>345</v>
      </c>
      <c r="B155" s="893"/>
      <c r="C155" s="893"/>
      <c r="D155" s="516" t="s">
        <v>130</v>
      </c>
      <c r="E155" s="95">
        <f>'1'!F155</f>
        <v>220567.7</v>
      </c>
      <c r="F155" s="421">
        <v>221254</v>
      </c>
      <c r="G155" s="112">
        <f t="shared" ref="G155:G158" si="12">F155-E155</f>
        <v>686.29999999998836</v>
      </c>
      <c r="H155" s="99">
        <f>G155+'1'!H155</f>
        <v>1266.2999999999884</v>
      </c>
      <c r="I155" s="364"/>
      <c r="J155" s="328">
        <f>H155/DAY(B2)</f>
        <v>633.14999999999418</v>
      </c>
    </row>
    <row r="156" spans="1:10" ht="25.5">
      <c r="A156" s="893" t="s">
        <v>347</v>
      </c>
      <c r="B156" s="893"/>
      <c r="C156" s="893"/>
      <c r="D156" s="516" t="s">
        <v>130</v>
      </c>
      <c r="E156" s="95">
        <f>'1'!F156</f>
        <v>26613.200000000001</v>
      </c>
      <c r="F156" s="155">
        <v>26735</v>
      </c>
      <c r="G156" s="112">
        <f t="shared" si="12"/>
        <v>121.79999999999927</v>
      </c>
      <c r="H156" s="99">
        <f>G156+'1'!H156</f>
        <v>204.79999999999927</v>
      </c>
      <c r="I156" s="165"/>
      <c r="J156" s="328">
        <f>H156/DAY(B2)</f>
        <v>102.39999999999964</v>
      </c>
    </row>
    <row r="157" spans="1:10" ht="25.5">
      <c r="A157" s="886" t="s">
        <v>360</v>
      </c>
      <c r="B157" s="887"/>
      <c r="C157" s="888"/>
      <c r="D157" s="516" t="s">
        <v>130</v>
      </c>
      <c r="E157" s="95">
        <f>'1'!F157</f>
        <v>37559</v>
      </c>
      <c r="F157" s="155">
        <v>37559</v>
      </c>
      <c r="G157" s="112">
        <f t="shared" si="12"/>
        <v>0</v>
      </c>
      <c r="H157" s="99">
        <f>G157+'1'!H157</f>
        <v>0</v>
      </c>
      <c r="I157" s="165"/>
      <c r="J157" s="328"/>
    </row>
    <row r="158" spans="1:10" ht="25.5">
      <c r="A158" s="886" t="s">
        <v>361</v>
      </c>
      <c r="B158" s="887"/>
      <c r="C158" s="888"/>
      <c r="D158" s="117" t="s">
        <v>130</v>
      </c>
      <c r="E158" s="95">
        <f>'1'!F158</f>
        <v>1579.2</v>
      </c>
      <c r="F158" s="155">
        <v>1579</v>
      </c>
      <c r="G158" s="112">
        <f t="shared" si="12"/>
        <v>-0.20000000000004547</v>
      </c>
      <c r="H158" s="99">
        <f>G158+'1'!H158</f>
        <v>17.650000000000091</v>
      </c>
      <c r="I158" s="165"/>
      <c r="J158" s="328"/>
    </row>
    <row r="159" spans="1:10" ht="25.5">
      <c r="A159" s="886"/>
      <c r="B159" s="887"/>
      <c r="C159" s="888"/>
      <c r="D159" s="117"/>
      <c r="E159" s="95"/>
      <c r="F159" s="165"/>
      <c r="G159" s="112"/>
      <c r="H159" s="99"/>
      <c r="I159" s="165"/>
      <c r="J159" s="328"/>
    </row>
    <row r="160" spans="1:10" ht="27.75">
      <c r="A160" s="924" t="s">
        <v>326</v>
      </c>
      <c r="B160" s="924"/>
      <c r="C160" s="924"/>
      <c r="D160" s="924"/>
      <c r="E160" s="924"/>
      <c r="F160" s="924"/>
      <c r="G160" s="924"/>
      <c r="H160" s="924"/>
      <c r="I160" s="924"/>
      <c r="J160" s="924"/>
    </row>
    <row r="161" spans="1:14" ht="26.25">
      <c r="A161" s="242" t="s">
        <v>92</v>
      </c>
      <c r="B161" s="243"/>
      <c r="C161" s="243"/>
      <c r="D161" s="244" t="s">
        <v>180</v>
      </c>
      <c r="E161" s="95">
        <f>'1'!F161</f>
        <v>503493.56</v>
      </c>
      <c r="F161" s="235">
        <v>503628</v>
      </c>
      <c r="G161" s="238">
        <f t="shared" ref="G161:G165" si="13">F161-E161</f>
        <v>134.44000000000233</v>
      </c>
      <c r="H161" s="99">
        <f>G161+'1'!H161</f>
        <v>256.84000000002561</v>
      </c>
      <c r="I161" s="236"/>
      <c r="J161" s="239">
        <f>H161/DAY(B2)</f>
        <v>128.42000000001281</v>
      </c>
    </row>
    <row r="162" spans="1:14" ht="26.25">
      <c r="A162" s="242" t="s">
        <v>93</v>
      </c>
      <c r="B162" s="243"/>
      <c r="C162" s="243"/>
      <c r="D162" s="244" t="s">
        <v>180</v>
      </c>
      <c r="E162" s="95">
        <f>'1'!F162</f>
        <v>99703.7</v>
      </c>
      <c r="F162" s="235">
        <v>99744</v>
      </c>
      <c r="G162" s="238">
        <f t="shared" si="13"/>
        <v>40.30000000000291</v>
      </c>
      <c r="H162" s="99">
        <f>G162+'1'!H162</f>
        <v>90.399999999994179</v>
      </c>
      <c r="I162" s="236"/>
      <c r="J162" s="239">
        <f>H162/DAY(B2)</f>
        <v>45.19999999999709</v>
      </c>
    </row>
    <row r="163" spans="1:14" ht="26.25">
      <c r="A163" s="242" t="s">
        <v>197</v>
      </c>
      <c r="B163" s="243"/>
      <c r="C163" s="243"/>
      <c r="D163" s="244" t="s">
        <v>180</v>
      </c>
      <c r="E163" s="95">
        <f>'1'!F163</f>
        <v>0</v>
      </c>
      <c r="F163" s="235">
        <v>0</v>
      </c>
      <c r="G163" s="238">
        <f t="shared" si="13"/>
        <v>0</v>
      </c>
      <c r="H163" s="99">
        <f>G163+'1'!H163</f>
        <v>0</v>
      </c>
      <c r="I163" s="236"/>
      <c r="J163" s="239">
        <f>H163/DAY(B2)</f>
        <v>0</v>
      </c>
    </row>
    <row r="164" spans="1:14" ht="26.25">
      <c r="A164" s="242" t="s">
        <v>197</v>
      </c>
      <c r="B164" s="243"/>
      <c r="C164" s="243"/>
      <c r="D164" s="244" t="s">
        <v>180</v>
      </c>
      <c r="E164" s="95">
        <f>'1'!F164</f>
        <v>6997.5</v>
      </c>
      <c r="F164" s="235">
        <v>7004</v>
      </c>
      <c r="G164" s="238">
        <f t="shared" si="13"/>
        <v>6.5</v>
      </c>
      <c r="H164" s="99">
        <f>G164+'1'!H164</f>
        <v>13.800000000000182</v>
      </c>
      <c r="I164" s="236"/>
      <c r="J164" s="239">
        <f>H164/DAY(B2)</f>
        <v>6.9000000000000909</v>
      </c>
    </row>
    <row r="165" spans="1:14" ht="26.25">
      <c r="A165" s="242" t="s">
        <v>309</v>
      </c>
      <c r="B165" s="243"/>
      <c r="C165" s="243"/>
      <c r="D165" s="244" t="s">
        <v>180</v>
      </c>
      <c r="E165" s="95">
        <f>'1'!F165</f>
        <v>32582.83</v>
      </c>
      <c r="F165" s="235">
        <v>32590</v>
      </c>
      <c r="G165" s="238">
        <f t="shared" si="13"/>
        <v>7.1699999999982538</v>
      </c>
      <c r="H165" s="99">
        <f>G165+'1'!H165</f>
        <v>15.900000000001455</v>
      </c>
      <c r="I165" s="236"/>
      <c r="J165" s="239">
        <f>H165/DAY(B2)</f>
        <v>7.9500000000007276</v>
      </c>
    </row>
    <row r="166" spans="1:14" ht="29.25" customHeight="1">
      <c r="A166" s="923"/>
      <c r="B166" s="923"/>
      <c r="C166" s="246"/>
      <c r="D166" s="244" t="s">
        <v>180</v>
      </c>
      <c r="E166" s="95">
        <f>'1'!F166</f>
        <v>0</v>
      </c>
      <c r="F166" s="165"/>
      <c r="G166" s="165"/>
      <c r="H166" s="99">
        <f>G166+'1'!H166</f>
        <v>0</v>
      </c>
      <c r="I166" s="165"/>
      <c r="J166" s="327"/>
    </row>
    <row r="167" spans="1:14" ht="26.25">
      <c r="A167" s="923"/>
      <c r="B167" s="923"/>
      <c r="C167" s="246"/>
      <c r="D167" s="244" t="s">
        <v>180</v>
      </c>
      <c r="E167" s="95">
        <f>'1'!F167</f>
        <v>0</v>
      </c>
      <c r="F167" s="165"/>
      <c r="G167" s="165"/>
      <c r="H167" s="99">
        <f>G167+'1'!H167</f>
        <v>0</v>
      </c>
      <c r="I167" s="165"/>
      <c r="J167" s="327"/>
    </row>
    <row r="168" spans="1:14" ht="26.25">
      <c r="A168" s="923"/>
      <c r="B168" s="923"/>
      <c r="C168" s="246"/>
      <c r="D168" s="244" t="s">
        <v>180</v>
      </c>
      <c r="E168" s="95">
        <f>'1'!F168</f>
        <v>0</v>
      </c>
      <c r="F168" s="165"/>
      <c r="G168" s="165"/>
      <c r="H168" s="99">
        <f>G168+'1'!H168</f>
        <v>0</v>
      </c>
      <c r="I168" s="165"/>
      <c r="J168" s="327"/>
    </row>
    <row r="169" spans="1:14" ht="26.25"/>
    <row r="170" spans="1:14" ht="26.25"/>
    <row r="171" spans="1:14" ht="27.75">
      <c r="A171" s="933" t="s">
        <v>330</v>
      </c>
      <c r="B171" s="934"/>
      <c r="C171" s="934"/>
      <c r="D171" s="934"/>
      <c r="E171" s="934"/>
      <c r="F171" s="934"/>
      <c r="G171" s="934"/>
      <c r="H171" s="934"/>
      <c r="I171" s="934"/>
      <c r="J171" s="935"/>
    </row>
    <row r="172" spans="1:14" ht="25.5">
      <c r="A172" s="929"/>
      <c r="B172" s="930"/>
      <c r="C172" s="332"/>
      <c r="D172" s="228"/>
      <c r="E172" s="155"/>
      <c r="F172" s="155"/>
      <c r="G172" s="155"/>
      <c r="H172" s="156"/>
      <c r="I172" s="155"/>
      <c r="J172" s="178"/>
    </row>
    <row r="173" spans="1:14" ht="35.25" customHeight="1">
      <c r="A173" s="841" t="s">
        <v>209</v>
      </c>
      <c r="B173" s="843"/>
      <c r="C173" s="333"/>
      <c r="D173" s="228" t="s">
        <v>142</v>
      </c>
      <c r="E173" s="95">
        <f>'1'!F173</f>
        <v>8586</v>
      </c>
      <c r="F173" s="155">
        <v>8590</v>
      </c>
      <c r="G173" s="155">
        <f>F173-E173</f>
        <v>4</v>
      </c>
      <c r="H173" s="99">
        <f>G173+'1'!H173</f>
        <v>6</v>
      </c>
      <c r="I173" s="155"/>
      <c r="J173" s="178">
        <f>H173/DAY(B2)</f>
        <v>3</v>
      </c>
    </row>
    <row r="174" spans="1:14" ht="25.5">
      <c r="A174" s="841" t="s">
        <v>75</v>
      </c>
      <c r="B174" s="843"/>
      <c r="C174" s="333"/>
      <c r="D174" s="228" t="s">
        <v>142</v>
      </c>
      <c r="E174" s="95">
        <f>'1'!F174</f>
        <v>42680</v>
      </c>
      <c r="F174" s="157">
        <v>42693</v>
      </c>
      <c r="G174" s="155">
        <f t="shared" ref="G174:G175" si="14">F174-E174</f>
        <v>13</v>
      </c>
      <c r="H174" s="99">
        <f>G174+'1'!H174</f>
        <v>24</v>
      </c>
      <c r="I174" s="155"/>
      <c r="J174" s="178">
        <f>H174/DAY(B2)</f>
        <v>12</v>
      </c>
    </row>
    <row r="175" spans="1:14" ht="25.5">
      <c r="A175" s="841" t="s">
        <v>76</v>
      </c>
      <c r="B175" s="842"/>
      <c r="C175" s="843"/>
      <c r="D175" s="228" t="s">
        <v>142</v>
      </c>
      <c r="E175" s="95">
        <f>'1'!F175</f>
        <v>25406</v>
      </c>
      <c r="F175" s="155">
        <v>25419</v>
      </c>
      <c r="G175" s="155">
        <f t="shared" si="14"/>
        <v>13</v>
      </c>
      <c r="H175" s="99">
        <f>G175+'1'!H175</f>
        <v>26</v>
      </c>
      <c r="I175" s="155"/>
      <c r="J175" s="178">
        <f>H175/DAY(B2)</f>
        <v>13</v>
      </c>
      <c r="N175" s="469"/>
    </row>
    <row r="176" spans="1:14" ht="25.5">
      <c r="A176" s="853" t="s">
        <v>196</v>
      </c>
      <c r="B176" s="854"/>
      <c r="C176" s="400"/>
      <c r="D176" s="228"/>
      <c r="E176" s="95"/>
      <c r="F176" s="155"/>
      <c r="G176" s="155">
        <f>SUM(G173:G175)</f>
        <v>30</v>
      </c>
      <c r="H176" s="99">
        <f>G176+'1'!H176</f>
        <v>56</v>
      </c>
      <c r="I176" s="155"/>
      <c r="J176" s="178">
        <f>H176/DAY(B2)</f>
        <v>28</v>
      </c>
    </row>
    <row r="177" spans="1:10" ht="25.5">
      <c r="A177" s="841" t="s">
        <v>77</v>
      </c>
      <c r="B177" s="843"/>
      <c r="C177" s="333"/>
      <c r="D177" s="228" t="s">
        <v>142</v>
      </c>
      <c r="E177" s="95"/>
      <c r="F177" s="155"/>
      <c r="G177" s="155"/>
      <c r="H177" s="99">
        <f>G177+'1'!H177</f>
        <v>0</v>
      </c>
      <c r="I177" s="155"/>
      <c r="J177" s="178"/>
    </row>
    <row r="178" spans="1:10" ht="25.5">
      <c r="A178" s="841" t="s">
        <v>210</v>
      </c>
      <c r="B178" s="843"/>
      <c r="C178" s="333"/>
      <c r="D178" s="228" t="s">
        <v>142</v>
      </c>
      <c r="E178" s="95">
        <f>'1'!F178</f>
        <v>103685</v>
      </c>
      <c r="F178" s="157">
        <v>103790</v>
      </c>
      <c r="G178" s="155">
        <f>F178-E178</f>
        <v>105</v>
      </c>
      <c r="H178" s="99">
        <f>G178+'1'!H178</f>
        <v>147</v>
      </c>
      <c r="I178" s="155"/>
      <c r="J178" s="178">
        <f>H178/DAY(B2)</f>
        <v>73.5</v>
      </c>
    </row>
    <row r="179" spans="1:10" ht="25.5">
      <c r="A179" s="841" t="s">
        <v>211</v>
      </c>
      <c r="B179" s="843"/>
      <c r="C179" s="333"/>
      <c r="D179" s="228" t="s">
        <v>142</v>
      </c>
      <c r="E179" s="95">
        <f>'1'!F179</f>
        <v>37501</v>
      </c>
      <c r="F179" s="155">
        <v>37501</v>
      </c>
      <c r="G179" s="155">
        <f t="shared" ref="G179:G180" si="15">F179-E179</f>
        <v>0</v>
      </c>
      <c r="H179" s="99">
        <f>G179+'1'!H179</f>
        <v>0</v>
      </c>
      <c r="I179" s="155"/>
      <c r="J179" s="178">
        <f>H179/DAY(B2)</f>
        <v>0</v>
      </c>
    </row>
    <row r="180" spans="1:10" ht="25.5">
      <c r="A180" s="841" t="s">
        <v>212</v>
      </c>
      <c r="B180" s="843"/>
      <c r="C180" s="333"/>
      <c r="D180" s="228" t="s">
        <v>142</v>
      </c>
      <c r="E180" s="95">
        <f>'1'!F180</f>
        <v>7420</v>
      </c>
      <c r="F180" s="155">
        <v>7420</v>
      </c>
      <c r="G180" s="155">
        <f t="shared" si="15"/>
        <v>0</v>
      </c>
      <c r="H180" s="99">
        <f>G180+'1'!H180</f>
        <v>0</v>
      </c>
      <c r="I180" s="155"/>
      <c r="J180" s="178">
        <f>H180/DAY(B2)</f>
        <v>0</v>
      </c>
    </row>
    <row r="181" spans="1:10" ht="25.5">
      <c r="A181" s="927" t="s">
        <v>108</v>
      </c>
      <c r="B181" s="928"/>
      <c r="C181" s="400"/>
      <c r="D181" s="228"/>
      <c r="E181" s="95"/>
      <c r="F181" s="155"/>
      <c r="G181" s="155">
        <f>SUM(G178:G180)</f>
        <v>105</v>
      </c>
      <c r="H181" s="99">
        <f>G181+'1'!H181</f>
        <v>147</v>
      </c>
      <c r="I181" s="155"/>
      <c r="J181" s="178">
        <f>H181/DAY(B2)</f>
        <v>73.5</v>
      </c>
    </row>
    <row r="182" spans="1:10" ht="31.5" customHeight="1">
      <c r="A182" s="841" t="s">
        <v>213</v>
      </c>
      <c r="B182" s="843"/>
      <c r="C182" s="333"/>
      <c r="D182" s="228"/>
      <c r="E182" s="95"/>
      <c r="F182" s="155"/>
      <c r="G182" s="155"/>
      <c r="H182" s="99">
        <f>G182+'1'!H182</f>
        <v>0</v>
      </c>
      <c r="I182" s="155"/>
      <c r="J182" s="178">
        <f>H182/DAY(B2)</f>
        <v>0</v>
      </c>
    </row>
    <row r="183" spans="1:10" ht="29.25" customHeight="1">
      <c r="A183" s="841" t="s">
        <v>214</v>
      </c>
      <c r="B183" s="843"/>
      <c r="C183" s="334"/>
      <c r="D183" s="228" t="s">
        <v>142</v>
      </c>
      <c r="E183" s="95">
        <f>'1'!F183</f>
        <v>18174</v>
      </c>
      <c r="F183" s="157">
        <v>18179</v>
      </c>
      <c r="G183" s="157">
        <f>F183-E183</f>
        <v>5</v>
      </c>
      <c r="H183" s="99">
        <f>G183+'1'!H183</f>
        <v>11</v>
      </c>
      <c r="I183" s="155"/>
      <c r="J183" s="178">
        <f>H183/DAY(B2)</f>
        <v>5.5</v>
      </c>
    </row>
    <row r="184" spans="1:10" ht="27.75" customHeight="1">
      <c r="A184" s="841" t="s">
        <v>215</v>
      </c>
      <c r="B184" s="843"/>
      <c r="C184" s="334"/>
      <c r="D184" s="228" t="s">
        <v>142</v>
      </c>
      <c r="E184" s="95">
        <f>'1'!F184</f>
        <v>12760</v>
      </c>
      <c r="F184" s="157">
        <v>12772</v>
      </c>
      <c r="G184" s="157">
        <f t="shared" ref="G184:G185" si="16">F184-E184</f>
        <v>12</v>
      </c>
      <c r="H184" s="99">
        <f>G184+'1'!H184</f>
        <v>22</v>
      </c>
      <c r="I184" s="155"/>
      <c r="J184" s="178">
        <f>H184/DAY(B2)</f>
        <v>11</v>
      </c>
    </row>
    <row r="185" spans="1:10" ht="24.75" customHeight="1">
      <c r="A185" s="841" t="s">
        <v>216</v>
      </c>
      <c r="B185" s="843"/>
      <c r="C185" s="334"/>
      <c r="D185" s="228" t="s">
        <v>142</v>
      </c>
      <c r="E185" s="95">
        <f>'1'!F185</f>
        <v>0</v>
      </c>
      <c r="F185" s="157"/>
      <c r="G185" s="157">
        <f t="shared" si="16"/>
        <v>0</v>
      </c>
      <c r="H185" s="99">
        <f>G185+'1'!H185</f>
        <v>0</v>
      </c>
      <c r="I185" s="155"/>
      <c r="J185" s="178">
        <f>H185/DAY(B2)</f>
        <v>0</v>
      </c>
    </row>
    <row r="186" spans="1:10" ht="33.75" customHeight="1">
      <c r="A186" s="853" t="s">
        <v>196</v>
      </c>
      <c r="B186" s="854"/>
      <c r="C186" s="399"/>
      <c r="D186" s="229"/>
      <c r="E186" s="95"/>
      <c r="F186" s="157"/>
      <c r="G186" s="157">
        <f>SUM(G183:G185)</f>
        <v>17</v>
      </c>
      <c r="H186" s="99">
        <f>G186+'1'!H186</f>
        <v>33</v>
      </c>
      <c r="I186" s="157"/>
      <c r="J186" s="178">
        <f>H186/DAY(B2)</f>
        <v>16.5</v>
      </c>
    </row>
    <row r="187" spans="1:10" ht="28.5" customHeight="1">
      <c r="A187" s="931" t="s">
        <v>217</v>
      </c>
      <c r="B187" s="932"/>
      <c r="C187" s="333"/>
      <c r="D187" s="230" t="s">
        <v>142</v>
      </c>
      <c r="E187" s="95"/>
      <c r="F187" s="159"/>
      <c r="G187" s="377">
        <f>G62+G19</f>
        <v>162</v>
      </c>
      <c r="H187" s="99">
        <f>G187+'1'!H187</f>
        <v>349</v>
      </c>
      <c r="I187" s="158"/>
      <c r="J187" s="179">
        <f>H187/DAY(B2)</f>
        <v>174.5</v>
      </c>
    </row>
    <row r="188" spans="1:10" ht="24" customHeight="1">
      <c r="A188" s="931" t="s">
        <v>218</v>
      </c>
      <c r="B188" s="932"/>
      <c r="C188" s="333"/>
      <c r="D188" s="230" t="s">
        <v>142</v>
      </c>
      <c r="E188" s="95"/>
      <c r="F188" s="159"/>
      <c r="G188" s="377">
        <f>G65+G66+G67+G69+G70</f>
        <v>164</v>
      </c>
      <c r="H188" s="99">
        <f>G188+'1'!H188</f>
        <v>347</v>
      </c>
      <c r="I188" s="158"/>
      <c r="J188" s="179">
        <f>H188/DAY(B2)</f>
        <v>173.5</v>
      </c>
    </row>
    <row r="189" spans="1:10" ht="24.75" customHeight="1">
      <c r="A189" s="931" t="s">
        <v>219</v>
      </c>
      <c r="B189" s="932"/>
      <c r="C189" s="333"/>
      <c r="D189" s="230" t="s">
        <v>142</v>
      </c>
      <c r="E189" s="95"/>
      <c r="F189" s="157"/>
      <c r="G189" s="376">
        <f>G181</f>
        <v>105</v>
      </c>
      <c r="H189" s="99">
        <f>G189+'1'!H189</f>
        <v>147</v>
      </c>
      <c r="I189" s="158"/>
      <c r="J189" s="179">
        <f>H189/DAY(B2)</f>
        <v>73.5</v>
      </c>
    </row>
    <row r="190" spans="1:10" ht="25.5">
      <c r="A190" s="925"/>
      <c r="B190" s="926"/>
      <c r="C190" s="398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5:C155"/>
    <mergeCell ref="A156:C156"/>
    <mergeCell ref="A150:C150"/>
    <mergeCell ref="A151:C151"/>
    <mergeCell ref="A152:C152"/>
    <mergeCell ref="A186:B186"/>
    <mergeCell ref="A187:B187"/>
    <mergeCell ref="A188:B188"/>
    <mergeCell ref="A189:B189"/>
    <mergeCell ref="A160:J160"/>
    <mergeCell ref="A166:B166"/>
    <mergeCell ref="A167:B167"/>
    <mergeCell ref="A168:B168"/>
    <mergeCell ref="A171:J171"/>
    <mergeCell ref="A154:J154"/>
    <mergeCell ref="A153:B153"/>
    <mergeCell ref="A157:C157"/>
    <mergeCell ref="A158:C158"/>
    <mergeCell ref="A159:C159"/>
    <mergeCell ref="A190:B190"/>
    <mergeCell ref="A178:B178"/>
    <mergeCell ref="A179:B179"/>
    <mergeCell ref="A180:B180"/>
    <mergeCell ref="A181:B181"/>
    <mergeCell ref="A185:B185"/>
    <mergeCell ref="A172:B172"/>
    <mergeCell ref="A173:B173"/>
    <mergeCell ref="A174:B174"/>
    <mergeCell ref="A176:B176"/>
    <mergeCell ref="A177:B177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6:J136"/>
    <mergeCell ref="A135:B135"/>
    <mergeCell ref="A125:B125"/>
    <mergeCell ref="A126:J126"/>
    <mergeCell ref="A127:B127"/>
    <mergeCell ref="A128:C128"/>
    <mergeCell ref="A131:C131"/>
    <mergeCell ref="A119:C119"/>
    <mergeCell ref="A120:C120"/>
    <mergeCell ref="A121:C121"/>
    <mergeCell ref="A122:C122"/>
    <mergeCell ref="A124:C124"/>
    <mergeCell ref="A116:C116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5:C105"/>
    <mergeCell ref="A72:B72"/>
    <mergeCell ref="A78:C78"/>
    <mergeCell ref="A97:C97"/>
    <mergeCell ref="A98:C98"/>
    <mergeCell ref="A99:C99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71:C71"/>
    <mergeCell ref="A182:B182"/>
    <mergeCell ref="A183:B183"/>
    <mergeCell ref="A184:B184"/>
    <mergeCell ref="A149:C149"/>
    <mergeCell ref="A175:C175"/>
    <mergeCell ref="A145:C145"/>
    <mergeCell ref="A146:C146"/>
    <mergeCell ref="A147:C147"/>
    <mergeCell ref="A148:C148"/>
    <mergeCell ref="A114:C114"/>
    <mergeCell ref="A115:C115"/>
    <mergeCell ref="A81:C81"/>
    <mergeCell ref="A143:C143"/>
    <mergeCell ref="A144:C144"/>
    <mergeCell ref="A102:C102"/>
    <mergeCell ref="A123:C123"/>
    <mergeCell ref="A109:B109"/>
    <mergeCell ref="A95:C95"/>
    <mergeCell ref="A96:C96"/>
    <mergeCell ref="A100:C100"/>
    <mergeCell ref="A101:C101"/>
    <mergeCell ref="A103:C103"/>
    <mergeCell ref="A104:C104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R270"/>
  <sheetViews>
    <sheetView view="pageBreakPreview" zoomScale="55" zoomScaleSheetLayoutView="55" workbookViewId="0">
      <selection activeCell="F19" sqref="F19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867" t="s">
        <v>115</v>
      </c>
      <c r="B1" s="868"/>
      <c r="C1" s="868"/>
      <c r="D1" s="868"/>
      <c r="E1" s="868"/>
      <c r="F1" s="868"/>
      <c r="G1" s="868"/>
      <c r="H1" s="868"/>
      <c r="I1" s="868"/>
      <c r="J1" s="869"/>
    </row>
    <row r="2" spans="1:16" s="57" customFormat="1" ht="23.25">
      <c r="A2" s="191" t="s">
        <v>349</v>
      </c>
      <c r="B2" s="375">
        <v>44898</v>
      </c>
      <c r="C2" s="348" t="s">
        <v>67</v>
      </c>
      <c r="D2" s="218">
        <v>0.8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  <c r="O2" s="57" t="s">
        <v>350</v>
      </c>
      <c r="P2" s="57">
        <v>19293.8</v>
      </c>
    </row>
    <row r="3" spans="1:16" s="57" customFormat="1" ht="23.25">
      <c r="A3" s="189"/>
      <c r="B3" s="221"/>
      <c r="C3" s="348" t="s">
        <v>118</v>
      </c>
      <c r="D3" s="219">
        <v>28</v>
      </c>
      <c r="E3" s="876" t="s">
        <v>119</v>
      </c>
      <c r="F3" s="877"/>
      <c r="G3" s="101"/>
      <c r="H3" s="102"/>
      <c r="I3" s="102"/>
      <c r="J3" s="222"/>
      <c r="K3" s="61"/>
      <c r="L3" s="58"/>
      <c r="P3" s="57">
        <v>70944.800000000003</v>
      </c>
    </row>
    <row r="4" spans="1:16" s="57" customFormat="1" ht="23.2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 t="s">
        <v>351</v>
      </c>
      <c r="P4" s="57">
        <v>28131.4</v>
      </c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P5" s="57">
        <v>48693.66</v>
      </c>
    </row>
    <row r="6" spans="1:16" ht="26.25">
      <c r="A6" s="870" t="s">
        <v>128</v>
      </c>
      <c r="B6" s="871"/>
      <c r="C6" s="872"/>
      <c r="D6" s="110"/>
      <c r="E6" s="110"/>
      <c r="F6" s="110"/>
      <c r="G6" s="110"/>
      <c r="H6" s="111"/>
      <c r="I6" s="111"/>
      <c r="J6" s="174"/>
      <c r="K6" s="78"/>
      <c r="L6" s="66"/>
    </row>
    <row r="7" spans="1:16" ht="27" thickBot="1">
      <c r="A7" s="194" t="s">
        <v>129</v>
      </c>
      <c r="B7" s="195"/>
      <c r="C7" s="195"/>
      <c r="D7" s="151" t="s">
        <v>130</v>
      </c>
      <c r="E7" s="95">
        <f>'2'!F7</f>
        <v>318277.59000000003</v>
      </c>
      <c r="F7" s="95">
        <v>340841</v>
      </c>
      <c r="G7" s="112">
        <f>F7-E7</f>
        <v>22563.409999999974</v>
      </c>
      <c r="H7" s="99">
        <f>G7+'2'!H7</f>
        <v>67158.450000000012</v>
      </c>
      <c r="I7" s="113">
        <f>'1'!I7</f>
        <v>12000</v>
      </c>
      <c r="J7" s="175">
        <f>H7/DAY(B2)</f>
        <v>22386.150000000005</v>
      </c>
      <c r="K7" s="172">
        <v>1375467</v>
      </c>
      <c r="L7" s="66"/>
      <c r="N7" s="87"/>
      <c r="O7" s="71"/>
    </row>
    <row r="8" spans="1:16" ht="27" thickBot="1">
      <c r="A8" s="196" t="s">
        <v>131</v>
      </c>
      <c r="B8" s="197"/>
      <c r="C8" s="198"/>
      <c r="D8" s="224" t="s">
        <v>24</v>
      </c>
      <c r="E8" s="95">
        <f>'2'!F8</f>
        <v>496033.35</v>
      </c>
      <c r="F8" s="114">
        <v>518664</v>
      </c>
      <c r="G8" s="115">
        <f>F8-E8</f>
        <v>22630.650000000023</v>
      </c>
      <c r="H8" s="99">
        <f>G8+'2'!H8</f>
        <v>67403</v>
      </c>
      <c r="I8" s="116"/>
      <c r="J8" s="175">
        <f>H8/DAY(B2)</f>
        <v>22467.666666666668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6.25">
      <c r="A9" s="199" t="s">
        <v>132</v>
      </c>
      <c r="B9" s="200"/>
      <c r="C9" s="200"/>
      <c r="D9" s="151" t="s">
        <v>130</v>
      </c>
      <c r="E9" s="95">
        <f>'2'!F9</f>
        <v>4126849.1</v>
      </c>
      <c r="F9" s="117">
        <v>4133303</v>
      </c>
      <c r="G9" s="112">
        <f>F9-E9</f>
        <v>6453.8999999999069</v>
      </c>
      <c r="H9" s="99">
        <f>G9+'2'!H9</f>
        <v>19132.700000000186</v>
      </c>
      <c r="I9" s="124">
        <f>I7-J7</f>
        <v>-10386.150000000005</v>
      </c>
      <c r="J9" s="175">
        <f>H9/DAY(B2)</f>
        <v>6377.5666666667285</v>
      </c>
      <c r="K9" s="79">
        <f>K8-100</f>
        <v>1715817</v>
      </c>
      <c r="L9" s="66"/>
      <c r="N9" s="87"/>
      <c r="O9" s="71"/>
    </row>
    <row r="10" spans="1:16" ht="26.25">
      <c r="A10" s="194" t="s">
        <v>133</v>
      </c>
      <c r="B10" s="195"/>
      <c r="C10" s="195"/>
      <c r="D10" s="151" t="s">
        <v>130</v>
      </c>
      <c r="E10" s="95">
        <f>'2'!F10</f>
        <v>3720182.7</v>
      </c>
      <c r="F10" s="117">
        <v>3735702</v>
      </c>
      <c r="G10" s="112">
        <f t="shared" ref="G10:G12" si="0">F10-E10</f>
        <v>15519.299999999814</v>
      </c>
      <c r="H10" s="99">
        <f>G10+'2'!H10</f>
        <v>46222.899999999907</v>
      </c>
      <c r="I10" s="282"/>
      <c r="J10" s="175">
        <f>H10/DAY(B2)</f>
        <v>15407.633333333302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'2'!F11</f>
        <v>38120</v>
      </c>
      <c r="F11" s="95">
        <v>38120</v>
      </c>
      <c r="G11" s="112">
        <f t="shared" si="0"/>
        <v>0</v>
      </c>
      <c r="H11" s="99">
        <f>G11+'2'!H11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'2'!F12</f>
        <v>40390</v>
      </c>
      <c r="F12" s="117">
        <v>40390</v>
      </c>
      <c r="G12" s="112">
        <f t="shared" si="0"/>
        <v>0</v>
      </c>
      <c r="H12" s="99">
        <f>G12+'2'!H12</f>
        <v>0</v>
      </c>
      <c r="I12" s="282"/>
      <c r="J12" s="175">
        <f>H12/DAY(B2)</f>
        <v>0</v>
      </c>
      <c r="K12" s="79"/>
      <c r="L12" s="66"/>
      <c r="N12" s="87"/>
      <c r="O12" s="71">
        <f>G13-G7</f>
        <v>-590.21000000025379</v>
      </c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21973.199999999721</v>
      </c>
      <c r="H13" s="99">
        <f>G13+'2'!H13</f>
        <v>69584.299999999814</v>
      </c>
      <c r="I13" s="120">
        <f>G7-G13</f>
        <v>590.21000000025379</v>
      </c>
      <c r="J13" s="175">
        <f>H13/DAY(B2)</f>
        <v>23194.766666666605</v>
      </c>
      <c r="K13" s="79"/>
      <c r="L13" s="66"/>
      <c r="N13" s="87"/>
      <c r="O13" s="71"/>
    </row>
    <row r="14" spans="1:16" ht="26.25">
      <c r="A14" s="873" t="s">
        <v>137</v>
      </c>
      <c r="B14" s="874"/>
      <c r="C14" s="87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5" t="s">
        <v>138</v>
      </c>
      <c r="B15" s="205"/>
      <c r="C15" s="205"/>
      <c r="D15" s="151" t="s">
        <v>139</v>
      </c>
      <c r="E15" s="95">
        <f>'2'!F15</f>
        <v>2221043.35</v>
      </c>
      <c r="F15" s="409">
        <v>2222177</v>
      </c>
      <c r="G15" s="112">
        <f>(F15-E15)</f>
        <v>1133.6499999999069</v>
      </c>
      <c r="H15" s="99">
        <f>G15+'2'!H15</f>
        <v>3236</v>
      </c>
      <c r="I15" s="113">
        <f>'1'!I15</f>
        <v>800</v>
      </c>
      <c r="J15" s="175">
        <f>H15/DAY(B2)</f>
        <v>1078.6666666666667</v>
      </c>
      <c r="K15" s="79"/>
      <c r="L15" s="66"/>
      <c r="N15" s="87"/>
      <c r="O15" s="71"/>
    </row>
    <row r="16" spans="1:16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-278.66666666666674</v>
      </c>
      <c r="J16" s="176"/>
      <c r="K16" s="79"/>
      <c r="L16" s="66"/>
      <c r="N16" s="87"/>
      <c r="O16" s="71"/>
    </row>
    <row r="17" spans="1:15" ht="26.25">
      <c r="A17" s="873" t="s">
        <v>140</v>
      </c>
      <c r="B17" s="874"/>
      <c r="C17" s="87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64">
        <v>0</v>
      </c>
      <c r="B18" s="865"/>
      <c r="C18" s="866"/>
      <c r="D18" s="151" t="s">
        <v>142</v>
      </c>
      <c r="E18" s="95">
        <f>'2'!F18</f>
        <v>26</v>
      </c>
      <c r="F18" s="122">
        <v>27</v>
      </c>
      <c r="G18" s="119">
        <f>F18*10</f>
        <v>270</v>
      </c>
      <c r="H18" s="99">
        <f>G18+'2'!H18</f>
        <v>780</v>
      </c>
      <c r="I18" s="113">
        <f>'1'!I18</f>
        <v>65</v>
      </c>
      <c r="J18" s="175">
        <f>H18/DAY(B2)</f>
        <v>260</v>
      </c>
      <c r="K18" s="79"/>
      <c r="L18" s="66"/>
      <c r="N18" s="87"/>
      <c r="O18" s="71"/>
    </row>
    <row r="19" spans="1:15" ht="25.5">
      <c r="A19" s="864" t="s">
        <v>69</v>
      </c>
      <c r="B19" s="865"/>
      <c r="C19" s="866"/>
      <c r="D19" s="151" t="s">
        <v>142</v>
      </c>
      <c r="E19" s="95">
        <f>'2'!F19</f>
        <v>168066</v>
      </c>
      <c r="F19" s="122">
        <v>168122</v>
      </c>
      <c r="G19" s="112">
        <f t="shared" ref="G19" si="1">F19-E19</f>
        <v>56</v>
      </c>
      <c r="H19" s="99">
        <f>G19+'2'!H19</f>
        <v>162</v>
      </c>
      <c r="I19" s="335"/>
      <c r="J19" s="175">
        <f>H19/DAY(B2)</f>
        <v>54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326</v>
      </c>
      <c r="H20" s="99">
        <f>G20+'2'!H20</f>
        <v>942</v>
      </c>
      <c r="I20" s="336">
        <f>I18-J20</f>
        <v>-249</v>
      </c>
      <c r="J20" s="175">
        <f>H20/DAY(B2)</f>
        <v>314</v>
      </c>
      <c r="K20" s="79"/>
      <c r="L20" s="66"/>
      <c r="N20" s="87"/>
      <c r="O20" s="71"/>
    </row>
    <row r="21" spans="1:15" ht="26.25">
      <c r="A21" s="873" t="s">
        <v>144</v>
      </c>
      <c r="B21" s="874"/>
      <c r="C21" s="87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'2'!F22</f>
        <v>2970</v>
      </c>
      <c r="F22" s="122">
        <v>2970</v>
      </c>
      <c r="G22" s="119">
        <f t="shared" ref="G22" si="2">(F22-E22)</f>
        <v>0</v>
      </c>
      <c r="H22" s="99">
        <f>G22+'2'!H22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'2'!F23</f>
        <v>2000</v>
      </c>
      <c r="F23" s="122">
        <v>1500</v>
      </c>
      <c r="G23" s="119">
        <v>0</v>
      </c>
      <c r="H23" s="99">
        <f>G23+'2'!H23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'2'!F24</f>
        <v>4970</v>
      </c>
      <c r="F24" s="128">
        <v>4970</v>
      </c>
      <c r="G24" s="119">
        <v>0</v>
      </c>
      <c r="H24" s="99">
        <f>G24+'2'!H24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78" t="s">
        <v>149</v>
      </c>
      <c r="B25" s="879"/>
      <c r="C25" s="88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22630.650000000023</v>
      </c>
      <c r="F27" s="136">
        <v>9</v>
      </c>
      <c r="G27" s="137">
        <f>E27*F27</f>
        <v>203675.85000000021</v>
      </c>
      <c r="H27" s="99">
        <f>G27+'2'!H27</f>
        <v>629217.80000000005</v>
      </c>
      <c r="I27" s="138"/>
      <c r="J27" s="175">
        <f>H27/DAY(B2)</f>
        <v>209739.26666666669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1133.6499999999069</v>
      </c>
      <c r="F28" s="136">
        <v>70</v>
      </c>
      <c r="G28" s="137">
        <f>E28*F28</f>
        <v>79355.499999993481</v>
      </c>
      <c r="H28" s="99">
        <f>G28+'2'!H28</f>
        <v>237031.75000000047</v>
      </c>
      <c r="I28" s="140"/>
      <c r="J28" s="175">
        <f>H28/DAY(B2)</f>
        <v>79010.583333333489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151</v>
      </c>
      <c r="G30" s="137">
        <f>E30*F30</f>
        <v>8456</v>
      </c>
      <c r="H30" s="99">
        <f>G30+'2'!H30</f>
        <v>24462</v>
      </c>
      <c r="I30" s="140"/>
      <c r="J30" s="175">
        <f>H30/DAY(B2)</f>
        <v>8154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270</v>
      </c>
      <c r="F31" s="136">
        <v>80</v>
      </c>
      <c r="G31" s="137">
        <f>E31*F31</f>
        <v>21600</v>
      </c>
      <c r="H31" s="99">
        <f>G31+'2'!H31</f>
        <v>62400</v>
      </c>
      <c r="I31" s="140"/>
      <c r="J31" s="175">
        <f>H31/DAY(B2)</f>
        <v>20800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313087.34999999369</v>
      </c>
      <c r="H32" s="99">
        <f>G32+'2'!H32</f>
        <v>953111.5500000004</v>
      </c>
      <c r="I32" s="144"/>
      <c r="J32" s="175">
        <f>H32/DAY(B2)</f>
        <v>317703.85000000015</v>
      </c>
      <c r="K32" s="63"/>
      <c r="L32" s="89"/>
      <c r="N32" s="87"/>
      <c r="O32" s="71"/>
    </row>
    <row r="33" spans="1:15" ht="25.5" customHeight="1">
      <c r="A33" s="881" t="s">
        <v>331</v>
      </c>
      <c r="B33" s="882"/>
      <c r="C33" s="88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'2'!F35</f>
        <v>374706.31</v>
      </c>
      <c r="F35" s="145">
        <v>377546.43</v>
      </c>
      <c r="G35" s="112">
        <f t="shared" ref="G35:G46" si="3">F35-E35</f>
        <v>2840.1199999999953</v>
      </c>
      <c r="H35" s="99">
        <f>G35+'2'!H35</f>
        <v>8449.5200000000186</v>
      </c>
      <c r="I35" s="95"/>
      <c r="J35" s="175">
        <f>H35/DAY(B2)</f>
        <v>2816.506666666673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'2'!F36</f>
        <v>324282.34999999998</v>
      </c>
      <c r="F36" s="145">
        <v>325437.07</v>
      </c>
      <c r="G36" s="112">
        <f t="shared" si="3"/>
        <v>1154.7200000000303</v>
      </c>
      <c r="H36" s="99">
        <f>G36+'2'!H36</f>
        <v>3219.960000000021</v>
      </c>
      <c r="I36" s="95"/>
      <c r="J36" s="175">
        <f>H36/DAY(B2)</f>
        <v>1073.320000000007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'2'!F37</f>
        <v>322998.69</v>
      </c>
      <c r="F37" s="145">
        <v>322998.69</v>
      </c>
      <c r="G37" s="112">
        <f t="shared" si="3"/>
        <v>0</v>
      </c>
      <c r="H37" s="99">
        <f>G37+'2'!H37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'2'!F38</f>
        <v>740690.31</v>
      </c>
      <c r="F38" s="108">
        <v>743067.11</v>
      </c>
      <c r="G38" s="112">
        <f t="shared" si="3"/>
        <v>2376.7999999999302</v>
      </c>
      <c r="H38" s="99">
        <f>G38+'2'!H38</f>
        <v>7214.7199999999721</v>
      </c>
      <c r="I38" s="95"/>
      <c r="J38" s="175">
        <f>H38/DAY(B2)</f>
        <v>2404.9066666666572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'2'!F39</f>
        <v>591584.18999999994</v>
      </c>
      <c r="F39" s="145">
        <v>591584.18999999994</v>
      </c>
      <c r="G39" s="112">
        <f t="shared" si="3"/>
        <v>0</v>
      </c>
      <c r="H39" s="99">
        <f>G39+'2'!H39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'2'!F40</f>
        <v>197610.15</v>
      </c>
      <c r="F40" s="145">
        <v>198005.89</v>
      </c>
      <c r="G40" s="112">
        <f t="shared" si="3"/>
        <v>395.74000000001979</v>
      </c>
      <c r="H40" s="99">
        <f>G40+'2'!H40</f>
        <v>1275.9200000000128</v>
      </c>
      <c r="I40" s="95"/>
      <c r="J40" s="175">
        <f>H40/DAY(B2)</f>
        <v>425.30666666667094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'2'!F41</f>
        <v>419167.59</v>
      </c>
      <c r="F41" s="145">
        <v>419167.59</v>
      </c>
      <c r="G41" s="112">
        <f t="shared" si="3"/>
        <v>0</v>
      </c>
      <c r="H41" s="99">
        <f>G41+'2'!H41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'2'!F42</f>
        <v>871870.87</v>
      </c>
      <c r="F42" s="145">
        <v>871870.89</v>
      </c>
      <c r="G42" s="112">
        <f t="shared" si="3"/>
        <v>2.0000000018626451E-2</v>
      </c>
      <c r="H42" s="99">
        <f>G42+'2'!H42</f>
        <v>2.0000000018626451E-2</v>
      </c>
      <c r="I42" s="95"/>
      <c r="J42" s="175">
        <f>H42/DAY(B2)</f>
        <v>6.6666666728754835E-3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'2'!F43</f>
        <v>407028</v>
      </c>
      <c r="F43" s="145">
        <v>407028</v>
      </c>
      <c r="G43" s="112">
        <f t="shared" si="3"/>
        <v>0</v>
      </c>
      <c r="H43" s="99">
        <f>G43+'2'!H43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'2'!F44</f>
        <v>0</v>
      </c>
      <c r="F44" s="145">
        <v>0</v>
      </c>
      <c r="G44" s="112">
        <f t="shared" si="3"/>
        <v>0</v>
      </c>
      <c r="H44" s="99">
        <f>G44+'2'!H44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'2'!F45</f>
        <v>0</v>
      </c>
      <c r="F45" s="145">
        <v>0</v>
      </c>
      <c r="G45" s="112">
        <f t="shared" si="3"/>
        <v>0</v>
      </c>
      <c r="H45" s="99">
        <f>G45+'2'!H45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'2'!F46</f>
        <v>0</v>
      </c>
      <c r="F46" s="145">
        <v>0</v>
      </c>
      <c r="G46" s="112">
        <f t="shared" si="3"/>
        <v>0</v>
      </c>
      <c r="H46" s="99">
        <f>G46+'2'!H46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6767.3999999999942</v>
      </c>
      <c r="H47" s="99">
        <f>G47+'2'!H47</f>
        <v>20160.140000000043</v>
      </c>
      <c r="I47" s="95"/>
      <c r="J47" s="175">
        <f>H47/DAY(B2)</f>
        <v>6720.0466666666807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'2'!F49</f>
        <v>794409.35</v>
      </c>
      <c r="F49" s="145">
        <v>794785.22</v>
      </c>
      <c r="G49" s="112">
        <f t="shared" ref="G49:G58" si="4">F49-E49</f>
        <v>375.86999999999534</v>
      </c>
      <c r="H49" s="99">
        <f>G49+'2'!H49</f>
        <v>1162.2700000000186</v>
      </c>
      <c r="I49" s="95"/>
      <c r="J49" s="175">
        <f>H49/DAY(B2)</f>
        <v>387.42333333333954</v>
      </c>
      <c r="K49" s="79"/>
      <c r="L49" s="66"/>
      <c r="N49" s="87">
        <f>G35+G49</f>
        <v>3215.9899999999907</v>
      </c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'2'!F50</f>
        <v>459845.19</v>
      </c>
      <c r="F50" s="145">
        <v>461648.37</v>
      </c>
      <c r="G50" s="112">
        <f t="shared" si="4"/>
        <v>1803.179999999993</v>
      </c>
      <c r="H50" s="99">
        <f>G50+'2'!H50</f>
        <v>4979.2999999999884</v>
      </c>
      <c r="I50" s="95"/>
      <c r="J50" s="175">
        <f>H50/DAY(B2)</f>
        <v>1659.7666666666628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'2'!F51</f>
        <v>137321.88</v>
      </c>
      <c r="F51" s="145">
        <v>138352.70000000001</v>
      </c>
      <c r="G51" s="112">
        <f t="shared" si="4"/>
        <v>1030.820000000007</v>
      </c>
      <c r="H51" s="99">
        <f>G51+'2'!H51</f>
        <v>3108.1500000000233</v>
      </c>
      <c r="I51" s="95"/>
      <c r="J51" s="175">
        <f>H51/DAY(B2)</f>
        <v>1036.0500000000077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'2'!F52</f>
        <v>9.76</v>
      </c>
      <c r="F52" s="145">
        <v>9.75</v>
      </c>
      <c r="G52" s="112">
        <f t="shared" si="4"/>
        <v>-9.9999999999997868E-3</v>
      </c>
      <c r="H52" s="99">
        <f>G52+'2'!H52</f>
        <v>-0.25</v>
      </c>
      <c r="I52" s="95"/>
      <c r="J52" s="175">
        <f>H52/DAY(B2)</f>
        <v>-8.3333333333333329E-2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'2'!F53</f>
        <v>554997.91</v>
      </c>
      <c r="F53" s="145">
        <v>559052.71</v>
      </c>
      <c r="G53" s="112">
        <f t="shared" si="4"/>
        <v>4054.7999999999302</v>
      </c>
      <c r="H53" s="99">
        <f>G53+'2'!H53</f>
        <v>12511.439999999944</v>
      </c>
      <c r="I53" s="95"/>
      <c r="J53" s="175">
        <f>H53/DAY(B2)</f>
        <v>4170.4799999999814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'2'!F54</f>
        <v>107993.03</v>
      </c>
      <c r="F54" s="145">
        <v>108155.74</v>
      </c>
      <c r="G54" s="112">
        <f t="shared" si="4"/>
        <v>162.7100000000064</v>
      </c>
      <c r="H54" s="99">
        <f>G54+'2'!H54</f>
        <v>492.58000000000175</v>
      </c>
      <c r="I54" s="95"/>
      <c r="J54" s="175">
        <f>H54/DAY(B2)</f>
        <v>164.19333333333392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'2'!F55</f>
        <v>561484.67000000004</v>
      </c>
      <c r="F55" s="145">
        <v>561484.67000000004</v>
      </c>
      <c r="G55" s="112">
        <f t="shared" si="4"/>
        <v>0</v>
      </c>
      <c r="H55" s="99">
        <f>G55+'2'!H55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'2'!F56</f>
        <v>274763.19</v>
      </c>
      <c r="F56" s="145">
        <v>278151.07</v>
      </c>
      <c r="G56" s="112">
        <f t="shared" si="4"/>
        <v>3387.8800000000047</v>
      </c>
      <c r="H56" s="99">
        <f>G56+'2'!H56</f>
        <v>10036.059999999998</v>
      </c>
      <c r="I56" s="95"/>
      <c r="J56" s="175">
        <f>H56/DAY(B2)</f>
        <v>3345.3533333333326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'2'!F57</f>
        <v>573364.23</v>
      </c>
      <c r="F57" s="145">
        <v>575772.67000000004</v>
      </c>
      <c r="G57" s="112">
        <f t="shared" si="4"/>
        <v>2408.4400000000605</v>
      </c>
      <c r="H57" s="99">
        <f>G57+'2'!H57</f>
        <v>7194.2000000000698</v>
      </c>
      <c r="I57" s="95"/>
      <c r="J57" s="175">
        <f>H57/DAY(B2)</f>
        <v>2398.0666666666898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'2'!F58</f>
        <v>79214.63</v>
      </c>
      <c r="F58" s="145">
        <v>79469.08</v>
      </c>
      <c r="G58" s="112">
        <f t="shared" si="4"/>
        <v>254.44999999999709</v>
      </c>
      <c r="H58" s="99">
        <f>G58+'2'!H58</f>
        <v>753.38999999999942</v>
      </c>
      <c r="I58" s="95"/>
      <c r="J58" s="175">
        <f>H58/DAY(B2)</f>
        <v>251.1299999999998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13478.139999999994</v>
      </c>
      <c r="H59" s="99">
        <f>G59+'2'!H59</f>
        <v>40237.140000000043</v>
      </c>
      <c r="I59" s="95">
        <f>G7-G60</f>
        <v>2317.8699999999881</v>
      </c>
      <c r="J59" s="175">
        <f>H59/DAY(B2)</f>
        <v>13412.380000000014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20245.539999999986</v>
      </c>
      <c r="H60" s="99">
        <f>G60+'2'!H60</f>
        <v>60397.280000000086</v>
      </c>
      <c r="I60" s="95">
        <f>G13-G60</f>
        <v>1727.6599999997343</v>
      </c>
      <c r="J60" s="175">
        <f>H60/DAY(B2)</f>
        <v>20132.426666666695</v>
      </c>
      <c r="K60" s="79"/>
      <c r="L60" s="66"/>
      <c r="N60" s="87"/>
      <c r="O60" s="71"/>
    </row>
    <row r="61" spans="1:15" s="68" customFormat="1" ht="26.25">
      <c r="A61" s="883" t="s">
        <v>332</v>
      </c>
      <c r="B61" s="884"/>
      <c r="C61" s="88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64" t="s">
        <v>198</v>
      </c>
      <c r="B62" s="865"/>
      <c r="C62" s="866"/>
      <c r="D62" s="151" t="s">
        <v>142</v>
      </c>
      <c r="E62" s="95">
        <f>'2'!F62</f>
        <v>308557</v>
      </c>
      <c r="F62" s="164">
        <v>308666</v>
      </c>
      <c r="G62" s="112">
        <f t="shared" ref="G62" si="5">F62-E62</f>
        <v>109</v>
      </c>
      <c r="H62" s="99">
        <f>G62+'2'!H62</f>
        <v>352</v>
      </c>
      <c r="I62" s="118"/>
      <c r="J62" s="175">
        <f>H62/DAY(B2)</f>
        <v>117.33333333333333</v>
      </c>
      <c r="K62" s="80"/>
      <c r="L62" s="66"/>
      <c r="N62" s="87"/>
      <c r="O62" s="71"/>
    </row>
    <row r="63" spans="1:15" ht="25.5">
      <c r="A63" s="864" t="s">
        <v>199</v>
      </c>
      <c r="B63" s="865"/>
      <c r="C63" s="866"/>
      <c r="D63" s="151" t="s">
        <v>142</v>
      </c>
      <c r="E63" s="95">
        <f>'2'!F63</f>
        <v>247052</v>
      </c>
      <c r="F63" s="122">
        <v>247132</v>
      </c>
      <c r="G63" s="112">
        <f>F63-E63</f>
        <v>80</v>
      </c>
      <c r="H63" s="99">
        <f>G63+'2'!H63</f>
        <v>203</v>
      </c>
      <c r="I63" s="118"/>
      <c r="J63" s="175">
        <f>H63/DAY(B2)</f>
        <v>67.666666666666671</v>
      </c>
      <c r="K63" s="69"/>
      <c r="L63" s="66"/>
      <c r="N63" s="87"/>
      <c r="O63" s="71"/>
    </row>
    <row r="64" spans="1:15" ht="26.25">
      <c r="A64" s="861" t="s">
        <v>200</v>
      </c>
      <c r="B64" s="862"/>
      <c r="C64" s="863"/>
      <c r="D64" s="151"/>
      <c r="E64" s="95">
        <f>'2'!F64</f>
        <v>0</v>
      </c>
      <c r="F64" s="122"/>
      <c r="G64" s="112">
        <f>G62+G63</f>
        <v>189</v>
      </c>
      <c r="H64" s="99">
        <f>G64+'2'!H64</f>
        <v>555</v>
      </c>
      <c r="I64" s="118"/>
      <c r="J64" s="175">
        <f>H64/DAY(B2)</f>
        <v>185</v>
      </c>
      <c r="K64" s="69"/>
      <c r="L64" s="66"/>
      <c r="N64" s="87"/>
      <c r="O64" s="71"/>
    </row>
    <row r="65" spans="1:15" ht="25.5">
      <c r="A65" s="864" t="s">
        <v>201</v>
      </c>
      <c r="B65" s="865"/>
      <c r="C65" s="866"/>
      <c r="D65" s="151" t="s">
        <v>142</v>
      </c>
      <c r="E65" s="95">
        <f>'2'!F65</f>
        <v>468156</v>
      </c>
      <c r="F65" s="122">
        <v>468277</v>
      </c>
      <c r="G65" s="112">
        <f t="shared" ref="G65:G70" si="6">F65-E65</f>
        <v>121</v>
      </c>
      <c r="H65" s="99">
        <f>G65+'2'!H65</f>
        <v>376</v>
      </c>
      <c r="I65" s="118"/>
      <c r="J65" s="175">
        <f>H65/DAY(B2)</f>
        <v>125.33333333333333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'2'!F66</f>
        <v>113222</v>
      </c>
      <c r="F66" s="164">
        <v>113231</v>
      </c>
      <c r="G66" s="112">
        <f t="shared" si="6"/>
        <v>9</v>
      </c>
      <c r="H66" s="99">
        <f>G66+'2'!H66</f>
        <v>39</v>
      </c>
      <c r="I66" s="118"/>
      <c r="J66" s="175">
        <f>H66/DAY(B2)</f>
        <v>13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'2'!F67</f>
        <v>115890</v>
      </c>
      <c r="F67" s="164">
        <v>115922</v>
      </c>
      <c r="G67" s="112">
        <f t="shared" si="6"/>
        <v>32</v>
      </c>
      <c r="H67" s="99">
        <f>G67+'2'!H67</f>
        <v>67</v>
      </c>
      <c r="I67" s="118"/>
      <c r="J67" s="175">
        <f>H67/DAY(B2)</f>
        <v>22.333333333333332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'2'!F68</f>
        <v>168598</v>
      </c>
      <c r="F68" s="164">
        <v>168617</v>
      </c>
      <c r="G68" s="112">
        <f t="shared" si="6"/>
        <v>19</v>
      </c>
      <c r="H68" s="99">
        <f>G68+'2'!H68</f>
        <v>110</v>
      </c>
      <c r="I68" s="118"/>
      <c r="J68" s="175">
        <f>H68/DAY(B2)</f>
        <v>36.666666666666664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'2'!F69</f>
        <v>12818</v>
      </c>
      <c r="F69" s="164">
        <v>12823</v>
      </c>
      <c r="G69" s="112">
        <f t="shared" si="6"/>
        <v>5</v>
      </c>
      <c r="H69" s="99">
        <f>G69+'2'!H69</f>
        <v>13</v>
      </c>
      <c r="I69" s="118"/>
      <c r="J69" s="175">
        <f>H69/DAY(B2)</f>
        <v>4.333333333333333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'2'!F70</f>
        <v>10798</v>
      </c>
      <c r="F70" s="164">
        <v>10804</v>
      </c>
      <c r="G70" s="112">
        <f t="shared" si="6"/>
        <v>6</v>
      </c>
      <c r="H70" s="99">
        <f>G70+'2'!H70</f>
        <v>25</v>
      </c>
      <c r="I70" s="118"/>
      <c r="J70" s="175">
        <f>H70/DAY(B2)</f>
        <v>8.3333333333333339</v>
      </c>
      <c r="K70" s="69"/>
      <c r="L70" s="66"/>
      <c r="N70" s="87"/>
      <c r="O70" s="71"/>
    </row>
    <row r="71" spans="1:15" ht="26.25">
      <c r="A71" s="861" t="s">
        <v>208</v>
      </c>
      <c r="B71" s="862"/>
      <c r="C71" s="863"/>
      <c r="D71" s="152"/>
      <c r="E71" s="152"/>
      <c r="F71" s="233"/>
      <c r="G71" s="153">
        <f>SUM(G65:G70)</f>
        <v>192</v>
      </c>
      <c r="H71" s="99">
        <f>G71+'2'!H71</f>
        <v>630</v>
      </c>
      <c r="I71" s="154"/>
      <c r="J71" s="175">
        <f>H71/DAY(B2)</f>
        <v>210</v>
      </c>
      <c r="K71" s="69"/>
      <c r="L71" s="66"/>
      <c r="N71" s="87"/>
      <c r="O71" s="71"/>
    </row>
    <row r="72" spans="1:15" s="88" customFormat="1" ht="25.5">
      <c r="A72" s="904"/>
      <c r="B72" s="89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09" t="s">
        <v>333</v>
      </c>
      <c r="B73" s="910"/>
      <c r="C73" s="91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64" t="s">
        <v>220</v>
      </c>
      <c r="B74" s="865"/>
      <c r="C74" s="866"/>
      <c r="D74" s="151" t="s">
        <v>139</v>
      </c>
      <c r="E74" s="95">
        <f>'2'!F74</f>
        <v>993933.37</v>
      </c>
      <c r="F74" s="117">
        <v>994220.46</v>
      </c>
      <c r="G74" s="112">
        <f t="shared" ref="G74:G78" si="7">F74-E74</f>
        <v>287.0899999999674</v>
      </c>
      <c r="H74" s="99">
        <f>G74+'2'!H74</f>
        <v>861.42999999993481</v>
      </c>
      <c r="I74" s="154"/>
      <c r="J74" s="175">
        <f>H74/DAY(B2)</f>
        <v>287.1433333333116</v>
      </c>
      <c r="K74" s="69"/>
      <c r="L74" s="66"/>
      <c r="N74" s="87"/>
      <c r="O74" s="71"/>
    </row>
    <row r="75" spans="1:15" ht="25.5">
      <c r="A75" s="864" t="s">
        <v>221</v>
      </c>
      <c r="B75" s="865"/>
      <c r="C75" s="866"/>
      <c r="D75" s="151" t="s">
        <v>139</v>
      </c>
      <c r="E75" s="95">
        <f>'2'!F75</f>
        <v>73586.8</v>
      </c>
      <c r="F75" s="123">
        <v>73586.8</v>
      </c>
      <c r="G75" s="112">
        <f t="shared" si="7"/>
        <v>0</v>
      </c>
      <c r="H75" s="99">
        <f>G75+'2'!H75</f>
        <v>0.80000000000291038</v>
      </c>
      <c r="I75" s="154"/>
      <c r="J75" s="175">
        <f>H75/DAY(B2)</f>
        <v>0.26666666666763678</v>
      </c>
      <c r="K75" s="69"/>
      <c r="L75" s="66"/>
      <c r="N75" s="87"/>
      <c r="O75" s="71"/>
    </row>
    <row r="76" spans="1:15" ht="25.5">
      <c r="A76" s="905" t="s">
        <v>222</v>
      </c>
      <c r="B76" s="891"/>
      <c r="C76" s="892"/>
      <c r="D76" s="151" t="s">
        <v>139</v>
      </c>
      <c r="E76" s="95">
        <f>'2'!F76</f>
        <v>203944</v>
      </c>
      <c r="F76" s="123">
        <v>204099</v>
      </c>
      <c r="G76" s="112">
        <f t="shared" si="7"/>
        <v>155</v>
      </c>
      <c r="H76" s="99">
        <f>G76+'2'!H76</f>
        <v>437</v>
      </c>
      <c r="I76" s="154"/>
      <c r="J76" s="175">
        <f>H76/DAY(B2)</f>
        <v>145.66666666666666</v>
      </c>
      <c r="K76" s="69"/>
      <c r="L76" s="66"/>
      <c r="N76" s="87"/>
      <c r="O76" s="71"/>
    </row>
    <row r="77" spans="1:15" ht="25.5">
      <c r="A77" s="905" t="s">
        <v>223</v>
      </c>
      <c r="B77" s="891"/>
      <c r="C77" s="892"/>
      <c r="D77" s="151" t="s">
        <v>139</v>
      </c>
      <c r="E77" s="95">
        <f>'2'!F77</f>
        <v>56625.8</v>
      </c>
      <c r="F77" s="123">
        <v>56697</v>
      </c>
      <c r="G77" s="112">
        <f t="shared" si="7"/>
        <v>71.19999999999709</v>
      </c>
      <c r="H77" s="99">
        <f>G77+'2'!H77</f>
        <v>175</v>
      </c>
      <c r="I77" s="154"/>
      <c r="J77" s="175">
        <f>H77/DAY(B2)</f>
        <v>58.333333333333336</v>
      </c>
      <c r="K77" s="69"/>
      <c r="L77" s="66"/>
      <c r="N77" s="87"/>
      <c r="O77" s="71"/>
    </row>
    <row r="78" spans="1:15" ht="25.5">
      <c r="A78" s="905" t="s">
        <v>224</v>
      </c>
      <c r="B78" s="891"/>
      <c r="C78" s="892"/>
      <c r="D78" s="151" t="s">
        <v>139</v>
      </c>
      <c r="E78" s="95">
        <f>'2'!F78</f>
        <v>9563</v>
      </c>
      <c r="F78" s="123">
        <v>9563</v>
      </c>
      <c r="G78" s="112">
        <f t="shared" si="7"/>
        <v>0</v>
      </c>
      <c r="H78" s="99">
        <f>G78+'2'!H78</f>
        <v>-0.3999999999996362</v>
      </c>
      <c r="I78" s="118"/>
      <c r="J78" s="175">
        <f>H78/DAY(B2)</f>
        <v>-0.13333333333321207</v>
      </c>
      <c r="K78" s="69"/>
      <c r="L78" s="66"/>
      <c r="N78" s="87"/>
      <c r="O78" s="71"/>
    </row>
    <row r="79" spans="1:15" s="57" customFormat="1" ht="25.5">
      <c r="A79" s="905" t="s">
        <v>225</v>
      </c>
      <c r="B79" s="891"/>
      <c r="C79" s="892"/>
      <c r="D79" s="151"/>
      <c r="E79" s="95">
        <f>'2'!F79</f>
        <v>0</v>
      </c>
      <c r="F79" s="117"/>
      <c r="G79" s="112">
        <f>G15-SUM(G74:G78)</f>
        <v>620.35999999994237</v>
      </c>
      <c r="H79" s="99">
        <f>G79+'2'!H79</f>
        <v>1762.1700000000619</v>
      </c>
      <c r="I79" s="118"/>
      <c r="J79" s="175"/>
      <c r="K79" s="59"/>
      <c r="L79" s="58"/>
      <c r="N79" s="87"/>
      <c r="O79" s="71"/>
    </row>
    <row r="80" spans="1:15" s="57" customFormat="1" ht="26.25">
      <c r="A80" s="861" t="s">
        <v>329</v>
      </c>
      <c r="B80" s="862"/>
      <c r="C80" s="863"/>
      <c r="D80" s="151"/>
      <c r="E80" s="117"/>
      <c r="F80" s="117"/>
      <c r="G80" s="112">
        <f>SUM(G74:G79)</f>
        <v>1133.6499999999069</v>
      </c>
      <c r="H80" s="99">
        <f>G80+'2'!H80</f>
        <v>2253.6000000000931</v>
      </c>
      <c r="I80" s="118"/>
      <c r="J80" s="175"/>
      <c r="K80" s="59"/>
      <c r="L80" s="58"/>
      <c r="N80" s="87"/>
      <c r="O80" s="71"/>
    </row>
    <row r="81" spans="1:15" ht="25.5">
      <c r="A81" s="897" t="s">
        <v>226</v>
      </c>
      <c r="B81" s="898"/>
      <c r="C81" s="89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'2'!F82</f>
        <v>0</v>
      </c>
      <c r="F82" s="122">
        <v>0</v>
      </c>
      <c r="G82" s="112">
        <f t="shared" ref="G82:G92" si="8">F82-E82</f>
        <v>0</v>
      </c>
      <c r="H82" s="99">
        <f>G82+'2'!H82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'2'!F83</f>
        <v>0</v>
      </c>
      <c r="F83" s="122">
        <v>0</v>
      </c>
      <c r="G83" s="112">
        <f t="shared" si="8"/>
        <v>0</v>
      </c>
      <c r="H83" s="99">
        <f>G83+'2'!H83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'2'!F84</f>
        <v>43540.21</v>
      </c>
      <c r="F84" s="164">
        <v>43540.21</v>
      </c>
      <c r="G84" s="112">
        <f t="shared" si="8"/>
        <v>0</v>
      </c>
      <c r="H84" s="99">
        <f>G84+'2'!H84</f>
        <v>0</v>
      </c>
      <c r="I84" s="545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'2'!F85</f>
        <v>5684</v>
      </c>
      <c r="F85" s="164">
        <v>5684</v>
      </c>
      <c r="G85" s="112">
        <f t="shared" si="8"/>
        <v>0</v>
      </c>
      <c r="H85" s="99">
        <f>G85+'2'!H85</f>
        <v>0</v>
      </c>
      <c r="I85" s="545"/>
      <c r="J85" s="175">
        <f>H85/DAY(B2)</f>
        <v>0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'2'!F86</f>
        <v>46734</v>
      </c>
      <c r="F86" s="164">
        <v>46734</v>
      </c>
      <c r="G86" s="112">
        <f t="shared" si="8"/>
        <v>0</v>
      </c>
      <c r="H86" s="99">
        <f>G86+'2'!H86</f>
        <v>0</v>
      </c>
      <c r="I86" s="545"/>
      <c r="J86" s="175">
        <f>H86/DAY(B2)</f>
        <v>0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'2'!F87</f>
        <v>36598.720000000001</v>
      </c>
      <c r="F87" s="164">
        <v>36622.49</v>
      </c>
      <c r="G87" s="112">
        <f t="shared" si="8"/>
        <v>23.769999999996799</v>
      </c>
      <c r="H87" s="99">
        <f>G87+'2'!H87</f>
        <v>72.279999999998836</v>
      </c>
      <c r="I87" s="545">
        <f>G84+G85+G86+G87</f>
        <v>23.769999999996799</v>
      </c>
      <c r="J87" s="175">
        <f>H87/DAY(B2)</f>
        <v>24.093333333332946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'2'!F88</f>
        <v>24511.8</v>
      </c>
      <c r="F88" s="164">
        <v>24511.8</v>
      </c>
      <c r="G88" s="112">
        <f t="shared" si="8"/>
        <v>0</v>
      </c>
      <c r="H88" s="99">
        <f>G88+'2'!H88</f>
        <v>0</v>
      </c>
      <c r="I88" s="545"/>
      <c r="J88" s="175">
        <f>H88/DAY(B2)</f>
        <v>0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'2'!F89</f>
        <v>28521.59</v>
      </c>
      <c r="F89" s="164">
        <v>28530.5</v>
      </c>
      <c r="G89" s="112">
        <f t="shared" si="8"/>
        <v>8.9099999999998545</v>
      </c>
      <c r="H89" s="99">
        <f>G89+'2'!H89</f>
        <v>28.799999999999272</v>
      </c>
      <c r="I89" s="545">
        <f>G88+G89</f>
        <v>8.9099999999998545</v>
      </c>
      <c r="J89" s="175">
        <f>H89/DAY(B2)</f>
        <v>9.5999999999997581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'2'!F90</f>
        <v>73885.850000000006</v>
      </c>
      <c r="F90" s="164">
        <v>73897.25</v>
      </c>
      <c r="G90" s="112">
        <f t="shared" si="8"/>
        <v>11.399999999994179</v>
      </c>
      <c r="H90" s="99">
        <f>G90+'2'!H90</f>
        <v>36.649999999994179</v>
      </c>
      <c r="I90" s="545">
        <f>G90</f>
        <v>11.399999999994179</v>
      </c>
      <c r="J90" s="175">
        <f>H90/DAY(B2)</f>
        <v>12.216666666664727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'2'!F91</f>
        <v>5374.33</v>
      </c>
      <c r="F91" s="164">
        <v>5385.3869999999997</v>
      </c>
      <c r="G91" s="112">
        <f t="shared" si="8"/>
        <v>11.056999999999789</v>
      </c>
      <c r="H91" s="99">
        <f>G91+'2'!H91</f>
        <v>32.61699999999928</v>
      </c>
      <c r="I91" s="546"/>
      <c r="J91" s="175">
        <f>H91/DAY(B2)</f>
        <v>10.872333333333094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'2'!F92</f>
        <v>7000</v>
      </c>
      <c r="F92" s="122">
        <v>7000</v>
      </c>
      <c r="G92" s="112">
        <f t="shared" si="8"/>
        <v>0</v>
      </c>
      <c r="H92" s="99">
        <f>G92+'2'!H92</f>
        <v>0</v>
      </c>
      <c r="I92" s="547">
        <f>G91+G92</f>
        <v>11.056999999999789</v>
      </c>
      <c r="J92" s="175">
        <f>H92/DAY(B2)</f>
        <v>0</v>
      </c>
      <c r="O92" s="71"/>
    </row>
    <row r="93" spans="1:15" ht="26.25">
      <c r="A93" s="906" t="s">
        <v>239</v>
      </c>
      <c r="B93" s="907"/>
      <c r="C93" s="90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64" t="s">
        <v>240</v>
      </c>
      <c r="B94" s="865"/>
      <c r="C94" s="866"/>
      <c r="D94" s="151" t="s">
        <v>130</v>
      </c>
      <c r="E94" s="151"/>
      <c r="F94" s="151"/>
      <c r="G94" s="99">
        <f>G35+G43+G49+G57</f>
        <v>5624.4300000000512</v>
      </c>
      <c r="H94" s="99">
        <f>G94+'2'!H94</f>
        <v>16805.990000000107</v>
      </c>
      <c r="I94" s="118"/>
      <c r="J94" s="175">
        <f>H94/DAY(B2)</f>
        <v>5601.9966666667024</v>
      </c>
      <c r="K94" s="69"/>
      <c r="L94" s="66"/>
      <c r="O94" s="71"/>
    </row>
    <row r="95" spans="1:15" ht="25.5">
      <c r="A95" s="864" t="s">
        <v>241</v>
      </c>
      <c r="B95" s="865"/>
      <c r="C95" s="866"/>
      <c r="D95" s="151" t="s">
        <v>23</v>
      </c>
      <c r="E95" s="146"/>
      <c r="F95" s="146"/>
      <c r="G95" s="166">
        <f>G94/G7</f>
        <v>0.24927216231943919</v>
      </c>
      <c r="H95" s="99">
        <f>G95+'2'!H95</f>
        <v>0.7507727101247248</v>
      </c>
      <c r="I95" s="167"/>
      <c r="J95" s="175">
        <f>H95/DAY(B2)</f>
        <v>0.25025757004157495</v>
      </c>
      <c r="K95" s="69"/>
      <c r="L95" s="66"/>
      <c r="O95" s="71"/>
    </row>
    <row r="96" spans="1:15" ht="25.5">
      <c r="A96" s="864" t="s">
        <v>242</v>
      </c>
      <c r="B96" s="865"/>
      <c r="C96" s="866"/>
      <c r="D96" s="151" t="s">
        <v>130</v>
      </c>
      <c r="E96" s="95"/>
      <c r="F96" s="95"/>
      <c r="G96" s="99">
        <f>G41+G42+G55+G56</f>
        <v>3387.9000000000233</v>
      </c>
      <c r="H96" s="99">
        <f>G96+'2'!H96</f>
        <v>10036.080000000016</v>
      </c>
      <c r="I96" s="118"/>
      <c r="J96" s="175">
        <f>H96/DAY(B2)</f>
        <v>3345.3600000000056</v>
      </c>
      <c r="K96" s="69"/>
      <c r="L96" s="66"/>
      <c r="O96" s="71"/>
    </row>
    <row r="97" spans="1:15" ht="25.5">
      <c r="A97" s="864" t="s">
        <v>243</v>
      </c>
      <c r="B97" s="865"/>
      <c r="C97" s="866"/>
      <c r="D97" s="151" t="s">
        <v>23</v>
      </c>
      <c r="E97" s="95"/>
      <c r="F97" s="95"/>
      <c r="G97" s="166">
        <f>G96/G7</f>
        <v>0.15015017676849496</v>
      </c>
      <c r="H97" s="99">
        <f>G97+'2'!H97</f>
        <v>0.44828605379899189</v>
      </c>
      <c r="I97" s="167"/>
      <c r="J97" s="175">
        <f>H97/DAY(B2)</f>
        <v>0.14942868459966396</v>
      </c>
      <c r="K97" s="69"/>
      <c r="L97" s="66"/>
      <c r="O97" s="71"/>
    </row>
    <row r="98" spans="1:15" ht="25.5">
      <c r="A98" s="864" t="s">
        <v>244</v>
      </c>
      <c r="B98" s="865"/>
      <c r="C98" s="866"/>
      <c r="D98" s="151" t="s">
        <v>130</v>
      </c>
      <c r="E98" s="95"/>
      <c r="F98" s="95"/>
      <c r="G98" s="99">
        <f>G39+G53</f>
        <v>4054.7999999999302</v>
      </c>
      <c r="H98" s="99">
        <f>G98+'2'!H98</f>
        <v>12511.439999999944</v>
      </c>
      <c r="I98" s="168"/>
      <c r="J98" s="175">
        <f>H98/DAY(B2)</f>
        <v>4170.4799999999814</v>
      </c>
      <c r="K98" s="69"/>
      <c r="L98" s="66"/>
      <c r="O98" s="71"/>
    </row>
    <row r="99" spans="1:15" ht="25.5">
      <c r="A99" s="864" t="s">
        <v>245</v>
      </c>
      <c r="B99" s="865"/>
      <c r="C99" s="866"/>
      <c r="D99" s="151" t="s">
        <v>23</v>
      </c>
      <c r="E99" s="95"/>
      <c r="F99" s="95"/>
      <c r="G99" s="166">
        <f>G98/G7</f>
        <v>0.17970687941228453</v>
      </c>
      <c r="H99" s="99">
        <f>G99+'2'!H99</f>
        <v>0.55897924849808689</v>
      </c>
      <c r="I99" s="168"/>
      <c r="J99" s="175">
        <f>H99/DAY(B2)</f>
        <v>0.18632641616602896</v>
      </c>
      <c r="O99" s="71"/>
    </row>
    <row r="100" spans="1:15" ht="26.25">
      <c r="A100" s="864" t="s">
        <v>246</v>
      </c>
      <c r="B100" s="865"/>
      <c r="C100" s="866"/>
      <c r="D100" s="151" t="s">
        <v>180</v>
      </c>
      <c r="E100" s="95"/>
      <c r="F100" s="95"/>
      <c r="G100" s="99">
        <f>G38+G52</f>
        <v>2376.7899999999299</v>
      </c>
      <c r="H100" s="99">
        <f>G100+'2'!H100</f>
        <v>7214.4699999999721</v>
      </c>
      <c r="I100" s="118"/>
      <c r="J100" s="175">
        <f>H100/DAY(B2)</f>
        <v>2404.8233333333242</v>
      </c>
      <c r="K100" s="70"/>
      <c r="O100" s="71"/>
    </row>
    <row r="101" spans="1:15" ht="25.5">
      <c r="A101" s="864" t="s">
        <v>247</v>
      </c>
      <c r="B101" s="865"/>
      <c r="C101" s="866"/>
      <c r="D101" s="151" t="s">
        <v>23</v>
      </c>
      <c r="E101" s="95"/>
      <c r="F101" s="95"/>
      <c r="G101" s="166">
        <f>G100/G7</f>
        <v>0.10533824452952513</v>
      </c>
      <c r="H101" s="99">
        <f>G101+'2'!H101</f>
        <v>0.32235684681855192</v>
      </c>
      <c r="I101" s="168"/>
      <c r="J101" s="175">
        <f>H101/DAY(B2)</f>
        <v>0.10745228227285064</v>
      </c>
      <c r="O101" s="71"/>
    </row>
    <row r="102" spans="1:15" ht="25.5">
      <c r="A102" s="864" t="s">
        <v>248</v>
      </c>
      <c r="B102" s="865"/>
      <c r="C102" s="866"/>
      <c r="D102" s="151" t="s">
        <v>180</v>
      </c>
      <c r="E102" s="95"/>
      <c r="F102" s="95"/>
      <c r="G102" s="99">
        <f>G36+G50</f>
        <v>2957.9000000000233</v>
      </c>
      <c r="H102" s="99">
        <f>G102+'2'!H102</f>
        <v>8199.2600000000093</v>
      </c>
      <c r="I102" s="168"/>
      <c r="J102" s="175">
        <f>H102/DAY(B2)</f>
        <v>2733.0866666666698</v>
      </c>
      <c r="O102" s="71"/>
    </row>
    <row r="103" spans="1:15" ht="25.5">
      <c r="A103" s="864" t="s">
        <v>249</v>
      </c>
      <c r="B103" s="865"/>
      <c r="C103" s="866"/>
      <c r="D103" s="151" t="s">
        <v>23</v>
      </c>
      <c r="E103" s="95"/>
      <c r="F103" s="95"/>
      <c r="G103" s="166">
        <f>G102/G7</f>
        <v>0.131092773654338</v>
      </c>
      <c r="H103" s="99">
        <f>G103+'2'!H103</f>
        <v>0.36611010646865216</v>
      </c>
      <c r="I103" s="118"/>
      <c r="J103" s="175">
        <f>H103/DAY(B2)</f>
        <v>0.12203670215621738</v>
      </c>
      <c r="O103" s="71"/>
    </row>
    <row r="104" spans="1:15" ht="25.5">
      <c r="A104" s="864" t="s">
        <v>250</v>
      </c>
      <c r="B104" s="865"/>
      <c r="C104" s="866"/>
      <c r="D104" s="151" t="s">
        <v>180</v>
      </c>
      <c r="E104" s="95"/>
      <c r="F104" s="95"/>
      <c r="G104" s="99">
        <f>G37+G51</f>
        <v>1030.820000000007</v>
      </c>
      <c r="H104" s="99">
        <f>G104+'2'!H104</f>
        <v>3108.1500000000233</v>
      </c>
      <c r="I104" s="118"/>
      <c r="J104" s="175">
        <f>H104/DAY(B2)</f>
        <v>1036.0500000000077</v>
      </c>
      <c r="O104" s="71"/>
    </row>
    <row r="105" spans="1:15" ht="26.25" thickBot="1">
      <c r="A105" s="901" t="s">
        <v>251</v>
      </c>
      <c r="B105" s="902"/>
      <c r="C105" s="903"/>
      <c r="D105" s="231" t="s">
        <v>23</v>
      </c>
      <c r="E105" s="185"/>
      <c r="F105" s="185"/>
      <c r="G105" s="186">
        <f>G104/G7</f>
        <v>4.5685470414268417E-2</v>
      </c>
      <c r="H105" s="99">
        <f>G105+'2'!H105</f>
        <v>0.13884682252021457</v>
      </c>
      <c r="I105" s="187"/>
      <c r="J105" s="188">
        <f>H105/DAY(B2)</f>
        <v>4.6282274173404858E-2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15" t="s">
        <v>324</v>
      </c>
      <c r="B108" s="915"/>
      <c r="C108" s="915"/>
      <c r="D108" s="915"/>
      <c r="E108" s="915"/>
      <c r="F108" s="915"/>
      <c r="G108" s="915"/>
      <c r="H108" s="915"/>
      <c r="I108" s="915"/>
      <c r="J108" s="915"/>
    </row>
    <row r="109" spans="1:15" ht="26.25">
      <c r="A109" s="900"/>
      <c r="B109" s="900"/>
    </row>
    <row r="110" spans="1:15" ht="26.25">
      <c r="A110" s="916" t="s">
        <v>165</v>
      </c>
      <c r="B110" s="917"/>
      <c r="C110" s="917"/>
      <c r="D110" s="917"/>
      <c r="E110" s="917"/>
      <c r="F110" s="917"/>
      <c r="G110" s="917"/>
      <c r="H110" s="917"/>
      <c r="I110" s="917"/>
      <c r="J110" s="918"/>
    </row>
    <row r="111" spans="1:15" ht="25.5">
      <c r="A111" s="919"/>
      <c r="B111" s="920"/>
      <c r="C111" s="921"/>
      <c r="D111" s="165"/>
      <c r="E111" s="165"/>
      <c r="F111" s="165"/>
      <c r="G111" s="165"/>
      <c r="H111" s="156"/>
      <c r="I111" s="165"/>
      <c r="J111" s="327"/>
    </row>
    <row r="112" spans="1:15" ht="25.5">
      <c r="A112" s="894" t="s">
        <v>252</v>
      </c>
      <c r="B112" s="895"/>
      <c r="C112" s="896"/>
      <c r="D112" s="146" t="s">
        <v>183</v>
      </c>
      <c r="E112" s="95">
        <f>'2'!F112</f>
        <v>15737.48</v>
      </c>
      <c r="F112" s="237">
        <v>15798</v>
      </c>
      <c r="G112" s="112">
        <f t="shared" ref="G112:G123" si="9">F112-E112</f>
        <v>60.520000000000437</v>
      </c>
      <c r="H112" s="99">
        <f>G112+'2'!H112</f>
        <v>184.20000000000073</v>
      </c>
      <c r="I112" s="165"/>
      <c r="J112" s="328">
        <f>H112/DAY(B2)</f>
        <v>61.40000000000024</v>
      </c>
    </row>
    <row r="113" spans="1:18" ht="29.25" customHeight="1">
      <c r="A113" s="894" t="s">
        <v>253</v>
      </c>
      <c r="B113" s="895"/>
      <c r="C113" s="896"/>
      <c r="D113" s="146" t="s">
        <v>183</v>
      </c>
      <c r="E113" s="95">
        <f>'2'!F113</f>
        <v>32737.64</v>
      </c>
      <c r="F113" s="237">
        <v>32881.699999999997</v>
      </c>
      <c r="G113" s="112">
        <f t="shared" si="9"/>
        <v>144.05999999999767</v>
      </c>
      <c r="H113" s="99">
        <f>G113+'2'!H113</f>
        <v>431.02999999999884</v>
      </c>
      <c r="I113" s="165"/>
      <c r="J113" s="328">
        <f>H113/DAY(B2)</f>
        <v>143.67666666666628</v>
      </c>
    </row>
    <row r="114" spans="1:18" ht="29.25" customHeight="1">
      <c r="A114" s="894" t="s">
        <v>254</v>
      </c>
      <c r="B114" s="895"/>
      <c r="C114" s="896"/>
      <c r="D114" s="146" t="s">
        <v>183</v>
      </c>
      <c r="E114" s="95">
        <f>'2'!F114</f>
        <v>48404.17</v>
      </c>
      <c r="F114" s="237">
        <v>48619.9</v>
      </c>
      <c r="G114" s="112">
        <f t="shared" si="9"/>
        <v>215.7300000000032</v>
      </c>
      <c r="H114" s="99">
        <f>G114+'2'!H114</f>
        <v>653.59999999999854</v>
      </c>
      <c r="I114" s="165"/>
      <c r="J114" s="328">
        <f>H114/DAY(B2)</f>
        <v>217.86666666666619</v>
      </c>
    </row>
    <row r="115" spans="1:18" ht="29.25" customHeight="1">
      <c r="A115" s="894" t="s">
        <v>255</v>
      </c>
      <c r="B115" s="895"/>
      <c r="C115" s="896"/>
      <c r="D115" s="146" t="s">
        <v>183</v>
      </c>
      <c r="E115" s="95">
        <f>'2'!F115</f>
        <v>30695.21</v>
      </c>
      <c r="F115" s="237">
        <v>30833.4</v>
      </c>
      <c r="G115" s="112">
        <f t="shared" si="9"/>
        <v>138.19000000000233</v>
      </c>
      <c r="H115" s="99">
        <f>G115+'2'!H115</f>
        <v>397</v>
      </c>
      <c r="I115" s="165"/>
      <c r="J115" s="328">
        <f>H115/DAY(B2)</f>
        <v>132.33333333333334</v>
      </c>
    </row>
    <row r="116" spans="1:18" ht="29.25" customHeight="1">
      <c r="A116" s="912" t="s">
        <v>96</v>
      </c>
      <c r="B116" s="913"/>
      <c r="C116" s="914"/>
      <c r="D116" s="146" t="s">
        <v>183</v>
      </c>
      <c r="E116" s="95">
        <f>'2'!F116</f>
        <v>123787.12</v>
      </c>
      <c r="F116" s="237">
        <v>124150.02</v>
      </c>
      <c r="G116" s="112">
        <f t="shared" si="9"/>
        <v>362.90000000000873</v>
      </c>
      <c r="H116" s="99">
        <f>G116+'2'!H116</f>
        <v>1289.820000000007</v>
      </c>
      <c r="I116" s="165"/>
      <c r="J116" s="328">
        <f>H116/DAY(B2)</f>
        <v>429.94000000000233</v>
      </c>
      <c r="Q116" s="894"/>
      <c r="R116" s="896"/>
    </row>
    <row r="117" spans="1:18" ht="29.25" customHeight="1">
      <c r="A117" s="912" t="s">
        <v>184</v>
      </c>
      <c r="B117" s="913"/>
      <c r="C117" s="914"/>
      <c r="D117" s="146" t="s">
        <v>183</v>
      </c>
      <c r="E117" s="95">
        <f>'2'!F117</f>
        <v>74542.5</v>
      </c>
      <c r="F117" s="237">
        <v>74794.5</v>
      </c>
      <c r="G117" s="112">
        <f t="shared" si="9"/>
        <v>252</v>
      </c>
      <c r="H117" s="99">
        <f>G117+'2'!H117</f>
        <v>813.30000000000291</v>
      </c>
      <c r="I117" s="165"/>
      <c r="J117" s="328">
        <f>H117/DAY(B2)</f>
        <v>271.10000000000099</v>
      </c>
      <c r="Q117" s="894"/>
      <c r="R117" s="896"/>
    </row>
    <row r="118" spans="1:18" ht="25.5">
      <c r="A118" s="889" t="s">
        <v>97</v>
      </c>
      <c r="B118" s="889"/>
      <c r="C118" s="889"/>
      <c r="D118" s="151" t="s">
        <v>183</v>
      </c>
      <c r="E118" s="95">
        <f>'2'!F118</f>
        <v>140103</v>
      </c>
      <c r="F118" s="237">
        <v>140734.94</v>
      </c>
      <c r="G118" s="112">
        <f t="shared" si="9"/>
        <v>631.94000000000233</v>
      </c>
      <c r="H118" s="99">
        <f>G118+'2'!H118</f>
        <v>1922.4899999999907</v>
      </c>
      <c r="I118" s="165"/>
      <c r="J118" s="328">
        <f>H118/DAY(B2)</f>
        <v>640.82999999999686</v>
      </c>
      <c r="Q118" s="894"/>
      <c r="R118" s="896"/>
    </row>
    <row r="119" spans="1:18" ht="25.5">
      <c r="A119" s="889" t="s">
        <v>98</v>
      </c>
      <c r="B119" s="889"/>
      <c r="C119" s="889"/>
      <c r="D119" s="151" t="s">
        <v>183</v>
      </c>
      <c r="E119" s="95">
        <f>'2'!F119</f>
        <v>43378</v>
      </c>
      <c r="F119" s="237">
        <v>43390</v>
      </c>
      <c r="G119" s="112">
        <f t="shared" si="9"/>
        <v>12</v>
      </c>
      <c r="H119" s="99">
        <f>G119+'2'!H119</f>
        <v>36.30000000000291</v>
      </c>
      <c r="I119" s="165"/>
      <c r="J119" s="328">
        <f>H119/DAY(B2)</f>
        <v>12.10000000000097</v>
      </c>
    </row>
    <row r="120" spans="1:18" ht="25.5">
      <c r="A120" s="889" t="s">
        <v>99</v>
      </c>
      <c r="B120" s="889"/>
      <c r="C120" s="889"/>
      <c r="D120" s="151" t="s">
        <v>183</v>
      </c>
      <c r="E120" s="95">
        <f>'2'!F120</f>
        <v>96527</v>
      </c>
      <c r="F120" s="237">
        <v>96937.5</v>
      </c>
      <c r="G120" s="112">
        <f t="shared" si="9"/>
        <v>410.5</v>
      </c>
      <c r="H120" s="99">
        <f>G120+'2'!H120</f>
        <v>1229.8999999999942</v>
      </c>
      <c r="I120" s="165"/>
      <c r="J120" s="328">
        <f>H120/DAY(B2)</f>
        <v>409.96666666666471</v>
      </c>
    </row>
    <row r="121" spans="1:18" ht="25.5">
      <c r="A121" s="889" t="s">
        <v>100</v>
      </c>
      <c r="B121" s="889"/>
      <c r="C121" s="889"/>
      <c r="D121" s="151" t="s">
        <v>183</v>
      </c>
      <c r="E121" s="95">
        <f>'2'!F121</f>
        <v>108683</v>
      </c>
      <c r="F121" s="237">
        <v>109104.2</v>
      </c>
      <c r="G121" s="112">
        <f t="shared" si="9"/>
        <v>421.19999999999709</v>
      </c>
      <c r="H121" s="99">
        <f>G121+'2'!H121</f>
        <v>1275.1499999999942</v>
      </c>
      <c r="I121" s="165"/>
      <c r="J121" s="328">
        <f>H121/DAY(B2)</f>
        <v>425.04999999999808</v>
      </c>
    </row>
    <row r="122" spans="1:18" ht="25.5">
      <c r="A122" s="889" t="s">
        <v>101</v>
      </c>
      <c r="B122" s="889"/>
      <c r="C122" s="889"/>
      <c r="D122" s="151" t="s">
        <v>183</v>
      </c>
      <c r="E122" s="95">
        <f>'2'!F122</f>
        <v>71787</v>
      </c>
      <c r="F122" s="237">
        <v>72125.8</v>
      </c>
      <c r="G122" s="112">
        <f t="shared" si="9"/>
        <v>338.80000000000291</v>
      </c>
      <c r="H122" s="99">
        <f>G122+'2'!H122</f>
        <v>1087.9000000000087</v>
      </c>
      <c r="I122" s="165"/>
      <c r="J122" s="328">
        <f>H122/DAY(B2)</f>
        <v>362.63333333333622</v>
      </c>
    </row>
    <row r="123" spans="1:18" ht="25.5">
      <c r="A123" s="889" t="s">
        <v>102</v>
      </c>
      <c r="B123" s="889"/>
      <c r="C123" s="889"/>
      <c r="D123" s="151" t="s">
        <v>183</v>
      </c>
      <c r="E123" s="95">
        <f>'2'!F123</f>
        <v>68974</v>
      </c>
      <c r="F123" s="237">
        <v>69291.27</v>
      </c>
      <c r="G123" s="112">
        <f t="shared" si="9"/>
        <v>317.27000000000407</v>
      </c>
      <c r="H123" s="99">
        <f>G123+'2'!H123</f>
        <v>933.97000000000116</v>
      </c>
      <c r="I123" s="165"/>
      <c r="J123" s="328">
        <f>H123/DAY(B2)</f>
        <v>311.32333333333372</v>
      </c>
    </row>
    <row r="124" spans="1:18" ht="29.25" customHeight="1">
      <c r="A124" s="919"/>
      <c r="B124" s="920"/>
      <c r="C124" s="921"/>
      <c r="D124" s="165"/>
      <c r="E124" s="165"/>
      <c r="F124" s="165"/>
      <c r="G124" s="327"/>
      <c r="H124" s="156"/>
      <c r="I124" s="165"/>
      <c r="J124" s="327"/>
    </row>
    <row r="125" spans="1:18" ht="26.25">
      <c r="A125" s="861" t="s">
        <v>196</v>
      </c>
      <c r="B125" s="862"/>
      <c r="C125" s="863"/>
      <c r="D125" s="307"/>
      <c r="E125" s="308"/>
      <c r="F125" s="308"/>
      <c r="G125" s="309">
        <f>SUM(G112:G124)</f>
        <v>3305.1100000000188</v>
      </c>
      <c r="H125" s="156"/>
      <c r="I125" s="327">
        <f>G125-(G39+G53)</f>
        <v>-749.68999999991138</v>
      </c>
      <c r="J125" s="327"/>
    </row>
    <row r="126" spans="1:18" ht="25.5">
      <c r="A126" s="922" t="s">
        <v>317</v>
      </c>
      <c r="B126" s="922"/>
      <c r="C126" s="922"/>
      <c r="D126" s="922"/>
      <c r="E126" s="922"/>
      <c r="F126" s="922"/>
      <c r="G126" s="922"/>
      <c r="H126" s="922"/>
      <c r="I126" s="922"/>
      <c r="J126" s="922"/>
    </row>
    <row r="127" spans="1:18" ht="25.5">
      <c r="A127" s="923"/>
      <c r="B127" s="923"/>
      <c r="C127" s="245"/>
      <c r="D127" s="307"/>
      <c r="E127" s="95"/>
      <c r="F127" s="308"/>
      <c r="G127" s="309"/>
      <c r="H127" s="99">
        <f>G127+'2'!H127</f>
        <v>0</v>
      </c>
      <c r="I127" s="165"/>
      <c r="J127" s="328">
        <f>H127/DAY(B2)</f>
        <v>0</v>
      </c>
    </row>
    <row r="128" spans="1:18" ht="29.25" customHeight="1">
      <c r="A128" s="894" t="s">
        <v>318</v>
      </c>
      <c r="B128" s="895"/>
      <c r="C128" s="896"/>
      <c r="D128" s="151" t="s">
        <v>183</v>
      </c>
      <c r="E128" s="95">
        <f>'2'!F128</f>
        <v>180124</v>
      </c>
      <c r="F128" s="165">
        <v>180484.2</v>
      </c>
      <c r="G128" s="112">
        <f t="shared" ref="G128:G134" si="10">F128-E128</f>
        <v>360.20000000001164</v>
      </c>
      <c r="H128" s="99">
        <f>G128+'2'!H128</f>
        <v>1072.3500000000058</v>
      </c>
      <c r="I128" s="165"/>
      <c r="J128" s="328">
        <f>H128/DAY(B2)</f>
        <v>357.45000000000192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'2'!F129</f>
        <v>96476.39</v>
      </c>
      <c r="F129" s="165">
        <v>96683.62</v>
      </c>
      <c r="G129" s="112">
        <f t="shared" si="10"/>
        <v>207.22999999999593</v>
      </c>
      <c r="H129" s="99">
        <f>G129+'2'!H129</f>
        <v>654.11999999999534</v>
      </c>
      <c r="I129" s="165"/>
      <c r="J129" s="328">
        <f>H129/DAY(B2)</f>
        <v>218.03999999999846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'2'!F130</f>
        <v>248175</v>
      </c>
      <c r="F130" s="165">
        <v>248884.8</v>
      </c>
      <c r="G130" s="112">
        <f t="shared" si="10"/>
        <v>709.79999999998836</v>
      </c>
      <c r="H130" s="99">
        <f>G130+'2'!H130</f>
        <v>2045.0499999999884</v>
      </c>
      <c r="I130" s="165"/>
      <c r="J130" s="328">
        <f>H130/DAY(B2)</f>
        <v>681.68333333332941</v>
      </c>
      <c r="N130" s="240"/>
      <c r="O130" s="241"/>
    </row>
    <row r="131" spans="1:15" ht="25.5">
      <c r="A131" s="894" t="s">
        <v>321</v>
      </c>
      <c r="B131" s="895"/>
      <c r="C131" s="896"/>
      <c r="D131" s="151" t="s">
        <v>183</v>
      </c>
      <c r="E131" s="95">
        <f>'2'!F131</f>
        <v>74023.11</v>
      </c>
      <c r="F131" s="165">
        <v>74279.100000000006</v>
      </c>
      <c r="G131" s="112">
        <f t="shared" si="10"/>
        <v>255.99000000000524</v>
      </c>
      <c r="H131" s="99">
        <f>G131+'2'!H131</f>
        <v>768.5</v>
      </c>
      <c r="I131" s="165"/>
      <c r="J131" s="328">
        <f>H131/DAY(B2)</f>
        <v>256.16666666666669</v>
      </c>
      <c r="N131" s="240"/>
      <c r="O131" s="241"/>
    </row>
    <row r="132" spans="1:15" ht="25.5">
      <c r="A132" s="894" t="s">
        <v>322</v>
      </c>
      <c r="B132" s="895"/>
      <c r="C132" s="896"/>
      <c r="D132" s="151" t="s">
        <v>183</v>
      </c>
      <c r="E132" s="95">
        <f>'2'!F132</f>
        <v>146985</v>
      </c>
      <c r="F132" s="158">
        <v>146985</v>
      </c>
      <c r="G132" s="112">
        <f t="shared" si="10"/>
        <v>0</v>
      </c>
      <c r="H132" s="99">
        <f>G132+'2'!H132</f>
        <v>0</v>
      </c>
      <c r="I132" s="165"/>
      <c r="J132" s="328">
        <f>H132/DAY(B2)</f>
        <v>0</v>
      </c>
    </row>
    <row r="133" spans="1:15" ht="25.5">
      <c r="A133" s="894" t="s">
        <v>342</v>
      </c>
      <c r="B133" s="895"/>
      <c r="C133" s="896"/>
      <c r="D133" s="151" t="s">
        <v>183</v>
      </c>
      <c r="E133" s="95">
        <f>'2'!F133</f>
        <v>911748</v>
      </c>
      <c r="F133" s="165">
        <v>912526</v>
      </c>
      <c r="G133" s="112">
        <f t="shared" si="10"/>
        <v>778</v>
      </c>
      <c r="H133" s="99">
        <f>G133+'2'!H133</f>
        <v>2282</v>
      </c>
      <c r="I133" s="165"/>
      <c r="J133" s="328">
        <f>H133/DAY(B2)</f>
        <v>760.66666666666663</v>
      </c>
    </row>
    <row r="134" spans="1:15" ht="25.5">
      <c r="A134" s="936" t="s">
        <v>340</v>
      </c>
      <c r="B134" s="937"/>
      <c r="C134" s="932"/>
      <c r="D134" s="151" t="s">
        <v>183</v>
      </c>
      <c r="E134" s="95">
        <f>'2'!F134</f>
        <v>79180</v>
      </c>
      <c r="F134" s="165">
        <v>79396.2</v>
      </c>
      <c r="G134" s="112">
        <f t="shared" si="10"/>
        <v>216.19999999999709</v>
      </c>
      <c r="H134" s="99">
        <f>G134+'2'!H134</f>
        <v>636.59999999999127</v>
      </c>
      <c r="I134" s="165"/>
      <c r="J134" s="328">
        <f>H134/DAY(B2)</f>
        <v>212.19999999999709</v>
      </c>
    </row>
    <row r="135" spans="1:15" ht="26.25">
      <c r="A135" s="861" t="s">
        <v>196</v>
      </c>
      <c r="B135" s="862"/>
      <c r="C135" s="863"/>
      <c r="D135" s="151"/>
      <c r="E135" s="95"/>
      <c r="F135" s="165"/>
      <c r="G135" s="112">
        <f>SUM(G128:G134)</f>
        <v>2527.4199999999983</v>
      </c>
      <c r="H135" s="99">
        <f>G135+'2'!H135</f>
        <v>7458.6199999999808</v>
      </c>
      <c r="I135" s="327">
        <f>G135-(G35+G49)</f>
        <v>-688.56999999999243</v>
      </c>
      <c r="J135" s="328">
        <f>H135/DAY(B2)</f>
        <v>2486.2066666666601</v>
      </c>
    </row>
    <row r="136" spans="1:15" ht="27.75">
      <c r="A136" s="924" t="s">
        <v>325</v>
      </c>
      <c r="B136" s="924"/>
      <c r="C136" s="924"/>
      <c r="D136" s="924"/>
      <c r="E136" s="924"/>
      <c r="F136" s="924"/>
      <c r="G136" s="924"/>
      <c r="H136" s="924"/>
      <c r="I136" s="924"/>
      <c r="J136" s="92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9" t="s">
        <v>185</v>
      </c>
      <c r="B138" s="889"/>
      <c r="C138" s="889"/>
      <c r="D138" s="151" t="s">
        <v>183</v>
      </c>
      <c r="E138" s="95">
        <f>'2'!F138</f>
        <v>905837</v>
      </c>
      <c r="F138" s="147">
        <v>905947</v>
      </c>
      <c r="G138" s="112">
        <f t="shared" ref="G138:G152" si="11">F138-E138</f>
        <v>110</v>
      </c>
      <c r="H138" s="99">
        <f>G138+'2'!H138</f>
        <v>288</v>
      </c>
      <c r="I138" s="118"/>
      <c r="J138" s="328">
        <f>H138/DAY(B2)</f>
        <v>96</v>
      </c>
    </row>
    <row r="139" spans="1:15" ht="25.5">
      <c r="A139" s="889" t="s">
        <v>186</v>
      </c>
      <c r="B139" s="889"/>
      <c r="C139" s="889"/>
      <c r="D139" s="151" t="s">
        <v>183</v>
      </c>
      <c r="E139" s="95">
        <f>'2'!F139</f>
        <v>927629</v>
      </c>
      <c r="F139" s="148">
        <v>927791</v>
      </c>
      <c r="G139" s="112">
        <f t="shared" si="11"/>
        <v>162</v>
      </c>
      <c r="H139" s="99">
        <f>G139+'2'!H139</f>
        <v>510</v>
      </c>
      <c r="I139" s="118"/>
      <c r="J139" s="328">
        <f>H139/DAY(B2)</f>
        <v>170</v>
      </c>
    </row>
    <row r="140" spans="1:15" ht="25.5">
      <c r="A140" s="889" t="s">
        <v>187</v>
      </c>
      <c r="B140" s="889"/>
      <c r="C140" s="889"/>
      <c r="D140" s="151" t="s">
        <v>183</v>
      </c>
      <c r="E140" s="95">
        <f>'2'!F140</f>
        <v>3372</v>
      </c>
      <c r="F140" s="149">
        <v>3392</v>
      </c>
      <c r="G140" s="112">
        <f t="shared" si="11"/>
        <v>20</v>
      </c>
      <c r="H140" s="99">
        <f>G140+'2'!H140</f>
        <v>60.900000000000091</v>
      </c>
      <c r="I140" s="118"/>
      <c r="J140" s="328">
        <f>H140/DAY(B2)</f>
        <v>20.300000000000029</v>
      </c>
    </row>
    <row r="141" spans="1:15" ht="25.5">
      <c r="A141" s="893" t="s">
        <v>188</v>
      </c>
      <c r="B141" s="893"/>
      <c r="C141" s="893"/>
      <c r="D141" s="151" t="s">
        <v>183</v>
      </c>
      <c r="E141" s="95">
        <f>'2'!F141</f>
        <v>118031.48</v>
      </c>
      <c r="F141" s="149">
        <v>118269.6</v>
      </c>
      <c r="G141" s="112">
        <f t="shared" si="11"/>
        <v>238.1200000000099</v>
      </c>
      <c r="H141" s="99">
        <f>G141+'2'!H141</f>
        <v>711.6200000000099</v>
      </c>
      <c r="I141" s="118"/>
      <c r="J141" s="328">
        <f>H141/DAY(B2)</f>
        <v>237.20666666666997</v>
      </c>
    </row>
    <row r="142" spans="1:15" ht="25.5">
      <c r="A142" s="893" t="s">
        <v>189</v>
      </c>
      <c r="B142" s="893"/>
      <c r="C142" s="893"/>
      <c r="D142" s="151" t="s">
        <v>183</v>
      </c>
      <c r="E142" s="95">
        <f>'2'!F142</f>
        <v>47666.83</v>
      </c>
      <c r="F142" s="148">
        <v>47754.5</v>
      </c>
      <c r="G142" s="112">
        <f t="shared" si="11"/>
        <v>87.669999999998254</v>
      </c>
      <c r="H142" s="99">
        <f>G142+'2'!H142</f>
        <v>250</v>
      </c>
      <c r="I142" s="140"/>
      <c r="J142" s="328">
        <f>H142/DAY(B2)</f>
        <v>83.333333333333329</v>
      </c>
    </row>
    <row r="143" spans="1:15" ht="25.5">
      <c r="A143" s="889" t="s">
        <v>91</v>
      </c>
      <c r="B143" s="889"/>
      <c r="C143" s="889"/>
      <c r="D143" s="151" t="s">
        <v>183</v>
      </c>
      <c r="E143" s="95">
        <f>'2'!F143</f>
        <v>12478.7</v>
      </c>
      <c r="F143" s="149">
        <v>12512</v>
      </c>
      <c r="G143" s="112">
        <f t="shared" si="11"/>
        <v>33.299999999999272</v>
      </c>
      <c r="H143" s="99">
        <f>G143+'2'!H143</f>
        <v>96.600000000000364</v>
      </c>
      <c r="I143" s="140"/>
      <c r="J143" s="328">
        <f>H143/DAY(B2)</f>
        <v>32.200000000000124</v>
      </c>
    </row>
    <row r="144" spans="1:15" ht="25.5">
      <c r="A144" s="893" t="s">
        <v>90</v>
      </c>
      <c r="B144" s="893"/>
      <c r="C144" s="893"/>
      <c r="D144" s="151" t="s">
        <v>183</v>
      </c>
      <c r="E144" s="95">
        <f>'2'!F144</f>
        <v>948661</v>
      </c>
      <c r="F144" s="149">
        <v>948912</v>
      </c>
      <c r="G144" s="112">
        <f t="shared" si="11"/>
        <v>251</v>
      </c>
      <c r="H144" s="99">
        <f>G144+'2'!H144</f>
        <v>714</v>
      </c>
      <c r="I144" s="140"/>
      <c r="J144" s="328">
        <f>H144/DAY(B2)</f>
        <v>238</v>
      </c>
    </row>
    <row r="145" spans="1:10" ht="25.5">
      <c r="A145" s="889" t="s">
        <v>190</v>
      </c>
      <c r="B145" s="889"/>
      <c r="C145" s="889"/>
      <c r="D145" s="152" t="s">
        <v>183</v>
      </c>
      <c r="E145" s="95">
        <f>'2'!F145</f>
        <v>22857.64</v>
      </c>
      <c r="F145" s="148">
        <v>22967.5</v>
      </c>
      <c r="G145" s="112">
        <f t="shared" si="11"/>
        <v>109.86000000000058</v>
      </c>
      <c r="H145" s="99">
        <f>G145+'2'!H145</f>
        <v>371.40000000000146</v>
      </c>
      <c r="I145" s="140"/>
      <c r="J145" s="328">
        <f>H145/DAY(B2)</f>
        <v>123.80000000000048</v>
      </c>
    </row>
    <row r="146" spans="1:10" ht="25.5">
      <c r="A146" s="890" t="s">
        <v>191</v>
      </c>
      <c r="B146" s="891"/>
      <c r="C146" s="892"/>
      <c r="D146" s="152" t="s">
        <v>183</v>
      </c>
      <c r="E146" s="95">
        <f>'2'!F146</f>
        <v>786736</v>
      </c>
      <c r="F146" s="148">
        <v>786781</v>
      </c>
      <c r="G146" s="112">
        <f t="shared" si="11"/>
        <v>45</v>
      </c>
      <c r="H146" s="99">
        <f>G146+'2'!H146</f>
        <v>113</v>
      </c>
      <c r="I146" s="140"/>
      <c r="J146" s="328">
        <f>H146/DAY(B2)</f>
        <v>37.666666666666664</v>
      </c>
    </row>
    <row r="147" spans="1:10" ht="25.5">
      <c r="A147" s="893" t="s">
        <v>192</v>
      </c>
      <c r="B147" s="893"/>
      <c r="C147" s="893"/>
      <c r="D147" s="152" t="s">
        <v>183</v>
      </c>
      <c r="E147" s="95">
        <f>'2'!F147</f>
        <v>748413</v>
      </c>
      <c r="F147" s="148">
        <v>748894</v>
      </c>
      <c r="G147" s="112">
        <f t="shared" si="11"/>
        <v>481</v>
      </c>
      <c r="H147" s="99">
        <f>G147+'2'!H147</f>
        <v>1339.8399999999674</v>
      </c>
      <c r="I147" s="140"/>
      <c r="J147" s="328">
        <f>H147/DAY(B2)</f>
        <v>446.61333333332249</v>
      </c>
    </row>
    <row r="148" spans="1:10" ht="25.5">
      <c r="A148" s="886" t="s">
        <v>193</v>
      </c>
      <c r="B148" s="887"/>
      <c r="C148" s="888"/>
      <c r="D148" s="123" t="s">
        <v>130</v>
      </c>
      <c r="E148" s="95">
        <f>'2'!F148</f>
        <v>785109</v>
      </c>
      <c r="F148" s="150">
        <v>785548</v>
      </c>
      <c r="G148" s="112">
        <f t="shared" si="11"/>
        <v>439</v>
      </c>
      <c r="H148" s="99">
        <f>G148+'2'!H148</f>
        <v>903</v>
      </c>
      <c r="I148" s="124"/>
      <c r="J148" s="328">
        <f>H148/DAY(B2)</f>
        <v>301</v>
      </c>
    </row>
    <row r="149" spans="1:10" ht="25.5">
      <c r="A149" s="938" t="s">
        <v>336</v>
      </c>
      <c r="B149" s="939"/>
      <c r="C149" s="940"/>
      <c r="D149" s="227" t="s">
        <v>130</v>
      </c>
      <c r="E149" s="95">
        <f>'2'!F149</f>
        <v>186318</v>
      </c>
      <c r="F149" s="146">
        <v>186791</v>
      </c>
      <c r="G149" s="112">
        <f t="shared" si="11"/>
        <v>473</v>
      </c>
      <c r="H149" s="99">
        <f>G149+'2'!H149</f>
        <v>1494.109999999986</v>
      </c>
      <c r="I149" s="119"/>
      <c r="J149" s="328">
        <f>H149/DAY(B2)</f>
        <v>498.03666666666203</v>
      </c>
    </row>
    <row r="150" spans="1:10" ht="25.5">
      <c r="A150" s="938" t="s">
        <v>337</v>
      </c>
      <c r="B150" s="939"/>
      <c r="C150" s="940"/>
      <c r="D150" s="117" t="s">
        <v>130</v>
      </c>
      <c r="E150" s="95">
        <f>'2'!F150</f>
        <v>78124.03</v>
      </c>
      <c r="F150" s="233">
        <v>78367.23</v>
      </c>
      <c r="G150" s="112">
        <f t="shared" si="11"/>
        <v>243.19999999999709</v>
      </c>
      <c r="H150" s="99">
        <f>G150+'2'!H150</f>
        <v>700.92999999999302</v>
      </c>
      <c r="I150" s="119"/>
      <c r="J150" s="328">
        <f>H150/DAY(B2)</f>
        <v>233.64333333333101</v>
      </c>
    </row>
    <row r="151" spans="1:10" ht="29.25" customHeight="1">
      <c r="A151" s="938" t="s">
        <v>338</v>
      </c>
      <c r="B151" s="939"/>
      <c r="C151" s="940"/>
      <c r="D151" s="117" t="s">
        <v>130</v>
      </c>
      <c r="E151" s="95">
        <f>'2'!F151</f>
        <v>158826</v>
      </c>
      <c r="F151" s="233">
        <v>159083</v>
      </c>
      <c r="G151" s="112">
        <f t="shared" si="11"/>
        <v>257</v>
      </c>
      <c r="H151" s="99">
        <f>G151+'2'!H151</f>
        <v>773</v>
      </c>
      <c r="I151" s="119"/>
      <c r="J151" s="328">
        <f>H151/DAY(B2)</f>
        <v>257.66666666666669</v>
      </c>
    </row>
    <row r="152" spans="1:10" ht="29.25" customHeight="1">
      <c r="A152" s="938" t="s">
        <v>339</v>
      </c>
      <c r="B152" s="939"/>
      <c r="C152" s="940"/>
      <c r="D152" s="117" t="s">
        <v>130</v>
      </c>
      <c r="E152" s="95">
        <f>'2'!F152</f>
        <v>38884</v>
      </c>
      <c r="F152" s="233">
        <v>39018.699999999997</v>
      </c>
      <c r="G152" s="112">
        <f t="shared" si="11"/>
        <v>134.69999999999709</v>
      </c>
      <c r="H152" s="99">
        <f>G152+'2'!H152</f>
        <v>402.79999999999563</v>
      </c>
      <c r="I152" s="119"/>
      <c r="J152" s="328">
        <f>H152/DAY(B2)</f>
        <v>134.2666666666652</v>
      </c>
    </row>
    <row r="153" spans="1:10" ht="29.25" customHeight="1">
      <c r="A153" s="861" t="s">
        <v>196</v>
      </c>
      <c r="B153" s="862"/>
      <c r="C153" s="863"/>
      <c r="D153" s="367"/>
      <c r="E153" s="368"/>
      <c r="F153" s="369"/>
      <c r="G153" s="370">
        <f>SUM(G138:G152)</f>
        <v>3084.8500000000022</v>
      </c>
      <c r="H153" s="371"/>
      <c r="I153" s="119">
        <f>G153-(G38+G52)</f>
        <v>708.06000000007225</v>
      </c>
      <c r="J153" s="372"/>
    </row>
    <row r="154" spans="1:10" ht="29.25" customHeight="1">
      <c r="A154" s="924" t="s">
        <v>344</v>
      </c>
      <c r="B154" s="924"/>
      <c r="C154" s="924"/>
      <c r="D154" s="924"/>
      <c r="E154" s="924"/>
      <c r="F154" s="924"/>
      <c r="G154" s="924"/>
      <c r="H154" s="924"/>
      <c r="I154" s="924"/>
      <c r="J154" s="924"/>
    </row>
    <row r="155" spans="1:10" ht="29.25" customHeight="1">
      <c r="A155" s="893" t="s">
        <v>345</v>
      </c>
      <c r="B155" s="893"/>
      <c r="C155" s="893"/>
      <c r="D155" s="117" t="s">
        <v>130</v>
      </c>
      <c r="E155" s="95">
        <f>'2'!F155</f>
        <v>221254</v>
      </c>
      <c r="F155" s="388">
        <v>221876</v>
      </c>
      <c r="G155" s="112">
        <f t="shared" ref="G155:G158" si="12">F155-E155</f>
        <v>622</v>
      </c>
      <c r="H155" s="99">
        <f>G155+'2'!H155</f>
        <v>1888.2999999999884</v>
      </c>
      <c r="I155" s="364"/>
      <c r="J155" s="328">
        <f>H155/DAY(B2)</f>
        <v>629.43333333332941</v>
      </c>
    </row>
    <row r="156" spans="1:10" ht="29.25" customHeight="1">
      <c r="A156" s="941" t="s">
        <v>346</v>
      </c>
      <c r="B156" s="941"/>
      <c r="C156" s="941"/>
      <c r="D156" s="117" t="s">
        <v>130</v>
      </c>
      <c r="E156" s="95">
        <f>'2'!F156</f>
        <v>26735</v>
      </c>
      <c r="F156" s="388">
        <v>26842.5</v>
      </c>
      <c r="G156" s="112">
        <f t="shared" si="12"/>
        <v>107.5</v>
      </c>
      <c r="H156" s="99">
        <f>G156+'2'!H156</f>
        <v>312.29999999999927</v>
      </c>
      <c r="I156" s="165"/>
      <c r="J156" s="328">
        <f>H156/DAY(B2)</f>
        <v>104.09999999999975</v>
      </c>
    </row>
    <row r="157" spans="1:10" ht="29.25" customHeight="1">
      <c r="A157" s="886" t="s">
        <v>360</v>
      </c>
      <c r="B157" s="887"/>
      <c r="C157" s="888"/>
      <c r="D157" s="117" t="s">
        <v>130</v>
      </c>
      <c r="E157" s="95">
        <f>'2'!F157</f>
        <v>37559</v>
      </c>
      <c r="F157" s="388">
        <v>37559</v>
      </c>
      <c r="G157" s="112">
        <f t="shared" si="12"/>
        <v>0</v>
      </c>
      <c r="H157" s="99">
        <f>G157+'2'!H157</f>
        <v>0</v>
      </c>
      <c r="I157" s="165"/>
      <c r="J157" s="328"/>
    </row>
    <row r="158" spans="1:10" ht="29.25" customHeight="1">
      <c r="A158" s="886" t="s">
        <v>361</v>
      </c>
      <c r="B158" s="887"/>
      <c r="C158" s="888"/>
      <c r="D158" s="117" t="s">
        <v>130</v>
      </c>
      <c r="E158" s="95">
        <f>'2'!F158</f>
        <v>1579</v>
      </c>
      <c r="F158" s="388">
        <v>1585</v>
      </c>
      <c r="G158" s="112">
        <f t="shared" si="12"/>
        <v>6</v>
      </c>
      <c r="H158" s="99">
        <f>G158+'2'!H158</f>
        <v>23.650000000000091</v>
      </c>
      <c r="I158" s="165"/>
      <c r="J158" s="328"/>
    </row>
    <row r="159" spans="1:10" ht="29.25" customHeight="1">
      <c r="A159" s="938"/>
      <c r="B159" s="939"/>
      <c r="C159" s="940"/>
      <c r="D159" s="117"/>
      <c r="E159" s="95"/>
      <c r="F159" s="165"/>
      <c r="G159" s="112"/>
      <c r="H159" s="99"/>
      <c r="I159" s="165"/>
      <c r="J159" s="328"/>
    </row>
    <row r="160" spans="1:10" ht="27.75">
      <c r="A160" s="924" t="s">
        <v>326</v>
      </c>
      <c r="B160" s="924"/>
      <c r="C160" s="924"/>
      <c r="D160" s="924"/>
      <c r="E160" s="924"/>
      <c r="F160" s="924"/>
      <c r="G160" s="924"/>
      <c r="H160" s="924"/>
      <c r="I160" s="924"/>
      <c r="J160" s="924"/>
    </row>
    <row r="161" spans="1:10" ht="26.25">
      <c r="A161" s="242" t="s">
        <v>92</v>
      </c>
      <c r="B161" s="243"/>
      <c r="C161" s="243"/>
      <c r="D161" s="244" t="s">
        <v>180</v>
      </c>
      <c r="E161" s="95">
        <f>'2'!F161</f>
        <v>503628</v>
      </c>
      <c r="F161" s="235">
        <v>503754.36</v>
      </c>
      <c r="G161" s="238">
        <f t="shared" ref="G161:G165" si="13">F161-E161</f>
        <v>126.35999999998603</v>
      </c>
      <c r="H161" s="99">
        <f>G161+'2'!H161</f>
        <v>383.20000000001164</v>
      </c>
      <c r="I161" s="236"/>
      <c r="J161" s="239">
        <f>H161/DAY(B2)</f>
        <v>127.73333333333721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'2'!F162</f>
        <v>99744</v>
      </c>
      <c r="F162" s="235">
        <v>99786.8</v>
      </c>
      <c r="G162" s="238">
        <f t="shared" si="13"/>
        <v>42.80000000000291</v>
      </c>
      <c r="H162" s="99">
        <f>G162+'2'!H162</f>
        <v>133.19999999999709</v>
      </c>
      <c r="I162" s="236"/>
      <c r="J162" s="239">
        <f>H162/DAY(B2)</f>
        <v>44.399999999999032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'2'!F163</f>
        <v>0</v>
      </c>
      <c r="F163" s="235">
        <v>0</v>
      </c>
      <c r="G163" s="238">
        <f t="shared" si="13"/>
        <v>0</v>
      </c>
      <c r="H163" s="99">
        <f>G163+'2'!H163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'2'!F164</f>
        <v>7004</v>
      </c>
      <c r="F164" s="235">
        <v>7012.3</v>
      </c>
      <c r="G164" s="238">
        <f t="shared" si="13"/>
        <v>8.3000000000001819</v>
      </c>
      <c r="H164" s="99">
        <f>G164+'2'!H164</f>
        <v>22.100000000000364</v>
      </c>
      <c r="I164" s="236"/>
      <c r="J164" s="239">
        <f>H164/DAY(B2)</f>
        <v>7.3666666666667879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'2'!F165</f>
        <v>32590</v>
      </c>
      <c r="F165" s="235">
        <v>32597.919999999998</v>
      </c>
      <c r="G165" s="238">
        <f t="shared" si="13"/>
        <v>7.9199999999982538</v>
      </c>
      <c r="H165" s="99">
        <f>G165+'2'!H165</f>
        <v>23.819999999999709</v>
      </c>
      <c r="I165" s="236"/>
      <c r="J165" s="239">
        <f>H165/DAY(B2)</f>
        <v>7.9399999999999027</v>
      </c>
    </row>
    <row r="166" spans="1:10" ht="26.25">
      <c r="A166" s="923"/>
      <c r="B166" s="923"/>
      <c r="C166" s="246"/>
      <c r="D166" s="244" t="s">
        <v>180</v>
      </c>
      <c r="E166" s="95">
        <f>'2'!F166</f>
        <v>0</v>
      </c>
      <c r="F166" s="158"/>
      <c r="G166" s="165"/>
      <c r="H166" s="99">
        <f>G166+'2'!H166</f>
        <v>0</v>
      </c>
      <c r="I166" s="165"/>
      <c r="J166" s="327"/>
    </row>
    <row r="167" spans="1:10" ht="26.25">
      <c r="A167" s="923"/>
      <c r="B167" s="923"/>
      <c r="C167" s="246"/>
      <c r="D167" s="244" t="s">
        <v>180</v>
      </c>
      <c r="E167" s="95">
        <f>'2'!F167</f>
        <v>0</v>
      </c>
      <c r="F167" s="165"/>
      <c r="G167" s="165"/>
      <c r="H167" s="99">
        <f>G167+'2'!H167</f>
        <v>0</v>
      </c>
      <c r="I167" s="165"/>
      <c r="J167" s="327"/>
    </row>
    <row r="168" spans="1:10" ht="26.25">
      <c r="A168" s="923"/>
      <c r="B168" s="923"/>
      <c r="C168" s="246"/>
      <c r="D168" s="244" t="s">
        <v>180</v>
      </c>
      <c r="E168" s="95">
        <f>'2'!F168</f>
        <v>0</v>
      </c>
      <c r="F168" s="165"/>
      <c r="G168" s="165"/>
      <c r="H168" s="99">
        <f>G168+'2'!H168</f>
        <v>0</v>
      </c>
      <c r="I168" s="165"/>
      <c r="J168" s="327"/>
    </row>
    <row r="169" spans="1:10" ht="26.25"/>
    <row r="170" spans="1:10" ht="26.25"/>
    <row r="171" spans="1:10" ht="27.75">
      <c r="A171" s="933" t="s">
        <v>330</v>
      </c>
      <c r="B171" s="934"/>
      <c r="C171" s="934"/>
      <c r="D171" s="934"/>
      <c r="E171" s="934"/>
      <c r="F171" s="934"/>
      <c r="G171" s="934"/>
      <c r="H171" s="934"/>
      <c r="I171" s="934"/>
      <c r="J171" s="935"/>
    </row>
    <row r="172" spans="1:10" ht="25.5">
      <c r="A172" s="929"/>
      <c r="B172" s="930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41" t="s">
        <v>209</v>
      </c>
      <c r="B173" s="843"/>
      <c r="C173" s="333"/>
      <c r="D173" s="228" t="s">
        <v>142</v>
      </c>
      <c r="E173" s="95">
        <f>'2'!F173</f>
        <v>8590</v>
      </c>
      <c r="F173" s="157">
        <v>8592</v>
      </c>
      <c r="G173" s="155">
        <f>F173-E173</f>
        <v>2</v>
      </c>
      <c r="H173" s="99">
        <f>G173+'2'!H173</f>
        <v>8</v>
      </c>
      <c r="I173" s="155"/>
      <c r="J173" s="178">
        <f>H173/DAY(B2)</f>
        <v>2.6666666666666665</v>
      </c>
    </row>
    <row r="174" spans="1:10" ht="25.5">
      <c r="A174" s="841" t="s">
        <v>75</v>
      </c>
      <c r="B174" s="843"/>
      <c r="C174" s="333"/>
      <c r="D174" s="228" t="s">
        <v>142</v>
      </c>
      <c r="E174" s="95">
        <f>'2'!F174</f>
        <v>42693</v>
      </c>
      <c r="F174" s="157">
        <v>42705</v>
      </c>
      <c r="G174" s="155">
        <f t="shared" ref="G174:G175" si="14">F174-E174</f>
        <v>12</v>
      </c>
      <c r="H174" s="99">
        <f>G174+'2'!H174</f>
        <v>36</v>
      </c>
      <c r="I174" s="155"/>
      <c r="J174" s="178">
        <f>H174/DAY(B2)</f>
        <v>12</v>
      </c>
    </row>
    <row r="175" spans="1:10" ht="21.75" customHeight="1">
      <c r="A175" s="841" t="s">
        <v>76</v>
      </c>
      <c r="B175" s="842"/>
      <c r="C175" s="843"/>
      <c r="D175" s="228" t="s">
        <v>142</v>
      </c>
      <c r="E175" s="95">
        <f>'2'!F175</f>
        <v>25419</v>
      </c>
      <c r="F175" s="155">
        <v>25430</v>
      </c>
      <c r="G175" s="155">
        <f t="shared" si="14"/>
        <v>11</v>
      </c>
      <c r="H175" s="99">
        <f>G175+'2'!H175</f>
        <v>37</v>
      </c>
      <c r="I175" s="155"/>
      <c r="J175" s="178">
        <f>H175/DAY(B2)</f>
        <v>12.333333333333334</v>
      </c>
    </row>
    <row r="176" spans="1:10" ht="21.75" customHeight="1">
      <c r="A176" s="861" t="s">
        <v>196</v>
      </c>
      <c r="B176" s="862"/>
      <c r="C176" s="863"/>
      <c r="D176" s="228"/>
      <c r="E176" s="95"/>
      <c r="F176" s="155"/>
      <c r="G176" s="155">
        <f>SUM(G173:G175)</f>
        <v>25</v>
      </c>
      <c r="H176" s="99">
        <f>G176+'2'!H176</f>
        <v>81</v>
      </c>
      <c r="I176" s="155"/>
      <c r="J176" s="178">
        <f>H176/DAY(B2)</f>
        <v>27</v>
      </c>
    </row>
    <row r="177" spans="1:10" ht="21.75" customHeight="1">
      <c r="A177" s="841" t="s">
        <v>77</v>
      </c>
      <c r="B177" s="843"/>
      <c r="C177" s="333"/>
      <c r="D177" s="228" t="s">
        <v>142</v>
      </c>
      <c r="E177" s="95"/>
      <c r="F177" s="155"/>
      <c r="G177" s="155"/>
      <c r="H177" s="99">
        <f>G177+'2'!H177</f>
        <v>0</v>
      </c>
      <c r="I177" s="155"/>
      <c r="J177" s="178">
        <f>H177/DAY(B2)</f>
        <v>0</v>
      </c>
    </row>
    <row r="178" spans="1:10" ht="27.75" customHeight="1">
      <c r="A178" s="841" t="s">
        <v>210</v>
      </c>
      <c r="B178" s="843"/>
      <c r="C178" s="333"/>
      <c r="D178" s="228" t="s">
        <v>142</v>
      </c>
      <c r="E178" s="95">
        <f>'2'!F178</f>
        <v>103790</v>
      </c>
      <c r="F178" s="157">
        <v>103865</v>
      </c>
      <c r="G178" s="155">
        <f>F178-E178</f>
        <v>75</v>
      </c>
      <c r="H178" s="99">
        <f>G178+'2'!H178</f>
        <v>222</v>
      </c>
      <c r="I178" s="155"/>
      <c r="J178" s="178">
        <f>H178/DAY(B2)</f>
        <v>74</v>
      </c>
    </row>
    <row r="179" spans="1:10" ht="24" customHeight="1">
      <c r="A179" s="841" t="s">
        <v>211</v>
      </c>
      <c r="B179" s="843"/>
      <c r="C179" s="333"/>
      <c r="D179" s="228" t="s">
        <v>142</v>
      </c>
      <c r="E179" s="95">
        <f>'2'!F179</f>
        <v>37501</v>
      </c>
      <c r="F179" s="155">
        <v>37501</v>
      </c>
      <c r="G179" s="155">
        <f t="shared" ref="G179:G180" si="15">F179-E179</f>
        <v>0</v>
      </c>
      <c r="H179" s="99">
        <f>G179+'2'!H179</f>
        <v>0</v>
      </c>
      <c r="I179" s="155"/>
      <c r="J179" s="178">
        <f>H179/DAY(B2)</f>
        <v>0</v>
      </c>
    </row>
    <row r="180" spans="1:10" ht="22.5" customHeight="1">
      <c r="A180" s="841" t="s">
        <v>212</v>
      </c>
      <c r="B180" s="843"/>
      <c r="C180" s="333"/>
      <c r="D180" s="228" t="s">
        <v>142</v>
      </c>
      <c r="E180" s="95">
        <f>'2'!F180</f>
        <v>7420</v>
      </c>
      <c r="F180" s="155">
        <v>7428</v>
      </c>
      <c r="G180" s="155">
        <f t="shared" si="15"/>
        <v>8</v>
      </c>
      <c r="H180" s="99">
        <f>G180+'2'!H180</f>
        <v>8</v>
      </c>
      <c r="I180" s="155"/>
      <c r="J180" s="178">
        <f>H180/DAY(B2)</f>
        <v>2.6666666666666665</v>
      </c>
    </row>
    <row r="181" spans="1:10" ht="26.25">
      <c r="A181" s="861" t="s">
        <v>196</v>
      </c>
      <c r="B181" s="862"/>
      <c r="C181" s="863"/>
      <c r="D181" s="228"/>
      <c r="E181" s="95"/>
      <c r="F181" s="155"/>
      <c r="G181" s="155">
        <f>SUM(G178:G180)</f>
        <v>83</v>
      </c>
      <c r="H181" s="99">
        <f>G181+'2'!H181</f>
        <v>230</v>
      </c>
      <c r="I181" s="155"/>
      <c r="J181" s="178">
        <f>H181/DAY(B2)</f>
        <v>76.666666666666671</v>
      </c>
    </row>
    <row r="182" spans="1:10" ht="27" customHeight="1">
      <c r="A182" s="841" t="s">
        <v>213</v>
      </c>
      <c r="B182" s="843"/>
      <c r="C182" s="333"/>
      <c r="D182" s="228"/>
      <c r="E182" s="95"/>
      <c r="F182" s="155"/>
      <c r="G182" s="155"/>
      <c r="H182" s="99">
        <f>G182+'2'!H182</f>
        <v>0</v>
      </c>
      <c r="I182" s="155"/>
      <c r="J182" s="178">
        <f>H182/DAY(B2)</f>
        <v>0</v>
      </c>
    </row>
    <row r="183" spans="1:10" ht="27" customHeight="1">
      <c r="A183" s="841" t="s">
        <v>214</v>
      </c>
      <c r="B183" s="843"/>
      <c r="C183" s="334"/>
      <c r="D183" s="228" t="s">
        <v>142</v>
      </c>
      <c r="E183" s="95">
        <f>'2'!F183</f>
        <v>18179</v>
      </c>
      <c r="F183" s="157">
        <v>18185</v>
      </c>
      <c r="G183" s="157">
        <f>F183-E183</f>
        <v>6</v>
      </c>
      <c r="H183" s="99">
        <f>G183+'2'!H183</f>
        <v>17</v>
      </c>
      <c r="I183" s="155"/>
      <c r="J183" s="178">
        <f>H183/DAY(B2)</f>
        <v>5.666666666666667</v>
      </c>
    </row>
    <row r="184" spans="1:10" ht="25.5" customHeight="1">
      <c r="A184" s="841" t="s">
        <v>215</v>
      </c>
      <c r="B184" s="843"/>
      <c r="C184" s="334"/>
      <c r="D184" s="228" t="s">
        <v>142</v>
      </c>
      <c r="E184" s="95">
        <f>'2'!F184</f>
        <v>12772</v>
      </c>
      <c r="F184" s="157">
        <v>12779</v>
      </c>
      <c r="G184" s="157">
        <f t="shared" ref="G184:G185" si="16">F184-E184</f>
        <v>7</v>
      </c>
      <c r="H184" s="99">
        <f>G184+'2'!H184</f>
        <v>29</v>
      </c>
      <c r="I184" s="155"/>
      <c r="J184" s="178">
        <f>H184/DAY(B2)</f>
        <v>9.6666666666666661</v>
      </c>
    </row>
    <row r="185" spans="1:10" ht="25.5">
      <c r="A185" s="841" t="s">
        <v>216</v>
      </c>
      <c r="B185" s="843"/>
      <c r="C185" s="334"/>
      <c r="D185" s="228" t="s">
        <v>142</v>
      </c>
      <c r="E185" s="95">
        <f>'2'!F185</f>
        <v>0</v>
      </c>
      <c r="F185" s="157"/>
      <c r="G185" s="157">
        <f t="shared" si="16"/>
        <v>0</v>
      </c>
      <c r="H185" s="99">
        <f>G185+'2'!H185</f>
        <v>0</v>
      </c>
      <c r="I185" s="155"/>
      <c r="J185" s="178">
        <f>H185/DAY(B2)</f>
        <v>0</v>
      </c>
    </row>
    <row r="186" spans="1:10" ht="26.25">
      <c r="A186" s="861" t="s">
        <v>196</v>
      </c>
      <c r="B186" s="862"/>
      <c r="C186" s="863"/>
      <c r="D186" s="229"/>
      <c r="E186" s="95"/>
      <c r="F186" s="157"/>
      <c r="G186" s="157">
        <f>SUM(G183:G185)</f>
        <v>13</v>
      </c>
      <c r="H186" s="99">
        <f>G186+'2'!H186</f>
        <v>46</v>
      </c>
      <c r="I186" s="157"/>
      <c r="J186" s="178">
        <f>H186/DAY(B2)</f>
        <v>15.333333333333334</v>
      </c>
    </row>
    <row r="187" spans="1:10" ht="25.5">
      <c r="A187" s="931" t="s">
        <v>217</v>
      </c>
      <c r="B187" s="932"/>
      <c r="C187" s="333"/>
      <c r="D187" s="230" t="s">
        <v>142</v>
      </c>
      <c r="E187" s="95"/>
      <c r="F187" s="159"/>
      <c r="G187" s="377">
        <f>G62+G19</f>
        <v>165</v>
      </c>
      <c r="H187" s="99">
        <f>G187+'2'!H187</f>
        <v>514</v>
      </c>
      <c r="I187" s="158"/>
      <c r="J187" s="179">
        <f>H187/DAY(B2)</f>
        <v>171.33333333333334</v>
      </c>
    </row>
    <row r="188" spans="1:10" ht="25.5">
      <c r="A188" s="931" t="s">
        <v>218</v>
      </c>
      <c r="B188" s="932"/>
      <c r="C188" s="333"/>
      <c r="D188" s="230" t="s">
        <v>142</v>
      </c>
      <c r="E188" s="95"/>
      <c r="F188" s="159"/>
      <c r="G188" s="377">
        <f>G65+G66+G67+G69+G70</f>
        <v>173</v>
      </c>
      <c r="H188" s="99">
        <f>G188+'2'!H188</f>
        <v>520</v>
      </c>
      <c r="I188" s="158"/>
      <c r="J188" s="179">
        <f>H188/DAY(B2)</f>
        <v>173.33333333333334</v>
      </c>
    </row>
    <row r="189" spans="1:10" ht="25.5">
      <c r="A189" s="931" t="s">
        <v>219</v>
      </c>
      <c r="B189" s="932"/>
      <c r="C189" s="333"/>
      <c r="D189" s="230" t="s">
        <v>142</v>
      </c>
      <c r="E189" s="95"/>
      <c r="F189" s="157"/>
      <c r="G189" s="376">
        <f>G181</f>
        <v>83</v>
      </c>
      <c r="H189" s="99">
        <f>G189+'2'!H189</f>
        <v>230</v>
      </c>
      <c r="I189" s="158"/>
      <c r="J189" s="179">
        <f>H189/DAY(B2)</f>
        <v>76.666666666666671</v>
      </c>
    </row>
    <row r="190" spans="1:10" ht="25.5">
      <c r="A190" s="931"/>
      <c r="B190" s="932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6.25"/>
    <row r="192" spans="1:10" ht="26.25"/>
    <row r="193" ht="26.25"/>
    <row r="194" ht="26.25"/>
    <row r="195" ht="26.25"/>
    <row r="196" ht="29.25" customHeight="1"/>
    <row r="197" ht="29.25" customHeight="1"/>
    <row r="198" ht="29.25" customHeight="1"/>
    <row r="199" ht="29.25" customHeight="1"/>
    <row r="200" ht="29.25" customHeight="1"/>
    <row r="201" ht="29.25" customHeight="1"/>
    <row r="202" ht="29.25" customHeight="1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2:C152"/>
    <mergeCell ref="A188:B188"/>
    <mergeCell ref="A189:B189"/>
    <mergeCell ref="A190:B190"/>
    <mergeCell ref="A178:B178"/>
    <mergeCell ref="A179:B179"/>
    <mergeCell ref="A180:B180"/>
    <mergeCell ref="A185:B185"/>
    <mergeCell ref="A182:B182"/>
    <mergeCell ref="A183:B183"/>
    <mergeCell ref="A184:B184"/>
    <mergeCell ref="A167:B167"/>
    <mergeCell ref="A168:B168"/>
    <mergeCell ref="A154:J154"/>
    <mergeCell ref="A155:C155"/>
    <mergeCell ref="A156:C156"/>
    <mergeCell ref="A153:C153"/>
    <mergeCell ref="A176:C176"/>
    <mergeCell ref="A181:C181"/>
    <mergeCell ref="A186:C186"/>
    <mergeCell ref="A157:C157"/>
    <mergeCell ref="A158:C158"/>
    <mergeCell ref="A159:C159"/>
    <mergeCell ref="A142:C142"/>
    <mergeCell ref="A160:J160"/>
    <mergeCell ref="A133:C133"/>
    <mergeCell ref="A134:C134"/>
    <mergeCell ref="A135:C135"/>
    <mergeCell ref="A136:J136"/>
    <mergeCell ref="A138:C138"/>
    <mergeCell ref="A187:B187"/>
    <mergeCell ref="A171:J171"/>
    <mergeCell ref="A172:B172"/>
    <mergeCell ref="A173:B173"/>
    <mergeCell ref="A174:B174"/>
    <mergeCell ref="A177:B177"/>
    <mergeCell ref="A144:C144"/>
    <mergeCell ref="A145:C145"/>
    <mergeCell ref="A146:C146"/>
    <mergeCell ref="A147:C147"/>
    <mergeCell ref="A148:C148"/>
    <mergeCell ref="A143:C143"/>
    <mergeCell ref="A149:C149"/>
    <mergeCell ref="A175:C175"/>
    <mergeCell ref="A166:B166"/>
    <mergeCell ref="A150:C150"/>
    <mergeCell ref="A151:C151"/>
    <mergeCell ref="A132:C132"/>
    <mergeCell ref="Q116:R116"/>
    <mergeCell ref="A117:C117"/>
    <mergeCell ref="Q117:R117"/>
    <mergeCell ref="A118:C118"/>
    <mergeCell ref="Q118:R118"/>
    <mergeCell ref="A139:C139"/>
    <mergeCell ref="A140:C140"/>
    <mergeCell ref="A141:C141"/>
    <mergeCell ref="A126:J126"/>
    <mergeCell ref="A127:B127"/>
    <mergeCell ref="A128:C128"/>
    <mergeCell ref="A131:C131"/>
    <mergeCell ref="A122:C122"/>
    <mergeCell ref="A124:C124"/>
    <mergeCell ref="A123:C123"/>
    <mergeCell ref="A125:C125"/>
    <mergeCell ref="A33:C33"/>
    <mergeCell ref="A61:C61"/>
    <mergeCell ref="A62:C62"/>
    <mergeCell ref="A63:C63"/>
    <mergeCell ref="A71:C71"/>
    <mergeCell ref="A80:C80"/>
    <mergeCell ref="A81:C81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64:C64"/>
    <mergeCell ref="A65:C65"/>
    <mergeCell ref="A72:B72"/>
    <mergeCell ref="A78:C78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97:C97"/>
    <mergeCell ref="A98:C98"/>
    <mergeCell ref="A99:C99"/>
    <mergeCell ref="A114:C114"/>
    <mergeCell ref="A115:C115"/>
    <mergeCell ref="A116:C116"/>
    <mergeCell ref="A119:C119"/>
    <mergeCell ref="A120:C120"/>
    <mergeCell ref="A121:C121"/>
    <mergeCell ref="A102:C102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09:B109"/>
  </mergeCells>
  <pageMargins left="0.22" right="0.17" top="0.14000000000000001" bottom="0.2" header="0.2" footer="0.2"/>
  <pageSetup paperSize="5" scale="2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270"/>
  <sheetViews>
    <sheetView view="pageBreakPreview" zoomScale="55" zoomScaleNormal="48" zoomScaleSheetLayoutView="55" workbookViewId="0">
      <selection activeCell="F184" sqref="F184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67" t="s">
        <v>115</v>
      </c>
      <c r="B1" s="868"/>
      <c r="C1" s="868"/>
      <c r="D1" s="868"/>
      <c r="E1" s="868"/>
      <c r="F1" s="868"/>
      <c r="G1" s="868"/>
      <c r="H1" s="868"/>
      <c r="I1" s="868"/>
      <c r="J1" s="869"/>
    </row>
    <row r="2" spans="1:15" s="57" customFormat="1" ht="23.25">
      <c r="A2" s="191" t="s">
        <v>349</v>
      </c>
      <c r="B2" s="262">
        <v>44899</v>
      </c>
      <c r="C2" s="34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29</v>
      </c>
      <c r="E3" s="876" t="s">
        <v>119</v>
      </c>
      <c r="F3" s="877"/>
      <c r="G3" s="101"/>
      <c r="H3" s="102"/>
      <c r="I3" s="102"/>
      <c r="J3" s="222"/>
      <c r="K3" s="61"/>
      <c r="L3" s="58"/>
      <c r="N3" s="57" t="s">
        <v>352</v>
      </c>
      <c r="O3" s="57">
        <v>19294.8</v>
      </c>
    </row>
    <row r="4" spans="1:15" s="57" customFormat="1" ht="23.2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>
        <v>70950.2</v>
      </c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N5" s="65" t="s">
        <v>351</v>
      </c>
      <c r="O5" s="65">
        <v>28135.7</v>
      </c>
    </row>
    <row r="6" spans="1:15" ht="26.25">
      <c r="A6" s="870" t="s">
        <v>128</v>
      </c>
      <c r="B6" s="871"/>
      <c r="C6" s="872"/>
      <c r="D6" s="110"/>
      <c r="E6" s="110"/>
      <c r="F6" s="110"/>
      <c r="G6" s="110"/>
      <c r="H6" s="111"/>
      <c r="I6" s="111"/>
      <c r="J6" s="174"/>
      <c r="K6" s="78"/>
      <c r="L6" s="66"/>
      <c r="O6" s="65">
        <v>48780.83</v>
      </c>
    </row>
    <row r="7" spans="1:15" ht="27" thickBot="1">
      <c r="A7" s="194" t="s">
        <v>129</v>
      </c>
      <c r="B7" s="195"/>
      <c r="C7" s="195"/>
      <c r="D7" s="151" t="s">
        <v>130</v>
      </c>
      <c r="E7" s="95">
        <f>'3'!F7</f>
        <v>340841</v>
      </c>
      <c r="F7" s="95">
        <v>364255</v>
      </c>
      <c r="G7" s="112">
        <f>F7-E7</f>
        <v>23414</v>
      </c>
      <c r="H7" s="99">
        <f>G7+'3'!H7</f>
        <v>90572.450000000012</v>
      </c>
      <c r="I7" s="113">
        <f>'1'!I7</f>
        <v>12000</v>
      </c>
      <c r="J7" s="175">
        <f>H7/DAY(B2)</f>
        <v>22643.112500000003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'3'!F8</f>
        <v>518664</v>
      </c>
      <c r="F8" s="114">
        <v>542176</v>
      </c>
      <c r="G8" s="115">
        <f>F8-E8</f>
        <v>23512</v>
      </c>
      <c r="H8" s="99">
        <f>G8+'3'!H8</f>
        <v>90915</v>
      </c>
      <c r="I8" s="116"/>
      <c r="J8" s="175">
        <f>H8/DAY(B2)</f>
        <v>22728.75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'3'!F9</f>
        <v>4133303</v>
      </c>
      <c r="F9" s="117">
        <v>4140025.5</v>
      </c>
      <c r="G9" s="112">
        <f>F9-E9</f>
        <v>6722.5</v>
      </c>
      <c r="H9" s="99">
        <f>G9+'3'!H9</f>
        <v>25855.200000000186</v>
      </c>
      <c r="I9" s="124">
        <f>I7-J7</f>
        <v>-10643.112500000003</v>
      </c>
      <c r="J9" s="175">
        <f>H9/DAY(B2)</f>
        <v>6463.8000000000466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'3'!F10</f>
        <v>3735702</v>
      </c>
      <c r="F10" s="117">
        <v>3751937.9</v>
      </c>
      <c r="G10" s="112">
        <f t="shared" ref="G10:G12" si="0">F10-E10</f>
        <v>16235.899999999907</v>
      </c>
      <c r="H10" s="99">
        <f>G10+'3'!H10</f>
        <v>62458.799999999814</v>
      </c>
      <c r="I10" s="282"/>
      <c r="J10" s="175">
        <f>H10/DAY(B2)</f>
        <v>15614.699999999953</v>
      </c>
      <c r="K10" s="79"/>
      <c r="L10" s="66"/>
      <c r="N10" s="87"/>
      <c r="O10" s="71">
        <f>G13-G7</f>
        <v>-455.60000000009313</v>
      </c>
    </row>
    <row r="11" spans="1:15" ht="26.25">
      <c r="A11" s="194" t="s">
        <v>134</v>
      </c>
      <c r="B11" s="195"/>
      <c r="C11" s="195"/>
      <c r="D11" s="151" t="s">
        <v>130</v>
      </c>
      <c r="E11" s="95">
        <f>'3'!F11</f>
        <v>38120</v>
      </c>
      <c r="F11" s="95">
        <v>38120</v>
      </c>
      <c r="G11" s="112">
        <f t="shared" si="0"/>
        <v>0</v>
      </c>
      <c r="H11" s="99">
        <f>G11+'3'!H11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'3'!F12</f>
        <v>40390</v>
      </c>
      <c r="F12" s="117">
        <v>40390</v>
      </c>
      <c r="G12" s="112">
        <f t="shared" si="0"/>
        <v>0</v>
      </c>
      <c r="H12" s="99">
        <f>G12+'3'!H12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22958.399999999907</v>
      </c>
      <c r="H13" s="99">
        <f>G13+'3'!H13</f>
        <v>92542.699999999721</v>
      </c>
      <c r="I13" s="120">
        <f>G7-G13</f>
        <v>455.60000000009313</v>
      </c>
      <c r="J13" s="175">
        <f>H13/DAY(B2)</f>
        <v>23135.67499999993</v>
      </c>
      <c r="K13" s="79"/>
      <c r="L13" s="66"/>
      <c r="N13" s="87"/>
      <c r="O13" s="71"/>
    </row>
    <row r="14" spans="1:15" ht="26.25">
      <c r="A14" s="873" t="s">
        <v>137</v>
      </c>
      <c r="B14" s="874"/>
      <c r="C14" s="87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'3'!F15</f>
        <v>2222177</v>
      </c>
      <c r="F15" s="468">
        <v>2223252.7000000002</v>
      </c>
      <c r="G15" s="112">
        <f>(F15-E15)</f>
        <v>1075.7000000001863</v>
      </c>
      <c r="H15" s="99">
        <f>G15+'3'!H15</f>
        <v>4311.7000000001863</v>
      </c>
      <c r="I15" s="113">
        <f>'1'!I15</f>
        <v>800</v>
      </c>
      <c r="J15" s="175">
        <f>H15/DAY(B2)</f>
        <v>1077.9250000000466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-277.92500000004657</v>
      </c>
      <c r="J16" s="176"/>
      <c r="K16" s="79"/>
      <c r="L16" s="66"/>
      <c r="N16" s="87"/>
      <c r="O16" s="71"/>
    </row>
    <row r="17" spans="1:15" ht="26.25">
      <c r="A17" s="873" t="s">
        <v>140</v>
      </c>
      <c r="B17" s="874"/>
      <c r="C17" s="87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64" t="s">
        <v>141</v>
      </c>
      <c r="B18" s="865"/>
      <c r="C18" s="866"/>
      <c r="D18" s="151" t="s">
        <v>142</v>
      </c>
      <c r="E18" s="95">
        <f>'3'!F18</f>
        <v>27</v>
      </c>
      <c r="F18" s="122">
        <v>21</v>
      </c>
      <c r="G18" s="119">
        <f>F18*10</f>
        <v>210</v>
      </c>
      <c r="H18" s="99">
        <f>G18+'3'!H18</f>
        <v>990</v>
      </c>
      <c r="I18" s="113">
        <f>'1'!I18</f>
        <v>65</v>
      </c>
      <c r="J18" s="175">
        <f>H18/DAY(B2)</f>
        <v>247.5</v>
      </c>
      <c r="K18" s="79"/>
      <c r="L18" s="66"/>
      <c r="N18" s="87"/>
      <c r="O18" s="71"/>
    </row>
    <row r="19" spans="1:15" ht="25.5">
      <c r="A19" s="864" t="s">
        <v>69</v>
      </c>
      <c r="B19" s="865"/>
      <c r="C19" s="866"/>
      <c r="D19" s="151" t="s">
        <v>142</v>
      </c>
      <c r="E19" s="95">
        <f>'3'!F19</f>
        <v>168122</v>
      </c>
      <c r="F19" s="122">
        <v>168181</v>
      </c>
      <c r="G19" s="112">
        <f t="shared" ref="G19" si="1">F19-E19</f>
        <v>59</v>
      </c>
      <c r="H19" s="99">
        <f>G19+'3'!H19</f>
        <v>221</v>
      </c>
      <c r="I19" s="335"/>
      <c r="J19" s="175">
        <f>H19/DAY(B2)</f>
        <v>55.25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269</v>
      </c>
      <c r="H20" s="99">
        <f>G20+'3'!H20</f>
        <v>1211</v>
      </c>
      <c r="I20" s="336">
        <f>I18-J20</f>
        <v>-237.75</v>
      </c>
      <c r="J20" s="175">
        <f>H20/DAY(B2)</f>
        <v>302.75</v>
      </c>
      <c r="K20" s="79"/>
      <c r="L20" s="66"/>
      <c r="N20" s="87"/>
      <c r="O20" s="71"/>
    </row>
    <row r="21" spans="1:15" ht="26.25">
      <c r="A21" s="873" t="s">
        <v>144</v>
      </c>
      <c r="B21" s="874"/>
      <c r="C21" s="87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'3'!F22</f>
        <v>2970</v>
      </c>
      <c r="F22" s="122">
        <v>2970</v>
      </c>
      <c r="G22" s="119">
        <f t="shared" ref="G22" si="2">(F22-E22)</f>
        <v>0</v>
      </c>
      <c r="H22" s="99">
        <f>G22+'3'!H22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'3'!F23</f>
        <v>1500</v>
      </c>
      <c r="F23" s="122">
        <v>1500</v>
      </c>
      <c r="G23" s="119">
        <v>0</v>
      </c>
      <c r="H23" s="99">
        <f>G23+'3'!H23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'3'!F24</f>
        <v>4970</v>
      </c>
      <c r="F24" s="128">
        <v>4970</v>
      </c>
      <c r="G24" s="119">
        <v>0</v>
      </c>
      <c r="H24" s="99">
        <f>G24+'3'!H24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78" t="s">
        <v>149</v>
      </c>
      <c r="B25" s="879"/>
      <c r="C25" s="88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23512</v>
      </c>
      <c r="F27" s="136">
        <v>9</v>
      </c>
      <c r="G27" s="137">
        <f>E27*F27</f>
        <v>211608</v>
      </c>
      <c r="H27" s="99">
        <f>G27+'3'!H27</f>
        <v>840825.8</v>
      </c>
      <c r="I27" s="138"/>
      <c r="J27" s="175">
        <f>H27/DAY(B2)</f>
        <v>210206.45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1075.7000000001863</v>
      </c>
      <c r="F28" s="136">
        <v>70</v>
      </c>
      <c r="G28" s="137">
        <f>E28*F28</f>
        <v>75299.000000013039</v>
      </c>
      <c r="H28" s="99">
        <f>G28+'3'!H28</f>
        <v>312330.7500000135</v>
      </c>
      <c r="I28" s="140"/>
      <c r="J28" s="175">
        <f>H28/DAY(B2)</f>
        <v>78082.687500003376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59</v>
      </c>
      <c r="F30" s="136">
        <v>151</v>
      </c>
      <c r="G30" s="137">
        <f>E30*F30</f>
        <v>8909</v>
      </c>
      <c r="H30" s="99">
        <f>G30+'3'!H30</f>
        <v>33371</v>
      </c>
      <c r="I30" s="140"/>
      <c r="J30" s="175">
        <f>H30/DAY(B2)</f>
        <v>8342.75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210</v>
      </c>
      <c r="F31" s="136">
        <v>80</v>
      </c>
      <c r="G31" s="137">
        <f>E31*F31</f>
        <v>16800</v>
      </c>
      <c r="H31" s="99">
        <f>G31+'3'!H31</f>
        <v>79200</v>
      </c>
      <c r="I31" s="140"/>
      <c r="J31" s="175">
        <f>H31/DAY(B2)</f>
        <v>19800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312616.00000001304</v>
      </c>
      <c r="H32" s="99">
        <f>G32+'3'!H32</f>
        <v>1265727.5500000133</v>
      </c>
      <c r="I32" s="144"/>
      <c r="J32" s="175">
        <f>H32/DAY(B2)</f>
        <v>316431.88750000333</v>
      </c>
      <c r="K32" s="63"/>
      <c r="L32" s="89"/>
      <c r="N32" s="87"/>
      <c r="O32" s="71"/>
    </row>
    <row r="33" spans="1:15" ht="25.5" customHeight="1">
      <c r="A33" s="881" t="s">
        <v>331</v>
      </c>
      <c r="B33" s="882"/>
      <c r="C33" s="88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'3'!F35</f>
        <v>377546.43</v>
      </c>
      <c r="F35" s="145">
        <v>380552.87</v>
      </c>
      <c r="G35" s="112">
        <f t="shared" ref="G35:G46" si="3">F35-E35</f>
        <v>3006.4400000000023</v>
      </c>
      <c r="H35" s="99">
        <f>G35+'3'!H35</f>
        <v>11455.960000000021</v>
      </c>
      <c r="I35" s="95"/>
      <c r="J35" s="175">
        <f>H35/DAY(B2)</f>
        <v>2863.9900000000052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'3'!F36</f>
        <v>325437.07</v>
      </c>
      <c r="F36" s="145">
        <v>326745.51</v>
      </c>
      <c r="G36" s="112">
        <f t="shared" si="3"/>
        <v>1308.4400000000023</v>
      </c>
      <c r="H36" s="99">
        <f>G36+'3'!H36</f>
        <v>4528.4000000000233</v>
      </c>
      <c r="I36" s="95"/>
      <c r="J36" s="175">
        <f>H36/DAY(B2)</f>
        <v>1132.1000000000058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'3'!F37</f>
        <v>322998.69</v>
      </c>
      <c r="F37" s="145">
        <v>322998.69</v>
      </c>
      <c r="G37" s="112">
        <f t="shared" si="3"/>
        <v>0</v>
      </c>
      <c r="H37" s="99">
        <f>G37+'3'!H37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'3'!F38</f>
        <v>743067.11</v>
      </c>
      <c r="F38" s="108">
        <v>745455.19</v>
      </c>
      <c r="G38" s="112">
        <f t="shared" si="3"/>
        <v>2388.0799999999581</v>
      </c>
      <c r="H38" s="99">
        <f>G38+'3'!H38</f>
        <v>9602.7999999999302</v>
      </c>
      <c r="I38" s="95"/>
      <c r="J38" s="175">
        <f>H38/DAY(B2)</f>
        <v>2400.6999999999825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'3'!F39</f>
        <v>591584.18999999994</v>
      </c>
      <c r="F39" s="145">
        <v>591584.18999999994</v>
      </c>
      <c r="G39" s="112">
        <f t="shared" si="3"/>
        <v>0</v>
      </c>
      <c r="H39" s="99">
        <f>G39+'3'!H39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'3'!F40</f>
        <v>198005.89</v>
      </c>
      <c r="F40" s="145">
        <v>198400.08</v>
      </c>
      <c r="G40" s="112">
        <f t="shared" si="3"/>
        <v>394.18999999997322</v>
      </c>
      <c r="H40" s="99">
        <f>G40+'3'!H40</f>
        <v>1670.109999999986</v>
      </c>
      <c r="I40" s="95"/>
      <c r="J40" s="175">
        <f>H40/DAY(B2)</f>
        <v>417.52749999999651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'3'!F41</f>
        <v>419167.59</v>
      </c>
      <c r="F41" s="145">
        <v>419167.59</v>
      </c>
      <c r="G41" s="112">
        <f t="shared" si="3"/>
        <v>0</v>
      </c>
      <c r="H41" s="99">
        <f>G41+'3'!H41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'3'!F42</f>
        <v>871870.89</v>
      </c>
      <c r="F42" s="145">
        <v>871870.8</v>
      </c>
      <c r="G42" s="112">
        <f t="shared" si="3"/>
        <v>-8.999999996740371E-2</v>
      </c>
      <c r="H42" s="99">
        <f>G42+'3'!H42</f>
        <v>-6.9999999948777258E-2</v>
      </c>
      <c r="I42" s="95"/>
      <c r="J42" s="175">
        <f>H42/DAY(B2)</f>
        <v>-1.7499999987194315E-2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'3'!F43</f>
        <v>407028</v>
      </c>
      <c r="F43" s="145">
        <v>407028</v>
      </c>
      <c r="G43" s="112">
        <f t="shared" si="3"/>
        <v>0</v>
      </c>
      <c r="H43" s="99">
        <f>G43+'3'!H43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'3'!F44</f>
        <v>0</v>
      </c>
      <c r="F44" s="145">
        <v>0</v>
      </c>
      <c r="G44" s="112">
        <f t="shared" si="3"/>
        <v>0</v>
      </c>
      <c r="H44" s="99">
        <f>G44+'3'!H44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'3'!F45</f>
        <v>0</v>
      </c>
      <c r="F45" s="145">
        <v>0</v>
      </c>
      <c r="G45" s="112">
        <f t="shared" si="3"/>
        <v>0</v>
      </c>
      <c r="H45" s="99">
        <f>G45+'3'!H45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'3'!F46</f>
        <v>0</v>
      </c>
      <c r="F46" s="145">
        <v>0</v>
      </c>
      <c r="G46" s="112">
        <f t="shared" si="3"/>
        <v>0</v>
      </c>
      <c r="H46" s="99">
        <f>G46+'3'!H46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7097.0599999999686</v>
      </c>
      <c r="H47" s="99">
        <f>G47+'3'!H47</f>
        <v>27257.200000000012</v>
      </c>
      <c r="I47" s="95"/>
      <c r="J47" s="175">
        <f>H47/DAY(B2)</f>
        <v>6814.3000000000029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'3'!F49</f>
        <v>794785.22</v>
      </c>
      <c r="F49" s="422">
        <v>795154.31</v>
      </c>
      <c r="G49" s="112">
        <f t="shared" ref="G49:G58" si="4">F49-E49</f>
        <v>369.09000000008382</v>
      </c>
      <c r="H49" s="99">
        <f>G49+'3'!H49</f>
        <v>1531.3600000001024</v>
      </c>
      <c r="I49" s="95"/>
      <c r="J49" s="175">
        <f>H49/DAY(B2)</f>
        <v>382.84000000002561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'3'!F50</f>
        <v>461648.37</v>
      </c>
      <c r="F50" s="145">
        <v>463127.5</v>
      </c>
      <c r="G50" s="112">
        <f t="shared" si="4"/>
        <v>1479.1300000000047</v>
      </c>
      <c r="H50" s="99">
        <f>G50+'3'!H50</f>
        <v>6458.429999999993</v>
      </c>
      <c r="I50" s="95"/>
      <c r="J50" s="175">
        <f>H50/DAY(B2)</f>
        <v>1614.6074999999983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'3'!F51</f>
        <v>138352.70000000001</v>
      </c>
      <c r="F51" s="145">
        <v>139445.43</v>
      </c>
      <c r="G51" s="112">
        <f t="shared" si="4"/>
        <v>1092.7299999999814</v>
      </c>
      <c r="H51" s="99">
        <f>G51+'3'!H51</f>
        <v>4200.8800000000047</v>
      </c>
      <c r="I51" s="95"/>
      <c r="J51" s="175">
        <f>H51/DAY(B2)</f>
        <v>1050.2200000000012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'3'!F52</f>
        <v>9.75</v>
      </c>
      <c r="F52" s="145">
        <v>9.75</v>
      </c>
      <c r="G52" s="112">
        <f t="shared" si="4"/>
        <v>0</v>
      </c>
      <c r="H52" s="99">
        <f>G52+'3'!H52</f>
        <v>-0.25</v>
      </c>
      <c r="I52" s="95"/>
      <c r="J52" s="175">
        <f>H52/DAY(B2)</f>
        <v>-6.25E-2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'3'!F53</f>
        <v>559052.71</v>
      </c>
      <c r="F53" s="145">
        <v>563096.94999999995</v>
      </c>
      <c r="G53" s="112">
        <f t="shared" si="4"/>
        <v>4044.2399999999907</v>
      </c>
      <c r="H53" s="99">
        <f>G53+'3'!H53</f>
        <v>16555.679999999935</v>
      </c>
      <c r="I53" s="95"/>
      <c r="J53" s="175">
        <f>H53/DAY(B2)</f>
        <v>4138.9199999999837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'3'!F54</f>
        <v>108155.74</v>
      </c>
      <c r="F54" s="145">
        <v>108323.24</v>
      </c>
      <c r="G54" s="112">
        <f t="shared" si="4"/>
        <v>167.5</v>
      </c>
      <c r="H54" s="99">
        <f>G54+'3'!H54</f>
        <v>660.08000000000175</v>
      </c>
      <c r="I54" s="95"/>
      <c r="J54" s="175">
        <f>H54/DAY(B2)</f>
        <v>165.02000000000044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'3'!F55</f>
        <v>561484.67000000004</v>
      </c>
      <c r="F55" s="145">
        <v>561484.67000000004</v>
      </c>
      <c r="G55" s="112">
        <f t="shared" si="4"/>
        <v>0</v>
      </c>
      <c r="H55" s="99">
        <f>G55+'3'!H55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'3'!F56</f>
        <v>278151.07</v>
      </c>
      <c r="F56" s="145">
        <v>282127.09000000003</v>
      </c>
      <c r="G56" s="112">
        <f t="shared" si="4"/>
        <v>3976.0200000000186</v>
      </c>
      <c r="H56" s="99">
        <f>G56+'3'!H56</f>
        <v>14012.080000000016</v>
      </c>
      <c r="I56" s="95"/>
      <c r="J56" s="175">
        <f>H56/DAY(B2)</f>
        <v>3503.0200000000041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'3'!F57</f>
        <v>575772.67000000004</v>
      </c>
      <c r="F57" s="145">
        <v>578258.27</v>
      </c>
      <c r="G57" s="112">
        <f t="shared" si="4"/>
        <v>2485.5999999999767</v>
      </c>
      <c r="H57" s="99">
        <f>G57+'3'!H57</f>
        <v>9679.8000000000466</v>
      </c>
      <c r="I57" s="95"/>
      <c r="J57" s="175">
        <f>H57/DAY(B2)</f>
        <v>2419.9500000000116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'3'!F58</f>
        <v>79469.08</v>
      </c>
      <c r="F58" s="145">
        <v>79725.27</v>
      </c>
      <c r="G58" s="112">
        <f t="shared" si="4"/>
        <v>256.19000000000233</v>
      </c>
      <c r="H58" s="99">
        <f>G58+'3'!H58</f>
        <v>1009.5800000000017</v>
      </c>
      <c r="I58" s="95"/>
      <c r="J58" s="175">
        <f>H58/DAY(B2)</f>
        <v>252.39500000000044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13870.500000000058</v>
      </c>
      <c r="H59" s="99">
        <f>G59+'3'!H59</f>
        <v>54107.640000000101</v>
      </c>
      <c r="I59" s="95">
        <f>G7-G60</f>
        <v>2446.4399999999732</v>
      </c>
      <c r="J59" s="175">
        <f>H59/DAY(B2)</f>
        <v>13526.910000000025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20967.560000000027</v>
      </c>
      <c r="H60" s="99">
        <f>G60+'3'!H60</f>
        <v>81364.840000000113</v>
      </c>
      <c r="I60" s="95">
        <f>G13-G60</f>
        <v>1990.8399999998801</v>
      </c>
      <c r="J60" s="175">
        <f>H60/DAY(B2)</f>
        <v>20341.210000000028</v>
      </c>
      <c r="K60" s="79"/>
      <c r="L60" s="66"/>
      <c r="N60" s="87"/>
      <c r="O60" s="71"/>
    </row>
    <row r="61" spans="1:15" s="68" customFormat="1" ht="26.25">
      <c r="A61" s="883" t="s">
        <v>332</v>
      </c>
      <c r="B61" s="884"/>
      <c r="C61" s="88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64" t="s">
        <v>198</v>
      </c>
      <c r="B62" s="865"/>
      <c r="C62" s="866"/>
      <c r="D62" s="151" t="s">
        <v>142</v>
      </c>
      <c r="E62" s="95">
        <f>'3'!F62</f>
        <v>308666</v>
      </c>
      <c r="F62" s="122">
        <v>308776</v>
      </c>
      <c r="G62" s="112">
        <f t="shared" ref="G62:G63" si="5">F62-E62</f>
        <v>110</v>
      </c>
      <c r="H62" s="99">
        <f>G62+'3'!H62</f>
        <v>462</v>
      </c>
      <c r="I62" s="118"/>
      <c r="J62" s="175">
        <f>H62/DAY(B2)</f>
        <v>115.5</v>
      </c>
      <c r="K62" s="80"/>
      <c r="L62" s="66"/>
      <c r="N62" s="87"/>
      <c r="O62" s="71"/>
    </row>
    <row r="63" spans="1:15" ht="25.5">
      <c r="A63" s="864" t="s">
        <v>199</v>
      </c>
      <c r="B63" s="865"/>
      <c r="C63" s="866"/>
      <c r="D63" s="151" t="s">
        <v>142</v>
      </c>
      <c r="E63" s="95">
        <f>'3'!F63</f>
        <v>247132</v>
      </c>
      <c r="F63" s="122">
        <v>247183</v>
      </c>
      <c r="G63" s="112">
        <f t="shared" si="5"/>
        <v>51</v>
      </c>
      <c r="H63" s="99">
        <f>G63+'3'!H63</f>
        <v>254</v>
      </c>
      <c r="I63" s="118"/>
      <c r="J63" s="175">
        <f>H63/DAY(B2)</f>
        <v>63.5</v>
      </c>
      <c r="K63" s="69"/>
      <c r="L63" s="66"/>
      <c r="N63" s="87"/>
      <c r="O63" s="71"/>
    </row>
    <row r="64" spans="1:15" ht="26.25">
      <c r="A64" s="861" t="s">
        <v>200</v>
      </c>
      <c r="B64" s="862"/>
      <c r="C64" s="863"/>
      <c r="D64" s="151"/>
      <c r="E64" s="122"/>
      <c r="F64" s="122"/>
      <c r="G64" s="112">
        <f>G62+G63</f>
        <v>161</v>
      </c>
      <c r="H64" s="99">
        <f>G64+'3'!H64</f>
        <v>716</v>
      </c>
      <c r="I64" s="118"/>
      <c r="J64" s="175">
        <f>H64/DAY(B2)</f>
        <v>179</v>
      </c>
      <c r="K64" s="69"/>
      <c r="L64" s="66"/>
      <c r="N64" s="87"/>
      <c r="O64" s="71"/>
    </row>
    <row r="65" spans="1:15" ht="25.5">
      <c r="A65" s="864" t="s">
        <v>201</v>
      </c>
      <c r="B65" s="865"/>
      <c r="C65" s="866"/>
      <c r="D65" s="151" t="s">
        <v>142</v>
      </c>
      <c r="E65" s="95">
        <f>'3'!F65</f>
        <v>468277</v>
      </c>
      <c r="F65" s="122">
        <v>468399</v>
      </c>
      <c r="G65" s="112">
        <f t="shared" ref="G65:G70" si="6">F65-E65</f>
        <v>122</v>
      </c>
      <c r="H65" s="99">
        <f>G65+'3'!H65</f>
        <v>498</v>
      </c>
      <c r="I65" s="118"/>
      <c r="J65" s="175">
        <f>H65/DAY(B2)</f>
        <v>124.5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'3'!F66</f>
        <v>113231</v>
      </c>
      <c r="F66" s="122">
        <v>113240</v>
      </c>
      <c r="G66" s="112">
        <f t="shared" si="6"/>
        <v>9</v>
      </c>
      <c r="H66" s="99">
        <f>G66+'3'!H66</f>
        <v>48</v>
      </c>
      <c r="I66" s="118"/>
      <c r="J66" s="175">
        <f>H66/DAY(B2)</f>
        <v>12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'3'!F67</f>
        <v>115922</v>
      </c>
      <c r="F67" s="122">
        <v>115948</v>
      </c>
      <c r="G67" s="112">
        <f t="shared" si="6"/>
        <v>26</v>
      </c>
      <c r="H67" s="99">
        <f>G67+'3'!H67</f>
        <v>93</v>
      </c>
      <c r="I67" s="118"/>
      <c r="J67" s="175">
        <f>H67/DAY(B2)</f>
        <v>23.25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'3'!F68</f>
        <v>168617</v>
      </c>
      <c r="F68" s="122">
        <v>168648</v>
      </c>
      <c r="G68" s="112">
        <f t="shared" si="6"/>
        <v>31</v>
      </c>
      <c r="H68" s="99">
        <f>G68+'3'!H68</f>
        <v>141</v>
      </c>
      <c r="I68" s="118"/>
      <c r="J68" s="175">
        <f>H68/DAY(B2)</f>
        <v>35.25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'3'!F69</f>
        <v>12823</v>
      </c>
      <c r="F69" s="164">
        <v>12825</v>
      </c>
      <c r="G69" s="112">
        <f t="shared" si="6"/>
        <v>2</v>
      </c>
      <c r="H69" s="99">
        <f>G69+'3'!H69</f>
        <v>15</v>
      </c>
      <c r="I69" s="118"/>
      <c r="J69" s="175">
        <f>H69/DAY(B2)</f>
        <v>3.75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'3'!F70</f>
        <v>10804</v>
      </c>
      <c r="F70" s="122">
        <v>10812</v>
      </c>
      <c r="G70" s="112">
        <f t="shared" si="6"/>
        <v>8</v>
      </c>
      <c r="H70" s="99">
        <f>G70+'3'!H70</f>
        <v>33</v>
      </c>
      <c r="I70" s="118"/>
      <c r="J70" s="175">
        <f>H70/DAY(B2)</f>
        <v>8.25</v>
      </c>
      <c r="K70" s="69"/>
      <c r="L70" s="66"/>
      <c r="N70" s="87"/>
      <c r="O70" s="71"/>
    </row>
    <row r="71" spans="1:15" ht="26.25">
      <c r="A71" s="861" t="s">
        <v>208</v>
      </c>
      <c r="B71" s="862"/>
      <c r="C71" s="863"/>
      <c r="D71" s="152"/>
      <c r="E71" s="152"/>
      <c r="F71" s="152"/>
      <c r="G71" s="153">
        <f>SUM(G65:G70)</f>
        <v>198</v>
      </c>
      <c r="H71" s="99">
        <f>G71+'3'!H71</f>
        <v>828</v>
      </c>
      <c r="I71" s="154"/>
      <c r="J71" s="175">
        <f>H71/DAY(B2)</f>
        <v>207</v>
      </c>
      <c r="K71" s="69"/>
      <c r="L71" s="66"/>
      <c r="N71" s="87"/>
      <c r="O71" s="71"/>
    </row>
    <row r="72" spans="1:15" s="88" customFormat="1" ht="25.5">
      <c r="A72" s="904"/>
      <c r="B72" s="89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09" t="s">
        <v>333</v>
      </c>
      <c r="B73" s="910"/>
      <c r="C73" s="91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64" t="s">
        <v>220</v>
      </c>
      <c r="B74" s="865"/>
      <c r="C74" s="866"/>
      <c r="D74" s="151" t="s">
        <v>139</v>
      </c>
      <c r="E74" s="95">
        <f>'3'!F74</f>
        <v>994220.46</v>
      </c>
      <c r="F74" s="117">
        <v>994527.3</v>
      </c>
      <c r="G74" s="112">
        <f t="shared" ref="G74:G78" si="7">F74-E74</f>
        <v>306.84000000008382</v>
      </c>
      <c r="H74" s="99">
        <f>G74+'3'!H74</f>
        <v>1168.2700000000186</v>
      </c>
      <c r="I74" s="154"/>
      <c r="J74" s="175">
        <f>H74/DAY(B2)</f>
        <v>292.06750000000466</v>
      </c>
      <c r="K74" s="69"/>
      <c r="L74" s="66"/>
      <c r="N74" s="87"/>
      <c r="O74" s="71"/>
    </row>
    <row r="75" spans="1:15" ht="25.5">
      <c r="A75" s="864" t="s">
        <v>221</v>
      </c>
      <c r="B75" s="865"/>
      <c r="C75" s="866"/>
      <c r="D75" s="151" t="s">
        <v>139</v>
      </c>
      <c r="E75" s="95">
        <f>'3'!F75</f>
        <v>73586.8</v>
      </c>
      <c r="F75" s="123">
        <v>73586.8</v>
      </c>
      <c r="G75" s="112">
        <f t="shared" si="7"/>
        <v>0</v>
      </c>
      <c r="H75" s="99">
        <f>G75+'3'!H75</f>
        <v>0.80000000000291038</v>
      </c>
      <c r="I75" s="154"/>
      <c r="J75" s="175">
        <f>H75/DAY(B2)</f>
        <v>0.2000000000007276</v>
      </c>
      <c r="K75" s="69"/>
      <c r="L75" s="66"/>
      <c r="N75" s="87"/>
      <c r="O75" s="71"/>
    </row>
    <row r="76" spans="1:15" ht="25.5">
      <c r="A76" s="905" t="s">
        <v>222</v>
      </c>
      <c r="B76" s="891"/>
      <c r="C76" s="892"/>
      <c r="D76" s="151" t="s">
        <v>139</v>
      </c>
      <c r="E76" s="95">
        <f>'3'!F76</f>
        <v>204099</v>
      </c>
      <c r="F76" s="123">
        <v>204223</v>
      </c>
      <c r="G76" s="112">
        <f t="shared" si="7"/>
        <v>124</v>
      </c>
      <c r="H76" s="99">
        <f>G76+'3'!H76</f>
        <v>561</v>
      </c>
      <c r="I76" s="154"/>
      <c r="J76" s="175">
        <f>H76/DAY(B2)</f>
        <v>140.25</v>
      </c>
      <c r="K76" s="69"/>
      <c r="L76" s="66"/>
      <c r="N76" s="87"/>
      <c r="O76" s="71"/>
    </row>
    <row r="77" spans="1:15" ht="25.5">
      <c r="A77" s="905" t="s">
        <v>223</v>
      </c>
      <c r="B77" s="891"/>
      <c r="C77" s="892"/>
      <c r="D77" s="151" t="s">
        <v>139</v>
      </c>
      <c r="E77" s="95">
        <f>'3'!F77</f>
        <v>56697</v>
      </c>
      <c r="F77" s="123">
        <v>56718</v>
      </c>
      <c r="G77" s="112">
        <f t="shared" si="7"/>
        <v>21</v>
      </c>
      <c r="H77" s="99">
        <f>G77+'3'!H77</f>
        <v>196</v>
      </c>
      <c r="I77" s="154"/>
      <c r="J77" s="175">
        <f>H77/DAY(B2)</f>
        <v>49</v>
      </c>
      <c r="K77" s="69"/>
      <c r="L77" s="66"/>
      <c r="N77" s="87"/>
      <c r="O77" s="71"/>
    </row>
    <row r="78" spans="1:15" ht="25.5">
      <c r="A78" s="905" t="s">
        <v>224</v>
      </c>
      <c r="B78" s="891"/>
      <c r="C78" s="892"/>
      <c r="D78" s="151" t="s">
        <v>139</v>
      </c>
      <c r="E78" s="95">
        <f>'3'!F78</f>
        <v>9563</v>
      </c>
      <c r="F78" s="123">
        <v>9563</v>
      </c>
      <c r="G78" s="112">
        <f t="shared" si="7"/>
        <v>0</v>
      </c>
      <c r="H78" s="99">
        <f>G78+'3'!H78</f>
        <v>-0.3999999999996362</v>
      </c>
      <c r="I78" s="118"/>
      <c r="J78" s="175">
        <f>H78/DAY(B2)</f>
        <v>-9.9999999999909051E-2</v>
      </c>
      <c r="K78" s="69"/>
      <c r="L78" s="66"/>
      <c r="N78" s="87"/>
      <c r="O78" s="71"/>
    </row>
    <row r="79" spans="1:15" s="57" customFormat="1" ht="25.5">
      <c r="A79" s="905" t="s">
        <v>225</v>
      </c>
      <c r="B79" s="891"/>
      <c r="C79" s="892"/>
      <c r="D79" s="151"/>
      <c r="E79" s="95">
        <f>'3'!F79</f>
        <v>0</v>
      </c>
      <c r="F79" s="117"/>
      <c r="G79" s="112">
        <f>G15-SUM(G74:G78)</f>
        <v>623.86000000010245</v>
      </c>
      <c r="H79" s="99">
        <f>G79+'3'!H79</f>
        <v>2386.0300000001644</v>
      </c>
      <c r="I79" s="118"/>
      <c r="J79" s="175"/>
      <c r="K79" s="59"/>
      <c r="L79" s="58"/>
      <c r="N79" s="87"/>
      <c r="O79" s="71"/>
    </row>
    <row r="80" spans="1:15" s="57" customFormat="1" ht="26.25">
      <c r="A80" s="861" t="s">
        <v>329</v>
      </c>
      <c r="B80" s="862"/>
      <c r="C80" s="863"/>
      <c r="D80" s="151"/>
      <c r="E80" s="117"/>
      <c r="F80" s="117"/>
      <c r="G80" s="112">
        <f>SUM(G74:G79)</f>
        <v>1075.7000000001863</v>
      </c>
      <c r="H80" s="99">
        <f>G80+'3'!H80</f>
        <v>3329.3000000002794</v>
      </c>
      <c r="I80" s="118"/>
      <c r="J80" s="175"/>
      <c r="K80" s="59"/>
      <c r="L80" s="58"/>
      <c r="N80" s="87"/>
      <c r="O80" s="71"/>
    </row>
    <row r="81" spans="1:15" ht="25.5">
      <c r="A81" s="897" t="s">
        <v>226</v>
      </c>
      <c r="B81" s="898"/>
      <c r="C81" s="89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'3'!F82</f>
        <v>0</v>
      </c>
      <c r="F82" s="122">
        <v>0</v>
      </c>
      <c r="G82" s="112">
        <f t="shared" ref="G82:G92" si="8">F82-E82</f>
        <v>0</v>
      </c>
      <c r="H82" s="99">
        <f>G82+'3'!H82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'3'!F83</f>
        <v>0</v>
      </c>
      <c r="F83" s="122">
        <v>0</v>
      </c>
      <c r="G83" s="112">
        <f t="shared" si="8"/>
        <v>0</v>
      </c>
      <c r="H83" s="99">
        <f>G83+'3'!H83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'3'!F84</f>
        <v>43540.21</v>
      </c>
      <c r="F84" s="164">
        <v>43540.21</v>
      </c>
      <c r="G84" s="236">
        <f t="shared" si="8"/>
        <v>0</v>
      </c>
      <c r="H84" s="99">
        <f>G84+'3'!H84</f>
        <v>0</v>
      </c>
      <c r="I84" s="545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'3'!F85</f>
        <v>5684</v>
      </c>
      <c r="F85" s="164">
        <v>5684</v>
      </c>
      <c r="G85" s="236">
        <f t="shared" si="8"/>
        <v>0</v>
      </c>
      <c r="H85" s="99">
        <f>G85+'3'!H85</f>
        <v>0</v>
      </c>
      <c r="I85" s="545"/>
      <c r="J85" s="175">
        <f>H85/DAY(B2)</f>
        <v>0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'3'!F86</f>
        <v>46734</v>
      </c>
      <c r="F86" s="164">
        <v>46734</v>
      </c>
      <c r="G86" s="112">
        <f t="shared" si="8"/>
        <v>0</v>
      </c>
      <c r="H86" s="99">
        <f>G86+'3'!H86</f>
        <v>0</v>
      </c>
      <c r="I86" s="545"/>
      <c r="J86" s="175">
        <f>H86/DAY(B2)</f>
        <v>0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'3'!F87</f>
        <v>36622.49</v>
      </c>
      <c r="F87" s="164">
        <v>36646</v>
      </c>
      <c r="G87" s="112">
        <f t="shared" si="8"/>
        <v>23.510000000002037</v>
      </c>
      <c r="H87" s="99">
        <f>G87+'3'!H87</f>
        <v>95.790000000000873</v>
      </c>
      <c r="I87" s="545">
        <f>G84+G85+G86+G87</f>
        <v>23.510000000002037</v>
      </c>
      <c r="J87" s="175">
        <f>H87/DAY(B2)</f>
        <v>23.947500000000218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'3'!F88</f>
        <v>24511.8</v>
      </c>
      <c r="F88" s="164">
        <v>24511.8</v>
      </c>
      <c r="G88" s="112">
        <f t="shared" si="8"/>
        <v>0</v>
      </c>
      <c r="H88" s="99">
        <f>G88+'3'!H88</f>
        <v>0</v>
      </c>
      <c r="I88" s="545"/>
      <c r="J88" s="175">
        <f>H88/DAY(B2)</f>
        <v>0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'3'!F89</f>
        <v>28530.5</v>
      </c>
      <c r="F89" s="164">
        <v>28540.69</v>
      </c>
      <c r="G89" s="112">
        <f t="shared" si="8"/>
        <v>10.18999999999869</v>
      </c>
      <c r="H89" s="99">
        <f>G89+'3'!H89</f>
        <v>38.989999999997963</v>
      </c>
      <c r="I89" s="545">
        <f>G88+G89</f>
        <v>10.18999999999869</v>
      </c>
      <c r="J89" s="175">
        <f>H89/DAY(B2)</f>
        <v>9.7474999999994907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'3'!F90</f>
        <v>73897.25</v>
      </c>
      <c r="F90" s="164">
        <v>73908.759999999995</v>
      </c>
      <c r="G90" s="112">
        <f t="shared" si="8"/>
        <v>11.509999999994761</v>
      </c>
      <c r="H90" s="99">
        <f>G90+'3'!H90</f>
        <v>48.159999999988941</v>
      </c>
      <c r="I90" s="545">
        <f>G90</f>
        <v>11.509999999994761</v>
      </c>
      <c r="J90" s="175">
        <f>H90/DAY(B2)</f>
        <v>12.039999999997235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'3'!F91</f>
        <v>5385.3869999999997</v>
      </c>
      <c r="F91" s="122">
        <v>5397.11</v>
      </c>
      <c r="G91" s="112">
        <f t="shared" si="8"/>
        <v>11.722999999999956</v>
      </c>
      <c r="H91" s="99">
        <f>G91+'3'!H91</f>
        <v>44.339999999999236</v>
      </c>
      <c r="I91" s="546"/>
      <c r="J91" s="175">
        <f>H91/DAY(B2)</f>
        <v>11.084999999999809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'3'!F92</f>
        <v>7000</v>
      </c>
      <c r="F92" s="122">
        <v>7000</v>
      </c>
      <c r="G92" s="112">
        <f t="shared" si="8"/>
        <v>0</v>
      </c>
      <c r="H92" s="99">
        <f>G92+'3'!H92</f>
        <v>0</v>
      </c>
      <c r="I92" s="547">
        <f>G91+G92</f>
        <v>11.722999999999956</v>
      </c>
      <c r="J92" s="175">
        <f>H92/DAY(B2)</f>
        <v>0</v>
      </c>
      <c r="O92" s="71"/>
    </row>
    <row r="93" spans="1:15" ht="26.25">
      <c r="A93" s="906" t="s">
        <v>239</v>
      </c>
      <c r="B93" s="907"/>
      <c r="C93" s="90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64" t="s">
        <v>240</v>
      </c>
      <c r="B94" s="865"/>
      <c r="C94" s="866"/>
      <c r="D94" s="151" t="s">
        <v>130</v>
      </c>
      <c r="E94" s="151"/>
      <c r="F94" s="151"/>
      <c r="G94" s="99">
        <f>G35+G43+G49+G57</f>
        <v>5861.1300000000629</v>
      </c>
      <c r="H94" s="99">
        <f>G94+'3'!H94</f>
        <v>22667.12000000017</v>
      </c>
      <c r="I94" s="118"/>
      <c r="J94" s="175">
        <f>H94/DAY(B2)</f>
        <v>5666.7800000000425</v>
      </c>
      <c r="K94" s="69"/>
      <c r="L94" s="66"/>
      <c r="O94" s="71"/>
    </row>
    <row r="95" spans="1:15" ht="25.5">
      <c r="A95" s="864" t="s">
        <v>241</v>
      </c>
      <c r="B95" s="865"/>
      <c r="C95" s="866"/>
      <c r="D95" s="151" t="s">
        <v>23</v>
      </c>
      <c r="E95" s="146"/>
      <c r="F95" s="146"/>
      <c r="G95" s="166">
        <f>G94/G7</f>
        <v>0.2503258734090742</v>
      </c>
      <c r="H95" s="99">
        <f>G95+'3'!H95</f>
        <v>1.0010985835337989</v>
      </c>
      <c r="I95" s="167"/>
      <c r="J95" s="175">
        <f>H95/DAY(B2)</f>
        <v>0.25027464588344972</v>
      </c>
      <c r="K95" s="69"/>
      <c r="L95" s="66"/>
      <c r="O95" s="71"/>
    </row>
    <row r="96" spans="1:15" ht="25.5">
      <c r="A96" s="864" t="s">
        <v>242</v>
      </c>
      <c r="B96" s="865"/>
      <c r="C96" s="866"/>
      <c r="D96" s="151" t="s">
        <v>130</v>
      </c>
      <c r="E96" s="95"/>
      <c r="F96" s="95"/>
      <c r="G96" s="99">
        <f>G41+G42+G55+G56</f>
        <v>3975.9300000000512</v>
      </c>
      <c r="H96" s="99">
        <f>G96+'3'!H96</f>
        <v>14012.010000000068</v>
      </c>
      <c r="I96" s="118"/>
      <c r="J96" s="175">
        <f>H96/DAY(B2)</f>
        <v>3503.0025000000169</v>
      </c>
      <c r="K96" s="69"/>
      <c r="L96" s="66"/>
      <c r="O96" s="71"/>
    </row>
    <row r="97" spans="1:15" ht="25.5">
      <c r="A97" s="864" t="s">
        <v>243</v>
      </c>
      <c r="B97" s="865"/>
      <c r="C97" s="866"/>
      <c r="D97" s="151" t="s">
        <v>23</v>
      </c>
      <c r="E97" s="95"/>
      <c r="F97" s="95"/>
      <c r="G97" s="166">
        <f>G96/G7</f>
        <v>0.16980994276928552</v>
      </c>
      <c r="H97" s="99">
        <f>G97+'3'!H97</f>
        <v>0.61809599656827741</v>
      </c>
      <c r="I97" s="167"/>
      <c r="J97" s="175">
        <f>H97/DAY(B2)</f>
        <v>0.15452399914206935</v>
      </c>
      <c r="K97" s="69"/>
      <c r="L97" s="66"/>
      <c r="O97" s="71"/>
    </row>
    <row r="98" spans="1:15" ht="25.5">
      <c r="A98" s="864" t="s">
        <v>244</v>
      </c>
      <c r="B98" s="865"/>
      <c r="C98" s="866"/>
      <c r="D98" s="151" t="s">
        <v>130</v>
      </c>
      <c r="E98" s="95"/>
      <c r="F98" s="95"/>
      <c r="G98" s="99">
        <f>G39+G53</f>
        <v>4044.2399999999907</v>
      </c>
      <c r="H98" s="99">
        <f>G98+'3'!H98</f>
        <v>16555.679999999935</v>
      </c>
      <c r="I98" s="168"/>
      <c r="J98" s="175">
        <f>H98/DAY(B2)</f>
        <v>4138.9199999999837</v>
      </c>
      <c r="K98" s="69"/>
      <c r="L98" s="66"/>
      <c r="O98" s="71"/>
    </row>
    <row r="99" spans="1:15" ht="25.5">
      <c r="A99" s="864" t="s">
        <v>245</v>
      </c>
      <c r="B99" s="865"/>
      <c r="C99" s="866"/>
      <c r="D99" s="151" t="s">
        <v>23</v>
      </c>
      <c r="E99" s="95"/>
      <c r="F99" s="95"/>
      <c r="G99" s="166">
        <f>G98/G7</f>
        <v>0.17272742803450886</v>
      </c>
      <c r="H99" s="99">
        <f>G99+'3'!H99</f>
        <v>0.73170667653259569</v>
      </c>
      <c r="I99" s="168"/>
      <c r="J99" s="175">
        <f>H99/DAY(B2)</f>
        <v>0.18292666913314892</v>
      </c>
      <c r="O99" s="71"/>
    </row>
    <row r="100" spans="1:15" ht="26.25">
      <c r="A100" s="864" t="s">
        <v>246</v>
      </c>
      <c r="B100" s="865"/>
      <c r="C100" s="866"/>
      <c r="D100" s="151" t="s">
        <v>180</v>
      </c>
      <c r="E100" s="95"/>
      <c r="F100" s="95"/>
      <c r="G100" s="99">
        <f>G38+G52</f>
        <v>2388.0799999999581</v>
      </c>
      <c r="H100" s="99">
        <f>G100+'3'!H100</f>
        <v>9602.5499999999302</v>
      </c>
      <c r="I100" s="118"/>
      <c r="J100" s="175">
        <f>H100/DAY(B2)</f>
        <v>2400.6374999999825</v>
      </c>
      <c r="K100" s="70"/>
      <c r="O100" s="71"/>
    </row>
    <row r="101" spans="1:15" ht="25.5">
      <c r="A101" s="864" t="s">
        <v>247</v>
      </c>
      <c r="B101" s="865"/>
      <c r="C101" s="866"/>
      <c r="D101" s="151" t="s">
        <v>23</v>
      </c>
      <c r="E101" s="95"/>
      <c r="F101" s="95"/>
      <c r="G101" s="166">
        <f>G100/G7</f>
        <v>0.101993678995471</v>
      </c>
      <c r="H101" s="99">
        <f>G101+'3'!H101</f>
        <v>0.42435052581402294</v>
      </c>
      <c r="I101" s="168"/>
      <c r="J101" s="175">
        <f>H101/DAY(B2)</f>
        <v>0.10608763145350573</v>
      </c>
      <c r="O101" s="71"/>
    </row>
    <row r="102" spans="1:15" ht="25.5">
      <c r="A102" s="864" t="s">
        <v>248</v>
      </c>
      <c r="B102" s="865"/>
      <c r="C102" s="866"/>
      <c r="D102" s="151" t="s">
        <v>180</v>
      </c>
      <c r="E102" s="95"/>
      <c r="F102" s="95"/>
      <c r="G102" s="99">
        <f>G36+G50</f>
        <v>2787.570000000007</v>
      </c>
      <c r="H102" s="99">
        <f>G102+'3'!H102</f>
        <v>10986.830000000016</v>
      </c>
      <c r="I102" s="168"/>
      <c r="J102" s="175">
        <f>H102/DAY(B2)</f>
        <v>2746.7075000000041</v>
      </c>
      <c r="O102" s="71"/>
    </row>
    <row r="103" spans="1:15" ht="25.5">
      <c r="A103" s="864" t="s">
        <v>249</v>
      </c>
      <c r="B103" s="865"/>
      <c r="C103" s="866"/>
      <c r="D103" s="151" t="s">
        <v>23</v>
      </c>
      <c r="E103" s="95"/>
      <c r="F103" s="95"/>
      <c r="G103" s="166">
        <f>G102/G7</f>
        <v>0.11905569317502379</v>
      </c>
      <c r="H103" s="99">
        <f>G103+'3'!H103</f>
        <v>0.48516579964367595</v>
      </c>
      <c r="I103" s="118"/>
      <c r="J103" s="175">
        <f>H103/DAY(B2)</f>
        <v>0.12129144991091899</v>
      </c>
      <c r="O103" s="71"/>
    </row>
    <row r="104" spans="1:15" ht="25.5">
      <c r="A104" s="864" t="s">
        <v>250</v>
      </c>
      <c r="B104" s="865"/>
      <c r="C104" s="866"/>
      <c r="D104" s="151" t="s">
        <v>180</v>
      </c>
      <c r="E104" s="95"/>
      <c r="F104" s="95"/>
      <c r="G104" s="99">
        <f>G37+G51</f>
        <v>1092.7299999999814</v>
      </c>
      <c r="H104" s="99">
        <f>G104+'3'!H104</f>
        <v>4200.8800000000047</v>
      </c>
      <c r="I104" s="118"/>
      <c r="J104" s="175">
        <f>H104/DAY(B2)</f>
        <v>1050.2200000000012</v>
      </c>
      <c r="O104" s="71"/>
    </row>
    <row r="105" spans="1:15" ht="26.25" thickBot="1">
      <c r="A105" s="901" t="s">
        <v>251</v>
      </c>
      <c r="B105" s="902"/>
      <c r="C105" s="903"/>
      <c r="D105" s="231" t="s">
        <v>23</v>
      </c>
      <c r="E105" s="185"/>
      <c r="F105" s="185"/>
      <c r="G105" s="186">
        <f>G104/G7</f>
        <v>4.6669941060902935E-2</v>
      </c>
      <c r="H105" s="99">
        <f>G105+'3'!H105</f>
        <v>0.18551676358111752</v>
      </c>
      <c r="I105" s="187"/>
      <c r="J105" s="188">
        <f>H105/DAY(B2)</f>
        <v>4.6379190895279379E-2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15" t="s">
        <v>324</v>
      </c>
      <c r="B108" s="915"/>
      <c r="C108" s="915"/>
      <c r="D108" s="915"/>
      <c r="E108" s="915"/>
      <c r="F108" s="915"/>
      <c r="G108" s="915"/>
      <c r="H108" s="915"/>
      <c r="I108" s="915"/>
      <c r="J108" s="915"/>
    </row>
    <row r="109" spans="1:15" ht="26.25">
      <c r="A109" s="900"/>
      <c r="B109" s="900"/>
    </row>
    <row r="110" spans="1:15" ht="26.25">
      <c r="A110" s="916" t="s">
        <v>165</v>
      </c>
      <c r="B110" s="917"/>
      <c r="C110" s="917"/>
      <c r="D110" s="917"/>
      <c r="E110" s="917"/>
      <c r="F110" s="917"/>
      <c r="G110" s="917"/>
      <c r="H110" s="917"/>
      <c r="I110" s="917"/>
      <c r="J110" s="918"/>
    </row>
    <row r="111" spans="1:15" ht="25.5">
      <c r="A111" s="919"/>
      <c r="B111" s="920"/>
      <c r="C111" s="921"/>
      <c r="D111" s="165"/>
      <c r="E111" s="165"/>
      <c r="F111" s="165"/>
      <c r="G111" s="165"/>
      <c r="H111" s="156"/>
      <c r="I111" s="165"/>
      <c r="J111" s="327"/>
    </row>
    <row r="112" spans="1:15" ht="25.5">
      <c r="A112" s="894" t="s">
        <v>252</v>
      </c>
      <c r="B112" s="895"/>
      <c r="C112" s="896"/>
      <c r="D112" s="146" t="s">
        <v>183</v>
      </c>
      <c r="E112" s="95">
        <f>'3'!F112</f>
        <v>15798</v>
      </c>
      <c r="F112" s="237">
        <v>15858</v>
      </c>
      <c r="G112" s="112">
        <f t="shared" ref="G112:G123" si="9">F112-E112</f>
        <v>60</v>
      </c>
      <c r="H112" s="99">
        <f>G112+'3'!H112</f>
        <v>244.20000000000073</v>
      </c>
      <c r="I112" s="165"/>
      <c r="J112" s="328">
        <f>H112/DAY(B2)</f>
        <v>61.050000000000182</v>
      </c>
    </row>
    <row r="113" spans="1:18" ht="29.25" customHeight="1">
      <c r="A113" s="894" t="s">
        <v>253</v>
      </c>
      <c r="B113" s="895"/>
      <c r="C113" s="896"/>
      <c r="D113" s="146" t="s">
        <v>183</v>
      </c>
      <c r="E113" s="95">
        <f>'3'!F113</f>
        <v>32881.699999999997</v>
      </c>
      <c r="F113" s="237">
        <v>33023.65</v>
      </c>
      <c r="G113" s="112">
        <f t="shared" si="9"/>
        <v>141.95000000000437</v>
      </c>
      <c r="H113" s="99">
        <f>G113+'3'!H113</f>
        <v>572.9800000000032</v>
      </c>
      <c r="I113" s="165"/>
      <c r="J113" s="328">
        <f>H113/DAY(B2)</f>
        <v>143.2450000000008</v>
      </c>
    </row>
    <row r="114" spans="1:18" ht="29.25" customHeight="1">
      <c r="A114" s="894" t="s">
        <v>254</v>
      </c>
      <c r="B114" s="895"/>
      <c r="C114" s="896"/>
      <c r="D114" s="146" t="s">
        <v>183</v>
      </c>
      <c r="E114" s="95">
        <f>'3'!F114</f>
        <v>48619.9</v>
      </c>
      <c r="F114" s="237">
        <v>48843.11</v>
      </c>
      <c r="G114" s="112">
        <f t="shared" si="9"/>
        <v>223.20999999999913</v>
      </c>
      <c r="H114" s="99">
        <f>G114+'3'!H114</f>
        <v>876.80999999999767</v>
      </c>
      <c r="I114" s="165"/>
      <c r="J114" s="328">
        <f>H114/DAY(B2)</f>
        <v>219.20249999999942</v>
      </c>
    </row>
    <row r="115" spans="1:18" ht="29.25" customHeight="1">
      <c r="A115" s="894" t="s">
        <v>255</v>
      </c>
      <c r="B115" s="895"/>
      <c r="C115" s="896"/>
      <c r="D115" s="146" t="s">
        <v>183</v>
      </c>
      <c r="E115" s="95">
        <f>'3'!F115</f>
        <v>30833.4</v>
      </c>
      <c r="F115" s="237">
        <v>30968.2</v>
      </c>
      <c r="G115" s="112">
        <f t="shared" si="9"/>
        <v>134.79999999999927</v>
      </c>
      <c r="H115" s="99">
        <f>G115+'3'!H115</f>
        <v>531.79999999999927</v>
      </c>
      <c r="I115" s="165"/>
      <c r="J115" s="328">
        <f>H115/DAY(B2)</f>
        <v>132.94999999999982</v>
      </c>
    </row>
    <row r="116" spans="1:18" ht="29.25" customHeight="1">
      <c r="A116" s="912" t="s">
        <v>96</v>
      </c>
      <c r="B116" s="913"/>
      <c r="C116" s="914"/>
      <c r="D116" s="146" t="s">
        <v>183</v>
      </c>
      <c r="E116" s="95">
        <f>'3'!F116</f>
        <v>124150.02</v>
      </c>
      <c r="F116" s="237">
        <v>124541.5</v>
      </c>
      <c r="G116" s="112">
        <f t="shared" si="9"/>
        <v>391.47999999999593</v>
      </c>
      <c r="H116" s="99">
        <f>G116+'3'!H116</f>
        <v>1681.3000000000029</v>
      </c>
      <c r="I116" s="165"/>
      <c r="J116" s="328">
        <f>H116/DAY(B2)</f>
        <v>420.32500000000073</v>
      </c>
      <c r="Q116" s="894" t="s">
        <v>311</v>
      </c>
      <c r="R116" s="896"/>
    </row>
    <row r="117" spans="1:18" ht="29.25" customHeight="1">
      <c r="A117" s="912" t="s">
        <v>184</v>
      </c>
      <c r="B117" s="913"/>
      <c r="C117" s="914"/>
      <c r="D117" s="146" t="s">
        <v>183</v>
      </c>
      <c r="E117" s="95">
        <f>'3'!F117</f>
        <v>74794.5</v>
      </c>
      <c r="F117" s="237">
        <v>75044.399999999994</v>
      </c>
      <c r="G117" s="112">
        <f t="shared" si="9"/>
        <v>249.89999999999418</v>
      </c>
      <c r="H117" s="99">
        <f>G117+'3'!H117</f>
        <v>1063.1999999999971</v>
      </c>
      <c r="I117" s="165"/>
      <c r="J117" s="328">
        <f>H117/DAY(B2)</f>
        <v>265.79999999999927</v>
      </c>
      <c r="Q117" s="894" t="s">
        <v>312</v>
      </c>
      <c r="R117" s="896"/>
    </row>
    <row r="118" spans="1:18" ht="25.5">
      <c r="A118" s="889" t="s">
        <v>97</v>
      </c>
      <c r="B118" s="889"/>
      <c r="C118" s="889"/>
      <c r="D118" s="151" t="s">
        <v>183</v>
      </c>
      <c r="E118" s="95">
        <f>'3'!F118</f>
        <v>140734.94</v>
      </c>
      <c r="F118" s="237">
        <v>141320.79999999999</v>
      </c>
      <c r="G118" s="112">
        <f t="shared" si="9"/>
        <v>585.85999999998603</v>
      </c>
      <c r="H118" s="99">
        <f>G118+'3'!H118</f>
        <v>2508.3499999999767</v>
      </c>
      <c r="I118" s="165"/>
      <c r="J118" s="328">
        <f>H118/DAY(B2)</f>
        <v>627.08749999999418</v>
      </c>
      <c r="Q118" s="894" t="s">
        <v>311</v>
      </c>
      <c r="R118" s="896"/>
    </row>
    <row r="119" spans="1:18" ht="25.5">
      <c r="A119" s="889" t="s">
        <v>98</v>
      </c>
      <c r="B119" s="889"/>
      <c r="C119" s="889"/>
      <c r="D119" s="151" t="s">
        <v>183</v>
      </c>
      <c r="E119" s="95">
        <f>'3'!F119</f>
        <v>43390</v>
      </c>
      <c r="F119" s="237">
        <v>43402</v>
      </c>
      <c r="G119" s="112">
        <f t="shared" si="9"/>
        <v>12</v>
      </c>
      <c r="H119" s="99">
        <f>G119+'3'!H119</f>
        <v>48.30000000000291</v>
      </c>
      <c r="I119" s="165"/>
      <c r="J119" s="328">
        <f>H119/DAY(B2)</f>
        <v>12.075000000000728</v>
      </c>
    </row>
    <row r="120" spans="1:18" ht="25.5">
      <c r="A120" s="889" t="s">
        <v>99</v>
      </c>
      <c r="B120" s="889"/>
      <c r="C120" s="889"/>
      <c r="D120" s="151" t="s">
        <v>183</v>
      </c>
      <c r="E120" s="95">
        <f>'3'!F120</f>
        <v>96937.5</v>
      </c>
      <c r="F120" s="237">
        <v>97364.6</v>
      </c>
      <c r="G120" s="112">
        <f t="shared" si="9"/>
        <v>427.10000000000582</v>
      </c>
      <c r="H120" s="99">
        <f>G120+'3'!H120</f>
        <v>1657</v>
      </c>
      <c r="I120" s="165"/>
      <c r="J120" s="328">
        <f>H120/DAY(B2)</f>
        <v>414.25</v>
      </c>
    </row>
    <row r="121" spans="1:18" ht="25.5">
      <c r="A121" s="889" t="s">
        <v>100</v>
      </c>
      <c r="B121" s="889"/>
      <c r="C121" s="889"/>
      <c r="D121" s="151" t="s">
        <v>183</v>
      </c>
      <c r="E121" s="95">
        <f>'3'!F121</f>
        <v>109104.2</v>
      </c>
      <c r="F121" s="237">
        <v>109511.1</v>
      </c>
      <c r="G121" s="112">
        <f t="shared" si="9"/>
        <v>406.90000000000873</v>
      </c>
      <c r="H121" s="99">
        <f>G121+'3'!H121</f>
        <v>1682.0500000000029</v>
      </c>
      <c r="I121" s="165"/>
      <c r="J121" s="328">
        <f>H121/DAY(B2)</f>
        <v>420.51250000000073</v>
      </c>
    </row>
    <row r="122" spans="1:18" ht="25.5">
      <c r="A122" s="889" t="s">
        <v>101</v>
      </c>
      <c r="B122" s="889"/>
      <c r="C122" s="889"/>
      <c r="D122" s="151" t="s">
        <v>183</v>
      </c>
      <c r="E122" s="95">
        <f>'3'!F122</f>
        <v>72125.8</v>
      </c>
      <c r="F122" s="237">
        <v>72455.8</v>
      </c>
      <c r="G122" s="112">
        <f t="shared" si="9"/>
        <v>330</v>
      </c>
      <c r="H122" s="99">
        <f>G122+'3'!H122</f>
        <v>1417.9000000000087</v>
      </c>
      <c r="I122" s="165"/>
      <c r="J122" s="328">
        <f>H122/DAY(B2)</f>
        <v>354.47500000000218</v>
      </c>
    </row>
    <row r="123" spans="1:18" ht="25.5">
      <c r="A123" s="889" t="s">
        <v>102</v>
      </c>
      <c r="B123" s="889"/>
      <c r="C123" s="889"/>
      <c r="D123" s="151" t="s">
        <v>183</v>
      </c>
      <c r="E123" s="95">
        <f>'3'!F123</f>
        <v>69291.27</v>
      </c>
      <c r="F123" s="237">
        <v>69607.3</v>
      </c>
      <c r="G123" s="112">
        <f t="shared" si="9"/>
        <v>316.02999999999884</v>
      </c>
      <c r="H123" s="99">
        <f>G123+'3'!H123</f>
        <v>1250</v>
      </c>
      <c r="I123" s="165"/>
      <c r="J123" s="328">
        <f>H123/DAY(B2)</f>
        <v>312.5</v>
      </c>
    </row>
    <row r="124" spans="1:18" ht="29.25" customHeight="1">
      <c r="A124" s="919"/>
      <c r="B124" s="920"/>
      <c r="C124" s="921"/>
      <c r="D124" s="165"/>
      <c r="E124" s="165"/>
      <c r="F124" s="165"/>
      <c r="G124" s="327"/>
      <c r="H124" s="99">
        <f>G124+'3'!H124</f>
        <v>0</v>
      </c>
      <c r="I124" s="165"/>
      <c r="J124" s="327"/>
    </row>
    <row r="125" spans="1:18" ht="26.25">
      <c r="A125" s="459" t="s">
        <v>196</v>
      </c>
      <c r="B125" s="460"/>
      <c r="C125" s="461"/>
      <c r="D125" s="307"/>
      <c r="E125" s="308"/>
      <c r="F125" s="308"/>
      <c r="G125" s="309">
        <f>SUM(G112:G124)</f>
        <v>3279.2299999999923</v>
      </c>
      <c r="H125" s="156"/>
      <c r="I125" s="327">
        <f>G125-(G39+G53)</f>
        <v>-765.0099999999984</v>
      </c>
      <c r="J125" s="327"/>
    </row>
    <row r="126" spans="1:18" ht="25.5">
      <c r="A126" s="922" t="s">
        <v>317</v>
      </c>
      <c r="B126" s="922"/>
      <c r="C126" s="922"/>
      <c r="D126" s="922"/>
      <c r="E126" s="922"/>
      <c r="F126" s="922"/>
      <c r="G126" s="922"/>
      <c r="H126" s="922"/>
      <c r="I126" s="922"/>
      <c r="J126" s="922"/>
    </row>
    <row r="127" spans="1:18" ht="25.5">
      <c r="A127" s="923"/>
      <c r="B127" s="923"/>
      <c r="C127" s="245"/>
      <c r="D127" s="307"/>
      <c r="E127" s="308"/>
      <c r="F127" s="308"/>
      <c r="G127" s="309"/>
      <c r="H127" s="99">
        <f>G127+'3'!H127</f>
        <v>0</v>
      </c>
      <c r="I127" s="165"/>
      <c r="J127" s="328">
        <f>H127/DAY(B2)</f>
        <v>0</v>
      </c>
    </row>
    <row r="128" spans="1:18" ht="29.25" customHeight="1">
      <c r="A128" s="894" t="s">
        <v>318</v>
      </c>
      <c r="B128" s="895"/>
      <c r="C128" s="896"/>
      <c r="D128" s="151" t="s">
        <v>183</v>
      </c>
      <c r="E128" s="95">
        <f>'3'!F128</f>
        <v>180484.2</v>
      </c>
      <c r="F128" s="165">
        <v>180867.9</v>
      </c>
      <c r="G128" s="112">
        <f t="shared" ref="G128:G134" si="10">F128-E128</f>
        <v>383.69999999998254</v>
      </c>
      <c r="H128" s="99">
        <f>G128+'3'!H128</f>
        <v>1456.0499999999884</v>
      </c>
      <c r="I128" s="165"/>
      <c r="J128" s="328">
        <f>H128/DAY(B2)</f>
        <v>364.01249999999709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'3'!F129</f>
        <v>96683.62</v>
      </c>
      <c r="F129" s="165">
        <v>96879.1</v>
      </c>
      <c r="G129" s="112">
        <f t="shared" si="10"/>
        <v>195.48000000001048</v>
      </c>
      <c r="H129" s="99">
        <f>G129+'3'!H129</f>
        <v>849.60000000000582</v>
      </c>
      <c r="I129" s="165"/>
      <c r="J129" s="328">
        <f>H129/DAY(B2)</f>
        <v>212.40000000000146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'3'!F130</f>
        <v>248884.8</v>
      </c>
      <c r="F130" s="165">
        <v>249685.8</v>
      </c>
      <c r="G130" s="112">
        <f t="shared" si="10"/>
        <v>801</v>
      </c>
      <c r="H130" s="99">
        <f>G130+'3'!H130</f>
        <v>2846.0499999999884</v>
      </c>
      <c r="I130" s="165"/>
      <c r="J130" s="328">
        <f>H130/DAY(B2)</f>
        <v>711.51249999999709</v>
      </c>
      <c r="N130" s="240"/>
      <c r="O130" s="241"/>
    </row>
    <row r="131" spans="1:15" ht="25.5">
      <c r="A131" s="894" t="s">
        <v>321</v>
      </c>
      <c r="B131" s="895"/>
      <c r="C131" s="896"/>
      <c r="D131" s="151" t="s">
        <v>183</v>
      </c>
      <c r="E131" s="95">
        <f>'3'!F131</f>
        <v>74279.100000000006</v>
      </c>
      <c r="F131" s="165">
        <v>74543.8</v>
      </c>
      <c r="G131" s="112">
        <f t="shared" si="10"/>
        <v>264.69999999999709</v>
      </c>
      <c r="H131" s="99">
        <f>G131+'3'!H131</f>
        <v>1033.1999999999971</v>
      </c>
      <c r="I131" s="165"/>
      <c r="J131" s="328">
        <f>H131/DAY(B2)</f>
        <v>258.29999999999927</v>
      </c>
      <c r="N131" s="240"/>
      <c r="O131" s="241"/>
    </row>
    <row r="132" spans="1:15" ht="25.5">
      <c r="A132" s="894" t="s">
        <v>322</v>
      </c>
      <c r="B132" s="895"/>
      <c r="C132" s="896"/>
      <c r="D132" s="151" t="s">
        <v>183</v>
      </c>
      <c r="E132" s="95">
        <f>'3'!F132</f>
        <v>146985</v>
      </c>
      <c r="F132" s="165">
        <v>146985</v>
      </c>
      <c r="G132" s="112">
        <f t="shared" si="10"/>
        <v>0</v>
      </c>
      <c r="H132" s="99">
        <f>G132+'3'!H132</f>
        <v>0</v>
      </c>
      <c r="I132" s="165"/>
      <c r="J132" s="328">
        <f>H132/DAY(B2)</f>
        <v>0</v>
      </c>
    </row>
    <row r="133" spans="1:15" ht="25.5">
      <c r="A133" s="894" t="s">
        <v>323</v>
      </c>
      <c r="B133" s="895"/>
      <c r="C133" s="896"/>
      <c r="D133" s="151" t="s">
        <v>183</v>
      </c>
      <c r="E133" s="95">
        <f>'3'!F133</f>
        <v>912526</v>
      </c>
      <c r="F133" s="165">
        <v>913256</v>
      </c>
      <c r="G133" s="112">
        <f t="shared" si="10"/>
        <v>730</v>
      </c>
      <c r="H133" s="99">
        <f>G133+'3'!H133</f>
        <v>3012</v>
      </c>
      <c r="I133" s="165"/>
      <c r="J133" s="328">
        <f>H133/DAY(B2)</f>
        <v>753</v>
      </c>
    </row>
    <row r="134" spans="1:15" ht="25.5">
      <c r="A134" s="894" t="s">
        <v>340</v>
      </c>
      <c r="B134" s="895"/>
      <c r="C134" s="896"/>
      <c r="D134" s="151" t="s">
        <v>183</v>
      </c>
      <c r="E134" s="95">
        <f>'3'!F134</f>
        <v>79396.2</v>
      </c>
      <c r="F134" s="165">
        <v>79616.899999999994</v>
      </c>
      <c r="G134" s="112">
        <f t="shared" si="10"/>
        <v>220.69999999999709</v>
      </c>
      <c r="H134" s="99">
        <f>G134+'3'!H134</f>
        <v>857.29999999998836</v>
      </c>
      <c r="I134" s="165"/>
      <c r="J134" s="328">
        <f>H134/DAY(B2)</f>
        <v>214.32499999999709</v>
      </c>
    </row>
    <row r="135" spans="1:15" ht="26.25">
      <c r="A135" s="861" t="s">
        <v>196</v>
      </c>
      <c r="B135" s="862"/>
      <c r="C135" s="863"/>
      <c r="D135" s="151"/>
      <c r="E135" s="95"/>
      <c r="F135" s="165"/>
      <c r="G135" s="112">
        <f>SUM(G128:G134)</f>
        <v>2595.5799999999872</v>
      </c>
      <c r="H135" s="99">
        <f>G135+'3'!H135</f>
        <v>10054.199999999968</v>
      </c>
      <c r="I135" s="327">
        <f>G135-(G35+G49)</f>
        <v>-779.95000000009895</v>
      </c>
      <c r="J135" s="328">
        <f>H135/DAY(B2)</f>
        <v>2513.549999999992</v>
      </c>
    </row>
    <row r="136" spans="1:15" ht="27.75">
      <c r="A136" s="924" t="s">
        <v>325</v>
      </c>
      <c r="B136" s="924"/>
      <c r="C136" s="924"/>
      <c r="D136" s="924"/>
      <c r="E136" s="924"/>
      <c r="F136" s="924"/>
      <c r="G136" s="924"/>
      <c r="H136" s="924"/>
      <c r="I136" s="924"/>
      <c r="J136" s="92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9" t="s">
        <v>185</v>
      </c>
      <c r="B138" s="889"/>
      <c r="C138" s="889"/>
      <c r="D138" s="151" t="s">
        <v>183</v>
      </c>
      <c r="E138" s="95">
        <f>'3'!F138</f>
        <v>905947</v>
      </c>
      <c r="F138" s="147">
        <v>906034</v>
      </c>
      <c r="G138" s="112">
        <f t="shared" ref="G138:G152" si="11">F138-E138</f>
        <v>87</v>
      </c>
      <c r="H138" s="99">
        <f>G138+'3'!H138</f>
        <v>375</v>
      </c>
      <c r="I138" s="118"/>
      <c r="J138" s="328">
        <f>H138/DAY(B2)</f>
        <v>93.75</v>
      </c>
    </row>
    <row r="139" spans="1:15" ht="25.5">
      <c r="A139" s="889" t="s">
        <v>186</v>
      </c>
      <c r="B139" s="889"/>
      <c r="C139" s="889"/>
      <c r="D139" s="151" t="s">
        <v>183</v>
      </c>
      <c r="E139" s="95">
        <f>'3'!F139</f>
        <v>927791</v>
      </c>
      <c r="F139" s="148">
        <v>927946</v>
      </c>
      <c r="G139" s="112">
        <f t="shared" si="11"/>
        <v>155</v>
      </c>
      <c r="H139" s="99">
        <f>G139+'3'!H139</f>
        <v>665</v>
      </c>
      <c r="I139" s="118"/>
      <c r="J139" s="328">
        <f>H139/DAY(B2)</f>
        <v>166.25</v>
      </c>
    </row>
    <row r="140" spans="1:15" ht="25.5">
      <c r="A140" s="889" t="s">
        <v>187</v>
      </c>
      <c r="B140" s="889"/>
      <c r="C140" s="889"/>
      <c r="D140" s="151" t="s">
        <v>183</v>
      </c>
      <c r="E140" s="95">
        <f>'3'!F140</f>
        <v>3392</v>
      </c>
      <c r="F140" s="149">
        <v>3412.9</v>
      </c>
      <c r="G140" s="112">
        <f t="shared" si="11"/>
        <v>20.900000000000091</v>
      </c>
      <c r="H140" s="99">
        <f>G140+'3'!H140</f>
        <v>81.800000000000182</v>
      </c>
      <c r="I140" s="118"/>
      <c r="J140" s="328">
        <f>H140/DAY(B2)</f>
        <v>20.450000000000045</v>
      </c>
    </row>
    <row r="141" spans="1:15" ht="25.5">
      <c r="A141" s="893" t="s">
        <v>188</v>
      </c>
      <c r="B141" s="893"/>
      <c r="C141" s="893"/>
      <c r="D141" s="151" t="s">
        <v>183</v>
      </c>
      <c r="E141" s="95">
        <f>'3'!F141</f>
        <v>118269.6</v>
      </c>
      <c r="F141" s="149">
        <v>118506</v>
      </c>
      <c r="G141" s="112">
        <f t="shared" si="11"/>
        <v>236.39999999999418</v>
      </c>
      <c r="H141" s="99">
        <f>G141+'3'!H141</f>
        <v>948.02000000000407</v>
      </c>
      <c r="I141" s="118"/>
      <c r="J141" s="328">
        <f>H141/DAY(B2)</f>
        <v>237.00500000000102</v>
      </c>
    </row>
    <row r="142" spans="1:15" ht="25.5">
      <c r="A142" s="893" t="s">
        <v>189</v>
      </c>
      <c r="B142" s="893"/>
      <c r="C142" s="893"/>
      <c r="D142" s="151" t="s">
        <v>183</v>
      </c>
      <c r="E142" s="95">
        <f>'3'!F142</f>
        <v>47754.5</v>
      </c>
      <c r="F142" s="148">
        <v>47843</v>
      </c>
      <c r="G142" s="112">
        <f t="shared" si="11"/>
        <v>88.5</v>
      </c>
      <c r="H142" s="99">
        <f>G142+'3'!H142</f>
        <v>338.5</v>
      </c>
      <c r="I142" s="140"/>
      <c r="J142" s="328">
        <f>H142/DAY(B2)</f>
        <v>84.625</v>
      </c>
    </row>
    <row r="143" spans="1:15" ht="25.5">
      <c r="A143" s="889" t="s">
        <v>91</v>
      </c>
      <c r="B143" s="889"/>
      <c r="C143" s="889"/>
      <c r="D143" s="151" t="s">
        <v>183</v>
      </c>
      <c r="E143" s="95">
        <f>'3'!F143</f>
        <v>12512</v>
      </c>
      <c r="F143" s="149">
        <v>12539.8</v>
      </c>
      <c r="G143" s="112">
        <f t="shared" si="11"/>
        <v>27.799999999999272</v>
      </c>
      <c r="H143" s="99">
        <f>G143+'3'!H143</f>
        <v>124.39999999999964</v>
      </c>
      <c r="I143" s="140"/>
      <c r="J143" s="328">
        <f>H143/DAY(B2)</f>
        <v>31.099999999999909</v>
      </c>
    </row>
    <row r="144" spans="1:15" ht="25.5">
      <c r="A144" s="893" t="s">
        <v>90</v>
      </c>
      <c r="B144" s="893"/>
      <c r="C144" s="893"/>
      <c r="D144" s="151" t="s">
        <v>183</v>
      </c>
      <c r="E144" s="95">
        <f>'3'!F144</f>
        <v>948912</v>
      </c>
      <c r="F144" s="149">
        <v>949118</v>
      </c>
      <c r="G144" s="112">
        <f t="shared" si="11"/>
        <v>206</v>
      </c>
      <c r="H144" s="99">
        <f>G144+'3'!H144</f>
        <v>920</v>
      </c>
      <c r="I144" s="140"/>
      <c r="J144" s="328">
        <f>H144/DAY(B2)</f>
        <v>230</v>
      </c>
    </row>
    <row r="145" spans="1:10" ht="25.5">
      <c r="A145" s="889" t="s">
        <v>190</v>
      </c>
      <c r="B145" s="889"/>
      <c r="C145" s="889"/>
      <c r="D145" s="152" t="s">
        <v>183</v>
      </c>
      <c r="E145" s="95">
        <f>'3'!F145</f>
        <v>22967.5</v>
      </c>
      <c r="F145" s="149">
        <v>23094</v>
      </c>
      <c r="G145" s="112">
        <f t="shared" si="11"/>
        <v>126.5</v>
      </c>
      <c r="H145" s="99">
        <f>G145+'3'!H145</f>
        <v>497.90000000000146</v>
      </c>
      <c r="I145" s="140"/>
      <c r="J145" s="328">
        <f>H145/DAY(B2)</f>
        <v>124.47500000000036</v>
      </c>
    </row>
    <row r="146" spans="1:10" ht="25.5">
      <c r="A146" s="890" t="s">
        <v>191</v>
      </c>
      <c r="B146" s="891"/>
      <c r="C146" s="892"/>
      <c r="D146" s="152" t="s">
        <v>183</v>
      </c>
      <c r="E146" s="95">
        <f>'3'!F146</f>
        <v>786781</v>
      </c>
      <c r="F146" s="148">
        <v>786810</v>
      </c>
      <c r="G146" s="112">
        <f t="shared" si="11"/>
        <v>29</v>
      </c>
      <c r="H146" s="99">
        <f>G146+'3'!H146</f>
        <v>142</v>
      </c>
      <c r="I146" s="140"/>
      <c r="J146" s="328">
        <f>H146/DAY(B2)</f>
        <v>35.5</v>
      </c>
    </row>
    <row r="147" spans="1:10" ht="25.5">
      <c r="A147" s="893" t="s">
        <v>192</v>
      </c>
      <c r="B147" s="893"/>
      <c r="C147" s="893"/>
      <c r="D147" s="152" t="s">
        <v>183</v>
      </c>
      <c r="E147" s="95">
        <f>'3'!F147</f>
        <v>748894</v>
      </c>
      <c r="F147" s="148">
        <v>749358</v>
      </c>
      <c r="G147" s="112">
        <f t="shared" si="11"/>
        <v>464</v>
      </c>
      <c r="H147" s="99">
        <f>G147+'3'!H147</f>
        <v>1803.8399999999674</v>
      </c>
      <c r="I147" s="140"/>
      <c r="J147" s="328">
        <f>H147/DAY(B2)</f>
        <v>450.95999999999185</v>
      </c>
    </row>
    <row r="148" spans="1:10" ht="25.5">
      <c r="A148" s="886" t="s">
        <v>193</v>
      </c>
      <c r="B148" s="887"/>
      <c r="C148" s="888"/>
      <c r="D148" s="123" t="s">
        <v>130</v>
      </c>
      <c r="E148" s="95">
        <f>'3'!F148</f>
        <v>785548</v>
      </c>
      <c r="F148" s="150">
        <v>786074.64</v>
      </c>
      <c r="G148" s="112">
        <f t="shared" si="11"/>
        <v>526.64000000001397</v>
      </c>
      <c r="H148" s="99">
        <f>G148+'3'!H148</f>
        <v>1429.640000000014</v>
      </c>
      <c r="I148" s="124"/>
      <c r="J148" s="328">
        <f>H148/DAY(B2)</f>
        <v>357.41000000000349</v>
      </c>
    </row>
    <row r="149" spans="1:10" ht="25.5">
      <c r="A149" s="886" t="s">
        <v>336</v>
      </c>
      <c r="B149" s="887"/>
      <c r="C149" s="888"/>
      <c r="D149" s="227" t="s">
        <v>130</v>
      </c>
      <c r="E149" s="95">
        <f>'3'!F149</f>
        <v>186791</v>
      </c>
      <c r="F149" s="146">
        <v>187266</v>
      </c>
      <c r="G149" s="112">
        <f t="shared" si="11"/>
        <v>475</v>
      </c>
      <c r="H149" s="99">
        <f>G149+'3'!H149</f>
        <v>1969.109999999986</v>
      </c>
      <c r="I149" s="119"/>
      <c r="J149" s="328">
        <f>H149/DAY(B2)</f>
        <v>492.27749999999651</v>
      </c>
    </row>
    <row r="150" spans="1:10" ht="25.5">
      <c r="A150" s="886" t="s">
        <v>337</v>
      </c>
      <c r="B150" s="887"/>
      <c r="C150" s="888"/>
      <c r="D150" s="117" t="s">
        <v>130</v>
      </c>
      <c r="E150" s="95">
        <f>'3'!F150</f>
        <v>78367.23</v>
      </c>
      <c r="F150" s="233">
        <v>78599.199999999997</v>
      </c>
      <c r="G150" s="112">
        <f t="shared" si="11"/>
        <v>231.97000000000116</v>
      </c>
      <c r="H150" s="99">
        <f>G150+'3'!H150</f>
        <v>932.89999999999418</v>
      </c>
      <c r="I150" s="119"/>
      <c r="J150" s="328">
        <f>H150/DAY(B2)</f>
        <v>233.22499999999854</v>
      </c>
    </row>
    <row r="151" spans="1:10" ht="25.5">
      <c r="A151" s="886" t="s">
        <v>338</v>
      </c>
      <c r="B151" s="887"/>
      <c r="C151" s="888"/>
      <c r="D151" s="117" t="s">
        <v>130</v>
      </c>
      <c r="E151" s="95">
        <f>'3'!F151</f>
        <v>159083</v>
      </c>
      <c r="F151" s="233">
        <v>159313</v>
      </c>
      <c r="G151" s="112">
        <f t="shared" si="11"/>
        <v>230</v>
      </c>
      <c r="H151" s="99">
        <f>G151+'3'!H151</f>
        <v>1003</v>
      </c>
      <c r="I151" s="119"/>
      <c r="J151" s="328">
        <f>H151/DAY(B2)</f>
        <v>250.75</v>
      </c>
    </row>
    <row r="152" spans="1:10" ht="25.5">
      <c r="A152" s="886" t="s">
        <v>339</v>
      </c>
      <c r="B152" s="887"/>
      <c r="C152" s="888"/>
      <c r="D152" s="117" t="s">
        <v>130</v>
      </c>
      <c r="E152" s="95">
        <f>'3'!F152</f>
        <v>39018.699999999997</v>
      </c>
      <c r="F152" s="233">
        <v>39155</v>
      </c>
      <c r="G152" s="112">
        <f t="shared" si="11"/>
        <v>136.30000000000291</v>
      </c>
      <c r="H152" s="99">
        <f>G152+'3'!H152</f>
        <v>539.09999999999854</v>
      </c>
      <c r="I152" s="119"/>
      <c r="J152" s="328">
        <f>H152/DAY(B2)</f>
        <v>134.77499999999964</v>
      </c>
    </row>
    <row r="153" spans="1:10" ht="26.25">
      <c r="A153" s="861" t="s">
        <v>196</v>
      </c>
      <c r="B153" s="862"/>
      <c r="C153" s="863"/>
      <c r="D153" s="358"/>
      <c r="E153" s="360"/>
      <c r="F153" s="361"/>
      <c r="G153" s="362">
        <f>SUM(G138:G152)</f>
        <v>3041.0100000000116</v>
      </c>
      <c r="H153" s="363"/>
      <c r="I153" s="119">
        <f>G153-(G38+G52)</f>
        <v>652.9300000000535</v>
      </c>
      <c r="J153" s="366"/>
    </row>
    <row r="154" spans="1:10" ht="27.75">
      <c r="A154" s="924" t="s">
        <v>344</v>
      </c>
      <c r="B154" s="924"/>
      <c r="C154" s="924"/>
      <c r="D154" s="924"/>
      <c r="E154" s="924"/>
      <c r="F154" s="924"/>
      <c r="G154" s="924"/>
      <c r="H154" s="924"/>
      <c r="I154" s="924"/>
      <c r="J154" s="924"/>
    </row>
    <row r="155" spans="1:10" ht="27.75">
      <c r="A155" s="893" t="s">
        <v>345</v>
      </c>
      <c r="B155" s="893"/>
      <c r="C155" s="893"/>
      <c r="D155" s="117" t="s">
        <v>130</v>
      </c>
      <c r="E155" s="95">
        <f>'3'!F155</f>
        <v>221876</v>
      </c>
      <c r="F155" s="374">
        <v>222501</v>
      </c>
      <c r="G155" s="112">
        <f t="shared" ref="G155:G158" si="12">F155-E155</f>
        <v>625</v>
      </c>
      <c r="H155" s="99">
        <f>G155+'3'!H155</f>
        <v>2513.2999999999884</v>
      </c>
      <c r="I155" s="364"/>
      <c r="J155" s="328">
        <f>H155/DAY(B2)</f>
        <v>628.32499999999709</v>
      </c>
    </row>
    <row r="156" spans="1:10" ht="25.5">
      <c r="A156" s="893" t="s">
        <v>346</v>
      </c>
      <c r="B156" s="893"/>
      <c r="C156" s="893"/>
      <c r="D156" s="117" t="s">
        <v>130</v>
      </c>
      <c r="E156" s="95">
        <f>'3'!F156</f>
        <v>26842.5</v>
      </c>
      <c r="F156" s="155">
        <v>26945.4</v>
      </c>
      <c r="G156" s="112">
        <f t="shared" si="12"/>
        <v>102.90000000000146</v>
      </c>
      <c r="H156" s="99">
        <f>G156+'3'!H156</f>
        <v>415.20000000000073</v>
      </c>
      <c r="I156" s="165"/>
      <c r="J156" s="328">
        <f>H156/DAY(B2)</f>
        <v>103.80000000000018</v>
      </c>
    </row>
    <row r="157" spans="1:10" ht="25.5">
      <c r="A157" s="886" t="s">
        <v>360</v>
      </c>
      <c r="B157" s="887"/>
      <c r="C157" s="888"/>
      <c r="D157" s="117" t="s">
        <v>130</v>
      </c>
      <c r="E157" s="95">
        <f>'3'!F157</f>
        <v>37559</v>
      </c>
      <c r="F157" s="155">
        <v>37559</v>
      </c>
      <c r="G157" s="112">
        <f t="shared" si="12"/>
        <v>0</v>
      </c>
      <c r="H157" s="99">
        <f>G157+'3'!H157</f>
        <v>0</v>
      </c>
      <c r="I157" s="165"/>
      <c r="J157" s="328">
        <f>H157/DAY(B2)</f>
        <v>0</v>
      </c>
    </row>
    <row r="158" spans="1:10" ht="25.5">
      <c r="A158" s="886" t="s">
        <v>361</v>
      </c>
      <c r="B158" s="887"/>
      <c r="C158" s="888"/>
      <c r="D158" s="117" t="s">
        <v>130</v>
      </c>
      <c r="E158" s="95">
        <f>'3'!F158</f>
        <v>1585</v>
      </c>
      <c r="F158" s="155">
        <v>1597</v>
      </c>
      <c r="G158" s="112">
        <f t="shared" si="12"/>
        <v>12</v>
      </c>
      <c r="H158" s="99">
        <f>G158+'3'!H158</f>
        <v>35.650000000000091</v>
      </c>
      <c r="I158" s="165"/>
      <c r="J158" s="328">
        <f>H158/DAY(B2)</f>
        <v>8.9125000000000227</v>
      </c>
    </row>
    <row r="159" spans="1:10" ht="25.5">
      <c r="A159" s="942"/>
      <c r="B159" s="943"/>
      <c r="C159" s="944"/>
      <c r="D159" s="117"/>
      <c r="E159" s="95"/>
      <c r="F159" s="165"/>
      <c r="G159" s="112"/>
      <c r="H159" s="99"/>
      <c r="I159" s="165"/>
      <c r="J159" s="328"/>
    </row>
    <row r="160" spans="1:10" ht="27.75">
      <c r="A160" s="924" t="s">
        <v>326</v>
      </c>
      <c r="B160" s="924"/>
      <c r="C160" s="924"/>
      <c r="D160" s="924"/>
      <c r="E160" s="924"/>
      <c r="F160" s="924"/>
      <c r="G160" s="924"/>
      <c r="H160" s="924"/>
      <c r="I160" s="924"/>
      <c r="J160" s="924"/>
    </row>
    <row r="161" spans="1:10" ht="26.25">
      <c r="A161" s="242" t="s">
        <v>92</v>
      </c>
      <c r="B161" s="243"/>
      <c r="C161" s="243"/>
      <c r="D161" s="244" t="s">
        <v>180</v>
      </c>
      <c r="E161" s="95">
        <f>'3'!F161</f>
        <v>503754.36</v>
      </c>
      <c r="F161" s="235">
        <v>503831.96</v>
      </c>
      <c r="G161" s="238">
        <f t="shared" ref="G161:G168" si="13">F161-E161</f>
        <v>77.600000000034925</v>
      </c>
      <c r="H161" s="99">
        <f>G161+'3'!H161</f>
        <v>460.80000000004657</v>
      </c>
      <c r="I161" s="236"/>
      <c r="J161" s="239">
        <f>H161/DAY(B2)</f>
        <v>115.20000000001164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'3'!F162</f>
        <v>99786.8</v>
      </c>
      <c r="F162" s="235">
        <v>99809.7</v>
      </c>
      <c r="G162" s="238">
        <f t="shared" si="13"/>
        <v>22.899999999994179</v>
      </c>
      <c r="H162" s="99">
        <f>G162+'3'!H162</f>
        <v>156.09999999999127</v>
      </c>
      <c r="I162" s="236"/>
      <c r="J162" s="239">
        <f>H162/DAY(B2)</f>
        <v>39.024999999997817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'3'!F163</f>
        <v>0</v>
      </c>
      <c r="F163" s="235">
        <v>0</v>
      </c>
      <c r="G163" s="238">
        <f t="shared" si="13"/>
        <v>0</v>
      </c>
      <c r="H163" s="99">
        <f>G163+'3'!H163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'3'!F164</f>
        <v>7012.3</v>
      </c>
      <c r="F164" s="235">
        <v>7016.1</v>
      </c>
      <c r="G164" s="238">
        <f t="shared" si="13"/>
        <v>3.8000000000001819</v>
      </c>
      <c r="H164" s="99">
        <f>G164+'3'!H164</f>
        <v>25.900000000000546</v>
      </c>
      <c r="I164" s="236"/>
      <c r="J164" s="239">
        <f>H164/DAY(B2)</f>
        <v>6.4750000000001364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'3'!F165</f>
        <v>32597.919999999998</v>
      </c>
      <c r="F165" s="235">
        <v>32601.119999999999</v>
      </c>
      <c r="G165" s="238">
        <f t="shared" si="13"/>
        <v>3.2000000000007276</v>
      </c>
      <c r="H165" s="99">
        <f>G165+'3'!H165</f>
        <v>27.020000000000437</v>
      </c>
      <c r="I165" s="236"/>
      <c r="J165" s="239">
        <f>H165/DAY(B2)</f>
        <v>6.7550000000001091</v>
      </c>
    </row>
    <row r="166" spans="1:10" ht="26.25">
      <c r="A166" s="923"/>
      <c r="B166" s="923"/>
      <c r="C166" s="246"/>
      <c r="D166" s="244" t="s">
        <v>180</v>
      </c>
      <c r="E166" s="95">
        <f>'3'!F166</f>
        <v>0</v>
      </c>
      <c r="F166" s="165"/>
      <c r="G166" s="238">
        <f t="shared" si="13"/>
        <v>0</v>
      </c>
      <c r="H166" s="99">
        <f>G166+'3'!H166</f>
        <v>0</v>
      </c>
      <c r="I166" s="165"/>
      <c r="J166" s="327"/>
    </row>
    <row r="167" spans="1:10" ht="26.25">
      <c r="A167" s="923"/>
      <c r="B167" s="923"/>
      <c r="C167" s="246"/>
      <c r="D167" s="244" t="s">
        <v>180</v>
      </c>
      <c r="E167" s="95">
        <f>'3'!F167</f>
        <v>0</v>
      </c>
      <c r="F167" s="165"/>
      <c r="G167" s="238">
        <f t="shared" si="13"/>
        <v>0</v>
      </c>
      <c r="H167" s="99">
        <f>G167+'3'!H167</f>
        <v>0</v>
      </c>
      <c r="I167" s="165"/>
      <c r="J167" s="327"/>
    </row>
    <row r="168" spans="1:10" ht="26.25">
      <c r="A168" s="923"/>
      <c r="B168" s="923"/>
      <c r="C168" s="246"/>
      <c r="D168" s="244" t="s">
        <v>180</v>
      </c>
      <c r="E168" s="95">
        <f>'3'!F168</f>
        <v>0</v>
      </c>
      <c r="F168" s="165"/>
      <c r="G168" s="238">
        <f t="shared" si="13"/>
        <v>0</v>
      </c>
      <c r="H168" s="99">
        <f>G168+'3'!H168</f>
        <v>0</v>
      </c>
      <c r="I168" s="165"/>
      <c r="J168" s="327"/>
    </row>
    <row r="169" spans="1:10" ht="26.25"/>
    <row r="170" spans="1:10" ht="26.25"/>
    <row r="171" spans="1:10" ht="27.75">
      <c r="A171" s="933" t="s">
        <v>330</v>
      </c>
      <c r="B171" s="934"/>
      <c r="C171" s="934"/>
      <c r="D171" s="934"/>
      <c r="E171" s="934"/>
      <c r="F171" s="934"/>
      <c r="G171" s="934"/>
      <c r="H171" s="934"/>
      <c r="I171" s="934"/>
      <c r="J171" s="935"/>
    </row>
    <row r="172" spans="1:10" ht="25.5">
      <c r="A172" s="929"/>
      <c r="B172" s="930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41" t="s">
        <v>209</v>
      </c>
      <c r="B173" s="843"/>
      <c r="C173" s="333"/>
      <c r="D173" s="228" t="s">
        <v>142</v>
      </c>
      <c r="E173" s="95">
        <f>'3'!F173</f>
        <v>8592</v>
      </c>
      <c r="F173" s="155">
        <v>8593</v>
      </c>
      <c r="G173" s="155">
        <f>F173-E173</f>
        <v>1</v>
      </c>
      <c r="H173" s="99">
        <f>G173+'3'!H173</f>
        <v>9</v>
      </c>
      <c r="I173" s="155"/>
      <c r="J173" s="178">
        <f>H173/DAY(B2)</f>
        <v>2.25</v>
      </c>
    </row>
    <row r="174" spans="1:10" ht="25.5">
      <c r="A174" s="841" t="s">
        <v>75</v>
      </c>
      <c r="B174" s="843"/>
      <c r="C174" s="333"/>
      <c r="D174" s="228" t="s">
        <v>142</v>
      </c>
      <c r="E174" s="95">
        <f>'3'!F174</f>
        <v>42705</v>
      </c>
      <c r="F174" s="157">
        <v>42718</v>
      </c>
      <c r="G174" s="155">
        <f t="shared" ref="G174:G175" si="14">F174-E174</f>
        <v>13</v>
      </c>
      <c r="H174" s="99">
        <f>G174+'3'!H174</f>
        <v>49</v>
      </c>
      <c r="I174" s="155"/>
      <c r="J174" s="178">
        <f>H174/DAY(B2)</f>
        <v>12.25</v>
      </c>
    </row>
    <row r="175" spans="1:10" ht="25.5" customHeight="1">
      <c r="A175" s="841" t="s">
        <v>76</v>
      </c>
      <c r="B175" s="842"/>
      <c r="C175" s="843"/>
      <c r="D175" s="228" t="s">
        <v>142</v>
      </c>
      <c r="E175" s="95">
        <f>'3'!F175</f>
        <v>25430</v>
      </c>
      <c r="F175" s="155">
        <v>25443</v>
      </c>
      <c r="G175" s="155">
        <f t="shared" si="14"/>
        <v>13</v>
      </c>
      <c r="H175" s="99">
        <f>G175+'3'!H175</f>
        <v>50</v>
      </c>
      <c r="I175" s="155"/>
      <c r="J175" s="178">
        <f>H175/DAY(B2)</f>
        <v>12.5</v>
      </c>
    </row>
    <row r="176" spans="1:10" ht="24.75" customHeight="1">
      <c r="A176" s="861" t="s">
        <v>196</v>
      </c>
      <c r="B176" s="862"/>
      <c r="C176" s="863"/>
      <c r="D176" s="228"/>
      <c r="E176" s="95"/>
      <c r="F176" s="155"/>
      <c r="G176" s="155">
        <f>SUM(G173:G175)</f>
        <v>27</v>
      </c>
      <c r="H176" s="99">
        <f>G176+'3'!H176</f>
        <v>108</v>
      </c>
      <c r="I176" s="155"/>
      <c r="J176" s="178">
        <f>H176/DAY(B2)</f>
        <v>27</v>
      </c>
    </row>
    <row r="177" spans="1:10" ht="28.5" customHeight="1">
      <c r="A177" s="841" t="s">
        <v>77</v>
      </c>
      <c r="B177" s="843"/>
      <c r="C177" s="333"/>
      <c r="D177" s="228" t="s">
        <v>142</v>
      </c>
      <c r="E177" s="95"/>
      <c r="F177" s="155"/>
      <c r="G177" s="155"/>
      <c r="H177" s="99">
        <f>G177+'3'!H177</f>
        <v>0</v>
      </c>
      <c r="I177" s="155"/>
      <c r="J177" s="178">
        <f>H177/DAY(B2)</f>
        <v>0</v>
      </c>
    </row>
    <row r="178" spans="1:10" ht="24.75" customHeight="1">
      <c r="A178" s="841" t="s">
        <v>210</v>
      </c>
      <c r="B178" s="843"/>
      <c r="C178" s="333"/>
      <c r="D178" s="228" t="s">
        <v>142</v>
      </c>
      <c r="E178" s="95">
        <f>'3'!F178</f>
        <v>103865</v>
      </c>
      <c r="F178" s="157">
        <v>103913</v>
      </c>
      <c r="G178" s="155">
        <f>F178-E178</f>
        <v>48</v>
      </c>
      <c r="H178" s="99">
        <f>G178+'3'!H178</f>
        <v>270</v>
      </c>
      <c r="I178" s="155"/>
      <c r="J178" s="178">
        <f>H178/DAY(B2)</f>
        <v>67.5</v>
      </c>
    </row>
    <row r="179" spans="1:10" ht="24" customHeight="1">
      <c r="A179" s="841" t="s">
        <v>211</v>
      </c>
      <c r="B179" s="843"/>
      <c r="C179" s="333"/>
      <c r="D179" s="228" t="s">
        <v>142</v>
      </c>
      <c r="E179" s="95">
        <f>'3'!F179</f>
        <v>37501</v>
      </c>
      <c r="F179" s="155">
        <v>37501</v>
      </c>
      <c r="G179" s="155">
        <f t="shared" ref="G179:G180" si="15">F179-E179</f>
        <v>0</v>
      </c>
      <c r="H179" s="99">
        <f>G179+'3'!H179</f>
        <v>0</v>
      </c>
      <c r="I179" s="155"/>
      <c r="J179" s="178">
        <f>H179/DAY(B2)</f>
        <v>0</v>
      </c>
    </row>
    <row r="180" spans="1:10" ht="25.5">
      <c r="A180" s="841" t="s">
        <v>212</v>
      </c>
      <c r="B180" s="843"/>
      <c r="C180" s="333"/>
      <c r="D180" s="228" t="s">
        <v>142</v>
      </c>
      <c r="E180" s="95">
        <f>'3'!F180</f>
        <v>7428</v>
      </c>
      <c r="F180" s="155">
        <v>7428</v>
      </c>
      <c r="G180" s="155">
        <f t="shared" si="15"/>
        <v>0</v>
      </c>
      <c r="H180" s="99">
        <f>G180+'3'!H180</f>
        <v>8</v>
      </c>
      <c r="I180" s="155"/>
      <c r="J180" s="178">
        <f>H180/DAY(B2)</f>
        <v>2</v>
      </c>
    </row>
    <row r="181" spans="1:10" ht="21.95" customHeight="1">
      <c r="A181" s="861" t="s">
        <v>196</v>
      </c>
      <c r="B181" s="862"/>
      <c r="C181" s="863"/>
      <c r="D181" s="228"/>
      <c r="E181" s="95"/>
      <c r="F181" s="155"/>
      <c r="G181" s="155">
        <f>SUM(G178:G180)</f>
        <v>48</v>
      </c>
      <c r="H181" s="99">
        <f>G181+'3'!H181</f>
        <v>278</v>
      </c>
      <c r="I181" s="155"/>
      <c r="J181" s="178">
        <f>H181/DAY(B2)</f>
        <v>69.5</v>
      </c>
    </row>
    <row r="182" spans="1:10" ht="21.95" customHeight="1">
      <c r="A182" s="841" t="s">
        <v>213</v>
      </c>
      <c r="B182" s="843"/>
      <c r="C182" s="333"/>
      <c r="D182" s="228"/>
      <c r="E182" s="95"/>
      <c r="F182" s="155"/>
      <c r="G182" s="155"/>
      <c r="H182" s="99">
        <f>G182+'3'!H182</f>
        <v>0</v>
      </c>
      <c r="I182" s="155"/>
      <c r="J182" s="178">
        <f>H182/DAY(B2)</f>
        <v>0</v>
      </c>
    </row>
    <row r="183" spans="1:10" ht="25.5">
      <c r="A183" s="841" t="s">
        <v>214</v>
      </c>
      <c r="B183" s="843"/>
      <c r="C183" s="334"/>
      <c r="D183" s="228" t="s">
        <v>142</v>
      </c>
      <c r="E183" s="95">
        <f>'3'!F183</f>
        <v>18185</v>
      </c>
      <c r="F183" s="157">
        <v>18189</v>
      </c>
      <c r="G183" s="157">
        <f>F183-E183</f>
        <v>4</v>
      </c>
      <c r="H183" s="99">
        <f>G183+'3'!H183</f>
        <v>21</v>
      </c>
      <c r="I183" s="155"/>
      <c r="J183" s="178">
        <f>H183/DAY(B2)</f>
        <v>5.25</v>
      </c>
    </row>
    <row r="184" spans="1:10" ht="25.5">
      <c r="A184" s="841" t="s">
        <v>215</v>
      </c>
      <c r="B184" s="843"/>
      <c r="C184" s="334"/>
      <c r="D184" s="228" t="s">
        <v>142</v>
      </c>
      <c r="E184" s="95">
        <f>'3'!F184</f>
        <v>12779</v>
      </c>
      <c r="F184" s="157">
        <v>12786</v>
      </c>
      <c r="G184" s="157">
        <f t="shared" ref="G184:G185" si="16">F184-E184</f>
        <v>7</v>
      </c>
      <c r="H184" s="99">
        <f>G184+'3'!H184</f>
        <v>36</v>
      </c>
      <c r="I184" s="155"/>
      <c r="J184" s="178">
        <f>H184/DAY(B2)</f>
        <v>9</v>
      </c>
    </row>
    <row r="185" spans="1:10" ht="25.5">
      <c r="A185" s="841" t="s">
        <v>216</v>
      </c>
      <c r="B185" s="843"/>
      <c r="C185" s="334"/>
      <c r="D185" s="228" t="s">
        <v>142</v>
      </c>
      <c r="E185" s="95">
        <f>'3'!F185</f>
        <v>0</v>
      </c>
      <c r="F185" s="157"/>
      <c r="G185" s="157">
        <f t="shared" si="16"/>
        <v>0</v>
      </c>
      <c r="H185" s="99">
        <f>G185+'3'!H185</f>
        <v>0</v>
      </c>
      <c r="I185" s="155"/>
      <c r="J185" s="178">
        <f>H185/DAY(B2)</f>
        <v>0</v>
      </c>
    </row>
    <row r="186" spans="1:10" ht="26.25">
      <c r="A186" s="861" t="s">
        <v>196</v>
      </c>
      <c r="B186" s="862"/>
      <c r="C186" s="863"/>
      <c r="D186" s="229"/>
      <c r="E186" s="95"/>
      <c r="F186" s="157"/>
      <c r="G186" s="157">
        <f>SUM(G183:G185)</f>
        <v>11</v>
      </c>
      <c r="H186" s="99">
        <f>G186+'3'!H186</f>
        <v>57</v>
      </c>
      <c r="I186" s="157"/>
      <c r="J186" s="178">
        <f>H186/DAY(B2)</f>
        <v>14.25</v>
      </c>
    </row>
    <row r="187" spans="1:10" ht="25.5" customHeight="1">
      <c r="A187" s="931" t="s">
        <v>217</v>
      </c>
      <c r="B187" s="932"/>
      <c r="C187" s="333"/>
      <c r="D187" s="230" t="s">
        <v>142</v>
      </c>
      <c r="E187" s="95"/>
      <c r="F187" s="99"/>
      <c r="G187" s="377">
        <f>G62+G19</f>
        <v>169</v>
      </c>
      <c r="H187" s="99">
        <f>G187+'3'!H187</f>
        <v>683</v>
      </c>
      <c r="I187" s="158"/>
      <c r="J187" s="179">
        <f>H187/DAY(B2)</f>
        <v>170.75</v>
      </c>
    </row>
    <row r="188" spans="1:10" ht="25.5">
      <c r="A188" s="931" t="s">
        <v>218</v>
      </c>
      <c r="B188" s="932"/>
      <c r="C188" s="333"/>
      <c r="D188" s="230" t="s">
        <v>142</v>
      </c>
      <c r="E188" s="95"/>
      <c r="F188" s="159"/>
      <c r="G188" s="377">
        <f>G65+G66+G67+G69+G70</f>
        <v>167</v>
      </c>
      <c r="H188" s="99">
        <f>G188+'3'!H188</f>
        <v>687</v>
      </c>
      <c r="I188" s="158"/>
      <c r="J188" s="179">
        <f>H188/DAY(B2)</f>
        <v>171.75</v>
      </c>
    </row>
    <row r="189" spans="1:10" ht="25.5">
      <c r="A189" s="931" t="s">
        <v>219</v>
      </c>
      <c r="B189" s="932"/>
      <c r="C189" s="333"/>
      <c r="D189" s="230" t="s">
        <v>142</v>
      </c>
      <c r="E189" s="95"/>
      <c r="F189" s="157"/>
      <c r="G189" s="376">
        <f>G181</f>
        <v>48</v>
      </c>
      <c r="H189" s="99">
        <f>G189+'3'!H189</f>
        <v>278</v>
      </c>
      <c r="I189" s="158"/>
      <c r="J189" s="179">
        <f>H189/DAY(B2)</f>
        <v>69.5</v>
      </c>
    </row>
    <row r="190" spans="1:10" ht="25.5">
      <c r="A190" s="931"/>
      <c r="B190" s="932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6.25"/>
    <row r="192" spans="1:10" ht="26.25"/>
    <row r="193" ht="26.25"/>
    <row r="194" ht="26.25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49:C149"/>
    <mergeCell ref="A143:C143"/>
    <mergeCell ref="A144:C144"/>
    <mergeCell ref="A189:B189"/>
    <mergeCell ref="A155:C155"/>
    <mergeCell ref="A156:C156"/>
    <mergeCell ref="A150:C150"/>
    <mergeCell ref="A151:C151"/>
    <mergeCell ref="A152:C152"/>
    <mergeCell ref="A154:J154"/>
    <mergeCell ref="A153:C153"/>
    <mergeCell ref="A181:C181"/>
    <mergeCell ref="A186:C186"/>
    <mergeCell ref="A157:C157"/>
    <mergeCell ref="A158:C158"/>
    <mergeCell ref="A159:C159"/>
    <mergeCell ref="A190:B190"/>
    <mergeCell ref="A184:B184"/>
    <mergeCell ref="A185:B185"/>
    <mergeCell ref="A187:B187"/>
    <mergeCell ref="A188:B188"/>
    <mergeCell ref="A160:J160"/>
    <mergeCell ref="A166:B166"/>
    <mergeCell ref="A167:B167"/>
    <mergeCell ref="A168:B168"/>
    <mergeCell ref="A171:J171"/>
    <mergeCell ref="A177:B177"/>
    <mergeCell ref="A178:B178"/>
    <mergeCell ref="A183:B183"/>
    <mergeCell ref="A182:B182"/>
    <mergeCell ref="A179:B179"/>
    <mergeCell ref="A180:B180"/>
    <mergeCell ref="A175:C175"/>
    <mergeCell ref="A172:B172"/>
    <mergeCell ref="A173:B173"/>
    <mergeCell ref="A174:B174"/>
    <mergeCell ref="A176:C176"/>
    <mergeCell ref="A126:J126"/>
    <mergeCell ref="A127:B127"/>
    <mergeCell ref="A128:C128"/>
    <mergeCell ref="A131:C131"/>
    <mergeCell ref="A145:C145"/>
    <mergeCell ref="A146:C146"/>
    <mergeCell ref="A147:C147"/>
    <mergeCell ref="A148:C148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Q116:R116"/>
    <mergeCell ref="A117:C117"/>
    <mergeCell ref="Q117:R117"/>
    <mergeCell ref="A118:C118"/>
    <mergeCell ref="Q118:R118"/>
    <mergeCell ref="A78:C78"/>
    <mergeCell ref="A97:C97"/>
    <mergeCell ref="A98:C98"/>
    <mergeCell ref="A99:C99"/>
    <mergeCell ref="A100:C100"/>
    <mergeCell ref="A116:C116"/>
    <mergeCell ref="A93:C93"/>
    <mergeCell ref="A94:C94"/>
    <mergeCell ref="A61:C61"/>
    <mergeCell ref="A62:C62"/>
    <mergeCell ref="A63:C63"/>
    <mergeCell ref="A71:C71"/>
    <mergeCell ref="A72:B72"/>
    <mergeCell ref="A112:C112"/>
    <mergeCell ref="A113:C113"/>
    <mergeCell ref="A114:C114"/>
    <mergeCell ref="A115:C115"/>
    <mergeCell ref="A109:B109"/>
    <mergeCell ref="A108:J108"/>
    <mergeCell ref="A110:J110"/>
    <mergeCell ref="A111:C111"/>
    <mergeCell ref="A95:C95"/>
    <mergeCell ref="A96:C96"/>
    <mergeCell ref="A101:C101"/>
    <mergeCell ref="A103:C103"/>
    <mergeCell ref="A104:C104"/>
    <mergeCell ref="A105:C105"/>
    <mergeCell ref="A102:C102"/>
    <mergeCell ref="A73:C73"/>
    <mergeCell ref="A74:C74"/>
    <mergeCell ref="A75:C75"/>
    <mergeCell ref="A76:C76"/>
    <mergeCell ref="A1:J1"/>
    <mergeCell ref="A6:C6"/>
    <mergeCell ref="A14:C14"/>
    <mergeCell ref="A17:C17"/>
    <mergeCell ref="E3:F3"/>
    <mergeCell ref="A77:C77"/>
    <mergeCell ref="A79:C79"/>
    <mergeCell ref="A80:C80"/>
    <mergeCell ref="A81:C81"/>
    <mergeCell ref="A64:C64"/>
    <mergeCell ref="A65:C65"/>
    <mergeCell ref="A18:C18"/>
    <mergeCell ref="A19:C19"/>
    <mergeCell ref="A21:C21"/>
    <mergeCell ref="A25:C25"/>
    <mergeCell ref="A33:C33"/>
  </mergeCells>
  <pageMargins left="0.22" right="0.17" top="0.14000000000000001" bottom="0.2" header="0.2" footer="0.2"/>
  <pageSetup paperSize="5" scale="2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270"/>
  <sheetViews>
    <sheetView view="pageBreakPreview" zoomScale="55" zoomScaleNormal="48" zoomScaleSheetLayoutView="55" workbookViewId="0">
      <selection activeCell="G18" sqref="G18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4.3320312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867" t="s">
        <v>115</v>
      </c>
      <c r="B1" s="868"/>
      <c r="C1" s="868"/>
      <c r="D1" s="868"/>
      <c r="E1" s="868"/>
      <c r="F1" s="868"/>
      <c r="G1" s="868"/>
      <c r="H1" s="868"/>
      <c r="I1" s="868"/>
      <c r="J1" s="869"/>
    </row>
    <row r="2" spans="1:16" s="57" customFormat="1" ht="23.25">
      <c r="A2" s="191" t="s">
        <v>355</v>
      </c>
      <c r="B2" s="262">
        <v>44900</v>
      </c>
      <c r="C2" s="348" t="s">
        <v>67</v>
      </c>
      <c r="D2" s="218">
        <v>0.67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3.25">
      <c r="A3" s="189"/>
      <c r="B3" s="221"/>
      <c r="C3" s="348" t="s">
        <v>118</v>
      </c>
      <c r="D3" s="219">
        <v>29</v>
      </c>
      <c r="E3" s="876" t="s">
        <v>119</v>
      </c>
      <c r="F3" s="877"/>
      <c r="G3" s="101"/>
      <c r="H3" s="102"/>
      <c r="I3" s="102"/>
      <c r="J3" s="222"/>
      <c r="K3" s="61"/>
      <c r="L3" s="58"/>
    </row>
    <row r="4" spans="1:16" s="57" customFormat="1" ht="23.2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6.25">
      <c r="A6" s="870" t="s">
        <v>128</v>
      </c>
      <c r="B6" s="871"/>
      <c r="C6" s="872"/>
      <c r="D6" s="110"/>
      <c r="E6" s="110"/>
      <c r="F6" s="110"/>
      <c r="G6" s="110"/>
      <c r="H6" s="111"/>
      <c r="I6" s="111"/>
      <c r="J6" s="174"/>
      <c r="K6" s="78"/>
      <c r="L6" s="66"/>
    </row>
    <row r="7" spans="1:16" ht="27" thickBot="1">
      <c r="A7" s="194" t="s">
        <v>129</v>
      </c>
      <c r="B7" s="195"/>
      <c r="C7" s="195"/>
      <c r="D7" s="151" t="s">
        <v>130</v>
      </c>
      <c r="E7" s="95">
        <f>'4'!F7</f>
        <v>364255</v>
      </c>
      <c r="F7" s="95">
        <v>388033</v>
      </c>
      <c r="G7" s="112">
        <f>F7-E7</f>
        <v>23778</v>
      </c>
      <c r="H7" s="99">
        <f>G7+'4'!H7</f>
        <v>114350.45000000001</v>
      </c>
      <c r="I7" s="113">
        <f>'1'!I7</f>
        <v>12000</v>
      </c>
      <c r="J7" s="175">
        <f>H7/DAY(B2)</f>
        <v>22870.090000000004</v>
      </c>
      <c r="K7" s="172">
        <v>1375467</v>
      </c>
      <c r="L7" s="66"/>
      <c r="N7" s="87"/>
      <c r="O7" s="71"/>
    </row>
    <row r="8" spans="1:16" ht="27" thickBot="1">
      <c r="A8" s="196" t="s">
        <v>131</v>
      </c>
      <c r="B8" s="197"/>
      <c r="C8" s="198"/>
      <c r="D8" s="224" t="s">
        <v>24</v>
      </c>
      <c r="E8" s="95">
        <f>'4'!F8</f>
        <v>542176</v>
      </c>
      <c r="F8" s="114">
        <v>566146</v>
      </c>
      <c r="G8" s="115">
        <f>F8-E8</f>
        <v>23970</v>
      </c>
      <c r="H8" s="99">
        <f>G8+'4'!H8</f>
        <v>114885</v>
      </c>
      <c r="I8" s="116"/>
      <c r="J8" s="175">
        <f>H8/DAY(B2)</f>
        <v>22977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6.25">
      <c r="A9" s="199" t="s">
        <v>132</v>
      </c>
      <c r="B9" s="200"/>
      <c r="C9" s="200"/>
      <c r="D9" s="151" t="s">
        <v>130</v>
      </c>
      <c r="E9" s="95">
        <f>'4'!F9</f>
        <v>4140025.5</v>
      </c>
      <c r="F9" s="117">
        <v>4146480</v>
      </c>
      <c r="G9" s="112">
        <f>F9-E9</f>
        <v>6454.5</v>
      </c>
      <c r="H9" s="99">
        <f>G9+'4'!H9</f>
        <v>32309.700000000186</v>
      </c>
      <c r="I9" s="124">
        <f>I7-J7</f>
        <v>-10870.090000000004</v>
      </c>
      <c r="J9" s="175">
        <f>H9/DAY(B2)</f>
        <v>6461.9400000000369</v>
      </c>
      <c r="K9" s="79">
        <f>K8-100</f>
        <v>1715817</v>
      </c>
      <c r="L9" s="66"/>
      <c r="N9" s="87"/>
      <c r="O9" s="71"/>
      <c r="P9" s="71">
        <f>G7-G8</f>
        <v>-192</v>
      </c>
    </row>
    <row r="10" spans="1:16" ht="26.25">
      <c r="A10" s="194" t="s">
        <v>133</v>
      </c>
      <c r="B10" s="195"/>
      <c r="C10" s="195"/>
      <c r="D10" s="151" t="s">
        <v>130</v>
      </c>
      <c r="E10" s="95">
        <f>'4'!F10</f>
        <v>3751937.9</v>
      </c>
      <c r="F10" s="117">
        <v>3768424</v>
      </c>
      <c r="G10" s="112">
        <f t="shared" ref="G10:G12" si="0">F10-E10</f>
        <v>16486.100000000093</v>
      </c>
      <c r="H10" s="99">
        <f>G10+'4'!H10</f>
        <v>78944.899999999907</v>
      </c>
      <c r="I10" s="282"/>
      <c r="J10" s="175">
        <f>H10/DAY(B2)</f>
        <v>15788.979999999981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'4'!F11</f>
        <v>38120</v>
      </c>
      <c r="F11" s="95">
        <v>38120</v>
      </c>
      <c r="G11" s="112">
        <f t="shared" si="0"/>
        <v>0</v>
      </c>
      <c r="H11" s="99">
        <f>G11+'4'!H11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'4'!F12</f>
        <v>40390</v>
      </c>
      <c r="F12" s="117">
        <v>40390</v>
      </c>
      <c r="G12" s="112">
        <f t="shared" si="0"/>
        <v>0</v>
      </c>
      <c r="H12" s="99">
        <f>G12+'4'!H12</f>
        <v>0</v>
      </c>
      <c r="I12" s="282"/>
      <c r="J12" s="175">
        <f>H12/DAY(B2)</f>
        <v>0</v>
      </c>
      <c r="K12" s="79"/>
      <c r="L12" s="66"/>
      <c r="N12" s="87"/>
      <c r="O12" s="71"/>
      <c r="P12" s="71">
        <f>G13-G7</f>
        <v>-837.39999999990687</v>
      </c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22940.600000000093</v>
      </c>
      <c r="H13" s="99">
        <f>G13+'4'!H13</f>
        <v>115483.29999999981</v>
      </c>
      <c r="I13" s="120">
        <f>G7-G13</f>
        <v>837.39999999990687</v>
      </c>
      <c r="J13" s="175">
        <f>H13/DAY(B2)</f>
        <v>23096.659999999963</v>
      </c>
      <c r="K13" s="79"/>
      <c r="L13" s="66"/>
      <c r="N13" s="87"/>
      <c r="O13" s="71"/>
    </row>
    <row r="14" spans="1:16" ht="26.25">
      <c r="A14" s="873" t="s">
        <v>137</v>
      </c>
      <c r="B14" s="874"/>
      <c r="C14" s="87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5" t="s">
        <v>138</v>
      </c>
      <c r="B15" s="205"/>
      <c r="C15" s="205"/>
      <c r="D15" s="151" t="s">
        <v>139</v>
      </c>
      <c r="E15" s="95">
        <f>'4'!F15</f>
        <v>2223252.7000000002</v>
      </c>
      <c r="F15" s="468">
        <v>2224356</v>
      </c>
      <c r="G15" s="112">
        <f>(F15-E15)</f>
        <v>1103.2999999998137</v>
      </c>
      <c r="H15" s="99">
        <f>G15+'4'!H15</f>
        <v>5415</v>
      </c>
      <c r="I15" s="113">
        <f>'1'!I15</f>
        <v>800</v>
      </c>
      <c r="J15" s="175">
        <f>H15/DAY(B2)</f>
        <v>1083</v>
      </c>
      <c r="K15" s="79"/>
      <c r="L15" s="66"/>
      <c r="N15" s="87"/>
      <c r="O15" s="71"/>
    </row>
    <row r="16" spans="1:16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-283</v>
      </c>
      <c r="J16" s="176"/>
      <c r="K16" s="79"/>
      <c r="L16" s="66"/>
      <c r="N16" s="87"/>
      <c r="O16" s="71"/>
    </row>
    <row r="17" spans="1:15" ht="26.25">
      <c r="A17" s="873" t="s">
        <v>140</v>
      </c>
      <c r="B17" s="874"/>
      <c r="C17" s="87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64" t="s">
        <v>141</v>
      </c>
      <c r="B18" s="865"/>
      <c r="C18" s="866"/>
      <c r="D18" s="151" t="s">
        <v>142</v>
      </c>
      <c r="E18" s="95">
        <f>'4'!F18</f>
        <v>21</v>
      </c>
      <c r="F18" s="122">
        <v>25</v>
      </c>
      <c r="G18" s="119">
        <f>F18*10</f>
        <v>250</v>
      </c>
      <c r="H18" s="99">
        <f>G18+'4'!H18</f>
        <v>1240</v>
      </c>
      <c r="I18" s="113">
        <f>'1'!I18</f>
        <v>65</v>
      </c>
      <c r="J18" s="175">
        <f>H18/DAY(B2)</f>
        <v>248</v>
      </c>
      <c r="K18" s="79"/>
      <c r="L18" s="66"/>
      <c r="N18" s="87"/>
      <c r="O18" s="71"/>
    </row>
    <row r="19" spans="1:15" ht="25.5">
      <c r="A19" s="864" t="s">
        <v>69</v>
      </c>
      <c r="B19" s="865"/>
      <c r="C19" s="866"/>
      <c r="D19" s="151" t="s">
        <v>142</v>
      </c>
      <c r="E19" s="95">
        <f>'4'!F19</f>
        <v>168181</v>
      </c>
      <c r="F19" s="122">
        <v>168242</v>
      </c>
      <c r="G19" s="112">
        <f t="shared" ref="G19" si="1">F19-E19</f>
        <v>61</v>
      </c>
      <c r="H19" s="99">
        <f>G19+'4'!H19</f>
        <v>282</v>
      </c>
      <c r="I19" s="335"/>
      <c r="J19" s="175">
        <f>H19/DAY(B2)</f>
        <v>56.4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311</v>
      </c>
      <c r="H20" s="99">
        <f>G20+'4'!H20</f>
        <v>1522</v>
      </c>
      <c r="I20" s="336">
        <f>I18-J20</f>
        <v>-239.39999999999998</v>
      </c>
      <c r="J20" s="175">
        <f>H20/DAY(B2)</f>
        <v>304.39999999999998</v>
      </c>
      <c r="K20" s="79"/>
      <c r="L20" s="66"/>
      <c r="N20" s="87"/>
      <c r="O20" s="71"/>
    </row>
    <row r="21" spans="1:15" ht="26.25">
      <c r="A21" s="873" t="s">
        <v>144</v>
      </c>
      <c r="B21" s="874"/>
      <c r="C21" s="87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'4'!F22</f>
        <v>2970</v>
      </c>
      <c r="F22" s="122">
        <v>2970</v>
      </c>
      <c r="G22" s="119">
        <f t="shared" ref="G22" si="2">(F22-E22)</f>
        <v>0</v>
      </c>
      <c r="H22" s="99">
        <f>G22+'4'!H22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'4'!F23</f>
        <v>1500</v>
      </c>
      <c r="F23" s="122">
        <v>1500</v>
      </c>
      <c r="G23" s="119">
        <v>0</v>
      </c>
      <c r="H23" s="99">
        <f>G23+'4'!H23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'4'!F24</f>
        <v>4970</v>
      </c>
      <c r="F24" s="128">
        <v>4970</v>
      </c>
      <c r="G24" s="119">
        <v>0</v>
      </c>
      <c r="H24" s="99">
        <f>G24+'4'!H24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78" t="s">
        <v>149</v>
      </c>
      <c r="B25" s="879"/>
      <c r="C25" s="88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23970</v>
      </c>
      <c r="F27" s="136">
        <v>9</v>
      </c>
      <c r="G27" s="137">
        <f>E27*F27</f>
        <v>215730</v>
      </c>
      <c r="H27" s="99">
        <f>G27+'4'!H27</f>
        <v>1056555.8</v>
      </c>
      <c r="I27" s="138"/>
      <c r="J27" s="175">
        <f>H27/DAY(B2)</f>
        <v>211311.16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1103.2999999998137</v>
      </c>
      <c r="F28" s="136">
        <v>70</v>
      </c>
      <c r="G28" s="137">
        <f>E28*F28</f>
        <v>77230.999999986961</v>
      </c>
      <c r="H28" s="99">
        <f>G28+'4'!H28</f>
        <v>389561.75000000047</v>
      </c>
      <c r="I28" s="140"/>
      <c r="J28" s="175">
        <f>H28/DAY(B2)</f>
        <v>77912.350000000093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61</v>
      </c>
      <c r="F30" s="136">
        <v>151</v>
      </c>
      <c r="G30" s="137">
        <f>E30*F30</f>
        <v>9211</v>
      </c>
      <c r="H30" s="99">
        <f>G30+'4'!H30</f>
        <v>42582</v>
      </c>
      <c r="I30" s="140"/>
      <c r="J30" s="175">
        <f>H30/DAY(B2)</f>
        <v>8516.4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250</v>
      </c>
      <c r="F31" s="136">
        <v>80</v>
      </c>
      <c r="G31" s="137">
        <f>E31*F31</f>
        <v>20000</v>
      </c>
      <c r="H31" s="99">
        <f>G31+'4'!H31</f>
        <v>99200</v>
      </c>
      <c r="I31" s="140"/>
      <c r="J31" s="175">
        <f>H31/DAY(B2)</f>
        <v>19840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322171.99999998696</v>
      </c>
      <c r="H32" s="99">
        <f>G32+'4'!H32</f>
        <v>1587899.5500000003</v>
      </c>
      <c r="I32" s="144"/>
      <c r="J32" s="175">
        <f>H32/DAY(B2)</f>
        <v>317579.91000000003</v>
      </c>
      <c r="K32" s="63"/>
      <c r="L32" s="89"/>
      <c r="N32" s="87"/>
      <c r="O32" s="71"/>
    </row>
    <row r="33" spans="1:15" ht="25.5" customHeight="1">
      <c r="A33" s="881" t="s">
        <v>331</v>
      </c>
      <c r="B33" s="882"/>
      <c r="C33" s="88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'4'!F35</f>
        <v>380552.87</v>
      </c>
      <c r="F35" s="145">
        <v>383405</v>
      </c>
      <c r="G35" s="112">
        <f t="shared" ref="G35:G46" si="3">F35-E35</f>
        <v>2852.1300000000047</v>
      </c>
      <c r="H35" s="99">
        <f>G35+'4'!H35</f>
        <v>14308.090000000026</v>
      </c>
      <c r="I35" s="95"/>
      <c r="J35" s="175">
        <f>H35/DAY(B2)</f>
        <v>2861.6180000000049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'4'!F36</f>
        <v>326745.51</v>
      </c>
      <c r="F36" s="145">
        <v>327946</v>
      </c>
      <c r="G36" s="112">
        <f t="shared" si="3"/>
        <v>1200.4899999999907</v>
      </c>
      <c r="H36" s="99">
        <f>G36+'4'!H36</f>
        <v>5728.890000000014</v>
      </c>
      <c r="I36" s="95"/>
      <c r="J36" s="175">
        <f>H36/DAY(B2)</f>
        <v>1145.7780000000027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'4'!F37</f>
        <v>322998.69</v>
      </c>
      <c r="F37" s="145">
        <v>322998.69</v>
      </c>
      <c r="G37" s="112">
        <f t="shared" si="3"/>
        <v>0</v>
      </c>
      <c r="H37" s="99">
        <f>G37+'4'!H37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'4'!F38</f>
        <v>745455.19</v>
      </c>
      <c r="F38" s="108">
        <v>747724</v>
      </c>
      <c r="G38" s="112">
        <f t="shared" si="3"/>
        <v>2268.8100000000559</v>
      </c>
      <c r="H38" s="99">
        <f>G38+'4'!H38</f>
        <v>11871.609999999986</v>
      </c>
      <c r="I38" s="95"/>
      <c r="J38" s="175">
        <f>H38/DAY(B2)</f>
        <v>2374.3219999999974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'4'!F39</f>
        <v>591584.18999999994</v>
      </c>
      <c r="F39" s="145">
        <v>591584</v>
      </c>
      <c r="G39" s="112">
        <f t="shared" si="3"/>
        <v>-0.18999999994412065</v>
      </c>
      <c r="H39" s="99">
        <f>G39+'4'!H39</f>
        <v>-0.18999999994412065</v>
      </c>
      <c r="I39" s="95"/>
      <c r="J39" s="175">
        <f>H39/DAY(B2)</f>
        <v>-3.7999999988824126E-2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'4'!F40</f>
        <v>198400.08</v>
      </c>
      <c r="F40" s="145">
        <v>198814</v>
      </c>
      <c r="G40" s="112">
        <f t="shared" si="3"/>
        <v>413.92000000001281</v>
      </c>
      <c r="H40" s="99">
        <f>G40+'4'!H40</f>
        <v>2084.0299999999988</v>
      </c>
      <c r="I40" s="95"/>
      <c r="J40" s="175">
        <f>H40/DAY(B2)</f>
        <v>416.80599999999976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'4'!F41</f>
        <v>419167.59</v>
      </c>
      <c r="F41" s="145">
        <v>419168</v>
      </c>
      <c r="G41" s="112">
        <f t="shared" si="3"/>
        <v>0.40999999997438863</v>
      </c>
      <c r="H41" s="99">
        <f>G41+'4'!H41</f>
        <v>0.40999999997438863</v>
      </c>
      <c r="I41" s="95"/>
      <c r="J41" s="175">
        <f>H41/DAY(B2)</f>
        <v>8.1999999994877726E-2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'4'!F42</f>
        <v>871870.8</v>
      </c>
      <c r="F42" s="145">
        <v>871871</v>
      </c>
      <c r="G42" s="112">
        <f t="shared" si="3"/>
        <v>0.19999999995343387</v>
      </c>
      <c r="H42" s="99">
        <f>G42+'4'!H42</f>
        <v>0.13000000000465661</v>
      </c>
      <c r="I42" s="95"/>
      <c r="J42" s="175">
        <f>H42/DAY(B2)</f>
        <v>2.6000000000931323E-2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'4'!F43</f>
        <v>407028</v>
      </c>
      <c r="F43" s="145">
        <v>407028</v>
      </c>
      <c r="G43" s="112">
        <f t="shared" si="3"/>
        <v>0</v>
      </c>
      <c r="H43" s="99">
        <f>G43+'4'!H43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'4'!F44</f>
        <v>0</v>
      </c>
      <c r="F44" s="145">
        <v>0</v>
      </c>
      <c r="G44" s="112">
        <f t="shared" si="3"/>
        <v>0</v>
      </c>
      <c r="H44" s="99">
        <f>G44+'4'!H44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'4'!F45</f>
        <v>0</v>
      </c>
      <c r="F45" s="145">
        <v>0</v>
      </c>
      <c r="G45" s="112">
        <f t="shared" si="3"/>
        <v>0</v>
      </c>
      <c r="H45" s="99">
        <f>G45+'4'!H45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'4'!F46</f>
        <v>0</v>
      </c>
      <c r="F46" s="145">
        <v>0</v>
      </c>
      <c r="G46" s="112">
        <f t="shared" si="3"/>
        <v>0</v>
      </c>
      <c r="H46" s="99">
        <f>G46+'4'!H46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6735.7700000000477</v>
      </c>
      <c r="H47" s="99">
        <f>G47+'4'!H47</f>
        <v>33992.970000000059</v>
      </c>
      <c r="I47" s="95"/>
      <c r="J47" s="175">
        <f>H47/DAY(B2)</f>
        <v>6798.5940000000119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'4'!F49</f>
        <v>795154.31</v>
      </c>
      <c r="F49" s="145">
        <v>795483</v>
      </c>
      <c r="G49" s="112">
        <f t="shared" ref="G49:G58" si="4">F49-E49</f>
        <v>328.68999999994412</v>
      </c>
      <c r="H49" s="99">
        <f>G49+'4'!H49</f>
        <v>1860.0500000000466</v>
      </c>
      <c r="I49" s="95"/>
      <c r="J49" s="175">
        <f>H49/DAY(B2)</f>
        <v>372.01000000000931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'4'!F50</f>
        <v>463127.5</v>
      </c>
      <c r="F50" s="145">
        <v>464724</v>
      </c>
      <c r="G50" s="112">
        <f t="shared" si="4"/>
        <v>1596.5</v>
      </c>
      <c r="H50" s="99">
        <f>G50+'4'!H50</f>
        <v>8054.929999999993</v>
      </c>
      <c r="I50" s="95"/>
      <c r="J50" s="175">
        <f>H50/DAY(B2)</f>
        <v>1610.9859999999985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'4'!F51</f>
        <v>139445.43</v>
      </c>
      <c r="F51" s="145">
        <v>140528</v>
      </c>
      <c r="G51" s="112">
        <f t="shared" si="4"/>
        <v>1082.570000000007</v>
      </c>
      <c r="H51" s="99">
        <f>G51+'4'!H51</f>
        <v>5283.4500000000116</v>
      </c>
      <c r="I51" s="95"/>
      <c r="J51" s="175">
        <f>H51/DAY(B2)</f>
        <v>1056.6900000000023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'4'!F52</f>
        <v>9.75</v>
      </c>
      <c r="F52" s="145">
        <v>9.76</v>
      </c>
      <c r="G52" s="112">
        <f t="shared" si="4"/>
        <v>9.9999999999997868E-3</v>
      </c>
      <c r="H52" s="99">
        <f>G52+'4'!H52</f>
        <v>-0.24000000000000021</v>
      </c>
      <c r="I52" s="95"/>
      <c r="J52" s="175">
        <f>H52/DAY(B2)</f>
        <v>-4.8000000000000043E-2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'4'!F53</f>
        <v>563096.94999999995</v>
      </c>
      <c r="F53" s="145">
        <v>567044</v>
      </c>
      <c r="G53" s="112">
        <f t="shared" si="4"/>
        <v>3947.0500000000466</v>
      </c>
      <c r="H53" s="99">
        <f>G53+'4'!H53</f>
        <v>20502.729999999981</v>
      </c>
      <c r="I53" s="95"/>
      <c r="J53" s="175">
        <f>H53/DAY(B2)</f>
        <v>4100.5459999999966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'4'!F54</f>
        <v>108323.24</v>
      </c>
      <c r="F54" s="145">
        <v>108478</v>
      </c>
      <c r="G54" s="112">
        <f t="shared" si="4"/>
        <v>154.75999999999476</v>
      </c>
      <c r="H54" s="99">
        <f>G54+'4'!H54</f>
        <v>814.83999999999651</v>
      </c>
      <c r="I54" s="95"/>
      <c r="J54" s="175">
        <f>H54/DAY(B2)</f>
        <v>162.96799999999931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'4'!F55</f>
        <v>561484.67000000004</v>
      </c>
      <c r="F55" s="145">
        <v>561917</v>
      </c>
      <c r="G55" s="112">
        <f t="shared" si="4"/>
        <v>432.32999999995809</v>
      </c>
      <c r="H55" s="99">
        <f>G55+'4'!H55</f>
        <v>432.32999999995809</v>
      </c>
      <c r="I55" s="95"/>
      <c r="J55" s="175">
        <f>H55/DAY(B2)</f>
        <v>86.465999999991624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'4'!F56</f>
        <v>282127.09000000003</v>
      </c>
      <c r="F56" s="145">
        <v>285919</v>
      </c>
      <c r="G56" s="112">
        <f t="shared" si="4"/>
        <v>3791.9099999999744</v>
      </c>
      <c r="H56" s="99">
        <f>G56+'4'!H56</f>
        <v>17803.989999999991</v>
      </c>
      <c r="I56" s="95"/>
      <c r="J56" s="175">
        <f>H56/DAY(B2)</f>
        <v>3560.797999999998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'4'!F57</f>
        <v>578258.27</v>
      </c>
      <c r="F57" s="145">
        <v>580702</v>
      </c>
      <c r="G57" s="112">
        <f t="shared" si="4"/>
        <v>2443.7299999999814</v>
      </c>
      <c r="H57" s="99">
        <f>G57+'4'!H57</f>
        <v>12123.530000000028</v>
      </c>
      <c r="I57" s="95"/>
      <c r="J57" s="175">
        <f>H57/DAY(B2)</f>
        <v>2424.7060000000056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'4'!F58</f>
        <v>79725.27</v>
      </c>
      <c r="F58" s="145">
        <v>79959</v>
      </c>
      <c r="G58" s="112">
        <f t="shared" si="4"/>
        <v>233.72999999999593</v>
      </c>
      <c r="H58" s="99">
        <f>G58+'4'!H58</f>
        <v>1243.3099999999977</v>
      </c>
      <c r="I58" s="95"/>
      <c r="J58" s="175">
        <f>H58/DAY(B2)</f>
        <v>248.66199999999952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14011.279999999902</v>
      </c>
      <c r="H59" s="99">
        <f>G59+'4'!H59</f>
        <v>68118.92</v>
      </c>
      <c r="I59" s="95">
        <f>G7-G60</f>
        <v>3030.950000000048</v>
      </c>
      <c r="J59" s="175">
        <f>H59/DAY(B2)</f>
        <v>13623.784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20747.049999999952</v>
      </c>
      <c r="H60" s="99">
        <f>G60+'4'!H60</f>
        <v>102111.89000000007</v>
      </c>
      <c r="I60" s="95">
        <f>G13-G60</f>
        <v>2193.5500000001412</v>
      </c>
      <c r="J60" s="175">
        <f>H60/DAY(B2)</f>
        <v>20422.378000000015</v>
      </c>
      <c r="K60" s="79"/>
      <c r="L60" s="66"/>
      <c r="N60" s="87"/>
      <c r="O60" s="71"/>
    </row>
    <row r="61" spans="1:15" s="68" customFormat="1" ht="26.25">
      <c r="A61" s="883" t="s">
        <v>332</v>
      </c>
      <c r="B61" s="884"/>
      <c r="C61" s="88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64" t="s">
        <v>198</v>
      </c>
      <c r="B62" s="865"/>
      <c r="C62" s="866"/>
      <c r="D62" s="151" t="s">
        <v>142</v>
      </c>
      <c r="E62" s="95">
        <f>'4'!F62</f>
        <v>308776</v>
      </c>
      <c r="F62" s="122">
        <v>308872</v>
      </c>
      <c r="G62" s="112">
        <f t="shared" ref="G62:G63" si="5">F62-E62</f>
        <v>96</v>
      </c>
      <c r="H62" s="99">
        <f>G62+'4'!H62</f>
        <v>558</v>
      </c>
      <c r="I62" s="118"/>
      <c r="J62" s="175">
        <f>H62/DAY(B2)</f>
        <v>111.6</v>
      </c>
      <c r="K62" s="80"/>
      <c r="L62" s="66"/>
      <c r="N62" s="87"/>
      <c r="O62" s="71"/>
    </row>
    <row r="63" spans="1:15" ht="25.5">
      <c r="A63" s="864" t="s">
        <v>199</v>
      </c>
      <c r="B63" s="865"/>
      <c r="C63" s="866"/>
      <c r="D63" s="151" t="s">
        <v>142</v>
      </c>
      <c r="E63" s="95">
        <f>'4'!F63</f>
        <v>247183</v>
      </c>
      <c r="F63" s="122">
        <v>247231</v>
      </c>
      <c r="G63" s="112">
        <f t="shared" si="5"/>
        <v>48</v>
      </c>
      <c r="H63" s="99">
        <f>G63+'4'!H63</f>
        <v>302</v>
      </c>
      <c r="I63" s="118"/>
      <c r="J63" s="175">
        <f>H63/DAY(B2)</f>
        <v>60.4</v>
      </c>
      <c r="K63" s="69"/>
      <c r="L63" s="66"/>
      <c r="N63" s="87"/>
      <c r="O63" s="71"/>
    </row>
    <row r="64" spans="1:15" ht="26.25">
      <c r="A64" s="861" t="s">
        <v>200</v>
      </c>
      <c r="B64" s="862"/>
      <c r="C64" s="863"/>
      <c r="D64" s="151"/>
      <c r="E64" s="95">
        <f>'4'!F64</f>
        <v>0</v>
      </c>
      <c r="F64" s="122"/>
      <c r="G64" s="112">
        <f>G62+G63</f>
        <v>144</v>
      </c>
      <c r="H64" s="99">
        <f>G64+'4'!H64</f>
        <v>860</v>
      </c>
      <c r="I64" s="118"/>
      <c r="J64" s="175">
        <f>H64/DAY(B2)</f>
        <v>172</v>
      </c>
      <c r="K64" s="69"/>
      <c r="L64" s="66"/>
      <c r="N64" s="87"/>
      <c r="O64" s="71"/>
    </row>
    <row r="65" spans="1:15" ht="25.5">
      <c r="A65" s="864" t="s">
        <v>201</v>
      </c>
      <c r="B65" s="865"/>
      <c r="C65" s="866"/>
      <c r="D65" s="151" t="s">
        <v>142</v>
      </c>
      <c r="E65" s="95">
        <f>'4'!F65</f>
        <v>468399</v>
      </c>
      <c r="F65" s="122">
        <v>468527</v>
      </c>
      <c r="G65" s="112">
        <f t="shared" ref="G65:G70" si="6">F65-E65</f>
        <v>128</v>
      </c>
      <c r="H65" s="99">
        <f>G65+'4'!H65</f>
        <v>626</v>
      </c>
      <c r="I65" s="118"/>
      <c r="J65" s="175">
        <f>H65/DAY(B2)</f>
        <v>125.2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'4'!F66</f>
        <v>113240</v>
      </c>
      <c r="F66" s="122">
        <v>113247</v>
      </c>
      <c r="G66" s="112">
        <f t="shared" si="6"/>
        <v>7</v>
      </c>
      <c r="H66" s="99">
        <f>G66+'4'!H66</f>
        <v>55</v>
      </c>
      <c r="I66" s="118"/>
      <c r="J66" s="175">
        <f>H66/DAY(B2)</f>
        <v>11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'4'!F67</f>
        <v>115948</v>
      </c>
      <c r="F67" s="122">
        <v>115962</v>
      </c>
      <c r="G67" s="112">
        <f t="shared" si="6"/>
        <v>14</v>
      </c>
      <c r="H67" s="99">
        <f>G67+'4'!H67</f>
        <v>107</v>
      </c>
      <c r="I67" s="118"/>
      <c r="J67" s="175">
        <f>H67/DAY(B2)</f>
        <v>21.4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'4'!F68</f>
        <v>168648</v>
      </c>
      <c r="F68" s="122">
        <v>168666</v>
      </c>
      <c r="G68" s="112">
        <f t="shared" si="6"/>
        <v>18</v>
      </c>
      <c r="H68" s="99">
        <f>G68+'4'!H68</f>
        <v>159</v>
      </c>
      <c r="I68" s="118"/>
      <c r="J68" s="175">
        <f>H68/DAY(B2)</f>
        <v>31.8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'4'!F69</f>
        <v>12825</v>
      </c>
      <c r="F69" s="122">
        <v>12828</v>
      </c>
      <c r="G69" s="112">
        <f t="shared" si="6"/>
        <v>3</v>
      </c>
      <c r="H69" s="99">
        <f>G69+'4'!H69</f>
        <v>18</v>
      </c>
      <c r="I69" s="118"/>
      <c r="J69" s="175">
        <f>H69/DAY(B2)</f>
        <v>3.6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'4'!F70</f>
        <v>10812</v>
      </c>
      <c r="F70" s="122">
        <v>10817</v>
      </c>
      <c r="G70" s="112">
        <f t="shared" si="6"/>
        <v>5</v>
      </c>
      <c r="H70" s="99">
        <f>G70+'4'!H70</f>
        <v>38</v>
      </c>
      <c r="I70" s="118"/>
      <c r="J70" s="175">
        <f>H70/DAY(B2)</f>
        <v>7.6</v>
      </c>
      <c r="K70" s="69"/>
      <c r="L70" s="66"/>
      <c r="N70" s="87"/>
      <c r="O70" s="71"/>
    </row>
    <row r="71" spans="1:15" ht="26.25">
      <c r="A71" s="861" t="s">
        <v>208</v>
      </c>
      <c r="B71" s="862"/>
      <c r="C71" s="863"/>
      <c r="D71" s="152"/>
      <c r="E71" s="152"/>
      <c r="F71" s="152"/>
      <c r="G71" s="153">
        <f>SUM(G65:G70)</f>
        <v>175</v>
      </c>
      <c r="H71" s="99">
        <f>G71+'4'!H71</f>
        <v>1003</v>
      </c>
      <c r="I71" s="154"/>
      <c r="J71" s="175">
        <f>H71/DAY(B2)</f>
        <v>200.6</v>
      </c>
      <c r="K71" s="69"/>
      <c r="L71" s="66"/>
      <c r="N71" s="87"/>
      <c r="O71" s="71"/>
    </row>
    <row r="72" spans="1:15" s="88" customFormat="1" ht="25.5">
      <c r="A72" s="904"/>
      <c r="B72" s="89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09" t="s">
        <v>333</v>
      </c>
      <c r="B73" s="910"/>
      <c r="C73" s="91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64" t="s">
        <v>220</v>
      </c>
      <c r="B74" s="865"/>
      <c r="C74" s="866"/>
      <c r="D74" s="151" t="s">
        <v>139</v>
      </c>
      <c r="E74" s="95">
        <f>'4'!F74</f>
        <v>994527.3</v>
      </c>
      <c r="F74" s="123">
        <v>994830</v>
      </c>
      <c r="G74" s="112">
        <f t="shared" ref="G74:G78" si="7">F74-E74</f>
        <v>302.69999999995343</v>
      </c>
      <c r="H74" s="99">
        <f>G74+'4'!H74</f>
        <v>1470.9699999999721</v>
      </c>
      <c r="I74" s="154"/>
      <c r="J74" s="175">
        <f>H74/DAY(B2)</f>
        <v>294.19399999999439</v>
      </c>
      <c r="K74" s="69"/>
      <c r="L74" s="66"/>
      <c r="N74" s="87"/>
      <c r="O74" s="71"/>
    </row>
    <row r="75" spans="1:15" ht="25.5">
      <c r="A75" s="864" t="s">
        <v>221</v>
      </c>
      <c r="B75" s="865"/>
      <c r="C75" s="866"/>
      <c r="D75" s="151" t="s">
        <v>139</v>
      </c>
      <c r="E75" s="95">
        <f>'4'!F75</f>
        <v>73586.8</v>
      </c>
      <c r="F75" s="123">
        <v>73586.8</v>
      </c>
      <c r="G75" s="112">
        <f t="shared" si="7"/>
        <v>0</v>
      </c>
      <c r="H75" s="99">
        <f>G75+'4'!H75</f>
        <v>0.80000000000291038</v>
      </c>
      <c r="I75" s="154"/>
      <c r="J75" s="175">
        <f>H75/DAY(B2)</f>
        <v>0.16000000000058207</v>
      </c>
      <c r="K75" s="69"/>
      <c r="L75" s="66"/>
      <c r="N75" s="87"/>
      <c r="O75" s="71"/>
    </row>
    <row r="76" spans="1:15" ht="25.5">
      <c r="A76" s="905" t="s">
        <v>222</v>
      </c>
      <c r="B76" s="891"/>
      <c r="C76" s="892"/>
      <c r="D76" s="151" t="s">
        <v>139</v>
      </c>
      <c r="E76" s="95">
        <f>'4'!F76</f>
        <v>204223</v>
      </c>
      <c r="F76" s="123">
        <v>204369</v>
      </c>
      <c r="G76" s="112">
        <f t="shared" si="7"/>
        <v>146</v>
      </c>
      <c r="H76" s="99">
        <f>G76+'4'!H76</f>
        <v>707</v>
      </c>
      <c r="I76" s="154"/>
      <c r="J76" s="175">
        <f>H76/DAY(B2)</f>
        <v>141.4</v>
      </c>
      <c r="K76" s="69"/>
      <c r="L76" s="66"/>
      <c r="N76" s="87"/>
      <c r="O76" s="71"/>
    </row>
    <row r="77" spans="1:15" ht="25.5">
      <c r="A77" s="905" t="s">
        <v>223</v>
      </c>
      <c r="B77" s="891"/>
      <c r="C77" s="892"/>
      <c r="D77" s="151" t="s">
        <v>139</v>
      </c>
      <c r="E77" s="95">
        <f>'4'!F77</f>
        <v>56718</v>
      </c>
      <c r="F77" s="123">
        <v>56794</v>
      </c>
      <c r="G77" s="112">
        <f t="shared" si="7"/>
        <v>76</v>
      </c>
      <c r="H77" s="99">
        <f>G77+'4'!H77</f>
        <v>272</v>
      </c>
      <c r="I77" s="154"/>
      <c r="J77" s="175">
        <f>H77/DAY(B2)</f>
        <v>54.4</v>
      </c>
      <c r="K77" s="69"/>
      <c r="L77" s="66"/>
      <c r="N77" s="87"/>
      <c r="O77" s="71"/>
    </row>
    <row r="78" spans="1:15" ht="25.5">
      <c r="A78" s="905" t="s">
        <v>224</v>
      </c>
      <c r="B78" s="891"/>
      <c r="C78" s="892"/>
      <c r="D78" s="151" t="s">
        <v>139</v>
      </c>
      <c r="E78" s="95">
        <f>'4'!F78</f>
        <v>9563</v>
      </c>
      <c r="F78" s="123">
        <v>9563.4</v>
      </c>
      <c r="G78" s="112">
        <f t="shared" si="7"/>
        <v>0.3999999999996362</v>
      </c>
      <c r="H78" s="99">
        <f>G78+'4'!H78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05" t="s">
        <v>225</v>
      </c>
      <c r="B79" s="891"/>
      <c r="C79" s="892"/>
      <c r="D79" s="151"/>
      <c r="E79" s="117"/>
      <c r="F79" s="117"/>
      <c r="G79" s="112">
        <f>G15-SUM(G74:G78)</f>
        <v>578.19999999986067</v>
      </c>
      <c r="H79" s="99">
        <f>G79+'4'!H79</f>
        <v>2964.230000000025</v>
      </c>
      <c r="I79" s="118"/>
      <c r="J79" s="175"/>
      <c r="K79" s="59"/>
      <c r="L79" s="58"/>
      <c r="N79" s="87"/>
      <c r="O79" s="71"/>
    </row>
    <row r="80" spans="1:15" s="57" customFormat="1" ht="26.25">
      <c r="A80" s="861" t="s">
        <v>329</v>
      </c>
      <c r="B80" s="862"/>
      <c r="C80" s="863"/>
      <c r="D80" s="151"/>
      <c r="E80" s="117"/>
      <c r="F80" s="117"/>
      <c r="G80" s="112">
        <f>SUM(G74:G79)</f>
        <v>1103.2999999998137</v>
      </c>
      <c r="H80" s="99"/>
      <c r="I80" s="118"/>
      <c r="J80" s="175"/>
      <c r="K80" s="59"/>
      <c r="L80" s="58"/>
      <c r="N80" s="87"/>
      <c r="O80" s="71"/>
    </row>
    <row r="81" spans="1:15" ht="25.5">
      <c r="A81" s="897" t="s">
        <v>226</v>
      </c>
      <c r="B81" s="898"/>
      <c r="C81" s="89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'4'!F82</f>
        <v>0</v>
      </c>
      <c r="F82" s="122">
        <v>0</v>
      </c>
      <c r="G82" s="112">
        <f t="shared" ref="G82:G92" si="8">F82-E82</f>
        <v>0</v>
      </c>
      <c r="H82" s="99">
        <f>G82+'4'!H82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'4'!F83</f>
        <v>0</v>
      </c>
      <c r="F83" s="122">
        <v>0</v>
      </c>
      <c r="G83" s="112">
        <f t="shared" si="8"/>
        <v>0</v>
      </c>
      <c r="H83" s="99">
        <f>G83+'4'!H83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'4'!F84</f>
        <v>43540.21</v>
      </c>
      <c r="F84" s="164">
        <v>43540</v>
      </c>
      <c r="G84" s="112">
        <f t="shared" si="8"/>
        <v>-0.20999999999912689</v>
      </c>
      <c r="H84" s="99">
        <f>G84+'4'!H84</f>
        <v>-0.20999999999912689</v>
      </c>
      <c r="I84" s="545"/>
      <c r="J84" s="175">
        <f>H84/DAY(B2)</f>
        <v>-4.1999999999825378E-2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'4'!F85</f>
        <v>5684</v>
      </c>
      <c r="F85" s="164">
        <v>5684</v>
      </c>
      <c r="G85" s="112">
        <f t="shared" si="8"/>
        <v>0</v>
      </c>
      <c r="H85" s="99">
        <f>G85+'4'!H85</f>
        <v>0</v>
      </c>
      <c r="I85" s="545"/>
      <c r="J85" s="175">
        <f>H85/DAY(B2)</f>
        <v>0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'4'!F86</f>
        <v>46734</v>
      </c>
      <c r="F86" s="164">
        <v>46736.49</v>
      </c>
      <c r="G86" s="112">
        <f t="shared" si="8"/>
        <v>2.4899999999979627</v>
      </c>
      <c r="H86" s="99">
        <f>G86+'4'!H86</f>
        <v>2.4899999999979627</v>
      </c>
      <c r="I86" s="545"/>
      <c r="J86" s="175">
        <f>H86/DAY(B2)</f>
        <v>0.49799999999959255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'4'!F87</f>
        <v>36646</v>
      </c>
      <c r="F87" s="164">
        <v>36670</v>
      </c>
      <c r="G87" s="112">
        <f t="shared" si="8"/>
        <v>24</v>
      </c>
      <c r="H87" s="99">
        <f>G87+'4'!H87</f>
        <v>119.79000000000087</v>
      </c>
      <c r="I87" s="545">
        <f>G84+G85+G86+G87</f>
        <v>26.279999999998836</v>
      </c>
      <c r="J87" s="175">
        <f>H87/DAY(B2)</f>
        <v>23.958000000000176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'4'!F88</f>
        <v>24511.8</v>
      </c>
      <c r="F88" s="164">
        <v>24511.8</v>
      </c>
      <c r="G88" s="112">
        <f t="shared" si="8"/>
        <v>0</v>
      </c>
      <c r="H88" s="99">
        <f>G88+'4'!H88</f>
        <v>0</v>
      </c>
      <c r="I88" s="545"/>
      <c r="J88" s="175">
        <f>H88/DAY(B2)</f>
        <v>0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'4'!F89</f>
        <v>28540.69</v>
      </c>
      <c r="F89" s="164">
        <v>28550</v>
      </c>
      <c r="G89" s="112">
        <f t="shared" si="8"/>
        <v>9.3100000000013097</v>
      </c>
      <c r="H89" s="99">
        <f>G89+'4'!H89</f>
        <v>48.299999999999272</v>
      </c>
      <c r="I89" s="545">
        <f>G88+G89</f>
        <v>9.3100000000013097</v>
      </c>
      <c r="J89" s="175">
        <f>H89/DAY(B2)</f>
        <v>9.6599999999998545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'4'!F90</f>
        <v>73908.759999999995</v>
      </c>
      <c r="F90" s="164">
        <v>73920</v>
      </c>
      <c r="G90" s="112">
        <f t="shared" si="8"/>
        <v>11.240000000005239</v>
      </c>
      <c r="H90" s="99">
        <f>G90+'4'!H90</f>
        <v>59.399999999994179</v>
      </c>
      <c r="I90" s="545">
        <f>G90</f>
        <v>11.240000000005239</v>
      </c>
      <c r="J90" s="175">
        <f>H90/DAY(B2)</f>
        <v>11.879999999998835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'4'!F91</f>
        <v>5397.11</v>
      </c>
      <c r="F91" s="122">
        <v>5408.63</v>
      </c>
      <c r="G91" s="112">
        <f t="shared" si="8"/>
        <v>11.520000000000437</v>
      </c>
      <c r="H91" s="99">
        <f>G91+'4'!H91</f>
        <v>55.859999999999673</v>
      </c>
      <c r="I91" s="546"/>
      <c r="J91" s="175">
        <f>H91/DAY(B2)</f>
        <v>11.171999999999935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'4'!F92</f>
        <v>7000</v>
      </c>
      <c r="F92" s="122">
        <v>7000</v>
      </c>
      <c r="G92" s="112">
        <f t="shared" si="8"/>
        <v>0</v>
      </c>
      <c r="H92" s="99">
        <f>G92+'4'!H92</f>
        <v>0</v>
      </c>
      <c r="I92" s="547">
        <f>G91+G92</f>
        <v>11.520000000000437</v>
      </c>
      <c r="J92" s="175">
        <f>H92/DAY(B2)</f>
        <v>0</v>
      </c>
      <c r="O92" s="71"/>
    </row>
    <row r="93" spans="1:15" ht="26.25">
      <c r="A93" s="906" t="s">
        <v>239</v>
      </c>
      <c r="B93" s="907"/>
      <c r="C93" s="90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64" t="s">
        <v>240</v>
      </c>
      <c r="B94" s="865"/>
      <c r="C94" s="866"/>
      <c r="D94" s="151" t="s">
        <v>130</v>
      </c>
      <c r="E94" s="151"/>
      <c r="F94" s="151"/>
      <c r="G94" s="99">
        <f>G35+G43+G49+G57</f>
        <v>5624.5499999999302</v>
      </c>
      <c r="H94" s="99">
        <f>G94+'4'!H94</f>
        <v>28291.6700000001</v>
      </c>
      <c r="I94" s="118"/>
      <c r="J94" s="175">
        <f>H94/DAY(B2)</f>
        <v>5658.3340000000198</v>
      </c>
      <c r="K94" s="69"/>
      <c r="L94" s="66"/>
      <c r="O94" s="71"/>
    </row>
    <row r="95" spans="1:15" ht="25.5">
      <c r="A95" s="864" t="s">
        <v>241</v>
      </c>
      <c r="B95" s="865"/>
      <c r="C95" s="866"/>
      <c r="D95" s="151" t="s">
        <v>23</v>
      </c>
      <c r="E95" s="146"/>
      <c r="F95" s="146"/>
      <c r="G95" s="166">
        <f>G94/G7</f>
        <v>0.23654428463285096</v>
      </c>
      <c r="H95" s="99">
        <f>G95+'4'!H95</f>
        <v>1.2376428681666498</v>
      </c>
      <c r="I95" s="167"/>
      <c r="J95" s="175">
        <f>H95/DAY(B2)</f>
        <v>0.24752857363332997</v>
      </c>
      <c r="K95" s="69"/>
      <c r="L95" s="66"/>
      <c r="O95" s="71"/>
    </row>
    <row r="96" spans="1:15" ht="25.5">
      <c r="A96" s="864" t="s">
        <v>242</v>
      </c>
      <c r="B96" s="865"/>
      <c r="C96" s="866"/>
      <c r="D96" s="151" t="s">
        <v>130</v>
      </c>
      <c r="E96" s="95"/>
      <c r="F96" s="95"/>
      <c r="G96" s="99">
        <f>G41+G42+G55+G56</f>
        <v>4224.8499999998603</v>
      </c>
      <c r="H96" s="99">
        <f>G96+'4'!H96</f>
        <v>18236.859999999928</v>
      </c>
      <c r="I96" s="118"/>
      <c r="J96" s="175">
        <f>H96/DAY(B2)</f>
        <v>3647.3719999999857</v>
      </c>
      <c r="K96" s="69"/>
      <c r="L96" s="66"/>
      <c r="O96" s="71"/>
    </row>
    <row r="97" spans="1:15" ht="25.5">
      <c r="A97" s="864" t="s">
        <v>243</v>
      </c>
      <c r="B97" s="865"/>
      <c r="C97" s="866"/>
      <c r="D97" s="151" t="s">
        <v>23</v>
      </c>
      <c r="E97" s="95"/>
      <c r="F97" s="95"/>
      <c r="G97" s="166">
        <f>G96/G7</f>
        <v>0.17767894692572378</v>
      </c>
      <c r="H97" s="99">
        <f>G97+'4'!H97</f>
        <v>0.79577494349400113</v>
      </c>
      <c r="I97" s="167"/>
      <c r="J97" s="175">
        <f>H97/DAY(B2)</f>
        <v>0.15915498869880024</v>
      </c>
      <c r="K97" s="69"/>
      <c r="L97" s="66"/>
      <c r="O97" s="71"/>
    </row>
    <row r="98" spans="1:15" ht="25.5">
      <c r="A98" s="864" t="s">
        <v>244</v>
      </c>
      <c r="B98" s="865"/>
      <c r="C98" s="866"/>
      <c r="D98" s="151" t="s">
        <v>130</v>
      </c>
      <c r="E98" s="95"/>
      <c r="F98" s="95"/>
      <c r="G98" s="99">
        <f>G39+G53</f>
        <v>3946.8600000001024</v>
      </c>
      <c r="H98" s="99">
        <f>G98+'4'!H98</f>
        <v>20502.540000000037</v>
      </c>
      <c r="I98" s="168"/>
      <c r="J98" s="175">
        <f>H98/DAY(B2)</f>
        <v>4100.5080000000071</v>
      </c>
      <c r="K98" s="69"/>
      <c r="L98" s="66"/>
      <c r="O98" s="71"/>
    </row>
    <row r="99" spans="1:15" ht="25.5">
      <c r="A99" s="864" t="s">
        <v>245</v>
      </c>
      <c r="B99" s="865"/>
      <c r="C99" s="866"/>
      <c r="D99" s="151" t="s">
        <v>23</v>
      </c>
      <c r="E99" s="95"/>
      <c r="F99" s="95"/>
      <c r="G99" s="166">
        <f>G98/G7</f>
        <v>0.1659878879636682</v>
      </c>
      <c r="H99" s="99">
        <f>G99+'4'!H99</f>
        <v>0.89769456449626395</v>
      </c>
      <c r="I99" s="168"/>
      <c r="J99" s="175">
        <f>H99/DAY(B2)</f>
        <v>0.17953891289925278</v>
      </c>
      <c r="O99" s="71"/>
    </row>
    <row r="100" spans="1:15" ht="26.25">
      <c r="A100" s="864" t="s">
        <v>246</v>
      </c>
      <c r="B100" s="865"/>
      <c r="C100" s="866"/>
      <c r="D100" s="151" t="s">
        <v>180</v>
      </c>
      <c r="E100" s="95"/>
      <c r="F100" s="95"/>
      <c r="G100" s="99">
        <f>G38+G52</f>
        <v>2268.8200000000561</v>
      </c>
      <c r="H100" s="99">
        <f>G100+'4'!H100</f>
        <v>11871.369999999986</v>
      </c>
      <c r="I100" s="118"/>
      <c r="J100" s="175">
        <f>H100/DAY(B2)</f>
        <v>2374.2739999999972</v>
      </c>
      <c r="K100" s="70"/>
      <c r="O100" s="71"/>
    </row>
    <row r="101" spans="1:15" ht="25.5">
      <c r="A101" s="864" t="s">
        <v>247</v>
      </c>
      <c r="B101" s="865"/>
      <c r="C101" s="866"/>
      <c r="D101" s="151" t="s">
        <v>23</v>
      </c>
      <c r="E101" s="95"/>
      <c r="F101" s="95"/>
      <c r="G101" s="166">
        <f>G100/G7</f>
        <v>9.5416771805873338E-2</v>
      </c>
      <c r="H101" s="99">
        <f>G101+'4'!H101</f>
        <v>0.51976729761989626</v>
      </c>
      <c r="I101" s="168"/>
      <c r="J101" s="175">
        <f>H101/DAY(B2)</f>
        <v>0.10395345952397925</v>
      </c>
      <c r="O101" s="71"/>
    </row>
    <row r="102" spans="1:15" ht="25.5">
      <c r="A102" s="864" t="s">
        <v>248</v>
      </c>
      <c r="B102" s="865"/>
      <c r="C102" s="866"/>
      <c r="D102" s="151" t="s">
        <v>180</v>
      </c>
      <c r="E102" s="95"/>
      <c r="F102" s="95"/>
      <c r="G102" s="99">
        <f>G36+G50</f>
        <v>2796.9899999999907</v>
      </c>
      <c r="H102" s="99">
        <f>G102+'4'!H102</f>
        <v>13783.820000000007</v>
      </c>
      <c r="I102" s="168"/>
      <c r="J102" s="175">
        <f>H102/DAY(B2)</f>
        <v>2756.7640000000015</v>
      </c>
      <c r="O102" s="71"/>
    </row>
    <row r="103" spans="1:15" ht="25.5">
      <c r="A103" s="864" t="s">
        <v>249</v>
      </c>
      <c r="B103" s="865"/>
      <c r="C103" s="866"/>
      <c r="D103" s="151" t="s">
        <v>23</v>
      </c>
      <c r="E103" s="95"/>
      <c r="F103" s="95"/>
      <c r="G103" s="166">
        <f>G102/G7</f>
        <v>0.1176293212212966</v>
      </c>
      <c r="H103" s="99">
        <f>G103+'4'!H103</f>
        <v>0.60279512086497256</v>
      </c>
      <c r="I103" s="118"/>
      <c r="J103" s="175">
        <f>H103/DAY(B2)</f>
        <v>0.12055902417299451</v>
      </c>
      <c r="O103" s="71"/>
    </row>
    <row r="104" spans="1:15" ht="25.5">
      <c r="A104" s="864" t="s">
        <v>250</v>
      </c>
      <c r="B104" s="865"/>
      <c r="C104" s="866"/>
      <c r="D104" s="151" t="s">
        <v>180</v>
      </c>
      <c r="E104" s="95"/>
      <c r="F104" s="95"/>
      <c r="G104" s="99">
        <f>G37+G51</f>
        <v>1082.570000000007</v>
      </c>
      <c r="H104" s="99">
        <f>G104+'4'!H104</f>
        <v>5283.4500000000116</v>
      </c>
      <c r="I104" s="118"/>
      <c r="J104" s="175">
        <f>H104/DAY(B2)</f>
        <v>1056.6900000000023</v>
      </c>
      <c r="O104" s="71"/>
    </row>
    <row r="105" spans="1:15" ht="26.25" thickBot="1">
      <c r="A105" s="901" t="s">
        <v>251</v>
      </c>
      <c r="B105" s="902"/>
      <c r="C105" s="903"/>
      <c r="D105" s="231" t="s">
        <v>23</v>
      </c>
      <c r="E105" s="185"/>
      <c r="F105" s="185"/>
      <c r="G105" s="186">
        <f>G104/G7</f>
        <v>4.5528219362436159E-2</v>
      </c>
      <c r="H105" s="99">
        <f>G105+'4'!H105</f>
        <v>0.23104498294355369</v>
      </c>
      <c r="I105" s="187"/>
      <c r="J105" s="188">
        <f>H105/DAY(B2)</f>
        <v>4.6208996588710735E-2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15" t="s">
        <v>324</v>
      </c>
      <c r="B108" s="915"/>
      <c r="C108" s="915"/>
      <c r="D108" s="915"/>
      <c r="E108" s="915"/>
      <c r="F108" s="915"/>
      <c r="G108" s="915"/>
      <c r="H108" s="915"/>
      <c r="I108" s="915"/>
      <c r="J108" s="915"/>
    </row>
    <row r="109" spans="1:15" ht="26.25">
      <c r="A109" s="900"/>
      <c r="B109" s="900"/>
    </row>
    <row r="110" spans="1:15" ht="26.25">
      <c r="A110" s="916" t="s">
        <v>165</v>
      </c>
      <c r="B110" s="917"/>
      <c r="C110" s="917"/>
      <c r="D110" s="917"/>
      <c r="E110" s="917"/>
      <c r="F110" s="917"/>
      <c r="G110" s="917"/>
      <c r="H110" s="917"/>
      <c r="I110" s="917"/>
      <c r="J110" s="918"/>
    </row>
    <row r="111" spans="1:15" ht="25.5">
      <c r="A111" s="919"/>
      <c r="B111" s="920"/>
      <c r="C111" s="921"/>
      <c r="D111" s="165"/>
      <c r="E111" s="165"/>
      <c r="F111" s="165"/>
      <c r="G111" s="165"/>
      <c r="H111" s="156"/>
      <c r="I111" s="165"/>
      <c r="J111" s="327"/>
    </row>
    <row r="112" spans="1:15" ht="25.5">
      <c r="A112" s="894" t="s">
        <v>252</v>
      </c>
      <c r="B112" s="895"/>
      <c r="C112" s="896"/>
      <c r="D112" s="146" t="s">
        <v>183</v>
      </c>
      <c r="E112" s="95">
        <f>'4'!F112</f>
        <v>15858</v>
      </c>
      <c r="F112" s="237">
        <v>15918</v>
      </c>
      <c r="G112" s="112">
        <f t="shared" ref="G112:G123" si="9">F112-E112</f>
        <v>60</v>
      </c>
      <c r="H112" s="99">
        <f>G112+'4'!H112</f>
        <v>304.20000000000073</v>
      </c>
      <c r="I112" s="165"/>
      <c r="J112" s="328">
        <f>H112/DAY(B2)</f>
        <v>60.840000000000146</v>
      </c>
    </row>
    <row r="113" spans="1:18" ht="29.25" customHeight="1">
      <c r="A113" s="894" t="s">
        <v>253</v>
      </c>
      <c r="B113" s="895"/>
      <c r="C113" s="896"/>
      <c r="D113" s="146" t="s">
        <v>183</v>
      </c>
      <c r="E113" s="95">
        <f>'4'!F113</f>
        <v>33023.65</v>
      </c>
      <c r="F113" s="237">
        <v>33162</v>
      </c>
      <c r="G113" s="112">
        <f t="shared" si="9"/>
        <v>138.34999999999854</v>
      </c>
      <c r="H113" s="99">
        <f>G113+'4'!H113</f>
        <v>711.33000000000175</v>
      </c>
      <c r="I113" s="165"/>
      <c r="J113" s="328">
        <f>H113/DAY(B2)</f>
        <v>142.26600000000036</v>
      </c>
    </row>
    <row r="114" spans="1:18" ht="29.25" customHeight="1">
      <c r="A114" s="894" t="s">
        <v>254</v>
      </c>
      <c r="B114" s="895"/>
      <c r="C114" s="896"/>
      <c r="D114" s="146" t="s">
        <v>183</v>
      </c>
      <c r="E114" s="95">
        <f>'4'!F114</f>
        <v>48843.11</v>
      </c>
      <c r="F114" s="237">
        <v>49036</v>
      </c>
      <c r="G114" s="112">
        <f t="shared" si="9"/>
        <v>192.88999999999942</v>
      </c>
      <c r="H114" s="99">
        <f>G114+'4'!H114</f>
        <v>1069.6999999999971</v>
      </c>
      <c r="I114" s="165"/>
      <c r="J114" s="328">
        <f>H114/DAY(B2)</f>
        <v>213.93999999999943</v>
      </c>
    </row>
    <row r="115" spans="1:18" ht="29.25" customHeight="1">
      <c r="A115" s="894" t="s">
        <v>255</v>
      </c>
      <c r="B115" s="895"/>
      <c r="C115" s="896"/>
      <c r="D115" s="146" t="s">
        <v>183</v>
      </c>
      <c r="E115" s="95">
        <f>'4'!F115</f>
        <v>30968.2</v>
      </c>
      <c r="F115" s="237">
        <v>31117</v>
      </c>
      <c r="G115" s="112">
        <f t="shared" si="9"/>
        <v>148.79999999999927</v>
      </c>
      <c r="H115" s="99">
        <f>G115+'4'!H115</f>
        <v>680.59999999999854</v>
      </c>
      <c r="I115" s="165"/>
      <c r="J115" s="328">
        <f>H115/DAY(B2)</f>
        <v>136.11999999999972</v>
      </c>
    </row>
    <row r="116" spans="1:18" ht="29.25" customHeight="1">
      <c r="A116" s="912" t="s">
        <v>96</v>
      </c>
      <c r="B116" s="913"/>
      <c r="C116" s="914"/>
      <c r="D116" s="146" t="s">
        <v>183</v>
      </c>
      <c r="E116" s="95">
        <f>'4'!F116</f>
        <v>124541.5</v>
      </c>
      <c r="F116" s="237">
        <v>124929</v>
      </c>
      <c r="G116" s="112">
        <f t="shared" si="9"/>
        <v>387.5</v>
      </c>
      <c r="H116" s="99">
        <f>G116+'4'!H116</f>
        <v>2068.8000000000029</v>
      </c>
      <c r="I116" s="165"/>
      <c r="J116" s="328">
        <f>H116/DAY(B2)</f>
        <v>413.76000000000056</v>
      </c>
      <c r="Q116" s="947"/>
      <c r="R116" s="947"/>
    </row>
    <row r="117" spans="1:18" ht="29.25" customHeight="1">
      <c r="A117" s="912" t="s">
        <v>184</v>
      </c>
      <c r="B117" s="913"/>
      <c r="C117" s="914"/>
      <c r="D117" s="146" t="s">
        <v>183</v>
      </c>
      <c r="E117" s="95">
        <f>'4'!F117</f>
        <v>75044.399999999994</v>
      </c>
      <c r="F117" s="237">
        <v>75296</v>
      </c>
      <c r="G117" s="112">
        <f t="shared" si="9"/>
        <v>251.60000000000582</v>
      </c>
      <c r="H117" s="99">
        <f>G117+'4'!H117</f>
        <v>1314.8000000000029</v>
      </c>
      <c r="I117" s="165"/>
      <c r="J117" s="328">
        <f>H117/DAY(B2)</f>
        <v>262.9600000000006</v>
      </c>
      <c r="Q117" s="947"/>
      <c r="R117" s="947"/>
    </row>
    <row r="118" spans="1:18" ht="25.5">
      <c r="A118" s="889" t="s">
        <v>97</v>
      </c>
      <c r="B118" s="889"/>
      <c r="C118" s="889"/>
      <c r="D118" s="151" t="s">
        <v>183</v>
      </c>
      <c r="E118" s="95">
        <f>'4'!F118</f>
        <v>141320.79999999999</v>
      </c>
      <c r="F118" s="237">
        <v>141914</v>
      </c>
      <c r="G118" s="112">
        <f t="shared" si="9"/>
        <v>593.20000000001164</v>
      </c>
      <c r="H118" s="99">
        <f>G118+'4'!H118</f>
        <v>3101.5499999999884</v>
      </c>
      <c r="I118" s="165"/>
      <c r="J118" s="328">
        <f>H118/DAY(B2)</f>
        <v>620.30999999999767</v>
      </c>
      <c r="Q118" s="947"/>
      <c r="R118" s="947"/>
    </row>
    <row r="119" spans="1:18" ht="25.5">
      <c r="A119" s="889" t="s">
        <v>98</v>
      </c>
      <c r="B119" s="889"/>
      <c r="C119" s="889"/>
      <c r="D119" s="151" t="s">
        <v>183</v>
      </c>
      <c r="E119" s="95">
        <f>'4'!F119</f>
        <v>43402</v>
      </c>
      <c r="F119" s="237">
        <v>43414</v>
      </c>
      <c r="G119" s="112">
        <f t="shared" si="9"/>
        <v>12</v>
      </c>
      <c r="H119" s="99">
        <f>G119+'4'!H119</f>
        <v>60.30000000000291</v>
      </c>
      <c r="I119" s="165"/>
      <c r="J119" s="328">
        <f>H119/DAY(B2)</f>
        <v>12.060000000000581</v>
      </c>
    </row>
    <row r="120" spans="1:18" ht="25.5">
      <c r="A120" s="889" t="s">
        <v>99</v>
      </c>
      <c r="B120" s="889"/>
      <c r="C120" s="889"/>
      <c r="D120" s="151" t="s">
        <v>183</v>
      </c>
      <c r="E120" s="95">
        <f>'4'!F120</f>
        <v>97364.6</v>
      </c>
      <c r="F120" s="467">
        <v>97747</v>
      </c>
      <c r="G120" s="112">
        <f t="shared" si="9"/>
        <v>382.39999999999418</v>
      </c>
      <c r="H120" s="99">
        <f>G120+'4'!H120</f>
        <v>2039.3999999999942</v>
      </c>
      <c r="I120" s="165"/>
      <c r="J120" s="328">
        <f>H120/DAY(B2)</f>
        <v>407.87999999999886</v>
      </c>
    </row>
    <row r="121" spans="1:18" ht="25.5">
      <c r="A121" s="889" t="s">
        <v>100</v>
      </c>
      <c r="B121" s="889"/>
      <c r="C121" s="889"/>
      <c r="D121" s="151" t="s">
        <v>183</v>
      </c>
      <c r="E121" s="95">
        <f>'4'!F121</f>
        <v>109511.1</v>
      </c>
      <c r="F121" s="237">
        <v>109919</v>
      </c>
      <c r="G121" s="112">
        <f t="shared" si="9"/>
        <v>407.89999999999418</v>
      </c>
      <c r="H121" s="99">
        <f>G121+'4'!H121</f>
        <v>2089.9499999999971</v>
      </c>
      <c r="I121" s="165"/>
      <c r="J121" s="328">
        <f>H121/DAY(B2)</f>
        <v>417.98999999999944</v>
      </c>
    </row>
    <row r="122" spans="1:18" ht="25.5">
      <c r="A122" s="889" t="s">
        <v>101</v>
      </c>
      <c r="B122" s="889"/>
      <c r="C122" s="889"/>
      <c r="D122" s="151" t="s">
        <v>183</v>
      </c>
      <c r="E122" s="95">
        <f>'4'!F122</f>
        <v>72455.8</v>
      </c>
      <c r="F122" s="237">
        <v>72793</v>
      </c>
      <c r="G122" s="112">
        <f t="shared" si="9"/>
        <v>337.19999999999709</v>
      </c>
      <c r="H122" s="99">
        <f>G122+'4'!H122</f>
        <v>1755.1000000000058</v>
      </c>
      <c r="I122" s="165"/>
      <c r="J122" s="328">
        <f>H122/DAY(B2)</f>
        <v>351.02000000000118</v>
      </c>
    </row>
    <row r="123" spans="1:18" ht="25.5">
      <c r="A123" s="889" t="s">
        <v>102</v>
      </c>
      <c r="B123" s="889"/>
      <c r="C123" s="889"/>
      <c r="D123" s="151" t="s">
        <v>183</v>
      </c>
      <c r="E123" s="95">
        <f>'4'!F123</f>
        <v>69607.3</v>
      </c>
      <c r="F123" s="237">
        <v>69911</v>
      </c>
      <c r="G123" s="112">
        <f t="shared" si="9"/>
        <v>303.69999999999709</v>
      </c>
      <c r="H123" s="99">
        <f>G123+'4'!H123</f>
        <v>1553.6999999999971</v>
      </c>
      <c r="I123" s="165"/>
      <c r="J123" s="328">
        <f>H123/DAY(B2)</f>
        <v>310.73999999999944</v>
      </c>
    </row>
    <row r="124" spans="1:18" ht="29.25" customHeight="1">
      <c r="A124" s="919"/>
      <c r="B124" s="920"/>
      <c r="C124" s="921"/>
      <c r="D124" s="165"/>
      <c r="E124" s="165"/>
      <c r="F124" s="165"/>
      <c r="G124" s="327"/>
      <c r="H124" s="156"/>
      <c r="I124" s="165"/>
      <c r="J124" s="327"/>
    </row>
    <row r="125" spans="1:18" ht="25.5">
      <c r="A125" s="945" t="s">
        <v>196</v>
      </c>
      <c r="B125" s="945"/>
      <c r="C125" s="245"/>
      <c r="D125" s="307"/>
      <c r="E125" s="308"/>
      <c r="F125" s="308"/>
      <c r="G125" s="309">
        <f>SUM(G112:G124)</f>
        <v>3215.5399999999972</v>
      </c>
      <c r="H125" s="156"/>
      <c r="I125" s="327">
        <f>G125-(G39+G53)</f>
        <v>-731.32000000010521</v>
      </c>
      <c r="J125" s="327"/>
    </row>
    <row r="126" spans="1:18" ht="25.5">
      <c r="A126" s="922" t="s">
        <v>317</v>
      </c>
      <c r="B126" s="922"/>
      <c r="C126" s="922"/>
      <c r="D126" s="922"/>
      <c r="E126" s="922"/>
      <c r="F126" s="922"/>
      <c r="G126" s="922"/>
      <c r="H126" s="922"/>
      <c r="I126" s="922"/>
      <c r="J126" s="922"/>
    </row>
    <row r="127" spans="1:18" ht="25.5">
      <c r="A127" s="923"/>
      <c r="B127" s="923"/>
      <c r="C127" s="245"/>
      <c r="D127" s="307"/>
      <c r="E127" s="308"/>
      <c r="F127" s="386"/>
      <c r="G127" s="309"/>
      <c r="H127" s="99">
        <f>G127+'4'!H127</f>
        <v>0</v>
      </c>
      <c r="I127" s="165"/>
      <c r="J127" s="328">
        <f>H127/DAY(B2)</f>
        <v>0</v>
      </c>
    </row>
    <row r="128" spans="1:18" ht="29.25" customHeight="1">
      <c r="A128" s="894" t="s">
        <v>318</v>
      </c>
      <c r="B128" s="895"/>
      <c r="C128" s="896"/>
      <c r="D128" s="151" t="s">
        <v>183</v>
      </c>
      <c r="E128" s="95">
        <f>'4'!F128</f>
        <v>180867.9</v>
      </c>
      <c r="F128" s="387">
        <v>181232</v>
      </c>
      <c r="G128" s="112">
        <f t="shared" ref="G128:G134" si="10">F128-E128</f>
        <v>364.10000000000582</v>
      </c>
      <c r="H128" s="99">
        <f>G128+'4'!H128</f>
        <v>1820.1499999999942</v>
      </c>
      <c r="I128" s="165"/>
      <c r="J128" s="328">
        <f>H128/DAY(B2)</f>
        <v>364.02999999999884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'4'!F129</f>
        <v>96879.1</v>
      </c>
      <c r="F129" s="387">
        <v>97042</v>
      </c>
      <c r="G129" s="112">
        <f t="shared" si="10"/>
        <v>162.89999999999418</v>
      </c>
      <c r="H129" s="99">
        <f>G129+'4'!H129</f>
        <v>1012.5</v>
      </c>
      <c r="I129" s="165"/>
      <c r="J129" s="328">
        <f>H129/DAY(B2)</f>
        <v>202.5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'4'!F130</f>
        <v>249685.8</v>
      </c>
      <c r="F130" s="387">
        <v>250411</v>
      </c>
      <c r="G130" s="112">
        <f t="shared" si="10"/>
        <v>725.20000000001164</v>
      </c>
      <c r="H130" s="99">
        <f>G130+'4'!H130</f>
        <v>3571.25</v>
      </c>
      <c r="I130" s="165"/>
      <c r="J130" s="328">
        <f>H130/DAY(B2)</f>
        <v>714.25</v>
      </c>
      <c r="N130" s="240"/>
      <c r="O130" s="241"/>
    </row>
    <row r="131" spans="1:15" ht="25.5">
      <c r="A131" s="894" t="s">
        <v>321</v>
      </c>
      <c r="B131" s="895"/>
      <c r="C131" s="896"/>
      <c r="D131" s="151" t="s">
        <v>183</v>
      </c>
      <c r="E131" s="95">
        <f>'4'!F131</f>
        <v>74543.8</v>
      </c>
      <c r="F131" s="387">
        <v>74811</v>
      </c>
      <c r="G131" s="112">
        <f t="shared" si="10"/>
        <v>267.19999999999709</v>
      </c>
      <c r="H131" s="99">
        <f>G131+'4'!H131</f>
        <v>1300.3999999999942</v>
      </c>
      <c r="I131" s="165"/>
      <c r="J131" s="328">
        <f>H131/DAY(B2)</f>
        <v>260.07999999999885</v>
      </c>
      <c r="N131" s="240"/>
      <c r="O131" s="241"/>
    </row>
    <row r="132" spans="1:15" ht="25.5">
      <c r="A132" s="894" t="s">
        <v>322</v>
      </c>
      <c r="B132" s="895"/>
      <c r="C132" s="896"/>
      <c r="D132" s="151" t="s">
        <v>183</v>
      </c>
      <c r="E132" s="95">
        <f>'4'!F132</f>
        <v>146985</v>
      </c>
      <c r="F132" s="387">
        <v>146985</v>
      </c>
      <c r="G132" s="112">
        <f t="shared" si="10"/>
        <v>0</v>
      </c>
      <c r="H132" s="99">
        <f>G132+'4'!H132</f>
        <v>0</v>
      </c>
      <c r="I132" s="165"/>
      <c r="J132" s="328">
        <f>H132/DAY(B2)</f>
        <v>0</v>
      </c>
    </row>
    <row r="133" spans="1:15" ht="25.5">
      <c r="A133" s="894" t="s">
        <v>323</v>
      </c>
      <c r="B133" s="895"/>
      <c r="C133" s="896"/>
      <c r="D133" s="151" t="s">
        <v>183</v>
      </c>
      <c r="E133" s="95">
        <f>'4'!F133</f>
        <v>913256</v>
      </c>
      <c r="F133" s="387">
        <v>914002</v>
      </c>
      <c r="G133" s="112">
        <f t="shared" si="10"/>
        <v>746</v>
      </c>
      <c r="H133" s="99">
        <f>G133+'4'!H133</f>
        <v>3758</v>
      </c>
      <c r="I133" s="165"/>
      <c r="J133" s="328">
        <f>H133/DAY(B2)</f>
        <v>751.6</v>
      </c>
    </row>
    <row r="134" spans="1:15" ht="25.5">
      <c r="A134" s="894" t="s">
        <v>340</v>
      </c>
      <c r="B134" s="895"/>
      <c r="C134" s="896"/>
      <c r="D134" s="151" t="s">
        <v>183</v>
      </c>
      <c r="E134" s="95">
        <f>'4'!F134</f>
        <v>79616.899999999994</v>
      </c>
      <c r="F134" s="387">
        <v>79822</v>
      </c>
      <c r="G134" s="112">
        <f t="shared" si="10"/>
        <v>205.10000000000582</v>
      </c>
      <c r="H134" s="99">
        <f>G134+'4'!H134</f>
        <v>1062.3999999999942</v>
      </c>
      <c r="I134" s="165"/>
      <c r="J134" s="328">
        <f>H134/DAY(B2)</f>
        <v>212.47999999999882</v>
      </c>
    </row>
    <row r="135" spans="1:15" ht="25.5">
      <c r="A135" s="945" t="s">
        <v>196</v>
      </c>
      <c r="B135" s="945"/>
      <c r="C135" s="331"/>
      <c r="D135" s="151"/>
      <c r="E135" s="95"/>
      <c r="F135" s="165"/>
      <c r="G135" s="112">
        <f>SUM(G128:G134)</f>
        <v>2470.5000000000146</v>
      </c>
      <c r="H135" s="99">
        <f>G135+'4'!H135</f>
        <v>12524.699999999983</v>
      </c>
      <c r="I135" s="327">
        <f>G135-(G35+G49)</f>
        <v>-710.31999999993423</v>
      </c>
      <c r="J135" s="328">
        <f>H135/DAY(B2)</f>
        <v>2504.9399999999964</v>
      </c>
    </row>
    <row r="136" spans="1:15" ht="27.75">
      <c r="A136" s="924" t="s">
        <v>325</v>
      </c>
      <c r="B136" s="924"/>
      <c r="C136" s="924"/>
      <c r="D136" s="924"/>
      <c r="E136" s="924"/>
      <c r="F136" s="924"/>
      <c r="G136" s="924"/>
      <c r="H136" s="924"/>
      <c r="I136" s="924"/>
      <c r="J136" s="92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9" t="s">
        <v>185</v>
      </c>
      <c r="B138" s="889"/>
      <c r="C138" s="889"/>
      <c r="D138" s="151" t="s">
        <v>183</v>
      </c>
      <c r="E138" s="95">
        <f>'4'!F138</f>
        <v>906034</v>
      </c>
      <c r="F138" s="147">
        <v>906184</v>
      </c>
      <c r="G138" s="112">
        <f t="shared" ref="G138:G152" si="11">F138-E138</f>
        <v>150</v>
      </c>
      <c r="H138" s="99">
        <f>G138+'4'!H138</f>
        <v>525</v>
      </c>
      <c r="I138" s="118"/>
      <c r="J138" s="328">
        <f>H138/DAY(B2)</f>
        <v>105</v>
      </c>
    </row>
    <row r="139" spans="1:15" ht="25.5">
      <c r="A139" s="889" t="s">
        <v>186</v>
      </c>
      <c r="B139" s="889"/>
      <c r="C139" s="889"/>
      <c r="D139" s="151" t="s">
        <v>183</v>
      </c>
      <c r="E139" s="95">
        <f>'4'!F139</f>
        <v>927946</v>
      </c>
      <c r="F139" s="148">
        <v>928105</v>
      </c>
      <c r="G139" s="112">
        <f t="shared" si="11"/>
        <v>159</v>
      </c>
      <c r="H139" s="99">
        <f>G139+'4'!H139</f>
        <v>824</v>
      </c>
      <c r="I139" s="118"/>
      <c r="J139" s="328">
        <f>H139/DAY(B2)</f>
        <v>164.8</v>
      </c>
    </row>
    <row r="140" spans="1:15" ht="25.5">
      <c r="A140" s="889" t="s">
        <v>187</v>
      </c>
      <c r="B140" s="889"/>
      <c r="C140" s="889"/>
      <c r="D140" s="151" t="s">
        <v>183</v>
      </c>
      <c r="E140" s="95">
        <f>'4'!F140</f>
        <v>3412.9</v>
      </c>
      <c r="F140" s="149">
        <v>3432</v>
      </c>
      <c r="G140" s="112">
        <f t="shared" si="11"/>
        <v>19.099999999999909</v>
      </c>
      <c r="H140" s="99">
        <f>G140+'4'!H140</f>
        <v>100.90000000000009</v>
      </c>
      <c r="I140" s="118"/>
      <c r="J140" s="328">
        <f>H140/DAY(B2)</f>
        <v>20.180000000000017</v>
      </c>
    </row>
    <row r="141" spans="1:15" ht="25.5">
      <c r="A141" s="893" t="s">
        <v>188</v>
      </c>
      <c r="B141" s="893"/>
      <c r="C141" s="893"/>
      <c r="D141" s="151" t="s">
        <v>183</v>
      </c>
      <c r="E141" s="95">
        <f>'4'!F141</f>
        <v>118506</v>
      </c>
      <c r="F141" s="149">
        <v>118743</v>
      </c>
      <c r="G141" s="112">
        <f t="shared" si="11"/>
        <v>237</v>
      </c>
      <c r="H141" s="99">
        <f>G141+'4'!H141</f>
        <v>1185.0200000000041</v>
      </c>
      <c r="I141" s="118"/>
      <c r="J141" s="328">
        <f>H141/DAY(B2)</f>
        <v>237.00400000000081</v>
      </c>
    </row>
    <row r="142" spans="1:15" ht="25.5">
      <c r="A142" s="893" t="s">
        <v>189</v>
      </c>
      <c r="B142" s="893"/>
      <c r="C142" s="893"/>
      <c r="D142" s="151" t="s">
        <v>183</v>
      </c>
      <c r="E142" s="95">
        <f>'4'!F142</f>
        <v>47843</v>
      </c>
      <c r="F142" s="148">
        <v>47925</v>
      </c>
      <c r="G142" s="112">
        <f t="shared" si="11"/>
        <v>82</v>
      </c>
      <c r="H142" s="99">
        <f>G142+'4'!H142</f>
        <v>420.5</v>
      </c>
      <c r="I142" s="140"/>
      <c r="J142" s="328">
        <f>H142/DAY(B2)</f>
        <v>84.1</v>
      </c>
    </row>
    <row r="143" spans="1:15" ht="25.5">
      <c r="A143" s="889" t="s">
        <v>91</v>
      </c>
      <c r="B143" s="889"/>
      <c r="C143" s="889"/>
      <c r="D143" s="151" t="s">
        <v>183</v>
      </c>
      <c r="E143" s="95">
        <f>'4'!F143</f>
        <v>12539.8</v>
      </c>
      <c r="F143" s="149">
        <v>12569</v>
      </c>
      <c r="G143" s="112">
        <f t="shared" si="11"/>
        <v>29.200000000000728</v>
      </c>
      <c r="H143" s="99">
        <f>G143+'4'!H143</f>
        <v>153.60000000000036</v>
      </c>
      <c r="I143" s="140"/>
      <c r="J143" s="328">
        <f>H143/DAY(B2)</f>
        <v>30.720000000000073</v>
      </c>
    </row>
    <row r="144" spans="1:15" ht="25.5">
      <c r="A144" s="893" t="s">
        <v>90</v>
      </c>
      <c r="B144" s="893"/>
      <c r="C144" s="893"/>
      <c r="D144" s="151" t="s">
        <v>183</v>
      </c>
      <c r="E144" s="95">
        <f>'4'!F144</f>
        <v>949118</v>
      </c>
      <c r="F144" s="149">
        <v>949351</v>
      </c>
      <c r="G144" s="112">
        <f t="shared" si="11"/>
        <v>233</v>
      </c>
      <c r="H144" s="99">
        <f>G144+'4'!H144</f>
        <v>1153</v>
      </c>
      <c r="I144" s="140"/>
      <c r="J144" s="328">
        <f>H144/DAY(B2)</f>
        <v>230.6</v>
      </c>
    </row>
    <row r="145" spans="1:10" ht="25.5">
      <c r="A145" s="889" t="s">
        <v>190</v>
      </c>
      <c r="B145" s="889"/>
      <c r="C145" s="889"/>
      <c r="D145" s="152" t="s">
        <v>183</v>
      </c>
      <c r="E145" s="95">
        <f>'4'!F145</f>
        <v>23094</v>
      </c>
      <c r="F145" s="149">
        <v>23254</v>
      </c>
      <c r="G145" s="112">
        <f t="shared" si="11"/>
        <v>160</v>
      </c>
      <c r="H145" s="99">
        <f>G145+'4'!H145</f>
        <v>657.90000000000146</v>
      </c>
      <c r="I145" s="140"/>
      <c r="J145" s="328">
        <f>H145/DAY(B2)</f>
        <v>131.5800000000003</v>
      </c>
    </row>
    <row r="146" spans="1:10" ht="25.5">
      <c r="A146" s="890" t="s">
        <v>191</v>
      </c>
      <c r="B146" s="891"/>
      <c r="C146" s="892"/>
      <c r="D146" s="152" t="s">
        <v>183</v>
      </c>
      <c r="E146" s="95">
        <f>'4'!F146</f>
        <v>786810</v>
      </c>
      <c r="F146" s="148">
        <v>786850</v>
      </c>
      <c r="G146" s="112">
        <f t="shared" si="11"/>
        <v>40</v>
      </c>
      <c r="H146" s="99">
        <f>G146+'4'!H146</f>
        <v>182</v>
      </c>
      <c r="I146" s="140"/>
      <c r="J146" s="328">
        <f>H146/DAY(B2)</f>
        <v>36.4</v>
      </c>
    </row>
    <row r="147" spans="1:10" ht="25.5">
      <c r="A147" s="893" t="s">
        <v>192</v>
      </c>
      <c r="B147" s="893"/>
      <c r="C147" s="893"/>
      <c r="D147" s="152" t="s">
        <v>183</v>
      </c>
      <c r="E147" s="95">
        <f>'4'!F147</f>
        <v>749358</v>
      </c>
      <c r="F147" s="148">
        <v>749791</v>
      </c>
      <c r="G147" s="112">
        <f t="shared" si="11"/>
        <v>433</v>
      </c>
      <c r="H147" s="99">
        <f>G147+'4'!H147</f>
        <v>2236.8399999999674</v>
      </c>
      <c r="I147" s="140"/>
      <c r="J147" s="328">
        <f>H147/DAY(B2)</f>
        <v>447.36799999999346</v>
      </c>
    </row>
    <row r="148" spans="1:10" ht="25.5">
      <c r="A148" s="886" t="s">
        <v>193</v>
      </c>
      <c r="B148" s="887"/>
      <c r="C148" s="888"/>
      <c r="D148" s="123" t="s">
        <v>130</v>
      </c>
      <c r="E148" s="95">
        <f>'4'!F148</f>
        <v>786074.64</v>
      </c>
      <c r="F148" s="150">
        <v>786482</v>
      </c>
      <c r="G148" s="112">
        <f t="shared" si="11"/>
        <v>407.35999999998603</v>
      </c>
      <c r="H148" s="99">
        <f>G148+'4'!H148</f>
        <v>1837</v>
      </c>
      <c r="I148" s="124"/>
      <c r="J148" s="328">
        <f>H148/DAY(B2)</f>
        <v>367.4</v>
      </c>
    </row>
    <row r="149" spans="1:10" ht="25.5">
      <c r="A149" s="886" t="s">
        <v>336</v>
      </c>
      <c r="B149" s="887"/>
      <c r="C149" s="888"/>
      <c r="D149" s="227" t="s">
        <v>130</v>
      </c>
      <c r="E149" s="95">
        <f>'4'!F149</f>
        <v>187266</v>
      </c>
      <c r="F149" s="146">
        <v>187651</v>
      </c>
      <c r="G149" s="112">
        <f t="shared" si="11"/>
        <v>385</v>
      </c>
      <c r="H149" s="99">
        <f>G149+'4'!H149</f>
        <v>2354.109999999986</v>
      </c>
      <c r="I149" s="119"/>
      <c r="J149" s="328">
        <f>H149/DAY(B2)</f>
        <v>470.82199999999722</v>
      </c>
    </row>
    <row r="150" spans="1:10" ht="25.5">
      <c r="A150" s="886" t="s">
        <v>337</v>
      </c>
      <c r="B150" s="887"/>
      <c r="C150" s="888"/>
      <c r="D150" s="117" t="s">
        <v>130</v>
      </c>
      <c r="E150" s="95">
        <f>'4'!F150</f>
        <v>78599.199999999997</v>
      </c>
      <c r="F150" s="233">
        <v>78812</v>
      </c>
      <c r="G150" s="112">
        <f t="shared" si="11"/>
        <v>212.80000000000291</v>
      </c>
      <c r="H150" s="99">
        <f>G150+'4'!H150</f>
        <v>1145.6999999999971</v>
      </c>
      <c r="I150" s="119"/>
      <c r="J150" s="328">
        <f>H150/DAY(B2)</f>
        <v>229.13999999999942</v>
      </c>
    </row>
    <row r="151" spans="1:10" ht="25.5">
      <c r="A151" s="886" t="s">
        <v>338</v>
      </c>
      <c r="B151" s="887"/>
      <c r="C151" s="888"/>
      <c r="D151" s="117" t="s">
        <v>130</v>
      </c>
      <c r="E151" s="95">
        <f>'4'!F151</f>
        <v>159313</v>
      </c>
      <c r="F151" s="233">
        <v>159527</v>
      </c>
      <c r="G151" s="112">
        <f t="shared" si="11"/>
        <v>214</v>
      </c>
      <c r="H151" s="99">
        <f>G151+'4'!H151</f>
        <v>1217</v>
      </c>
      <c r="I151" s="119"/>
      <c r="J151" s="328">
        <f>H151/DAY(B2)</f>
        <v>243.4</v>
      </c>
    </row>
    <row r="152" spans="1:10" ht="25.5">
      <c r="A152" s="886" t="s">
        <v>339</v>
      </c>
      <c r="B152" s="887"/>
      <c r="C152" s="888"/>
      <c r="D152" s="117" t="s">
        <v>130</v>
      </c>
      <c r="E152" s="95">
        <f>'4'!F152</f>
        <v>39155</v>
      </c>
      <c r="F152" s="233">
        <v>39282</v>
      </c>
      <c r="G152" s="112">
        <f t="shared" si="11"/>
        <v>127</v>
      </c>
      <c r="H152" s="99">
        <f>G152+'4'!H152</f>
        <v>666.09999999999854</v>
      </c>
      <c r="I152" s="119"/>
      <c r="J152" s="328">
        <f>H152/DAY(B2)</f>
        <v>133.21999999999971</v>
      </c>
    </row>
    <row r="153" spans="1:10" ht="25.5">
      <c r="A153" s="945" t="s">
        <v>196</v>
      </c>
      <c r="B153" s="945"/>
      <c r="C153" s="365"/>
      <c r="D153" s="358"/>
      <c r="E153" s="360"/>
      <c r="F153" s="361"/>
      <c r="G153" s="362">
        <f>SUM(G138:G152)</f>
        <v>2888.4599999999896</v>
      </c>
      <c r="H153" s="363"/>
      <c r="I153" s="119">
        <f>G153-(G38+G52)</f>
        <v>619.63999999993348</v>
      </c>
      <c r="J153" s="366"/>
    </row>
    <row r="154" spans="1:10" ht="27.75">
      <c r="A154" s="924" t="s">
        <v>344</v>
      </c>
      <c r="B154" s="924"/>
      <c r="C154" s="924"/>
      <c r="D154" s="924"/>
      <c r="E154" s="924"/>
      <c r="F154" s="924"/>
      <c r="G154" s="924"/>
      <c r="H154" s="924"/>
      <c r="I154" s="924"/>
      <c r="J154" s="924"/>
    </row>
    <row r="155" spans="1:10" ht="27.75">
      <c r="A155" s="893" t="s">
        <v>345</v>
      </c>
      <c r="B155" s="893"/>
      <c r="C155" s="893"/>
      <c r="D155" s="117" t="s">
        <v>130</v>
      </c>
      <c r="E155" s="95">
        <f>'4'!F155</f>
        <v>222501</v>
      </c>
      <c r="F155" s="374">
        <v>223111</v>
      </c>
      <c r="G155" s="112">
        <f t="shared" ref="G155:G158" si="12">F155-E155</f>
        <v>610</v>
      </c>
      <c r="H155" s="99">
        <f>G155+'4'!H155</f>
        <v>3123.2999999999884</v>
      </c>
      <c r="I155" s="364"/>
      <c r="J155" s="328">
        <f>H155/DAY(B2)</f>
        <v>624.65999999999769</v>
      </c>
    </row>
    <row r="156" spans="1:10" ht="25.5">
      <c r="A156" s="893" t="s">
        <v>346</v>
      </c>
      <c r="B156" s="893"/>
      <c r="C156" s="893"/>
      <c r="D156" s="117" t="s">
        <v>130</v>
      </c>
      <c r="E156" s="95">
        <f>'4'!F156</f>
        <v>26945.4</v>
      </c>
      <c r="F156" s="155">
        <v>27034</v>
      </c>
      <c r="G156" s="112">
        <f t="shared" si="12"/>
        <v>88.599999999998545</v>
      </c>
      <c r="H156" s="99">
        <f>G156+'4'!H156</f>
        <v>503.79999999999927</v>
      </c>
      <c r="I156" s="165"/>
      <c r="J156" s="328">
        <f>H156/DAY(B2)</f>
        <v>100.75999999999985</v>
      </c>
    </row>
    <row r="157" spans="1:10" ht="25.5">
      <c r="A157" s="886" t="s">
        <v>360</v>
      </c>
      <c r="B157" s="887"/>
      <c r="C157" s="888"/>
      <c r="D157" s="117" t="s">
        <v>130</v>
      </c>
      <c r="E157" s="95">
        <f>'4'!F157</f>
        <v>37559</v>
      </c>
      <c r="F157" s="155">
        <v>37559</v>
      </c>
      <c r="G157" s="112">
        <f t="shared" si="12"/>
        <v>0</v>
      </c>
      <c r="H157" s="99">
        <f>G157+'4'!H157</f>
        <v>0</v>
      </c>
      <c r="I157" s="165"/>
      <c r="J157" s="328">
        <f>H157/DAY(B2)</f>
        <v>0</v>
      </c>
    </row>
    <row r="158" spans="1:10" ht="25.5">
      <c r="A158" s="886" t="s">
        <v>361</v>
      </c>
      <c r="B158" s="887"/>
      <c r="C158" s="888"/>
      <c r="D158" s="117" t="s">
        <v>130</v>
      </c>
      <c r="E158" s="95">
        <f>'4'!F158</f>
        <v>1597</v>
      </c>
      <c r="F158" s="155">
        <v>1627</v>
      </c>
      <c r="G158" s="112">
        <f t="shared" si="12"/>
        <v>30</v>
      </c>
      <c r="H158" s="99">
        <f>G158+'4'!H158</f>
        <v>65.650000000000091</v>
      </c>
      <c r="I158" s="165"/>
      <c r="J158" s="328">
        <f>H158/DAY(B2)</f>
        <v>13.130000000000019</v>
      </c>
    </row>
    <row r="159" spans="1:10" ht="25.5">
      <c r="A159" s="942"/>
      <c r="B159" s="943"/>
      <c r="C159" s="944"/>
      <c r="D159" s="117"/>
      <c r="E159" s="95"/>
      <c r="F159" s="165"/>
      <c r="G159" s="112"/>
      <c r="H159" s="99"/>
      <c r="I159" s="165"/>
      <c r="J159" s="328">
        <f>H159/DAY(B2)</f>
        <v>0</v>
      </c>
    </row>
    <row r="160" spans="1:10" ht="27.75">
      <c r="A160" s="924" t="s">
        <v>326</v>
      </c>
      <c r="B160" s="924"/>
      <c r="C160" s="924"/>
      <c r="D160" s="924"/>
      <c r="E160" s="924"/>
      <c r="F160" s="924"/>
      <c r="G160" s="924"/>
      <c r="H160" s="924"/>
      <c r="I160" s="924"/>
      <c r="J160" s="924"/>
    </row>
    <row r="161" spans="1:10" ht="26.25">
      <c r="A161" s="242" t="s">
        <v>92</v>
      </c>
      <c r="B161" s="243"/>
      <c r="C161" s="243"/>
      <c r="D161" s="244" t="s">
        <v>180</v>
      </c>
      <c r="E161" s="95">
        <f>'4'!F161</f>
        <v>503831.96</v>
      </c>
      <c r="F161" s="235">
        <v>504085</v>
      </c>
      <c r="G161" s="238">
        <f t="shared" ref="G161:G165" si="13">F161-E161</f>
        <v>253.03999999997905</v>
      </c>
      <c r="H161" s="99">
        <f>G161+'4'!H161</f>
        <v>713.84000000002561</v>
      </c>
      <c r="I161" s="236"/>
      <c r="J161" s="239">
        <f>H161/DAY(B2)</f>
        <v>142.76800000000512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'4'!F162</f>
        <v>99809.7</v>
      </c>
      <c r="F162" s="235">
        <v>99854</v>
      </c>
      <c r="G162" s="238">
        <f t="shared" si="13"/>
        <v>44.30000000000291</v>
      </c>
      <c r="H162" s="99">
        <f>G162+'4'!H162</f>
        <v>200.39999999999418</v>
      </c>
      <c r="I162" s="236"/>
      <c r="J162" s="239">
        <f>H162/DAY(B2)</f>
        <v>40.079999999998833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'4'!F163</f>
        <v>0</v>
      </c>
      <c r="F163" s="235">
        <v>0</v>
      </c>
      <c r="G163" s="238">
        <f t="shared" si="13"/>
        <v>0</v>
      </c>
      <c r="H163" s="99">
        <f>G163+'4'!H163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'4'!F164</f>
        <v>7016.1</v>
      </c>
      <c r="F164" s="235">
        <v>7023</v>
      </c>
      <c r="G164" s="238">
        <f t="shared" si="13"/>
        <v>6.8999999999996362</v>
      </c>
      <c r="H164" s="99">
        <f>G164+'4'!H164</f>
        <v>32.800000000000182</v>
      </c>
      <c r="I164" s="236"/>
      <c r="J164" s="239">
        <f>H164/DAY(B2)</f>
        <v>6.560000000000036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'4'!F165</f>
        <v>32601.119999999999</v>
      </c>
      <c r="F165" s="235">
        <v>32608</v>
      </c>
      <c r="G165" s="238">
        <f t="shared" si="13"/>
        <v>6.8800000000010186</v>
      </c>
      <c r="H165" s="99">
        <f>G165+'4'!H165</f>
        <v>33.900000000001455</v>
      </c>
      <c r="I165" s="236"/>
      <c r="J165" s="239">
        <f>H165/DAY(B2)</f>
        <v>6.7800000000002907</v>
      </c>
    </row>
    <row r="166" spans="1:10" ht="26.25">
      <c r="A166" s="923"/>
      <c r="B166" s="923"/>
      <c r="C166" s="246"/>
      <c r="D166" s="244" t="s">
        <v>180</v>
      </c>
      <c r="E166" s="95">
        <f>'4'!F166</f>
        <v>0</v>
      </c>
      <c r="F166" s="165"/>
      <c r="G166" s="165"/>
      <c r="H166" s="99">
        <f>G166+'4'!H166</f>
        <v>0</v>
      </c>
      <c r="I166" s="165"/>
      <c r="J166" s="327"/>
    </row>
    <row r="167" spans="1:10" ht="26.25">
      <c r="A167" s="923"/>
      <c r="B167" s="923"/>
      <c r="C167" s="246"/>
      <c r="D167" s="244" t="s">
        <v>180</v>
      </c>
      <c r="E167" s="95">
        <f>'4'!F167</f>
        <v>0</v>
      </c>
      <c r="F167" s="165"/>
      <c r="G167" s="165"/>
      <c r="H167" s="99">
        <f>G167+'4'!H167</f>
        <v>0</v>
      </c>
      <c r="I167" s="165"/>
      <c r="J167" s="327"/>
    </row>
    <row r="168" spans="1:10" ht="26.25">
      <c r="A168" s="923"/>
      <c r="B168" s="923"/>
      <c r="C168" s="246"/>
      <c r="D168" s="244" t="s">
        <v>180</v>
      </c>
      <c r="E168" s="95">
        <f>'4'!F168</f>
        <v>0</v>
      </c>
      <c r="F168" s="165"/>
      <c r="G168" s="165"/>
      <c r="H168" s="99">
        <f>G168+'4'!H168</f>
        <v>0</v>
      </c>
      <c r="I168" s="165"/>
      <c r="J168" s="327"/>
    </row>
    <row r="169" spans="1:10" ht="26.25"/>
    <row r="170" spans="1:10" ht="26.25"/>
    <row r="171" spans="1:10" ht="27.75">
      <c r="A171" s="933" t="s">
        <v>330</v>
      </c>
      <c r="B171" s="934"/>
      <c r="C171" s="934"/>
      <c r="D171" s="934"/>
      <c r="E171" s="934"/>
      <c r="F171" s="934"/>
      <c r="G171" s="934"/>
      <c r="H171" s="934"/>
      <c r="I171" s="934"/>
      <c r="J171" s="935"/>
    </row>
    <row r="172" spans="1:10" ht="25.5">
      <c r="A172" s="951"/>
      <c r="B172" s="951"/>
      <c r="C172" s="389"/>
      <c r="D172" s="155"/>
      <c r="E172" s="155"/>
      <c r="F172" s="155"/>
      <c r="G172" s="155"/>
      <c r="H172" s="156"/>
      <c r="I172" s="155"/>
      <c r="J172" s="156"/>
    </row>
    <row r="173" spans="1:10" ht="25.5">
      <c r="A173" s="946" t="s">
        <v>209</v>
      </c>
      <c r="B173" s="946"/>
      <c r="C173" s="333"/>
      <c r="D173" s="155" t="s">
        <v>142</v>
      </c>
      <c r="E173" s="95">
        <f>'4'!F173</f>
        <v>8593</v>
      </c>
      <c r="F173" s="155">
        <v>8593</v>
      </c>
      <c r="G173" s="155">
        <f>F173-E173</f>
        <v>0</v>
      </c>
      <c r="H173" s="99">
        <f>G173+'4'!H173</f>
        <v>9</v>
      </c>
      <c r="I173" s="155"/>
      <c r="J173" s="156">
        <f>H173/DAY(B2)</f>
        <v>1.8</v>
      </c>
    </row>
    <row r="174" spans="1:10" ht="25.5">
      <c r="A174" s="946" t="s">
        <v>75</v>
      </c>
      <c r="B174" s="946"/>
      <c r="C174" s="333"/>
      <c r="D174" s="155" t="s">
        <v>142</v>
      </c>
      <c r="E174" s="95">
        <f>'4'!F174</f>
        <v>42718</v>
      </c>
      <c r="F174" s="157">
        <v>42728</v>
      </c>
      <c r="G174" s="155">
        <f t="shared" ref="G174:G175" si="14">F174-E174</f>
        <v>10</v>
      </c>
      <c r="H174" s="99">
        <f>G174+'4'!H174</f>
        <v>59</v>
      </c>
      <c r="I174" s="155"/>
      <c r="J174" s="156">
        <f>H174/DAY(B2)</f>
        <v>11.8</v>
      </c>
    </row>
    <row r="175" spans="1:10" ht="25.5">
      <c r="A175" s="946" t="s">
        <v>76</v>
      </c>
      <c r="B175" s="946"/>
      <c r="C175" s="946"/>
      <c r="D175" s="155" t="s">
        <v>142</v>
      </c>
      <c r="E175" s="95">
        <f>'4'!F175</f>
        <v>25443</v>
      </c>
      <c r="F175" s="157">
        <v>25454</v>
      </c>
      <c r="G175" s="155">
        <f t="shared" si="14"/>
        <v>11</v>
      </c>
      <c r="H175" s="99">
        <f>G175+'4'!H175</f>
        <v>61</v>
      </c>
      <c r="I175" s="155"/>
      <c r="J175" s="156">
        <f>H175/DAY(B2)</f>
        <v>12.2</v>
      </c>
    </row>
    <row r="176" spans="1:10" ht="25.5">
      <c r="A176" s="945" t="s">
        <v>196</v>
      </c>
      <c r="B176" s="945"/>
      <c r="C176" s="333"/>
      <c r="D176" s="155"/>
      <c r="E176" s="95">
        <f>'4'!F176</f>
        <v>0</v>
      </c>
      <c r="F176" s="155"/>
      <c r="G176" s="155">
        <f>SUM(G173:G175)</f>
        <v>21</v>
      </c>
      <c r="H176" s="99">
        <f>G176+'4'!H176</f>
        <v>129</v>
      </c>
      <c r="I176" s="155"/>
      <c r="J176" s="156">
        <f>H176/DAY(B2)</f>
        <v>25.8</v>
      </c>
    </row>
    <row r="177" spans="1:10" ht="25.5">
      <c r="A177" s="946" t="s">
        <v>77</v>
      </c>
      <c r="B177" s="946"/>
      <c r="C177" s="333"/>
      <c r="D177" s="155" t="s">
        <v>142</v>
      </c>
      <c r="E177" s="95">
        <f>'4'!F177</f>
        <v>0</v>
      </c>
      <c r="F177" s="155"/>
      <c r="G177" s="155"/>
      <c r="H177" s="99">
        <f>G177+'4'!H177</f>
        <v>0</v>
      </c>
      <c r="I177" s="155"/>
      <c r="J177" s="156">
        <f>H177/DAY(B2)</f>
        <v>0</v>
      </c>
    </row>
    <row r="178" spans="1:10" ht="25.5">
      <c r="A178" s="946" t="s">
        <v>210</v>
      </c>
      <c r="B178" s="946"/>
      <c r="C178" s="333"/>
      <c r="D178" s="155" t="s">
        <v>142</v>
      </c>
      <c r="E178" s="95">
        <f>'4'!F178</f>
        <v>103913</v>
      </c>
      <c r="F178" s="155">
        <v>103931</v>
      </c>
      <c r="G178" s="155">
        <f>F178-E178</f>
        <v>18</v>
      </c>
      <c r="H178" s="99">
        <f>G178+'4'!H178</f>
        <v>288</v>
      </c>
      <c r="I178" s="155"/>
      <c r="J178" s="156">
        <f>H178/DAY(B2)</f>
        <v>57.6</v>
      </c>
    </row>
    <row r="179" spans="1:10" ht="25.5">
      <c r="A179" s="946" t="s">
        <v>211</v>
      </c>
      <c r="B179" s="946"/>
      <c r="C179" s="333"/>
      <c r="D179" s="155" t="s">
        <v>142</v>
      </c>
      <c r="E179" s="95">
        <f>'4'!F179</f>
        <v>37501</v>
      </c>
      <c r="F179" s="155">
        <v>37501</v>
      </c>
      <c r="G179" s="155">
        <f t="shared" ref="G179:G180" si="15">F179-E179</f>
        <v>0</v>
      </c>
      <c r="H179" s="99">
        <f>G179+'4'!H179</f>
        <v>0</v>
      </c>
      <c r="I179" s="155"/>
      <c r="J179" s="156">
        <f>H179/DAY(B2)</f>
        <v>0</v>
      </c>
    </row>
    <row r="180" spans="1:10" ht="25.5">
      <c r="A180" s="946" t="s">
        <v>212</v>
      </c>
      <c r="B180" s="946"/>
      <c r="C180" s="333"/>
      <c r="D180" s="155" t="s">
        <v>142</v>
      </c>
      <c r="E180" s="95">
        <f>'4'!F180</f>
        <v>7428</v>
      </c>
      <c r="F180" s="155">
        <v>7439</v>
      </c>
      <c r="G180" s="155">
        <f t="shared" si="15"/>
        <v>11</v>
      </c>
      <c r="H180" s="99">
        <f>G180+'4'!H180</f>
        <v>19</v>
      </c>
      <c r="I180" s="155"/>
      <c r="J180" s="156">
        <f>H180/DAY(B2)</f>
        <v>3.8</v>
      </c>
    </row>
    <row r="181" spans="1:10" ht="25.5">
      <c r="A181" s="950" t="s">
        <v>108</v>
      </c>
      <c r="B181" s="950"/>
      <c r="C181" s="333"/>
      <c r="D181" s="155"/>
      <c r="E181" s="95">
        <f>'4'!F181</f>
        <v>0</v>
      </c>
      <c r="F181" s="155"/>
      <c r="G181" s="155">
        <f>SUM(G178:G180)</f>
        <v>29</v>
      </c>
      <c r="H181" s="99">
        <f>G181+'4'!H181</f>
        <v>307</v>
      </c>
      <c r="I181" s="155"/>
      <c r="J181" s="156">
        <f>H181/DAY(B2)</f>
        <v>61.4</v>
      </c>
    </row>
    <row r="182" spans="1:10" ht="25.5">
      <c r="A182" s="946" t="s">
        <v>213</v>
      </c>
      <c r="B182" s="946"/>
      <c r="C182" s="333"/>
      <c r="D182" s="155"/>
      <c r="E182" s="95">
        <f>'4'!F182</f>
        <v>0</v>
      </c>
      <c r="F182" s="155"/>
      <c r="G182" s="155"/>
      <c r="H182" s="99">
        <f>G182+'4'!H182</f>
        <v>0</v>
      </c>
      <c r="I182" s="155"/>
      <c r="J182" s="156">
        <f>H182/DAY(B2)</f>
        <v>0</v>
      </c>
    </row>
    <row r="183" spans="1:10" ht="25.5">
      <c r="A183" s="946" t="s">
        <v>214</v>
      </c>
      <c r="B183" s="946"/>
      <c r="C183" s="334"/>
      <c r="D183" s="155" t="s">
        <v>142</v>
      </c>
      <c r="E183" s="95">
        <f>'4'!F183</f>
        <v>18189</v>
      </c>
      <c r="F183" s="157">
        <v>18193</v>
      </c>
      <c r="G183" s="157">
        <f>F183-E183</f>
        <v>4</v>
      </c>
      <c r="H183" s="99">
        <f>G183+'4'!H183</f>
        <v>25</v>
      </c>
      <c r="I183" s="155"/>
      <c r="J183" s="156">
        <f>H183/DAY(B2)</f>
        <v>5</v>
      </c>
    </row>
    <row r="184" spans="1:10" ht="25.5">
      <c r="A184" s="946" t="s">
        <v>215</v>
      </c>
      <c r="B184" s="946"/>
      <c r="C184" s="334"/>
      <c r="D184" s="155" t="s">
        <v>142</v>
      </c>
      <c r="E184" s="95">
        <f>'4'!F184</f>
        <v>12786</v>
      </c>
      <c r="F184" s="157">
        <v>12793</v>
      </c>
      <c r="G184" s="157">
        <f t="shared" ref="G184:G185" si="16">F184-E184</f>
        <v>7</v>
      </c>
      <c r="H184" s="99">
        <f>G184+'4'!H184</f>
        <v>43</v>
      </c>
      <c r="I184" s="155"/>
      <c r="J184" s="156">
        <f>H184/DAY(B2)</f>
        <v>8.6</v>
      </c>
    </row>
    <row r="185" spans="1:10" ht="29.25" customHeight="1">
      <c r="A185" s="946" t="s">
        <v>216</v>
      </c>
      <c r="B185" s="946"/>
      <c r="C185" s="334"/>
      <c r="D185" s="155" t="s">
        <v>142</v>
      </c>
      <c r="E185" s="95">
        <f>'4'!F185</f>
        <v>0</v>
      </c>
      <c r="F185" s="157">
        <v>0</v>
      </c>
      <c r="G185" s="157">
        <f t="shared" si="16"/>
        <v>0</v>
      </c>
      <c r="H185" s="99">
        <f>G185+'4'!H185</f>
        <v>0</v>
      </c>
      <c r="I185" s="155"/>
      <c r="J185" s="156">
        <f>H185/DAY(B2)</f>
        <v>0</v>
      </c>
    </row>
    <row r="186" spans="1:10" ht="25.5">
      <c r="A186" s="945" t="s">
        <v>196</v>
      </c>
      <c r="B186" s="945"/>
      <c r="C186" s="334"/>
      <c r="D186" s="378"/>
      <c r="E186" s="95"/>
      <c r="F186" s="157"/>
      <c r="G186" s="157">
        <f>SUM(G183:G185)</f>
        <v>11</v>
      </c>
      <c r="H186" s="99">
        <f>G186+'4'!H186</f>
        <v>68</v>
      </c>
      <c r="I186" s="157"/>
      <c r="J186" s="156">
        <f>H186/DAY(B2)</f>
        <v>13.6</v>
      </c>
    </row>
    <row r="187" spans="1:10" ht="25.5">
      <c r="A187" s="949" t="s">
        <v>217</v>
      </c>
      <c r="B187" s="949"/>
      <c r="C187" s="333"/>
      <c r="D187" s="157" t="s">
        <v>142</v>
      </c>
      <c r="E187" s="95"/>
      <c r="F187" s="159"/>
      <c r="G187" s="377">
        <f>G62+G19</f>
        <v>157</v>
      </c>
      <c r="H187" s="99">
        <f>G187+'4'!H187</f>
        <v>840</v>
      </c>
      <c r="I187" s="158"/>
      <c r="J187" s="159">
        <f>H187/DAY(B2)</f>
        <v>168</v>
      </c>
    </row>
    <row r="188" spans="1:10" ht="25.5">
      <c r="A188" s="949" t="s">
        <v>218</v>
      </c>
      <c r="B188" s="949"/>
      <c r="C188" s="333"/>
      <c r="D188" s="157" t="s">
        <v>142</v>
      </c>
      <c r="E188" s="95"/>
      <c r="F188" s="159"/>
      <c r="G188" s="377">
        <f>G65+G66+G67+G69+G70</f>
        <v>157</v>
      </c>
      <c r="H188" s="99">
        <f>G188+'4'!H188</f>
        <v>844</v>
      </c>
      <c r="I188" s="158"/>
      <c r="J188" s="159">
        <f>H188/DAY(B2)</f>
        <v>168.8</v>
      </c>
    </row>
    <row r="189" spans="1:10" ht="25.5">
      <c r="A189" s="949" t="s">
        <v>219</v>
      </c>
      <c r="B189" s="949"/>
      <c r="C189" s="333"/>
      <c r="D189" s="157" t="s">
        <v>142</v>
      </c>
      <c r="E189" s="95"/>
      <c r="F189" s="157"/>
      <c r="G189" s="376">
        <f>G181</f>
        <v>29</v>
      </c>
      <c r="H189" s="99">
        <f>G189+'4'!H189</f>
        <v>307</v>
      </c>
      <c r="I189" s="158"/>
      <c r="J189" s="159">
        <f>H189/DAY(B2)</f>
        <v>61.4</v>
      </c>
    </row>
    <row r="190" spans="1:10" ht="25.5">
      <c r="A190" s="948"/>
      <c r="B190" s="948"/>
      <c r="C190" s="390"/>
      <c r="D190" s="391"/>
      <c r="E190" s="392"/>
      <c r="F190" s="391"/>
      <c r="G190" s="391"/>
      <c r="H190" s="393"/>
      <c r="I190" s="391"/>
      <c r="J190" s="394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74:B174"/>
    <mergeCell ref="A176:B176"/>
    <mergeCell ref="A154:J154"/>
    <mergeCell ref="A155:C155"/>
    <mergeCell ref="A156:C156"/>
    <mergeCell ref="A150:C150"/>
    <mergeCell ref="A151:C151"/>
    <mergeCell ref="A152:C152"/>
    <mergeCell ref="A166:B166"/>
    <mergeCell ref="A168:B168"/>
    <mergeCell ref="A160:J160"/>
    <mergeCell ref="A153:B153"/>
    <mergeCell ref="A157:C157"/>
    <mergeCell ref="A158:C158"/>
    <mergeCell ref="A159:C159"/>
    <mergeCell ref="A146:C146"/>
    <mergeCell ref="A147:C147"/>
    <mergeCell ref="A148:C148"/>
    <mergeCell ref="A149:C149"/>
    <mergeCell ref="A143:C143"/>
    <mergeCell ref="A144:C144"/>
    <mergeCell ref="A171:J171"/>
    <mergeCell ref="A172:B172"/>
    <mergeCell ref="A173:B173"/>
    <mergeCell ref="A190:B190"/>
    <mergeCell ref="A185:B185"/>
    <mergeCell ref="A186:B186"/>
    <mergeCell ref="A187:B187"/>
    <mergeCell ref="A188:B188"/>
    <mergeCell ref="A189:B189"/>
    <mergeCell ref="A178:B178"/>
    <mergeCell ref="A179:B179"/>
    <mergeCell ref="A180:B180"/>
    <mergeCell ref="A183:B183"/>
    <mergeCell ref="A184:B184"/>
    <mergeCell ref="A182:B182"/>
    <mergeCell ref="A181:B181"/>
    <mergeCell ref="Q117:R117"/>
    <mergeCell ref="A118:C118"/>
    <mergeCell ref="Q118:R118"/>
    <mergeCell ref="A119:C119"/>
    <mergeCell ref="A113:C113"/>
    <mergeCell ref="A114:C114"/>
    <mergeCell ref="A115:C115"/>
    <mergeCell ref="A116:C116"/>
    <mergeCell ref="Q116:R116"/>
    <mergeCell ref="A117:C117"/>
    <mergeCell ref="A105:C105"/>
    <mergeCell ref="A108:J108"/>
    <mergeCell ref="A122:C122"/>
    <mergeCell ref="A124:C124"/>
    <mergeCell ref="A125:B125"/>
    <mergeCell ref="A112:C112"/>
    <mergeCell ref="A109:B109"/>
    <mergeCell ref="A121:C121"/>
    <mergeCell ref="A177:B177"/>
    <mergeCell ref="A175:C175"/>
    <mergeCell ref="A123:C123"/>
    <mergeCell ref="A128:C128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67:B167"/>
    <mergeCell ref="A141:C141"/>
    <mergeCell ref="A142:C142"/>
    <mergeCell ref="A145:C145"/>
    <mergeCell ref="A1:J1"/>
    <mergeCell ref="A6:C6"/>
    <mergeCell ref="A14:C14"/>
    <mergeCell ref="A17:C17"/>
    <mergeCell ref="E3:F3"/>
    <mergeCell ref="A64:C64"/>
    <mergeCell ref="A65:C65"/>
    <mergeCell ref="A74:C74"/>
    <mergeCell ref="A75:C75"/>
    <mergeCell ref="A73:C73"/>
    <mergeCell ref="A61:C61"/>
    <mergeCell ref="A62:C62"/>
    <mergeCell ref="A63:C63"/>
    <mergeCell ref="A71:C71"/>
    <mergeCell ref="A72:B72"/>
    <mergeCell ref="A18:C18"/>
    <mergeCell ref="A19:C19"/>
    <mergeCell ref="A21:C21"/>
    <mergeCell ref="A25:C25"/>
    <mergeCell ref="A33:C33"/>
    <mergeCell ref="A135:B135"/>
    <mergeCell ref="A76:C76"/>
    <mergeCell ref="A77:C77"/>
    <mergeCell ref="A79:C79"/>
    <mergeCell ref="A78:C78"/>
    <mergeCell ref="A103:C103"/>
    <mergeCell ref="A104:C104"/>
    <mergeCell ref="A93:C93"/>
    <mergeCell ref="A94:C94"/>
    <mergeCell ref="A80:C80"/>
    <mergeCell ref="A81:C81"/>
    <mergeCell ref="A95:C95"/>
    <mergeCell ref="A96:C96"/>
    <mergeCell ref="A102:C102"/>
    <mergeCell ref="A97:C97"/>
    <mergeCell ref="A98:C98"/>
    <mergeCell ref="A99:C99"/>
    <mergeCell ref="A100:C100"/>
    <mergeCell ref="A101:C101"/>
    <mergeCell ref="A126:J126"/>
    <mergeCell ref="A127:B127"/>
    <mergeCell ref="A110:J110"/>
    <mergeCell ref="A111:C111"/>
    <mergeCell ref="A120:C120"/>
  </mergeCells>
  <pageMargins left="0.22" right="0.17" top="0.14000000000000001" bottom="0.2" header="0.2" footer="0.2"/>
  <pageSetup paperSize="5" scale="2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270"/>
  <sheetViews>
    <sheetView view="pageBreakPreview" zoomScale="55" zoomScaleSheetLayoutView="55" workbookViewId="0">
      <selection activeCell="G20" sqref="G20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67" t="s">
        <v>115</v>
      </c>
      <c r="B1" s="868"/>
      <c r="C1" s="868"/>
      <c r="D1" s="868"/>
      <c r="E1" s="868"/>
      <c r="F1" s="868"/>
      <c r="G1" s="868"/>
      <c r="H1" s="868"/>
      <c r="I1" s="868"/>
      <c r="J1" s="869"/>
    </row>
    <row r="2" spans="1:15" s="57" customFormat="1" ht="23.25">
      <c r="A2" s="191" t="s">
        <v>349</v>
      </c>
      <c r="B2" s="262">
        <v>44901</v>
      </c>
      <c r="C2" s="348" t="s">
        <v>67</v>
      </c>
      <c r="D2" s="218">
        <v>0.57999999999999996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25</v>
      </c>
      <c r="E3" s="876" t="s">
        <v>119</v>
      </c>
      <c r="F3" s="877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0" t="s">
        <v>128</v>
      </c>
      <c r="B6" s="871"/>
      <c r="C6" s="87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'5'!F7</f>
        <v>388033</v>
      </c>
      <c r="F7" s="95">
        <v>410637</v>
      </c>
      <c r="G7" s="236">
        <f>F7-E7</f>
        <v>22604</v>
      </c>
      <c r="H7" s="99">
        <f>G7+'5'!H7</f>
        <v>136954.45000000001</v>
      </c>
      <c r="I7" s="113">
        <f>'1'!I7</f>
        <v>12000</v>
      </c>
      <c r="J7" s="175">
        <f>H7/DAY(B2)</f>
        <v>22825.741666666669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'5'!F8</f>
        <v>566146</v>
      </c>
      <c r="F8" s="114">
        <v>588942</v>
      </c>
      <c r="G8" s="519">
        <f>F8-E8</f>
        <v>22796</v>
      </c>
      <c r="H8" s="99">
        <f>G8+'5'!H8</f>
        <v>137681</v>
      </c>
      <c r="I8" s="116"/>
      <c r="J8" s="175">
        <f>H8/DAY(B2)</f>
        <v>22946.833333333332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'5'!F9</f>
        <v>4146480</v>
      </c>
      <c r="F9" s="117">
        <v>4152576</v>
      </c>
      <c r="G9" s="112">
        <f>F9-E9</f>
        <v>6096</v>
      </c>
      <c r="H9" s="99">
        <f>G9+'5'!H9</f>
        <v>38405.700000000186</v>
      </c>
      <c r="I9" s="124">
        <f>I7-J7</f>
        <v>-10825.741666666669</v>
      </c>
      <c r="J9" s="175">
        <f>H9/DAY(B2)</f>
        <v>6400.9500000000307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'5'!F10</f>
        <v>3768424</v>
      </c>
      <c r="F10" s="117">
        <v>3784129.9</v>
      </c>
      <c r="G10" s="112">
        <f t="shared" ref="G10:G12" si="0">F10-E10</f>
        <v>15705.899999999907</v>
      </c>
      <c r="H10" s="99">
        <f>G10+'5'!H10</f>
        <v>94650.799999999814</v>
      </c>
      <c r="I10" s="282"/>
      <c r="J10" s="175">
        <f>H10/DAY(B2)</f>
        <v>15775.133333333302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'5'!F11</f>
        <v>38120</v>
      </c>
      <c r="F11" s="95">
        <v>38120</v>
      </c>
      <c r="G11" s="112">
        <f t="shared" si="0"/>
        <v>0</v>
      </c>
      <c r="H11" s="99">
        <f>G11+'5'!H11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'5'!F12</f>
        <v>40390</v>
      </c>
      <c r="F12" s="117">
        <v>40390</v>
      </c>
      <c r="G12" s="112">
        <f t="shared" si="0"/>
        <v>0</v>
      </c>
      <c r="H12" s="99">
        <f>G12+'5'!H12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21801.899999999907</v>
      </c>
      <c r="H13" s="99">
        <f>G13+'5'!H13</f>
        <v>137285.19999999972</v>
      </c>
      <c r="I13" s="120">
        <f>G7-G13</f>
        <v>802.10000000009313</v>
      </c>
      <c r="J13" s="175">
        <f>H13/DAY(B2)</f>
        <v>22880.866666666621</v>
      </c>
      <c r="K13" s="79"/>
      <c r="L13" s="66"/>
      <c r="N13" s="87"/>
      <c r="O13" s="71"/>
    </row>
    <row r="14" spans="1:15" ht="26.25">
      <c r="A14" s="873" t="s">
        <v>137</v>
      </c>
      <c r="B14" s="874"/>
      <c r="C14" s="87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'5'!F15</f>
        <v>2224356</v>
      </c>
      <c r="F15" s="468">
        <v>2225475.4</v>
      </c>
      <c r="G15" s="112">
        <f>(F15-E15)</f>
        <v>1119.3999999999069</v>
      </c>
      <c r="H15" s="99">
        <f>G15+'5'!H15</f>
        <v>6534.3999999999069</v>
      </c>
      <c r="I15" s="113">
        <f>'1'!I15</f>
        <v>800</v>
      </c>
      <c r="J15" s="175">
        <f>H15/DAY(B2)</f>
        <v>1089.0666666666511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-289.06666666665114</v>
      </c>
      <c r="J16" s="176"/>
      <c r="K16" s="79"/>
      <c r="L16" s="66"/>
      <c r="N16" s="87"/>
      <c r="O16" s="71"/>
    </row>
    <row r="17" spans="1:15" ht="26.25">
      <c r="A17" s="873" t="s">
        <v>140</v>
      </c>
      <c r="B17" s="874"/>
      <c r="C17" s="87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64" t="s">
        <v>141</v>
      </c>
      <c r="B18" s="865"/>
      <c r="C18" s="866"/>
      <c r="D18" s="151" t="s">
        <v>142</v>
      </c>
      <c r="E18" s="95">
        <f>'5'!F18</f>
        <v>25</v>
      </c>
      <c r="F18" s="122">
        <v>31</v>
      </c>
      <c r="G18" s="119">
        <f>F18*10</f>
        <v>310</v>
      </c>
      <c r="H18" s="99">
        <f>G18+'5'!H18</f>
        <v>1550</v>
      </c>
      <c r="I18" s="113">
        <f>'1'!I18</f>
        <v>65</v>
      </c>
      <c r="J18" s="175">
        <f>H18/DAY(B2)</f>
        <v>258.33333333333331</v>
      </c>
      <c r="K18" s="79"/>
      <c r="L18" s="66"/>
      <c r="N18" s="87"/>
      <c r="O18" s="71"/>
    </row>
    <row r="19" spans="1:15" ht="25.5">
      <c r="A19" s="864" t="s">
        <v>69</v>
      </c>
      <c r="B19" s="865"/>
      <c r="C19" s="866"/>
      <c r="D19" s="151" t="s">
        <v>142</v>
      </c>
      <c r="E19" s="95">
        <f>'5'!F19</f>
        <v>168242</v>
      </c>
      <c r="F19" s="122">
        <v>168295</v>
      </c>
      <c r="G19" s="112">
        <f t="shared" ref="G19" si="1">F19-E19</f>
        <v>53</v>
      </c>
      <c r="H19" s="99">
        <f>G19+'5'!H19</f>
        <v>335</v>
      </c>
      <c r="I19" s="335"/>
      <c r="J19" s="175">
        <f>H19/DAY(B2)</f>
        <v>55.833333333333336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363</v>
      </c>
      <c r="H20" s="99">
        <f>G20+'5'!H20</f>
        <v>1885</v>
      </c>
      <c r="I20" s="336">
        <f>I18-J20</f>
        <v>-249.16666666666669</v>
      </c>
      <c r="J20" s="175">
        <f>H20/DAY(B2)</f>
        <v>314.16666666666669</v>
      </c>
      <c r="K20" s="79"/>
      <c r="L20" s="66"/>
      <c r="N20" s="87"/>
      <c r="O20" s="71"/>
    </row>
    <row r="21" spans="1:15" ht="26.25">
      <c r="A21" s="873" t="s">
        <v>144</v>
      </c>
      <c r="B21" s="874"/>
      <c r="C21" s="87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'5'!F22</f>
        <v>2970</v>
      </c>
      <c r="F22" s="122">
        <v>2970</v>
      </c>
      <c r="G22" s="119">
        <f t="shared" ref="G22" si="2">(F22-E22)</f>
        <v>0</v>
      </c>
      <c r="H22" s="99">
        <f>G22+'5'!H22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'5'!F24</f>
        <v>4970</v>
      </c>
      <c r="F24" s="128">
        <v>4970</v>
      </c>
      <c r="G24" s="119">
        <v>0</v>
      </c>
      <c r="H24" s="99">
        <f>G24+'5'!H24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78" t="s">
        <v>149</v>
      </c>
      <c r="B25" s="879"/>
      <c r="C25" s="88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22796</v>
      </c>
      <c r="F27" s="136">
        <v>9</v>
      </c>
      <c r="G27" s="137">
        <f>E27*F27</f>
        <v>205164</v>
      </c>
      <c r="H27" s="99">
        <f>G27+'5'!H27</f>
        <v>1261719.8</v>
      </c>
      <c r="I27" s="138"/>
      <c r="J27" s="175">
        <f>H27/DAY(B2)</f>
        <v>210286.63333333333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1119.3999999999069</v>
      </c>
      <c r="F28" s="136">
        <v>70</v>
      </c>
      <c r="G28" s="137">
        <f>E28*F28</f>
        <v>78357.999999993481</v>
      </c>
      <c r="H28" s="99">
        <f>G28+'5'!H28</f>
        <v>467919.74999999395</v>
      </c>
      <c r="I28" s="140"/>
      <c r="J28" s="175">
        <f>H28/DAY(B2)</f>
        <v>77986.624999998996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151</v>
      </c>
      <c r="G30" s="137">
        <f>E30*F30</f>
        <v>8003</v>
      </c>
      <c r="H30" s="99">
        <f>G30+'5'!H30</f>
        <v>50585</v>
      </c>
      <c r="I30" s="140"/>
      <c r="J30" s="175">
        <f>H30/DAY(B2)</f>
        <v>8430.8333333333339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310</v>
      </c>
      <c r="F31" s="136">
        <v>80</v>
      </c>
      <c r="G31" s="137">
        <f>E31*F31</f>
        <v>24800</v>
      </c>
      <c r="H31" s="99">
        <f>G31+'5'!H31</f>
        <v>124000</v>
      </c>
      <c r="I31" s="140"/>
      <c r="J31" s="175">
        <f>H31/DAY(B2)</f>
        <v>20666.666666666668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316324.99999999348</v>
      </c>
      <c r="H32" s="99">
        <f>G32+'5'!H32</f>
        <v>1904224.5499999938</v>
      </c>
      <c r="I32" s="144"/>
      <c r="J32" s="175">
        <f>H32/DAY(B2)</f>
        <v>317370.75833333231</v>
      </c>
      <c r="K32" s="63"/>
      <c r="L32" s="89"/>
      <c r="N32" s="87"/>
      <c r="O32" s="71"/>
    </row>
    <row r="33" spans="1:15" ht="25.5" customHeight="1">
      <c r="A33" s="881" t="s">
        <v>331</v>
      </c>
      <c r="B33" s="882"/>
      <c r="C33" s="88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'5'!F35</f>
        <v>383405</v>
      </c>
      <c r="F35" s="145">
        <v>386130.8</v>
      </c>
      <c r="G35" s="112">
        <f t="shared" ref="G35:G46" si="3">F35-E35</f>
        <v>2725.7999999999884</v>
      </c>
      <c r="H35" s="99">
        <f>G35+'5'!H35</f>
        <v>17033.890000000014</v>
      </c>
      <c r="I35" s="95"/>
      <c r="J35" s="175">
        <f>H35/DAY(B2)</f>
        <v>2838.9816666666688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'5'!F36</f>
        <v>327946</v>
      </c>
      <c r="F36" s="145">
        <v>328890.99</v>
      </c>
      <c r="G36" s="112">
        <f t="shared" si="3"/>
        <v>944.98999999999069</v>
      </c>
      <c r="H36" s="99">
        <f>G36+'5'!H36</f>
        <v>6673.8800000000047</v>
      </c>
      <c r="I36" s="95"/>
      <c r="J36" s="175">
        <f>H36/DAY(B2)</f>
        <v>1112.3133333333342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'5'!F37</f>
        <v>322998.69</v>
      </c>
      <c r="F37" s="145">
        <v>322998.69</v>
      </c>
      <c r="G37" s="112">
        <f t="shared" si="3"/>
        <v>0</v>
      </c>
      <c r="H37" s="99">
        <f>G37+'5'!H37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'5'!F38</f>
        <v>747724</v>
      </c>
      <c r="F38" s="108">
        <v>750074.95</v>
      </c>
      <c r="G38" s="112">
        <f t="shared" si="3"/>
        <v>2350.9499999999534</v>
      </c>
      <c r="H38" s="99">
        <f>G38+'5'!H38</f>
        <v>14222.559999999939</v>
      </c>
      <c r="I38" s="95"/>
      <c r="J38" s="175">
        <f>H38/DAY(B2)</f>
        <v>2370.4266666666567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'5'!F39</f>
        <v>591584</v>
      </c>
      <c r="F39" s="145">
        <v>591584.18999999994</v>
      </c>
      <c r="G39" s="112">
        <f t="shared" si="3"/>
        <v>0.18999999994412065</v>
      </c>
      <c r="H39" s="99">
        <f>G39+'5'!H39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'5'!F40</f>
        <v>198814</v>
      </c>
      <c r="F40" s="145">
        <v>199244.85</v>
      </c>
      <c r="G40" s="112">
        <f t="shared" si="3"/>
        <v>430.85000000000582</v>
      </c>
      <c r="H40" s="99">
        <f>G40+'5'!H40</f>
        <v>2514.8800000000047</v>
      </c>
      <c r="I40" s="95"/>
      <c r="J40" s="175">
        <f>H40/DAY(B2)</f>
        <v>419.14666666666744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'5'!F41</f>
        <v>419168</v>
      </c>
      <c r="F41" s="145">
        <v>419167.59</v>
      </c>
      <c r="G41" s="112">
        <f t="shared" si="3"/>
        <v>-0.40999999997438863</v>
      </c>
      <c r="H41" s="99">
        <f>G41+'5'!H41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'5'!F42</f>
        <v>871871</v>
      </c>
      <c r="F42" s="145">
        <v>871870.87</v>
      </c>
      <c r="G42" s="112">
        <f t="shared" si="3"/>
        <v>-0.13000000000465661</v>
      </c>
      <c r="H42" s="99">
        <f>G42+'5'!H42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'5'!F43</f>
        <v>407028</v>
      </c>
      <c r="F43" s="145">
        <v>407028</v>
      </c>
      <c r="G43" s="112">
        <f t="shared" si="3"/>
        <v>0</v>
      </c>
      <c r="H43" s="99">
        <f>G43+'5'!H43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'5'!F44</f>
        <v>0</v>
      </c>
      <c r="F44" s="145">
        <v>0</v>
      </c>
      <c r="G44" s="112">
        <f t="shared" si="3"/>
        <v>0</v>
      </c>
      <c r="H44" s="99">
        <f>G44+'5'!H44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'5'!F45</f>
        <v>0</v>
      </c>
      <c r="F45" s="145">
        <v>0</v>
      </c>
      <c r="G45" s="112">
        <f t="shared" si="3"/>
        <v>0</v>
      </c>
      <c r="H45" s="99">
        <f>G45+'5'!H45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'5'!F46</f>
        <v>0</v>
      </c>
      <c r="F46" s="145">
        <v>0</v>
      </c>
      <c r="G46" s="112">
        <f t="shared" si="3"/>
        <v>0</v>
      </c>
      <c r="H46" s="99">
        <f>G46+'5'!H46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6452.2399999999034</v>
      </c>
      <c r="H47" s="99">
        <f>G47+'5'!H47</f>
        <v>40445.209999999963</v>
      </c>
      <c r="I47" s="95"/>
      <c r="J47" s="175">
        <f>H47/DAY(B2)</f>
        <v>6740.8683333333274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'5'!F49</f>
        <v>795483</v>
      </c>
      <c r="F49" s="145">
        <v>795859.75</v>
      </c>
      <c r="G49" s="112">
        <f t="shared" ref="G49:G58" si="4">F49-E49</f>
        <v>376.75</v>
      </c>
      <c r="H49" s="99">
        <f>G49+'5'!H49</f>
        <v>2236.8000000000466</v>
      </c>
      <c r="I49" s="95"/>
      <c r="J49" s="175">
        <f>H49/DAY(B2)</f>
        <v>372.80000000000774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'5'!F50</f>
        <v>464724</v>
      </c>
      <c r="F50" s="145">
        <v>466084.99</v>
      </c>
      <c r="G50" s="112">
        <f t="shared" si="4"/>
        <v>1360.9899999999907</v>
      </c>
      <c r="H50" s="99">
        <f>G50+'5'!H50</f>
        <v>9415.9199999999837</v>
      </c>
      <c r="I50" s="95"/>
      <c r="J50" s="175">
        <f>H50/DAY(B2)</f>
        <v>1569.3199999999972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'5'!F51</f>
        <v>140528</v>
      </c>
      <c r="F51" s="145">
        <v>141619.71</v>
      </c>
      <c r="G51" s="112">
        <f t="shared" si="4"/>
        <v>1091.7099999999919</v>
      </c>
      <c r="H51" s="99">
        <f>G51+'5'!H51</f>
        <v>6375.1600000000035</v>
      </c>
      <c r="I51" s="95"/>
      <c r="J51" s="175">
        <f>H51/DAY(B2)</f>
        <v>1062.5266666666673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'5'!F52</f>
        <v>9.76</v>
      </c>
      <c r="F52" s="145">
        <v>9.76</v>
      </c>
      <c r="G52" s="112">
        <f t="shared" si="4"/>
        <v>0</v>
      </c>
      <c r="H52" s="99">
        <f>G52+'5'!H52</f>
        <v>-0.24000000000000021</v>
      </c>
      <c r="I52" s="95"/>
      <c r="J52" s="175">
        <f>H52/DAY(B2)</f>
        <v>-4.0000000000000036E-2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'5'!F53</f>
        <v>567044</v>
      </c>
      <c r="F53" s="145">
        <v>571091.59</v>
      </c>
      <c r="G53" s="112">
        <f t="shared" si="4"/>
        <v>4047.5899999999674</v>
      </c>
      <c r="H53" s="99">
        <f>G53+'5'!H53</f>
        <v>24550.319999999949</v>
      </c>
      <c r="I53" s="95"/>
      <c r="J53" s="175">
        <f>H53/DAY(B2)</f>
        <v>4091.7199999999916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'5'!F54</f>
        <v>108478</v>
      </c>
      <c r="F54" s="145">
        <v>108641.94</v>
      </c>
      <c r="G54" s="112">
        <f t="shared" si="4"/>
        <v>163.94000000000233</v>
      </c>
      <c r="H54" s="99">
        <f>G54+'5'!H54</f>
        <v>978.77999999999884</v>
      </c>
      <c r="I54" s="95"/>
      <c r="J54" s="175">
        <f>H54/DAY(B2)</f>
        <v>163.1299999999998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'5'!F55</f>
        <v>561917</v>
      </c>
      <c r="F55" s="145">
        <v>561917.43000000005</v>
      </c>
      <c r="G55" s="112">
        <f t="shared" si="4"/>
        <v>0.43000000005122274</v>
      </c>
      <c r="H55" s="99">
        <f>G55+'5'!H55</f>
        <v>432.76000000000931</v>
      </c>
      <c r="I55" s="95"/>
      <c r="J55" s="175">
        <f>H55/DAY(B2)</f>
        <v>72.126666666668214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'5'!F56</f>
        <v>285919</v>
      </c>
      <c r="F56" s="145">
        <v>289696.81</v>
      </c>
      <c r="G56" s="112">
        <f t="shared" si="4"/>
        <v>3777.8099999999977</v>
      </c>
      <c r="H56" s="99">
        <f>G56+'5'!H56</f>
        <v>21581.799999999988</v>
      </c>
      <c r="I56" s="95"/>
      <c r="J56" s="175">
        <f>H56/DAY(B2)</f>
        <v>3596.9666666666649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'5'!F57</f>
        <v>580702</v>
      </c>
      <c r="F57" s="145">
        <v>583072.6</v>
      </c>
      <c r="G57" s="112">
        <f t="shared" si="4"/>
        <v>2370.5999999999767</v>
      </c>
      <c r="H57" s="99">
        <f>G57+'5'!H57</f>
        <v>14494.130000000005</v>
      </c>
      <c r="I57" s="95"/>
      <c r="J57" s="175">
        <f>H57/DAY(B2)</f>
        <v>2415.688333333334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'5'!F58</f>
        <v>79959</v>
      </c>
      <c r="F58" s="145">
        <v>80211.009999999995</v>
      </c>
      <c r="G58" s="112">
        <f t="shared" si="4"/>
        <v>252.00999999999476</v>
      </c>
      <c r="H58" s="99">
        <f>G58+'5'!H58</f>
        <v>1495.3199999999924</v>
      </c>
      <c r="I58" s="95"/>
      <c r="J58" s="175">
        <f>H58/DAY(B2)</f>
        <v>249.21999999999875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13441.829999999973</v>
      </c>
      <c r="H59" s="99">
        <f>G59+'5'!H59</f>
        <v>81560.749999999971</v>
      </c>
      <c r="I59" s="95">
        <f>G7-G60</f>
        <v>2709.930000000124</v>
      </c>
      <c r="J59" s="175">
        <f>H59/DAY(B2)</f>
        <v>13593.458333333328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19894.069999999876</v>
      </c>
      <c r="H60" s="99">
        <f>G60+'5'!H60</f>
        <v>122005.95999999995</v>
      </c>
      <c r="I60" s="95">
        <f>G13-G60</f>
        <v>1907.8300000000309</v>
      </c>
      <c r="J60" s="175">
        <f>H60/DAY(B2)</f>
        <v>20334.326666666657</v>
      </c>
      <c r="K60" s="79"/>
      <c r="L60" s="66"/>
      <c r="N60" s="87"/>
      <c r="O60" s="71"/>
    </row>
    <row r="61" spans="1:15" s="68" customFormat="1" ht="26.25">
      <c r="A61" s="883" t="s">
        <v>332</v>
      </c>
      <c r="B61" s="884"/>
      <c r="C61" s="88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64" t="s">
        <v>198</v>
      </c>
      <c r="B62" s="865"/>
      <c r="C62" s="866"/>
      <c r="D62" s="151" t="s">
        <v>142</v>
      </c>
      <c r="E62" s="95">
        <f>'5'!F62</f>
        <v>308872</v>
      </c>
      <c r="F62" s="122">
        <v>308985</v>
      </c>
      <c r="G62" s="112">
        <f t="shared" ref="G62:G63" si="5">F62-E62</f>
        <v>113</v>
      </c>
      <c r="H62" s="99">
        <f>G62+'5'!H62</f>
        <v>671</v>
      </c>
      <c r="I62" s="118"/>
      <c r="J62" s="175">
        <f>H62/DAY(B2)</f>
        <v>111.83333333333333</v>
      </c>
      <c r="K62" s="80"/>
      <c r="L62" s="66"/>
      <c r="N62" s="87"/>
      <c r="O62" s="71"/>
    </row>
    <row r="63" spans="1:15" ht="25.5">
      <c r="A63" s="864" t="s">
        <v>199</v>
      </c>
      <c r="B63" s="865"/>
      <c r="C63" s="866"/>
      <c r="D63" s="151" t="s">
        <v>142</v>
      </c>
      <c r="E63" s="95">
        <f>'5'!F63</f>
        <v>247231</v>
      </c>
      <c r="F63" s="122">
        <v>247277</v>
      </c>
      <c r="G63" s="112">
        <f t="shared" si="5"/>
        <v>46</v>
      </c>
      <c r="H63" s="99">
        <f>G63+'5'!H63</f>
        <v>348</v>
      </c>
      <c r="I63" s="118"/>
      <c r="J63" s="175">
        <f>H63/DAY(B2)</f>
        <v>58</v>
      </c>
      <c r="K63" s="69"/>
      <c r="L63" s="66"/>
      <c r="N63" s="87"/>
      <c r="O63" s="71"/>
    </row>
    <row r="64" spans="1:15" ht="26.25">
      <c r="A64" s="861" t="s">
        <v>200</v>
      </c>
      <c r="B64" s="862"/>
      <c r="C64" s="863"/>
      <c r="D64" s="151"/>
      <c r="E64" s="95">
        <f>'5'!F64</f>
        <v>0</v>
      </c>
      <c r="F64" s="122"/>
      <c r="G64" s="112">
        <f>G62+G63</f>
        <v>159</v>
      </c>
      <c r="H64" s="99">
        <f>G64+'5'!H64</f>
        <v>1019</v>
      </c>
      <c r="I64" s="118"/>
      <c r="J64" s="175">
        <f>H64/DAY(B2)</f>
        <v>169.83333333333334</v>
      </c>
      <c r="K64" s="69"/>
      <c r="L64" s="66"/>
      <c r="N64" s="87"/>
      <c r="O64" s="71"/>
    </row>
    <row r="65" spans="1:15" ht="25.5">
      <c r="A65" s="864" t="s">
        <v>201</v>
      </c>
      <c r="B65" s="865"/>
      <c r="C65" s="866"/>
      <c r="D65" s="151" t="s">
        <v>142</v>
      </c>
      <c r="E65" s="95">
        <f>'5'!F65</f>
        <v>468527</v>
      </c>
      <c r="F65" s="122">
        <v>468680</v>
      </c>
      <c r="G65" s="112">
        <f t="shared" ref="G65:G70" si="6">F65-E65</f>
        <v>153</v>
      </c>
      <c r="H65" s="99">
        <f>G65+'5'!H65</f>
        <v>779</v>
      </c>
      <c r="I65" s="118"/>
      <c r="J65" s="175">
        <f>H65/DAY(B2)</f>
        <v>129.83333333333334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'5'!F66</f>
        <v>113247</v>
      </c>
      <c r="F66" s="122">
        <v>113252</v>
      </c>
      <c r="G66" s="112">
        <f t="shared" si="6"/>
        <v>5</v>
      </c>
      <c r="H66" s="99">
        <f>G66+'5'!H66</f>
        <v>60</v>
      </c>
      <c r="I66" s="118"/>
      <c r="J66" s="175">
        <f>H66/DAY(B2)</f>
        <v>10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'5'!F67</f>
        <v>115962</v>
      </c>
      <c r="F67" s="122">
        <v>115979</v>
      </c>
      <c r="G67" s="112">
        <f t="shared" si="6"/>
        <v>17</v>
      </c>
      <c r="H67" s="99">
        <f>G67+'5'!H67</f>
        <v>124</v>
      </c>
      <c r="I67" s="118"/>
      <c r="J67" s="175">
        <f>H67/DAY(B2)</f>
        <v>20.666666666666668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'5'!F68</f>
        <v>168666</v>
      </c>
      <c r="F68" s="122">
        <v>168684</v>
      </c>
      <c r="G68" s="112">
        <f t="shared" si="6"/>
        <v>18</v>
      </c>
      <c r="H68" s="99">
        <f>G68+'5'!H68</f>
        <v>177</v>
      </c>
      <c r="I68" s="118"/>
      <c r="J68" s="175">
        <f>H68/DAY(B2)</f>
        <v>29.5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'5'!F69</f>
        <v>12828</v>
      </c>
      <c r="F69" s="122">
        <v>12831</v>
      </c>
      <c r="G69" s="112">
        <f t="shared" si="6"/>
        <v>3</v>
      </c>
      <c r="H69" s="99">
        <f>G69+'5'!H69</f>
        <v>21</v>
      </c>
      <c r="I69" s="118"/>
      <c r="J69" s="175">
        <f>H69/DAY(B2)</f>
        <v>3.5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'5'!F70</f>
        <v>10817</v>
      </c>
      <c r="F70" s="122">
        <v>10822</v>
      </c>
      <c r="G70" s="112">
        <f t="shared" si="6"/>
        <v>5</v>
      </c>
      <c r="H70" s="99">
        <f>G70+'5'!H70</f>
        <v>43</v>
      </c>
      <c r="I70" s="118"/>
      <c r="J70" s="175">
        <f>H70/DAY(B2)</f>
        <v>7.166666666666667</v>
      </c>
      <c r="K70" s="69"/>
      <c r="L70" s="66"/>
      <c r="N70" s="87"/>
      <c r="O70" s="71"/>
    </row>
    <row r="71" spans="1:15" ht="26.25">
      <c r="A71" s="861" t="s">
        <v>208</v>
      </c>
      <c r="B71" s="862"/>
      <c r="C71" s="863"/>
      <c r="D71" s="152"/>
      <c r="E71" s="152"/>
      <c r="F71" s="152"/>
      <c r="G71" s="153">
        <f>SUM(G65:G70)</f>
        <v>201</v>
      </c>
      <c r="H71" s="99">
        <f>G71+'5'!H71</f>
        <v>1204</v>
      </c>
      <c r="I71" s="154"/>
      <c r="J71" s="175">
        <f>H71/DAY(B2)</f>
        <v>200.66666666666666</v>
      </c>
      <c r="K71" s="69"/>
      <c r="L71" s="66"/>
      <c r="N71" s="87"/>
      <c r="O71" s="71"/>
    </row>
    <row r="72" spans="1:15" s="88" customFormat="1" ht="25.5">
      <c r="A72" s="904"/>
      <c r="B72" s="89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09" t="s">
        <v>333</v>
      </c>
      <c r="B73" s="910"/>
      <c r="C73" s="91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64" t="s">
        <v>220</v>
      </c>
      <c r="B74" s="865"/>
      <c r="C74" s="866"/>
      <c r="D74" s="151" t="s">
        <v>139</v>
      </c>
      <c r="E74" s="95">
        <f>'5'!F74</f>
        <v>994830</v>
      </c>
      <c r="F74" s="123">
        <v>995121.93200000003</v>
      </c>
      <c r="G74" s="112">
        <f t="shared" ref="G74:G78" si="7">F74-E74</f>
        <v>291.9320000000298</v>
      </c>
      <c r="H74" s="99">
        <f>G74+'5'!H74</f>
        <v>1762.9020000000019</v>
      </c>
      <c r="I74" s="154"/>
      <c r="J74" s="175">
        <f>H74/DAY(B2)</f>
        <v>293.81700000000029</v>
      </c>
      <c r="K74" s="69"/>
      <c r="L74" s="66"/>
      <c r="N74" s="87"/>
      <c r="O74" s="71"/>
    </row>
    <row r="75" spans="1:15" ht="25.5">
      <c r="A75" s="864" t="s">
        <v>221</v>
      </c>
      <c r="B75" s="865"/>
      <c r="C75" s="866"/>
      <c r="D75" s="151" t="s">
        <v>139</v>
      </c>
      <c r="E75" s="95">
        <f>'5'!F75</f>
        <v>73586.8</v>
      </c>
      <c r="F75" s="123">
        <v>73586.8</v>
      </c>
      <c r="G75" s="112">
        <f t="shared" si="7"/>
        <v>0</v>
      </c>
      <c r="H75" s="99">
        <f>G75+'5'!H75</f>
        <v>0.80000000000291038</v>
      </c>
      <c r="I75" s="154"/>
      <c r="J75" s="175">
        <f>H75/DAY(B2)</f>
        <v>0.13333333333381839</v>
      </c>
      <c r="K75" s="69"/>
      <c r="L75" s="66"/>
      <c r="N75" s="87"/>
      <c r="O75" s="71"/>
    </row>
    <row r="76" spans="1:15" ht="25.5">
      <c r="A76" s="905" t="s">
        <v>222</v>
      </c>
      <c r="B76" s="891"/>
      <c r="C76" s="892"/>
      <c r="D76" s="151" t="s">
        <v>139</v>
      </c>
      <c r="E76" s="95">
        <f>'5'!F76</f>
        <v>204369</v>
      </c>
      <c r="F76" s="123">
        <v>204475</v>
      </c>
      <c r="G76" s="112">
        <f t="shared" si="7"/>
        <v>106</v>
      </c>
      <c r="H76" s="99">
        <f>G76+'5'!H76</f>
        <v>813</v>
      </c>
      <c r="I76" s="154"/>
      <c r="J76" s="175">
        <f>H76/DAY(B2)</f>
        <v>135.5</v>
      </c>
      <c r="K76" s="69"/>
      <c r="L76" s="66"/>
      <c r="N76" s="87"/>
      <c r="O76" s="71"/>
    </row>
    <row r="77" spans="1:15" ht="25.5">
      <c r="A77" s="905" t="s">
        <v>223</v>
      </c>
      <c r="B77" s="891"/>
      <c r="C77" s="892"/>
      <c r="D77" s="151" t="s">
        <v>139</v>
      </c>
      <c r="E77" s="95">
        <f>'5'!F77</f>
        <v>56794</v>
      </c>
      <c r="F77" s="123">
        <v>56848</v>
      </c>
      <c r="G77" s="112">
        <f t="shared" si="7"/>
        <v>54</v>
      </c>
      <c r="H77" s="99">
        <f>G77+'5'!H77</f>
        <v>326</v>
      </c>
      <c r="I77" s="154"/>
      <c r="J77" s="175">
        <f>H77/DAY(B2)</f>
        <v>54.333333333333336</v>
      </c>
      <c r="K77" s="69"/>
      <c r="L77" s="66"/>
      <c r="N77" s="87"/>
      <c r="O77" s="71"/>
    </row>
    <row r="78" spans="1:15" ht="25.5">
      <c r="A78" s="905" t="s">
        <v>224</v>
      </c>
      <c r="B78" s="891"/>
      <c r="C78" s="892"/>
      <c r="D78" s="151" t="s">
        <v>139</v>
      </c>
      <c r="E78" s="95">
        <f>'5'!F78</f>
        <v>9563.4</v>
      </c>
      <c r="F78" s="123">
        <v>9563.4</v>
      </c>
      <c r="G78" s="112">
        <f t="shared" si="7"/>
        <v>0</v>
      </c>
      <c r="H78" s="99">
        <f>G78+'5'!H78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05" t="s">
        <v>225</v>
      </c>
      <c r="B79" s="891"/>
      <c r="C79" s="892"/>
      <c r="D79" s="151"/>
      <c r="E79" s="117"/>
      <c r="F79" s="117"/>
      <c r="G79" s="112">
        <f>G15-SUM(G74:G78)</f>
        <v>667.46799999987707</v>
      </c>
      <c r="H79" s="99">
        <f>G79+'5'!H79</f>
        <v>3631.6979999999021</v>
      </c>
      <c r="I79" s="118"/>
      <c r="J79" s="175"/>
      <c r="K79" s="59"/>
      <c r="L79" s="58"/>
      <c r="N79" s="87"/>
      <c r="O79" s="71"/>
    </row>
    <row r="80" spans="1:15" s="57" customFormat="1" ht="26.25">
      <c r="A80" s="861" t="s">
        <v>329</v>
      </c>
      <c r="B80" s="862"/>
      <c r="C80" s="863"/>
      <c r="D80" s="151"/>
      <c r="E80" s="117"/>
      <c r="F80" s="117"/>
      <c r="G80" s="112">
        <f>SUM(G74:G79)</f>
        <v>1119.3999999999069</v>
      </c>
      <c r="H80" s="99"/>
      <c r="I80" s="118"/>
      <c r="J80" s="175"/>
      <c r="K80" s="59"/>
      <c r="L80" s="58"/>
      <c r="N80" s="87"/>
      <c r="O80" s="71"/>
    </row>
    <row r="81" spans="1:15" ht="25.5">
      <c r="A81" s="897" t="s">
        <v>226</v>
      </c>
      <c r="B81" s="898"/>
      <c r="C81" s="89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'5'!F82</f>
        <v>0</v>
      </c>
      <c r="F82" s="122">
        <v>0</v>
      </c>
      <c r="G82" s="112">
        <f t="shared" ref="G82:G92" si="8">F82-E82</f>
        <v>0</v>
      </c>
      <c r="H82" s="99">
        <f>G82+'5'!H82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'5'!F83</f>
        <v>0</v>
      </c>
      <c r="F83" s="122">
        <v>0</v>
      </c>
      <c r="G83" s="112">
        <f t="shared" si="8"/>
        <v>0</v>
      </c>
      <c r="H83" s="99">
        <f>G83+'5'!H83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'5'!F84</f>
        <v>43540</v>
      </c>
      <c r="F84" s="164">
        <v>43540</v>
      </c>
      <c r="G84" s="112">
        <f t="shared" si="8"/>
        <v>0</v>
      </c>
      <c r="H84" s="99">
        <f>G84+'5'!H84</f>
        <v>-0.20999999999912689</v>
      </c>
      <c r="I84" s="545"/>
      <c r="J84" s="175">
        <f>H84/DAY(B2)</f>
        <v>-3.4999999999854481E-2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'5'!F85</f>
        <v>5684</v>
      </c>
      <c r="F85" s="164">
        <v>5684</v>
      </c>
      <c r="G85" s="112">
        <f t="shared" si="8"/>
        <v>0</v>
      </c>
      <c r="H85" s="99">
        <f>G85+'5'!H85</f>
        <v>0</v>
      </c>
      <c r="I85" s="545"/>
      <c r="J85" s="175">
        <f>H85/DAY(B2)</f>
        <v>0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'5'!F86</f>
        <v>46736.49</v>
      </c>
      <c r="F86" s="164">
        <v>46736.49</v>
      </c>
      <c r="G86" s="112">
        <f t="shared" si="8"/>
        <v>0</v>
      </c>
      <c r="H86" s="99">
        <f>G86+'5'!H86</f>
        <v>2.4899999999979627</v>
      </c>
      <c r="I86" s="545"/>
      <c r="J86" s="175">
        <f>H86/DAY(B2)</f>
        <v>0.41499999999966047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'5'!F87</f>
        <v>36670</v>
      </c>
      <c r="F87" s="164">
        <v>36694</v>
      </c>
      <c r="G87" s="112">
        <f t="shared" si="8"/>
        <v>24</v>
      </c>
      <c r="H87" s="99">
        <f>G87+'5'!H87</f>
        <v>143.79000000000087</v>
      </c>
      <c r="I87" s="545">
        <f>G84+G85+G86+G87</f>
        <v>24</v>
      </c>
      <c r="J87" s="175">
        <f>H87/DAY(B2)</f>
        <v>23.965000000000146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'5'!F88</f>
        <v>24511.8</v>
      </c>
      <c r="F88" s="164">
        <v>24511.8</v>
      </c>
      <c r="G88" s="112">
        <f t="shared" si="8"/>
        <v>0</v>
      </c>
      <c r="H88" s="99">
        <f>G88+'5'!H88</f>
        <v>0</v>
      </c>
      <c r="I88" s="545"/>
      <c r="J88" s="175">
        <f>H88/DAY(B2)</f>
        <v>0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'5'!F89</f>
        <v>28550</v>
      </c>
      <c r="F89" s="164">
        <v>28560.9</v>
      </c>
      <c r="G89" s="112">
        <f t="shared" si="8"/>
        <v>10.900000000001455</v>
      </c>
      <c r="H89" s="99">
        <f>G89+'5'!H89</f>
        <v>59.200000000000728</v>
      </c>
      <c r="I89" s="545">
        <f>G88+G89</f>
        <v>10.900000000001455</v>
      </c>
      <c r="J89" s="175">
        <f>H89/DAY(B2)</f>
        <v>9.8666666666667879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'5'!F90</f>
        <v>73920</v>
      </c>
      <c r="F90" s="164">
        <v>73934.5</v>
      </c>
      <c r="G90" s="112">
        <f t="shared" si="8"/>
        <v>14.5</v>
      </c>
      <c r="H90" s="99">
        <f>G90+'5'!H90</f>
        <v>73.899999999994179</v>
      </c>
      <c r="I90" s="545">
        <f>G90</f>
        <v>14.5</v>
      </c>
      <c r="J90" s="175">
        <f>H90/DAY(B2)</f>
        <v>12.316666666665697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'5'!F91</f>
        <v>5408.63</v>
      </c>
      <c r="F91" s="122">
        <v>5419.8</v>
      </c>
      <c r="G91" s="112">
        <f t="shared" si="8"/>
        <v>11.170000000000073</v>
      </c>
      <c r="H91" s="99">
        <f>G91+'5'!H91</f>
        <v>67.029999999999745</v>
      </c>
      <c r="I91" s="546"/>
      <c r="J91" s="175">
        <f>H91/DAY(B2)</f>
        <v>11.171666666666624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'5'!F92</f>
        <v>7000</v>
      </c>
      <c r="F92" s="122">
        <v>7000</v>
      </c>
      <c r="G92" s="112">
        <f t="shared" si="8"/>
        <v>0</v>
      </c>
      <c r="H92" s="99">
        <f>G92+'5'!H92</f>
        <v>0</v>
      </c>
      <c r="I92" s="547">
        <f>G91+G92</f>
        <v>11.170000000000073</v>
      </c>
      <c r="J92" s="175">
        <f>H92/DAY(B2)</f>
        <v>0</v>
      </c>
      <c r="O92" s="71"/>
    </row>
    <row r="93" spans="1:15" ht="26.25">
      <c r="A93" s="906" t="s">
        <v>239</v>
      </c>
      <c r="B93" s="907"/>
      <c r="C93" s="90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64" t="s">
        <v>240</v>
      </c>
      <c r="B94" s="865"/>
      <c r="C94" s="866"/>
      <c r="D94" s="151" t="s">
        <v>130</v>
      </c>
      <c r="E94" s="151"/>
      <c r="F94" s="151"/>
      <c r="G94" s="99">
        <f>G35+G43+G49+G57</f>
        <v>5473.1499999999651</v>
      </c>
      <c r="H94" s="99">
        <f>G94+'5'!H94</f>
        <v>33764.820000000065</v>
      </c>
      <c r="I94" s="118"/>
      <c r="J94" s="175">
        <f>H94/DAY(B2)</f>
        <v>5627.4700000000112</v>
      </c>
      <c r="K94" s="69"/>
      <c r="L94" s="66"/>
      <c r="O94" s="71"/>
    </row>
    <row r="95" spans="1:15" ht="25.5">
      <c r="A95" s="864" t="s">
        <v>241</v>
      </c>
      <c r="B95" s="865"/>
      <c r="C95" s="866"/>
      <c r="D95" s="151" t="s">
        <v>23</v>
      </c>
      <c r="E95" s="146"/>
      <c r="F95" s="146"/>
      <c r="G95" s="166">
        <f>G94/G7</f>
        <v>0.24213192355335184</v>
      </c>
      <c r="H95" s="99">
        <f>G95+'5'!H95</f>
        <v>1.4797747917200017</v>
      </c>
      <c r="I95" s="167"/>
      <c r="J95" s="175">
        <f>H95/DAY(B2)</f>
        <v>0.24662913195333361</v>
      </c>
      <c r="K95" s="69"/>
      <c r="L95" s="66"/>
      <c r="O95" s="71"/>
    </row>
    <row r="96" spans="1:15" ht="25.5">
      <c r="A96" s="864" t="s">
        <v>242</v>
      </c>
      <c r="B96" s="865"/>
      <c r="C96" s="866"/>
      <c r="D96" s="151" t="s">
        <v>130</v>
      </c>
      <c r="E96" s="95"/>
      <c r="F96" s="95"/>
      <c r="G96" s="99">
        <f>G41+G42+G55+G56</f>
        <v>3777.7000000000698</v>
      </c>
      <c r="H96" s="99">
        <f>G96+'5'!H96</f>
        <v>22014.559999999998</v>
      </c>
      <c r="I96" s="118"/>
      <c r="J96" s="175">
        <f>H96/DAY(B2)</f>
        <v>3669.0933333333328</v>
      </c>
      <c r="K96" s="69"/>
      <c r="L96" s="66"/>
      <c r="O96" s="71"/>
    </row>
    <row r="97" spans="1:15" ht="25.5">
      <c r="A97" s="864" t="s">
        <v>243</v>
      </c>
      <c r="B97" s="865"/>
      <c r="C97" s="866"/>
      <c r="D97" s="151" t="s">
        <v>23</v>
      </c>
      <c r="E97" s="95"/>
      <c r="F97" s="95"/>
      <c r="G97" s="166">
        <f>G96/G7</f>
        <v>0.16712528755972703</v>
      </c>
      <c r="H97" s="99">
        <f>G97+'5'!H97</f>
        <v>0.96290023105372813</v>
      </c>
      <c r="I97" s="167"/>
      <c r="J97" s="175">
        <f>H97/DAY(B2)</f>
        <v>0.16048337184228803</v>
      </c>
      <c r="K97" s="69"/>
      <c r="L97" s="66"/>
      <c r="O97" s="71"/>
    </row>
    <row r="98" spans="1:15" ht="25.5">
      <c r="A98" s="864" t="s">
        <v>244</v>
      </c>
      <c r="B98" s="865"/>
      <c r="C98" s="866"/>
      <c r="D98" s="151" t="s">
        <v>130</v>
      </c>
      <c r="E98" s="95"/>
      <c r="F98" s="95"/>
      <c r="G98" s="99">
        <f>G39+G53</f>
        <v>4047.7799999999115</v>
      </c>
      <c r="H98" s="99">
        <f>G98+'5'!H98</f>
        <v>24550.319999999949</v>
      </c>
      <c r="I98" s="168"/>
      <c r="J98" s="175">
        <f>H98/DAY(B2)</f>
        <v>4091.7199999999916</v>
      </c>
      <c r="K98" s="69"/>
      <c r="L98" s="66"/>
      <c r="O98" s="71"/>
    </row>
    <row r="99" spans="1:15" ht="25.5">
      <c r="A99" s="864" t="s">
        <v>245</v>
      </c>
      <c r="B99" s="865"/>
      <c r="C99" s="866"/>
      <c r="D99" s="151" t="s">
        <v>23</v>
      </c>
      <c r="E99" s="95"/>
      <c r="F99" s="95"/>
      <c r="G99" s="166">
        <f>G98/G7</f>
        <v>0.17907361528932542</v>
      </c>
      <c r="H99" s="99">
        <f>G99+'5'!H99</f>
        <v>1.0767681797855895</v>
      </c>
      <c r="I99" s="168"/>
      <c r="J99" s="175">
        <f>H99/DAY(B2)</f>
        <v>0.17946136329759824</v>
      </c>
      <c r="O99" s="71"/>
    </row>
    <row r="100" spans="1:15" ht="26.25">
      <c r="A100" s="864" t="s">
        <v>246</v>
      </c>
      <c r="B100" s="865"/>
      <c r="C100" s="866"/>
      <c r="D100" s="151" t="s">
        <v>180</v>
      </c>
      <c r="E100" s="95"/>
      <c r="F100" s="95"/>
      <c r="G100" s="99">
        <f>G38+G52</f>
        <v>2350.9499999999534</v>
      </c>
      <c r="H100" s="99">
        <f>G100+'5'!H100</f>
        <v>14222.31999999994</v>
      </c>
      <c r="I100" s="118"/>
      <c r="J100" s="175">
        <f>H100/DAY(B2)</f>
        <v>2370.3866666666568</v>
      </c>
      <c r="K100" s="70"/>
      <c r="O100" s="71"/>
    </row>
    <row r="101" spans="1:15" ht="25.5">
      <c r="A101" s="864" t="s">
        <v>247</v>
      </c>
      <c r="B101" s="865"/>
      <c r="C101" s="866"/>
      <c r="D101" s="151" t="s">
        <v>23</v>
      </c>
      <c r="E101" s="95"/>
      <c r="F101" s="95"/>
      <c r="G101" s="166">
        <f>G100/G7</f>
        <v>0.10400592815430691</v>
      </c>
      <c r="H101" s="99">
        <f>G101+'5'!H101</f>
        <v>0.62377322577420313</v>
      </c>
      <c r="I101" s="168"/>
      <c r="J101" s="175">
        <f>H101/DAY(B2)</f>
        <v>0.10396220429570052</v>
      </c>
      <c r="O101" s="71"/>
    </row>
    <row r="102" spans="1:15" ht="25.5">
      <c r="A102" s="864" t="s">
        <v>248</v>
      </c>
      <c r="B102" s="865"/>
      <c r="C102" s="866"/>
      <c r="D102" s="151" t="s">
        <v>180</v>
      </c>
      <c r="E102" s="95"/>
      <c r="F102" s="95"/>
      <c r="G102" s="99">
        <f>G36+G50</f>
        <v>2305.9799999999814</v>
      </c>
      <c r="H102" s="99">
        <f>G102+'5'!H102</f>
        <v>16089.799999999988</v>
      </c>
      <c r="I102" s="168"/>
      <c r="J102" s="175">
        <f>H102/DAY(B2)</f>
        <v>2681.6333333333314</v>
      </c>
      <c r="O102" s="71"/>
    </row>
    <row r="103" spans="1:15" ht="25.5">
      <c r="A103" s="864" t="s">
        <v>249</v>
      </c>
      <c r="B103" s="865"/>
      <c r="C103" s="866"/>
      <c r="D103" s="151" t="s">
        <v>23</v>
      </c>
      <c r="E103" s="95"/>
      <c r="F103" s="95"/>
      <c r="G103" s="166">
        <f>G102/G7</f>
        <v>0.10201645726420021</v>
      </c>
      <c r="H103" s="99">
        <f>G103+'5'!H103</f>
        <v>0.70481157812917272</v>
      </c>
      <c r="I103" s="118"/>
      <c r="J103" s="175">
        <f>H103/DAY(B2)</f>
        <v>0.11746859635486212</v>
      </c>
      <c r="O103" s="71"/>
    </row>
    <row r="104" spans="1:15" ht="25.5">
      <c r="A104" s="864" t="s">
        <v>250</v>
      </c>
      <c r="B104" s="865"/>
      <c r="C104" s="866"/>
      <c r="D104" s="151" t="s">
        <v>180</v>
      </c>
      <c r="E104" s="95"/>
      <c r="F104" s="95"/>
      <c r="G104" s="99">
        <f>G37+G51</f>
        <v>1091.7099999999919</v>
      </c>
      <c r="H104" s="99">
        <f>G104+'5'!H104</f>
        <v>6375.1600000000035</v>
      </c>
      <c r="I104" s="118"/>
      <c r="J104" s="175">
        <f>H104/DAY(B2)</f>
        <v>1062.5266666666673</v>
      </c>
      <c r="O104" s="71"/>
    </row>
    <row r="105" spans="1:15" ht="26.25" thickBot="1">
      <c r="A105" s="901" t="s">
        <v>251</v>
      </c>
      <c r="B105" s="902"/>
      <c r="C105" s="903"/>
      <c r="D105" s="231" t="s">
        <v>23</v>
      </c>
      <c r="E105" s="185"/>
      <c r="F105" s="185"/>
      <c r="G105" s="186">
        <f>G104/G7</f>
        <v>4.8297204034683766E-2</v>
      </c>
      <c r="H105" s="99">
        <f>G105+'5'!H105</f>
        <v>0.27934218697823743</v>
      </c>
      <c r="I105" s="187"/>
      <c r="J105" s="188">
        <f>H105/DAY(B2)</f>
        <v>4.6557031163039574E-2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15" t="s">
        <v>324</v>
      </c>
      <c r="B108" s="915"/>
      <c r="C108" s="915"/>
      <c r="D108" s="915"/>
      <c r="E108" s="915"/>
      <c r="F108" s="915"/>
      <c r="G108" s="915"/>
      <c r="H108" s="915"/>
      <c r="I108" s="915"/>
      <c r="J108" s="915"/>
    </row>
    <row r="109" spans="1:15" ht="26.25">
      <c r="A109" s="900"/>
      <c r="B109" s="900"/>
    </row>
    <row r="110" spans="1:15" ht="26.25">
      <c r="A110" s="916" t="s">
        <v>165</v>
      </c>
      <c r="B110" s="917"/>
      <c r="C110" s="917"/>
      <c r="D110" s="917"/>
      <c r="E110" s="917"/>
      <c r="F110" s="917"/>
      <c r="G110" s="917"/>
      <c r="H110" s="917"/>
      <c r="I110" s="917"/>
      <c r="J110" s="918"/>
    </row>
    <row r="111" spans="1:15" ht="25.5">
      <c r="A111" s="919"/>
      <c r="B111" s="920"/>
      <c r="C111" s="921"/>
      <c r="D111" s="165"/>
      <c r="E111" s="165"/>
      <c r="F111" s="165"/>
      <c r="G111" s="165"/>
      <c r="H111" s="156"/>
      <c r="I111" s="165"/>
      <c r="J111" s="327"/>
    </row>
    <row r="112" spans="1:15" ht="25.5">
      <c r="A112" s="894" t="s">
        <v>252</v>
      </c>
      <c r="B112" s="895"/>
      <c r="C112" s="896"/>
      <c r="D112" s="146" t="s">
        <v>183</v>
      </c>
      <c r="E112" s="95">
        <f>'5'!F112</f>
        <v>15918</v>
      </c>
      <c r="F112" s="237">
        <v>15979.6</v>
      </c>
      <c r="G112" s="112">
        <f t="shared" ref="G112:G123" si="9">F112-E112</f>
        <v>61.600000000000364</v>
      </c>
      <c r="H112" s="99">
        <f>G112+'5'!H112</f>
        <v>365.80000000000109</v>
      </c>
      <c r="I112" s="165"/>
      <c r="J112" s="328">
        <f>H112/DAY(B2)</f>
        <v>60.966666666666846</v>
      </c>
    </row>
    <row r="113" spans="1:18" ht="29.25" customHeight="1">
      <c r="A113" s="894" t="s">
        <v>253</v>
      </c>
      <c r="B113" s="895"/>
      <c r="C113" s="896"/>
      <c r="D113" s="146" t="s">
        <v>183</v>
      </c>
      <c r="E113" s="95">
        <f>'5'!F113</f>
        <v>33162</v>
      </c>
      <c r="F113" s="237">
        <v>33308</v>
      </c>
      <c r="G113" s="112">
        <f t="shared" si="9"/>
        <v>146</v>
      </c>
      <c r="H113" s="99">
        <f>G113+'5'!H113</f>
        <v>857.33000000000175</v>
      </c>
      <c r="I113" s="165"/>
      <c r="J113" s="328">
        <f>H113/DAY(B2)</f>
        <v>142.88833333333363</v>
      </c>
    </row>
    <row r="114" spans="1:18" ht="29.25" customHeight="1">
      <c r="A114" s="894" t="s">
        <v>254</v>
      </c>
      <c r="B114" s="895"/>
      <c r="C114" s="896"/>
      <c r="D114" s="146" t="s">
        <v>183</v>
      </c>
      <c r="E114" s="95">
        <f>'5'!F114</f>
        <v>49036</v>
      </c>
      <c r="F114" s="237">
        <v>49254.9</v>
      </c>
      <c r="G114" s="112">
        <f t="shared" si="9"/>
        <v>218.90000000000146</v>
      </c>
      <c r="H114" s="99">
        <f>G114+'5'!H114</f>
        <v>1288.5999999999985</v>
      </c>
      <c r="I114" s="165"/>
      <c r="J114" s="328">
        <f>H114/DAY(B2)</f>
        <v>214.76666666666642</v>
      </c>
    </row>
    <row r="115" spans="1:18" ht="29.25" customHeight="1">
      <c r="A115" s="894" t="s">
        <v>255</v>
      </c>
      <c r="B115" s="895"/>
      <c r="C115" s="896"/>
      <c r="D115" s="146" t="s">
        <v>183</v>
      </c>
      <c r="E115" s="95">
        <f>'5'!F115</f>
        <v>31117</v>
      </c>
      <c r="F115" s="237">
        <v>31263.1</v>
      </c>
      <c r="G115" s="112">
        <f t="shared" si="9"/>
        <v>146.09999999999854</v>
      </c>
      <c r="H115" s="99">
        <f>G115+'5'!H115</f>
        <v>826.69999999999709</v>
      </c>
      <c r="I115" s="165"/>
      <c r="J115" s="328">
        <f>H115/DAY(B2)</f>
        <v>137.78333333333285</v>
      </c>
    </row>
    <row r="116" spans="1:18" ht="29.25" customHeight="1">
      <c r="A116" s="912" t="s">
        <v>96</v>
      </c>
      <c r="B116" s="913"/>
      <c r="C116" s="914"/>
      <c r="D116" s="146" t="s">
        <v>183</v>
      </c>
      <c r="E116" s="95">
        <f>'5'!F116</f>
        <v>124929</v>
      </c>
      <c r="F116" s="237">
        <v>125305.07</v>
      </c>
      <c r="G116" s="112">
        <f t="shared" si="9"/>
        <v>376.07000000000698</v>
      </c>
      <c r="H116" s="99">
        <f>G116+'5'!H116</f>
        <v>2444.8700000000099</v>
      </c>
      <c r="I116" s="165"/>
      <c r="J116" s="328">
        <f>H116/DAY(B2)</f>
        <v>407.478333333335</v>
      </c>
      <c r="Q116" s="894"/>
      <c r="R116" s="896"/>
    </row>
    <row r="117" spans="1:18" ht="29.25" customHeight="1">
      <c r="A117" s="912" t="s">
        <v>184</v>
      </c>
      <c r="B117" s="913"/>
      <c r="C117" s="914"/>
      <c r="D117" s="146" t="s">
        <v>183</v>
      </c>
      <c r="E117" s="95">
        <f>'5'!F117</f>
        <v>75296</v>
      </c>
      <c r="F117" s="237">
        <v>75554.5</v>
      </c>
      <c r="G117" s="112">
        <f t="shared" si="9"/>
        <v>258.5</v>
      </c>
      <c r="H117" s="99">
        <f>G117+'5'!H117</f>
        <v>1573.3000000000029</v>
      </c>
      <c r="I117" s="165"/>
      <c r="J117" s="328">
        <f>H117/DAY(B2)</f>
        <v>262.21666666666715</v>
      </c>
      <c r="Q117" s="894"/>
      <c r="R117" s="896"/>
    </row>
    <row r="118" spans="1:18" ht="25.5">
      <c r="A118" s="889" t="s">
        <v>97</v>
      </c>
      <c r="B118" s="889"/>
      <c r="C118" s="889"/>
      <c r="D118" s="151" t="s">
        <v>183</v>
      </c>
      <c r="E118" s="95">
        <f>'5'!F118</f>
        <v>141914</v>
      </c>
      <c r="F118" s="237">
        <v>142538.88</v>
      </c>
      <c r="G118" s="112">
        <f t="shared" si="9"/>
        <v>624.88000000000466</v>
      </c>
      <c r="H118" s="99">
        <f>G118+'5'!H118</f>
        <v>3726.429999999993</v>
      </c>
      <c r="I118" s="165"/>
      <c r="J118" s="328">
        <f>H118/DAY(B2)</f>
        <v>621.07166666666546</v>
      </c>
      <c r="Q118" s="894"/>
      <c r="R118" s="896"/>
    </row>
    <row r="119" spans="1:18" ht="25.5">
      <c r="A119" s="889" t="s">
        <v>98</v>
      </c>
      <c r="B119" s="889"/>
      <c r="C119" s="889"/>
      <c r="D119" s="151" t="s">
        <v>183</v>
      </c>
      <c r="E119" s="95">
        <f>'5'!F119</f>
        <v>43414</v>
      </c>
      <c r="F119" s="237">
        <v>43425.599999999999</v>
      </c>
      <c r="G119" s="112">
        <f t="shared" si="9"/>
        <v>11.599999999998545</v>
      </c>
      <c r="H119" s="99">
        <f>G119+'5'!H119</f>
        <v>71.900000000001455</v>
      </c>
      <c r="I119" s="165"/>
      <c r="J119" s="328">
        <f>H119/DAY(B2)</f>
        <v>11.983333333333576</v>
      </c>
    </row>
    <row r="120" spans="1:18" ht="25.5">
      <c r="A120" s="889" t="s">
        <v>99</v>
      </c>
      <c r="B120" s="889"/>
      <c r="C120" s="889"/>
      <c r="D120" s="151" t="s">
        <v>183</v>
      </c>
      <c r="E120" s="95">
        <f>'5'!F120</f>
        <v>97747</v>
      </c>
      <c r="F120" s="237">
        <v>98158.3</v>
      </c>
      <c r="G120" s="112">
        <f t="shared" si="9"/>
        <v>411.30000000000291</v>
      </c>
      <c r="H120" s="99">
        <f>G120+'5'!H120</f>
        <v>2450.6999999999971</v>
      </c>
      <c r="I120" s="165"/>
      <c r="J120" s="328">
        <f>H120/DAY(B2)</f>
        <v>408.44999999999953</v>
      </c>
    </row>
    <row r="121" spans="1:18" ht="25.5">
      <c r="A121" s="889" t="s">
        <v>100</v>
      </c>
      <c r="B121" s="889"/>
      <c r="C121" s="889"/>
      <c r="D121" s="151" t="s">
        <v>183</v>
      </c>
      <c r="E121" s="95">
        <f>'5'!F121</f>
        <v>109919</v>
      </c>
      <c r="F121" s="237">
        <v>110332.73</v>
      </c>
      <c r="G121" s="112">
        <f t="shared" si="9"/>
        <v>413.72999999999593</v>
      </c>
      <c r="H121" s="99">
        <f>G121+'5'!H121</f>
        <v>2503.679999999993</v>
      </c>
      <c r="I121" s="165"/>
      <c r="J121" s="328">
        <f>H121/DAY(B2)</f>
        <v>417.27999999999884</v>
      </c>
    </row>
    <row r="122" spans="1:18" ht="25.5">
      <c r="A122" s="889" t="s">
        <v>101</v>
      </c>
      <c r="B122" s="889"/>
      <c r="C122" s="889"/>
      <c r="D122" s="151" t="s">
        <v>183</v>
      </c>
      <c r="E122" s="95">
        <f>'5'!F122</f>
        <v>72793</v>
      </c>
      <c r="F122" s="237">
        <v>73159.17</v>
      </c>
      <c r="G122" s="112">
        <f t="shared" si="9"/>
        <v>366.16999999999825</v>
      </c>
      <c r="H122" s="99">
        <f>G122+'5'!H122</f>
        <v>2121.2700000000041</v>
      </c>
      <c r="I122" s="165"/>
      <c r="J122" s="328">
        <f>H122/DAY(B2)</f>
        <v>353.5450000000007</v>
      </c>
    </row>
    <row r="123" spans="1:18" ht="25.5">
      <c r="A123" s="889" t="s">
        <v>102</v>
      </c>
      <c r="B123" s="889"/>
      <c r="C123" s="889"/>
      <c r="D123" s="151" t="s">
        <v>183</v>
      </c>
      <c r="E123" s="95">
        <f>'5'!F123</f>
        <v>69911</v>
      </c>
      <c r="F123" s="237">
        <v>70223.399999999994</v>
      </c>
      <c r="G123" s="112">
        <f t="shared" si="9"/>
        <v>312.39999999999418</v>
      </c>
      <c r="H123" s="99">
        <f>G123+'5'!H123</f>
        <v>1866.0999999999913</v>
      </c>
      <c r="I123" s="165"/>
      <c r="J123" s="328">
        <f>H123/DAY(B2)</f>
        <v>311.01666666666523</v>
      </c>
    </row>
    <row r="124" spans="1:18" ht="29.25" customHeight="1">
      <c r="A124" s="919"/>
      <c r="B124" s="920"/>
      <c r="C124" s="921"/>
      <c r="D124" s="165"/>
      <c r="E124" s="95">
        <f>'5'!F124</f>
        <v>0</v>
      </c>
      <c r="F124" s="165"/>
      <c r="G124" s="327"/>
      <c r="H124" s="156"/>
      <c r="I124" s="165"/>
      <c r="J124" s="328"/>
    </row>
    <row r="125" spans="1:18" ht="25.5">
      <c r="A125" s="853" t="s">
        <v>196</v>
      </c>
      <c r="B125" s="854"/>
      <c r="C125" s="245"/>
      <c r="D125" s="307"/>
      <c r="E125" s="308"/>
      <c r="F125" s="308"/>
      <c r="G125" s="309">
        <f>SUM(G112:G124)</f>
        <v>3347.2500000000018</v>
      </c>
      <c r="H125" s="156"/>
      <c r="I125" s="327">
        <f>G125-(G39+G53)</f>
        <v>-700.52999999990971</v>
      </c>
      <c r="J125" s="327"/>
    </row>
    <row r="126" spans="1:18" ht="25.5">
      <c r="A126" s="922" t="s">
        <v>317</v>
      </c>
      <c r="B126" s="922"/>
      <c r="C126" s="922"/>
      <c r="D126" s="922"/>
      <c r="E126" s="922"/>
      <c r="F126" s="922"/>
      <c r="G126" s="922"/>
      <c r="H126" s="922"/>
      <c r="I126" s="922"/>
      <c r="J126" s="922"/>
    </row>
    <row r="127" spans="1:18" ht="25.5">
      <c r="A127" s="923"/>
      <c r="B127" s="923"/>
      <c r="C127" s="245"/>
      <c r="D127" s="307"/>
      <c r="E127" s="308"/>
      <c r="F127" s="308"/>
      <c r="G127" s="309"/>
      <c r="H127" s="99">
        <f>G127+'5'!H127</f>
        <v>0</v>
      </c>
      <c r="I127" s="165"/>
      <c r="J127" s="328">
        <f>H127/DAY(B2)</f>
        <v>0</v>
      </c>
    </row>
    <row r="128" spans="1:18" ht="29.25" customHeight="1">
      <c r="A128" s="894" t="s">
        <v>318</v>
      </c>
      <c r="B128" s="895"/>
      <c r="C128" s="896"/>
      <c r="D128" s="151" t="s">
        <v>183</v>
      </c>
      <c r="E128" s="95">
        <f>'5'!F128</f>
        <v>181232</v>
      </c>
      <c r="F128" s="165">
        <v>181639.41</v>
      </c>
      <c r="G128" s="112">
        <f t="shared" ref="G128:G134" si="10">F128-E128</f>
        <v>407.41000000000349</v>
      </c>
      <c r="H128" s="99">
        <f>G128+'5'!H128</f>
        <v>2227.5599999999977</v>
      </c>
      <c r="I128" s="165"/>
      <c r="J128" s="328">
        <f>H128/DAY(B2)</f>
        <v>371.25999999999959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'5'!F129</f>
        <v>97042</v>
      </c>
      <c r="F129" s="165">
        <v>97249.600000000006</v>
      </c>
      <c r="G129" s="112">
        <f t="shared" si="10"/>
        <v>207.60000000000582</v>
      </c>
      <c r="H129" s="99">
        <f>G129+'5'!H129</f>
        <v>1220.1000000000058</v>
      </c>
      <c r="I129" s="165"/>
      <c r="J129" s="328">
        <f>H129/DAY(B2)</f>
        <v>203.35000000000096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'5'!F130</f>
        <v>250411</v>
      </c>
      <c r="F130" s="165">
        <v>251099.53</v>
      </c>
      <c r="G130" s="112">
        <f t="shared" si="10"/>
        <v>688.52999999999884</v>
      </c>
      <c r="H130" s="99">
        <f>G130+'5'!H130</f>
        <v>4259.7799999999988</v>
      </c>
      <c r="I130" s="165"/>
      <c r="J130" s="328">
        <f>H130/DAY(B2)</f>
        <v>709.96333333333314</v>
      </c>
      <c r="N130" s="240"/>
      <c r="O130" s="241"/>
    </row>
    <row r="131" spans="1:15" ht="25.5">
      <c r="A131" s="894" t="s">
        <v>321</v>
      </c>
      <c r="B131" s="895"/>
      <c r="C131" s="896"/>
      <c r="D131" s="151" t="s">
        <v>183</v>
      </c>
      <c r="E131" s="95">
        <f>'5'!F131</f>
        <v>74811</v>
      </c>
      <c r="F131" s="165">
        <v>75019.73</v>
      </c>
      <c r="G131" s="112">
        <f t="shared" si="10"/>
        <v>208.72999999999593</v>
      </c>
      <c r="H131" s="99">
        <f>G131+'5'!H131</f>
        <v>1509.1299999999901</v>
      </c>
      <c r="I131" s="165"/>
      <c r="J131" s="328">
        <f>H131/DAY(B2)</f>
        <v>251.52166666666503</v>
      </c>
      <c r="N131" s="240"/>
      <c r="O131" s="241"/>
    </row>
    <row r="132" spans="1:15" ht="25.5">
      <c r="A132" s="894" t="s">
        <v>322</v>
      </c>
      <c r="B132" s="895"/>
      <c r="C132" s="896"/>
      <c r="D132" s="151" t="s">
        <v>183</v>
      </c>
      <c r="E132" s="95">
        <f>'5'!F132</f>
        <v>146985</v>
      </c>
      <c r="F132" s="165">
        <v>146985</v>
      </c>
      <c r="G132" s="112">
        <f t="shared" si="10"/>
        <v>0</v>
      </c>
      <c r="H132" s="99">
        <f>G132+'5'!H132</f>
        <v>0</v>
      </c>
      <c r="I132" s="165"/>
      <c r="J132" s="328">
        <f>H132/DAY(B2)</f>
        <v>0</v>
      </c>
    </row>
    <row r="133" spans="1:15" ht="25.5">
      <c r="A133" s="894" t="s">
        <v>323</v>
      </c>
      <c r="B133" s="895"/>
      <c r="C133" s="896"/>
      <c r="D133" s="151" t="s">
        <v>183</v>
      </c>
      <c r="E133" s="95">
        <f>'5'!F133</f>
        <v>914002</v>
      </c>
      <c r="F133" s="165">
        <v>914711</v>
      </c>
      <c r="G133" s="112">
        <f t="shared" si="10"/>
        <v>709</v>
      </c>
      <c r="H133" s="99">
        <f>G133+'5'!H133</f>
        <v>4467</v>
      </c>
      <c r="I133" s="165"/>
      <c r="J133" s="328">
        <f>H133/DAY(B2)</f>
        <v>744.5</v>
      </c>
    </row>
    <row r="134" spans="1:15" ht="25.5">
      <c r="A134" s="894" t="s">
        <v>340</v>
      </c>
      <c r="B134" s="895"/>
      <c r="C134" s="896"/>
      <c r="D134" s="151" t="s">
        <v>183</v>
      </c>
      <c r="E134" s="95">
        <f>'5'!F134</f>
        <v>79822</v>
      </c>
      <c r="F134" s="165">
        <v>80039.59</v>
      </c>
      <c r="G134" s="112">
        <f t="shared" si="10"/>
        <v>217.58999999999651</v>
      </c>
      <c r="H134" s="99">
        <f>G134+'5'!H134</f>
        <v>1279.9899999999907</v>
      </c>
      <c r="I134" s="165"/>
      <c r="J134" s="328">
        <f>H134/DAY(B2)</f>
        <v>213.33166666666511</v>
      </c>
    </row>
    <row r="135" spans="1:15" ht="25.5">
      <c r="A135" s="853" t="s">
        <v>196</v>
      </c>
      <c r="B135" s="854"/>
      <c r="C135" s="331"/>
      <c r="D135" s="151"/>
      <c r="E135" s="95"/>
      <c r="F135" s="112"/>
      <c r="G135" s="112">
        <f>SUM(G128:G134)</f>
        <v>2438.8600000000006</v>
      </c>
      <c r="H135" s="99">
        <f>G135+'5'!H135</f>
        <v>14963.559999999983</v>
      </c>
      <c r="I135" s="327">
        <f>G135-(G35+G49)</f>
        <v>-663.68999999998778</v>
      </c>
      <c r="J135" s="328">
        <f>H135/DAY(B2)</f>
        <v>2493.926666666664</v>
      </c>
    </row>
    <row r="136" spans="1:15" ht="27.75">
      <c r="A136" s="924" t="s">
        <v>325</v>
      </c>
      <c r="B136" s="924"/>
      <c r="C136" s="924"/>
      <c r="D136" s="924"/>
      <c r="E136" s="924"/>
      <c r="F136" s="924"/>
      <c r="G136" s="924"/>
      <c r="H136" s="924"/>
      <c r="I136" s="924"/>
      <c r="J136" s="92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9" t="s">
        <v>185</v>
      </c>
      <c r="B138" s="889"/>
      <c r="C138" s="889"/>
      <c r="D138" s="151" t="s">
        <v>183</v>
      </c>
      <c r="E138" s="95">
        <f>'5'!F138</f>
        <v>906184</v>
      </c>
      <c r="F138" s="753">
        <v>906318</v>
      </c>
      <c r="G138" s="112">
        <f t="shared" ref="G138:G152" si="11">F138-E138</f>
        <v>134</v>
      </c>
      <c r="H138" s="99">
        <f>G138+'5'!H138</f>
        <v>659</v>
      </c>
      <c r="I138" s="118"/>
      <c r="J138" s="328">
        <f>H138/DAY(B2)</f>
        <v>109.83333333333333</v>
      </c>
    </row>
    <row r="139" spans="1:15" ht="25.5">
      <c r="A139" s="889" t="s">
        <v>186</v>
      </c>
      <c r="B139" s="889"/>
      <c r="C139" s="889"/>
      <c r="D139" s="151" t="s">
        <v>183</v>
      </c>
      <c r="E139" s="95">
        <f>'5'!F139</f>
        <v>928105</v>
      </c>
      <c r="F139" s="148">
        <v>928264</v>
      </c>
      <c r="G139" s="112">
        <f t="shared" si="11"/>
        <v>159</v>
      </c>
      <c r="H139" s="99">
        <f>G139+'5'!H139</f>
        <v>983</v>
      </c>
      <c r="I139" s="118"/>
      <c r="J139" s="328">
        <f>H139/DAY(B2)</f>
        <v>163.83333333333334</v>
      </c>
    </row>
    <row r="140" spans="1:15" ht="25.5">
      <c r="A140" s="889" t="s">
        <v>187</v>
      </c>
      <c r="B140" s="889"/>
      <c r="C140" s="889"/>
      <c r="D140" s="151" t="s">
        <v>183</v>
      </c>
      <c r="E140" s="95">
        <f>'5'!F140</f>
        <v>3432</v>
      </c>
      <c r="F140" s="149">
        <v>3455.87</v>
      </c>
      <c r="G140" s="112">
        <f t="shared" si="11"/>
        <v>23.869999999999891</v>
      </c>
      <c r="H140" s="99">
        <f>G140+'5'!H140</f>
        <v>124.76999999999998</v>
      </c>
      <c r="I140" s="118"/>
      <c r="J140" s="328">
        <f>H140/DAY(B2)</f>
        <v>20.794999999999998</v>
      </c>
    </row>
    <row r="141" spans="1:15" ht="25.5">
      <c r="A141" s="893" t="s">
        <v>188</v>
      </c>
      <c r="B141" s="893"/>
      <c r="C141" s="893"/>
      <c r="D141" s="151" t="s">
        <v>183</v>
      </c>
      <c r="E141" s="95">
        <f>'5'!F141</f>
        <v>118743</v>
      </c>
      <c r="F141" s="149">
        <v>118988.24</v>
      </c>
      <c r="G141" s="112">
        <f t="shared" si="11"/>
        <v>245.24000000000524</v>
      </c>
      <c r="H141" s="99">
        <f>G141+'5'!H141</f>
        <v>1430.2600000000093</v>
      </c>
      <c r="I141" s="118"/>
      <c r="J141" s="328">
        <f>H141/DAY(B2)</f>
        <v>238.37666666666823</v>
      </c>
    </row>
    <row r="142" spans="1:15" ht="25.5">
      <c r="A142" s="893" t="s">
        <v>189</v>
      </c>
      <c r="B142" s="893"/>
      <c r="C142" s="893"/>
      <c r="D142" s="151" t="s">
        <v>183</v>
      </c>
      <c r="E142" s="95">
        <f>'5'!F142</f>
        <v>47925</v>
      </c>
      <c r="F142" s="148">
        <v>48017.37</v>
      </c>
      <c r="G142" s="112">
        <f t="shared" si="11"/>
        <v>92.370000000002619</v>
      </c>
      <c r="H142" s="99">
        <f>G142+'5'!H142</f>
        <v>512.87000000000262</v>
      </c>
      <c r="I142" s="140"/>
      <c r="J142" s="328">
        <f>H142/DAY(B2)</f>
        <v>85.478333333333765</v>
      </c>
    </row>
    <row r="143" spans="1:15" ht="25.5">
      <c r="A143" s="889" t="s">
        <v>91</v>
      </c>
      <c r="B143" s="889"/>
      <c r="C143" s="889"/>
      <c r="D143" s="151" t="s">
        <v>183</v>
      </c>
      <c r="E143" s="95">
        <f>'5'!F143</f>
        <v>12569</v>
      </c>
      <c r="F143" s="149">
        <v>12605.8</v>
      </c>
      <c r="G143" s="112">
        <f t="shared" si="11"/>
        <v>36.799999999999272</v>
      </c>
      <c r="H143" s="99">
        <f>G143+'5'!H143</f>
        <v>190.39999999999964</v>
      </c>
      <c r="I143" s="140"/>
      <c r="J143" s="328">
        <f>H143/DAY(B2)</f>
        <v>31.733333333333274</v>
      </c>
    </row>
    <row r="144" spans="1:15" ht="25.5">
      <c r="A144" s="893" t="s">
        <v>90</v>
      </c>
      <c r="B144" s="893"/>
      <c r="C144" s="893"/>
      <c r="D144" s="151" t="s">
        <v>183</v>
      </c>
      <c r="E144" s="95">
        <f>'5'!F144</f>
        <v>949351</v>
      </c>
      <c r="F144" s="149">
        <v>949587</v>
      </c>
      <c r="G144" s="112">
        <f t="shared" si="11"/>
        <v>236</v>
      </c>
      <c r="H144" s="99">
        <f>G144+'5'!H144</f>
        <v>1389</v>
      </c>
      <c r="I144" s="140"/>
      <c r="J144" s="328">
        <f>H144/DAY(B2)</f>
        <v>231.5</v>
      </c>
    </row>
    <row r="145" spans="1:10" ht="25.5">
      <c r="A145" s="889" t="s">
        <v>190</v>
      </c>
      <c r="B145" s="889"/>
      <c r="C145" s="889"/>
      <c r="D145" s="152" t="s">
        <v>183</v>
      </c>
      <c r="E145" s="95">
        <f>'5'!F145</f>
        <v>23254</v>
      </c>
      <c r="F145" s="149">
        <v>23415.1</v>
      </c>
      <c r="G145" s="112">
        <f t="shared" si="11"/>
        <v>161.09999999999854</v>
      </c>
      <c r="H145" s="99">
        <f>G145+'5'!H145</f>
        <v>819</v>
      </c>
      <c r="I145" s="140"/>
      <c r="J145" s="328">
        <f>H145/DAY(B2)</f>
        <v>136.5</v>
      </c>
    </row>
    <row r="146" spans="1:10" ht="25.5">
      <c r="A146" s="890" t="s">
        <v>191</v>
      </c>
      <c r="B146" s="891"/>
      <c r="C146" s="892"/>
      <c r="D146" s="152" t="s">
        <v>183</v>
      </c>
      <c r="E146" s="95">
        <f>'5'!F146</f>
        <v>786850</v>
      </c>
      <c r="F146" s="148">
        <v>786881</v>
      </c>
      <c r="G146" s="112">
        <f t="shared" si="11"/>
        <v>31</v>
      </c>
      <c r="H146" s="99">
        <f>G146+'5'!H146</f>
        <v>213</v>
      </c>
      <c r="I146" s="140"/>
      <c r="J146" s="328">
        <f>H146/DAY(B2)</f>
        <v>35.5</v>
      </c>
    </row>
    <row r="147" spans="1:10" ht="25.5">
      <c r="A147" s="893" t="s">
        <v>192</v>
      </c>
      <c r="B147" s="893"/>
      <c r="C147" s="893"/>
      <c r="D147" s="152" t="s">
        <v>183</v>
      </c>
      <c r="E147" s="95">
        <f>'5'!F147</f>
        <v>749791</v>
      </c>
      <c r="F147" s="148">
        <v>750171.6</v>
      </c>
      <c r="G147" s="112">
        <f t="shared" si="11"/>
        <v>380.59999999997672</v>
      </c>
      <c r="H147" s="99">
        <f>G147+'5'!H147</f>
        <v>2617.4399999999441</v>
      </c>
      <c r="I147" s="140"/>
      <c r="J147" s="328">
        <f>H147/DAY(B2)</f>
        <v>436.23999999999069</v>
      </c>
    </row>
    <row r="148" spans="1:10" ht="25.5">
      <c r="A148" s="886" t="s">
        <v>193</v>
      </c>
      <c r="B148" s="887"/>
      <c r="C148" s="888"/>
      <c r="D148" s="123" t="s">
        <v>130</v>
      </c>
      <c r="E148" s="95">
        <f>'5'!F148</f>
        <v>786482</v>
      </c>
      <c r="F148" s="150">
        <v>786839.52</v>
      </c>
      <c r="G148" s="112">
        <f t="shared" si="11"/>
        <v>357.52000000001863</v>
      </c>
      <c r="H148" s="99">
        <f>G148+'5'!H148</f>
        <v>2194.5200000000186</v>
      </c>
      <c r="I148" s="124"/>
      <c r="J148" s="328">
        <f>H148/DAY(B2)</f>
        <v>365.75333333333646</v>
      </c>
    </row>
    <row r="149" spans="1:10" ht="25.5">
      <c r="A149" s="886" t="s">
        <v>336</v>
      </c>
      <c r="B149" s="887"/>
      <c r="C149" s="888"/>
      <c r="D149" s="227" t="s">
        <v>130</v>
      </c>
      <c r="E149" s="95">
        <f>'5'!F149</f>
        <v>187651</v>
      </c>
      <c r="F149" s="146">
        <v>188037</v>
      </c>
      <c r="G149" s="112">
        <f t="shared" si="11"/>
        <v>386</v>
      </c>
      <c r="H149" s="99">
        <f>G149+'5'!H149</f>
        <v>2740.109999999986</v>
      </c>
      <c r="I149" s="119"/>
      <c r="J149" s="328">
        <f>H149/DAY(B2)</f>
        <v>456.68499999999767</v>
      </c>
    </row>
    <row r="150" spans="1:10" ht="25.5">
      <c r="A150" s="886" t="s">
        <v>337</v>
      </c>
      <c r="B150" s="887"/>
      <c r="C150" s="888"/>
      <c r="D150" s="117" t="s">
        <v>130</v>
      </c>
      <c r="E150" s="95">
        <f>'5'!F150</f>
        <v>78812</v>
      </c>
      <c r="F150" s="233">
        <v>79039.899999999994</v>
      </c>
      <c r="G150" s="112">
        <f t="shared" si="11"/>
        <v>227.89999999999418</v>
      </c>
      <c r="H150" s="99">
        <f>G150+'5'!H150</f>
        <v>1373.5999999999913</v>
      </c>
      <c r="I150" s="119"/>
      <c r="J150" s="328">
        <f>H150/DAY(B2)</f>
        <v>228.93333333333189</v>
      </c>
    </row>
    <row r="151" spans="1:10" ht="25.5">
      <c r="A151" s="886" t="s">
        <v>338</v>
      </c>
      <c r="B151" s="887"/>
      <c r="C151" s="888"/>
      <c r="D151" s="117" t="s">
        <v>130</v>
      </c>
      <c r="E151" s="95">
        <f>'5'!F151</f>
        <v>159527</v>
      </c>
      <c r="F151" s="233">
        <v>159745</v>
      </c>
      <c r="G151" s="112">
        <f t="shared" si="11"/>
        <v>218</v>
      </c>
      <c r="H151" s="99">
        <f>G151+'5'!H151</f>
        <v>1435</v>
      </c>
      <c r="I151" s="119"/>
      <c r="J151" s="328">
        <f>H151/DAY(B2)</f>
        <v>239.16666666666666</v>
      </c>
    </row>
    <row r="152" spans="1:10" ht="25.5">
      <c r="A152" s="886" t="s">
        <v>339</v>
      </c>
      <c r="B152" s="887"/>
      <c r="C152" s="888"/>
      <c r="D152" s="117" t="s">
        <v>130</v>
      </c>
      <c r="E152" s="95">
        <f>'5'!F152</f>
        <v>39282</v>
      </c>
      <c r="F152" s="233">
        <v>39415</v>
      </c>
      <c r="G152" s="112">
        <f t="shared" si="11"/>
        <v>133</v>
      </c>
      <c r="H152" s="99">
        <f>G152+'5'!H152</f>
        <v>799.09999999999854</v>
      </c>
      <c r="I152" s="119"/>
      <c r="J152" s="328">
        <f>H152/DAY(B2)</f>
        <v>133.18333333333308</v>
      </c>
    </row>
    <row r="153" spans="1:10" ht="25.5">
      <c r="A153" s="853" t="s">
        <v>196</v>
      </c>
      <c r="B153" s="854"/>
      <c r="C153" s="365"/>
      <c r="D153" s="358"/>
      <c r="E153" s="360"/>
      <c r="F153" s="361"/>
      <c r="G153" s="362">
        <f>SUM(G138:G152)</f>
        <v>2822.3999999999951</v>
      </c>
      <c r="H153" s="363"/>
      <c r="I153" s="119">
        <f>G153-(G38+G52)</f>
        <v>471.45000000004165</v>
      </c>
      <c r="J153" s="366"/>
    </row>
    <row r="154" spans="1:10" ht="27.75">
      <c r="A154" s="924" t="s">
        <v>344</v>
      </c>
      <c r="B154" s="924"/>
      <c r="C154" s="924"/>
      <c r="D154" s="924"/>
      <c r="E154" s="924"/>
      <c r="F154" s="924"/>
      <c r="G154" s="924"/>
      <c r="H154" s="924"/>
      <c r="I154" s="924"/>
      <c r="J154" s="924"/>
    </row>
    <row r="155" spans="1:10" ht="27.75">
      <c r="A155" s="893" t="s">
        <v>345</v>
      </c>
      <c r="B155" s="893"/>
      <c r="C155" s="893"/>
      <c r="D155" s="117" t="s">
        <v>130</v>
      </c>
      <c r="E155" s="95">
        <f>'5'!F155</f>
        <v>223111</v>
      </c>
      <c r="F155" s="421">
        <v>223729</v>
      </c>
      <c r="G155" s="112">
        <f t="shared" ref="G155:G158" si="12">F155-E155</f>
        <v>618</v>
      </c>
      <c r="H155" s="99">
        <f>G155+'5'!H155</f>
        <v>3741.2999999999884</v>
      </c>
      <c r="I155" s="364"/>
      <c r="J155" s="328">
        <f>H155/DAY(B2)</f>
        <v>623.54999999999802</v>
      </c>
    </row>
    <row r="156" spans="1:10" ht="25.5">
      <c r="A156" s="893" t="s">
        <v>346</v>
      </c>
      <c r="B156" s="893"/>
      <c r="C156" s="893"/>
      <c r="D156" s="117" t="s">
        <v>130</v>
      </c>
      <c r="E156" s="95">
        <f>'5'!F156</f>
        <v>27034</v>
      </c>
      <c r="F156" s="754">
        <v>27117</v>
      </c>
      <c r="G156" s="112">
        <f t="shared" si="12"/>
        <v>83</v>
      </c>
      <c r="H156" s="99">
        <f>G156+'5'!H156</f>
        <v>586.79999999999927</v>
      </c>
      <c r="I156" s="165"/>
      <c r="J156" s="328">
        <f>H156/DAY(B2)</f>
        <v>97.799999999999883</v>
      </c>
    </row>
    <row r="157" spans="1:10" ht="25.5">
      <c r="A157" s="886" t="s">
        <v>360</v>
      </c>
      <c r="B157" s="887"/>
      <c r="C157" s="888"/>
      <c r="D157" s="117" t="s">
        <v>130</v>
      </c>
      <c r="E157" s="95">
        <f>'5'!F157</f>
        <v>37559</v>
      </c>
      <c r="F157" s="155">
        <v>37559</v>
      </c>
      <c r="G157" s="112">
        <f t="shared" si="12"/>
        <v>0</v>
      </c>
      <c r="H157" s="99">
        <f>G157+'5'!H157</f>
        <v>0</v>
      </c>
      <c r="I157" s="165"/>
      <c r="J157" s="328">
        <f>H157/DAY(B2)</f>
        <v>0</v>
      </c>
    </row>
    <row r="158" spans="1:10" ht="25.5">
      <c r="A158" s="886" t="s">
        <v>361</v>
      </c>
      <c r="B158" s="887"/>
      <c r="C158" s="888"/>
      <c r="D158" s="117" t="s">
        <v>130</v>
      </c>
      <c r="E158" s="95">
        <f>'5'!F158</f>
        <v>1627</v>
      </c>
      <c r="F158" s="155">
        <v>1648.6</v>
      </c>
      <c r="G158" s="112">
        <f t="shared" si="12"/>
        <v>21.599999999999909</v>
      </c>
      <c r="H158" s="99">
        <f>G158+'5'!H158</f>
        <v>87.25</v>
      </c>
      <c r="I158" s="165"/>
      <c r="J158" s="328">
        <f>H158/DAY(B2)</f>
        <v>14.541666666666666</v>
      </c>
    </row>
    <row r="159" spans="1:10" ht="25.5">
      <c r="A159" s="942"/>
      <c r="B159" s="943"/>
      <c r="C159" s="944"/>
      <c r="D159" s="117"/>
      <c r="E159" s="95"/>
      <c r="F159" s="155"/>
      <c r="G159" s="112"/>
      <c r="H159" s="99"/>
      <c r="I159" s="165"/>
      <c r="J159" s="328"/>
    </row>
    <row r="160" spans="1:10" ht="27.75">
      <c r="A160" s="924" t="s">
        <v>326</v>
      </c>
      <c r="B160" s="924"/>
      <c r="C160" s="924"/>
      <c r="D160" s="924"/>
      <c r="E160" s="924"/>
      <c r="F160" s="924"/>
      <c r="G160" s="924"/>
      <c r="H160" s="924"/>
      <c r="I160" s="924"/>
      <c r="J160" s="924"/>
    </row>
    <row r="161" spans="1:10" ht="26.25">
      <c r="A161" s="242" t="s">
        <v>92</v>
      </c>
      <c r="B161" s="243"/>
      <c r="C161" s="243"/>
      <c r="D161" s="244" t="s">
        <v>180</v>
      </c>
      <c r="E161" s="95">
        <f>'5'!F161</f>
        <v>504085</v>
      </c>
      <c r="F161" s="235">
        <v>504321.04</v>
      </c>
      <c r="G161" s="238">
        <f t="shared" ref="G161:G165" si="13">F161-E161</f>
        <v>236.03999999997905</v>
      </c>
      <c r="H161" s="99">
        <f>G161+'5'!H161</f>
        <v>949.88000000000466</v>
      </c>
      <c r="I161" s="236"/>
      <c r="J161" s="239">
        <f>H161/DAY(B2)</f>
        <v>158.3133333333341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'5'!F162</f>
        <v>99854</v>
      </c>
      <c r="F162" s="235">
        <v>99898.5</v>
      </c>
      <c r="G162" s="238">
        <f t="shared" si="13"/>
        <v>44.5</v>
      </c>
      <c r="H162" s="99">
        <f>G162+'5'!H162</f>
        <v>244.89999999999418</v>
      </c>
      <c r="I162" s="236"/>
      <c r="J162" s="239">
        <f>H162/DAY(B2)</f>
        <v>40.816666666665697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'5'!F163</f>
        <v>0</v>
      </c>
      <c r="F163" s="235">
        <v>0</v>
      </c>
      <c r="G163" s="238">
        <f t="shared" si="13"/>
        <v>0</v>
      </c>
      <c r="H163" s="99">
        <f>G163+'5'!H163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'5'!F164</f>
        <v>7023</v>
      </c>
      <c r="F164" s="235">
        <v>7032.3</v>
      </c>
      <c r="G164" s="238">
        <f t="shared" si="13"/>
        <v>9.3000000000001819</v>
      </c>
      <c r="H164" s="99">
        <f>G164+'5'!H164</f>
        <v>42.100000000000364</v>
      </c>
      <c r="I164" s="236"/>
      <c r="J164" s="239">
        <f>H164/DAY(B2)</f>
        <v>7.016666666666727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'5'!F165</f>
        <v>32608</v>
      </c>
      <c r="F165" s="235">
        <v>32615.99</v>
      </c>
      <c r="G165" s="238">
        <f t="shared" si="13"/>
        <v>7.9900000000016007</v>
      </c>
      <c r="H165" s="99">
        <f>G165+'5'!H165</f>
        <v>41.890000000003056</v>
      </c>
      <c r="I165" s="236"/>
      <c r="J165" s="239">
        <f>H165/DAY(B2)</f>
        <v>6.9816666666671763</v>
      </c>
    </row>
    <row r="166" spans="1:10" ht="26.25">
      <c r="A166" s="923"/>
      <c r="B166" s="923"/>
      <c r="C166" s="246"/>
      <c r="D166" s="244" t="s">
        <v>180</v>
      </c>
      <c r="E166" s="95">
        <f>'5'!F166</f>
        <v>0</v>
      </c>
      <c r="F166" s="165"/>
      <c r="G166" s="165"/>
      <c r="H166" s="99">
        <f>G166+'5'!H166</f>
        <v>0</v>
      </c>
      <c r="I166" s="165"/>
      <c r="J166" s="239">
        <f>H166/DAY(B2)</f>
        <v>0</v>
      </c>
    </row>
    <row r="167" spans="1:10" ht="26.25">
      <c r="A167" s="923"/>
      <c r="B167" s="923"/>
      <c r="C167" s="246"/>
      <c r="D167" s="244" t="s">
        <v>180</v>
      </c>
      <c r="E167" s="95">
        <f>'5'!F167</f>
        <v>0</v>
      </c>
      <c r="F167" s="165"/>
      <c r="G167" s="165"/>
      <c r="H167" s="99">
        <f>G167+'5'!H167</f>
        <v>0</v>
      </c>
      <c r="I167" s="165"/>
      <c r="J167" s="239">
        <f>H167/DAY(B2)</f>
        <v>0</v>
      </c>
    </row>
    <row r="168" spans="1:10" ht="26.25">
      <c r="A168" s="923"/>
      <c r="B168" s="923"/>
      <c r="C168" s="246"/>
      <c r="D168" s="244" t="s">
        <v>180</v>
      </c>
      <c r="E168" s="95">
        <f>'5'!F168</f>
        <v>0</v>
      </c>
      <c r="F168" s="165"/>
      <c r="G168" s="165"/>
      <c r="H168" s="99">
        <f>G168+'5'!H168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33" t="s">
        <v>330</v>
      </c>
      <c r="B171" s="934"/>
      <c r="C171" s="934"/>
      <c r="D171" s="934"/>
      <c r="E171" s="934"/>
      <c r="F171" s="934"/>
      <c r="G171" s="934"/>
      <c r="H171" s="934"/>
      <c r="I171" s="934"/>
      <c r="J171" s="935"/>
    </row>
    <row r="172" spans="1:10" ht="25.5">
      <c r="A172" s="929"/>
      <c r="B172" s="930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41" t="s">
        <v>209</v>
      </c>
      <c r="B173" s="843"/>
      <c r="C173" s="333"/>
      <c r="D173" s="228" t="s">
        <v>142</v>
      </c>
      <c r="E173" s="95">
        <f>'5'!F173</f>
        <v>8593</v>
      </c>
      <c r="F173" s="155">
        <v>8594</v>
      </c>
      <c r="G173" s="155">
        <f>F173-E173</f>
        <v>1</v>
      </c>
      <c r="H173" s="99">
        <f>G173+'5'!H173</f>
        <v>10</v>
      </c>
      <c r="I173" s="155"/>
      <c r="J173" s="178">
        <f>H173/DAY(B2)</f>
        <v>1.6666666666666667</v>
      </c>
    </row>
    <row r="174" spans="1:10" ht="25.5">
      <c r="A174" s="841" t="s">
        <v>75</v>
      </c>
      <c r="B174" s="843"/>
      <c r="C174" s="333"/>
      <c r="D174" s="228" t="s">
        <v>142</v>
      </c>
      <c r="E174" s="95">
        <f>'5'!F174</f>
        <v>42728</v>
      </c>
      <c r="F174" s="157">
        <v>42738</v>
      </c>
      <c r="G174" s="155">
        <f t="shared" ref="G174:G175" si="14">F174-E174</f>
        <v>10</v>
      </c>
      <c r="H174" s="99">
        <f>G174+'5'!H174</f>
        <v>69</v>
      </c>
      <c r="I174" s="155"/>
      <c r="J174" s="178">
        <f>H174/DAY(B2)</f>
        <v>11.5</v>
      </c>
    </row>
    <row r="175" spans="1:10" ht="25.5">
      <c r="A175" s="841" t="s">
        <v>76</v>
      </c>
      <c r="B175" s="842"/>
      <c r="C175" s="843"/>
      <c r="D175" s="228" t="s">
        <v>142</v>
      </c>
      <c r="E175" s="95">
        <f>'5'!F175</f>
        <v>25454</v>
      </c>
      <c r="F175" s="155">
        <v>25470</v>
      </c>
      <c r="G175" s="155">
        <f t="shared" si="14"/>
        <v>16</v>
      </c>
      <c r="H175" s="99">
        <f>G175+'5'!H175</f>
        <v>77</v>
      </c>
      <c r="I175" s="155"/>
      <c r="J175" s="178">
        <f>H175/DAY(B2)</f>
        <v>12.833333333333334</v>
      </c>
    </row>
    <row r="176" spans="1:10" ht="25.5">
      <c r="A176" s="462" t="s">
        <v>196</v>
      </c>
      <c r="B176" s="463"/>
      <c r="C176" s="333"/>
      <c r="D176" s="228"/>
      <c r="E176" s="95">
        <f>'5'!F176</f>
        <v>0</v>
      </c>
      <c r="F176" s="155"/>
      <c r="G176" s="155">
        <f>SUM(G173:G175)</f>
        <v>27</v>
      </c>
      <c r="H176" s="99">
        <f>G176+'5'!H176</f>
        <v>156</v>
      </c>
      <c r="I176" s="155"/>
      <c r="J176" s="178">
        <f>H176/DAY(B2)</f>
        <v>26</v>
      </c>
    </row>
    <row r="177" spans="1:10" ht="25.5">
      <c r="A177" s="841" t="s">
        <v>77</v>
      </c>
      <c r="B177" s="843"/>
      <c r="C177" s="333"/>
      <c r="D177" s="228" t="s">
        <v>142</v>
      </c>
      <c r="E177" s="95">
        <f>'5'!F177</f>
        <v>0</v>
      </c>
      <c r="F177" s="155"/>
      <c r="G177" s="155"/>
      <c r="H177" s="99">
        <f>G177+'5'!H177</f>
        <v>0</v>
      </c>
      <c r="I177" s="155"/>
      <c r="J177" s="178">
        <f>H177/DAY(B2)</f>
        <v>0</v>
      </c>
    </row>
    <row r="178" spans="1:10" ht="25.5">
      <c r="A178" s="841" t="s">
        <v>210</v>
      </c>
      <c r="B178" s="843"/>
      <c r="C178" s="333"/>
      <c r="D178" s="228" t="s">
        <v>142</v>
      </c>
      <c r="E178" s="95">
        <f>'5'!F178</f>
        <v>103931</v>
      </c>
      <c r="F178" s="155">
        <v>103987</v>
      </c>
      <c r="G178" s="155">
        <f>F178-E178</f>
        <v>56</v>
      </c>
      <c r="H178" s="99">
        <f>G178+'5'!H178</f>
        <v>344</v>
      </c>
      <c r="I178" s="155"/>
      <c r="J178" s="178">
        <f>H178/DAY(B2)</f>
        <v>57.333333333333336</v>
      </c>
    </row>
    <row r="179" spans="1:10" ht="25.5">
      <c r="A179" s="841" t="s">
        <v>211</v>
      </c>
      <c r="B179" s="843"/>
      <c r="C179" s="333"/>
      <c r="D179" s="228" t="s">
        <v>142</v>
      </c>
      <c r="E179" s="95">
        <f>'5'!F179</f>
        <v>37501</v>
      </c>
      <c r="F179" s="155">
        <v>37501</v>
      </c>
      <c r="G179" s="155">
        <f t="shared" ref="G179:G180" si="15">F179-E179</f>
        <v>0</v>
      </c>
      <c r="H179" s="99">
        <f>G179+'5'!H179</f>
        <v>0</v>
      </c>
      <c r="I179" s="155"/>
      <c r="J179" s="178">
        <f>H179/DAY(B2)</f>
        <v>0</v>
      </c>
    </row>
    <row r="180" spans="1:10" ht="25.5">
      <c r="A180" s="841" t="s">
        <v>212</v>
      </c>
      <c r="B180" s="843"/>
      <c r="C180" s="333"/>
      <c r="D180" s="228" t="s">
        <v>142</v>
      </c>
      <c r="E180" s="95">
        <f>'5'!F180</f>
        <v>7439</v>
      </c>
      <c r="F180" s="155">
        <v>7439</v>
      </c>
      <c r="G180" s="155">
        <f t="shared" si="15"/>
        <v>0</v>
      </c>
      <c r="H180" s="99">
        <f>G180+'5'!H180</f>
        <v>19</v>
      </c>
      <c r="I180" s="155"/>
      <c r="J180" s="178">
        <f>H180/DAY(B2)</f>
        <v>3.1666666666666665</v>
      </c>
    </row>
    <row r="181" spans="1:10" ht="25.5">
      <c r="A181" s="927" t="s">
        <v>108</v>
      </c>
      <c r="B181" s="928"/>
      <c r="C181" s="333"/>
      <c r="D181" s="228"/>
      <c r="E181" s="95">
        <f>'5'!F181</f>
        <v>0</v>
      </c>
      <c r="F181" s="155"/>
      <c r="G181" s="155">
        <f>SUM(G178:G180)</f>
        <v>56</v>
      </c>
      <c r="H181" s="99">
        <f>G181+'5'!H181</f>
        <v>363</v>
      </c>
      <c r="I181" s="155"/>
      <c r="J181" s="178">
        <f>H181/DAY(B2)</f>
        <v>60.5</v>
      </c>
    </row>
    <row r="182" spans="1:10" ht="25.5">
      <c r="A182" s="841" t="s">
        <v>213</v>
      </c>
      <c r="B182" s="843"/>
      <c r="C182" s="333"/>
      <c r="D182" s="228"/>
      <c r="E182" s="95">
        <f>'5'!F182</f>
        <v>0</v>
      </c>
      <c r="F182" s="155"/>
      <c r="G182" s="155"/>
      <c r="H182" s="99">
        <f>G182+'5'!H182</f>
        <v>0</v>
      </c>
      <c r="I182" s="155"/>
      <c r="J182" s="178">
        <f>H182/DAY(B2)</f>
        <v>0</v>
      </c>
    </row>
    <row r="183" spans="1:10" ht="25.5">
      <c r="A183" s="841" t="s">
        <v>214</v>
      </c>
      <c r="B183" s="843"/>
      <c r="C183" s="334"/>
      <c r="D183" s="228" t="s">
        <v>142</v>
      </c>
      <c r="E183" s="95">
        <f>'5'!F183</f>
        <v>18193</v>
      </c>
      <c r="F183" s="157">
        <v>18197</v>
      </c>
      <c r="G183" s="157">
        <f>F183-E183</f>
        <v>4</v>
      </c>
      <c r="H183" s="99">
        <f>G183+'5'!H183</f>
        <v>29</v>
      </c>
      <c r="I183" s="155"/>
      <c r="J183" s="178">
        <f>H183/DAY(B2)</f>
        <v>4.833333333333333</v>
      </c>
    </row>
    <row r="184" spans="1:10" ht="25.5">
      <c r="A184" s="841" t="s">
        <v>215</v>
      </c>
      <c r="B184" s="843"/>
      <c r="C184" s="334"/>
      <c r="D184" s="228" t="s">
        <v>142</v>
      </c>
      <c r="E184" s="95">
        <f>'5'!F184</f>
        <v>12793</v>
      </c>
      <c r="F184" s="157">
        <v>12800</v>
      </c>
      <c r="G184" s="157">
        <f t="shared" ref="G184:G185" si="16">F184-E184</f>
        <v>7</v>
      </c>
      <c r="H184" s="99">
        <f>G184+'5'!H184</f>
        <v>50</v>
      </c>
      <c r="I184" s="155"/>
      <c r="J184" s="178">
        <f>H184/DAY(B2)</f>
        <v>8.3333333333333339</v>
      </c>
    </row>
    <row r="185" spans="1:10" ht="25.5">
      <c r="A185" s="841" t="s">
        <v>216</v>
      </c>
      <c r="B185" s="843"/>
      <c r="C185" s="334"/>
      <c r="D185" s="228" t="s">
        <v>142</v>
      </c>
      <c r="E185" s="95">
        <f>'5'!F185</f>
        <v>0</v>
      </c>
      <c r="F185" s="157">
        <v>0</v>
      </c>
      <c r="G185" s="157">
        <f t="shared" si="16"/>
        <v>0</v>
      </c>
      <c r="H185" s="99">
        <f>G185+'5'!H185</f>
        <v>0</v>
      </c>
      <c r="I185" s="155"/>
      <c r="J185" s="178">
        <f>H185/DAY(B2)</f>
        <v>0</v>
      </c>
    </row>
    <row r="186" spans="1:10" ht="25.5">
      <c r="A186" s="853" t="s">
        <v>196</v>
      </c>
      <c r="B186" s="854"/>
      <c r="C186" s="334"/>
      <c r="D186" s="229"/>
      <c r="E186" s="95"/>
      <c r="F186" s="157"/>
      <c r="G186" s="157">
        <f>SUM(G183:G185)</f>
        <v>11</v>
      </c>
      <c r="H186" s="99">
        <f>G186+'5'!H186</f>
        <v>79</v>
      </c>
      <c r="I186" s="157"/>
      <c r="J186" s="178">
        <f>H186/DAY(B2)</f>
        <v>13.166666666666666</v>
      </c>
    </row>
    <row r="187" spans="1:10" ht="25.5">
      <c r="A187" s="931" t="s">
        <v>217</v>
      </c>
      <c r="B187" s="932"/>
      <c r="C187" s="333"/>
      <c r="D187" s="230" t="s">
        <v>142</v>
      </c>
      <c r="E187" s="95"/>
      <c r="F187" s="159"/>
      <c r="G187" s="377">
        <f>G62+G19</f>
        <v>166</v>
      </c>
      <c r="H187" s="99">
        <f>G187+'5'!H187</f>
        <v>1006</v>
      </c>
      <c r="I187" s="158"/>
      <c r="J187" s="179">
        <f>H187/DAY(B2)</f>
        <v>167.66666666666666</v>
      </c>
    </row>
    <row r="188" spans="1:10" ht="25.5">
      <c r="A188" s="931" t="s">
        <v>218</v>
      </c>
      <c r="B188" s="932"/>
      <c r="C188" s="333"/>
      <c r="D188" s="230" t="s">
        <v>142</v>
      </c>
      <c r="E188" s="95"/>
      <c r="F188" s="159"/>
      <c r="G188" s="377">
        <f>G65+G66+G67+G69+G70</f>
        <v>183</v>
      </c>
      <c r="H188" s="99">
        <f>G188+'5'!H188</f>
        <v>1027</v>
      </c>
      <c r="I188" s="158"/>
      <c r="J188" s="179">
        <f>H188/DAY(B2)</f>
        <v>171.16666666666666</v>
      </c>
    </row>
    <row r="189" spans="1:10" ht="25.5">
      <c r="A189" s="931" t="s">
        <v>219</v>
      </c>
      <c r="B189" s="932"/>
      <c r="C189" s="333"/>
      <c r="D189" s="230" t="s">
        <v>142</v>
      </c>
      <c r="E189" s="95"/>
      <c r="F189" s="157"/>
      <c r="G189" s="376">
        <f>G181</f>
        <v>56</v>
      </c>
      <c r="H189" s="99">
        <f>G189+'5'!H189</f>
        <v>363</v>
      </c>
      <c r="I189" s="158"/>
      <c r="J189" s="179">
        <f>H189/DAY(B2)</f>
        <v>60.5</v>
      </c>
    </row>
    <row r="190" spans="1:10" ht="25.5">
      <c r="A190" s="925"/>
      <c r="B190" s="926"/>
      <c r="C190" s="390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3:B183"/>
    <mergeCell ref="A182:B182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86:B186"/>
    <mergeCell ref="A157:C157"/>
    <mergeCell ref="A158:C158"/>
    <mergeCell ref="A159:C159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123:C123"/>
    <mergeCell ref="A118:C118"/>
    <mergeCell ref="Q118:R118"/>
    <mergeCell ref="A119:C119"/>
    <mergeCell ref="A120:C120"/>
    <mergeCell ref="A121:C121"/>
    <mergeCell ref="A114:C114"/>
    <mergeCell ref="A115:C115"/>
    <mergeCell ref="A116:C116"/>
    <mergeCell ref="Q116:R116"/>
    <mergeCell ref="A117:C117"/>
    <mergeCell ref="Q117:R117"/>
    <mergeCell ref="A61:C61"/>
    <mergeCell ref="A62:C62"/>
    <mergeCell ref="A63:C63"/>
    <mergeCell ref="A71:C71"/>
    <mergeCell ref="A72:B72"/>
    <mergeCell ref="A76:C76"/>
    <mergeCell ref="A77:C77"/>
    <mergeCell ref="A79:C79"/>
    <mergeCell ref="A80:C80"/>
    <mergeCell ref="A64:C64"/>
    <mergeCell ref="A65:C65"/>
    <mergeCell ref="A109:B109"/>
    <mergeCell ref="A110:J110"/>
    <mergeCell ref="A111:C111"/>
    <mergeCell ref="A112:C112"/>
    <mergeCell ref="A113:C113"/>
    <mergeCell ref="A73:C73"/>
    <mergeCell ref="A74:C74"/>
    <mergeCell ref="A75:C75"/>
    <mergeCell ref="A102:C102"/>
    <mergeCell ref="A78:C78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81:C81"/>
    <mergeCell ref="A93:C93"/>
    <mergeCell ref="A94:C94"/>
    <mergeCell ref="A95:C95"/>
    <mergeCell ref="A96:C96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35:B135"/>
    <mergeCell ref="A175:C175"/>
    <mergeCell ref="A181:B181"/>
    <mergeCell ref="A168:B168"/>
    <mergeCell ref="A171:J171"/>
    <mergeCell ref="A172:B172"/>
    <mergeCell ref="A173:B173"/>
    <mergeCell ref="A174:B174"/>
    <mergeCell ref="A177:B177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5:C145"/>
    <mergeCell ref="A146:C146"/>
    <mergeCell ref="A147:C147"/>
    <mergeCell ref="A148:C148"/>
    <mergeCell ref="A149:C149"/>
    <mergeCell ref="A143:C143"/>
  </mergeCells>
  <pageMargins left="0.22" right="0.17" top="0.14000000000000001" bottom="0.2" header="0.2" footer="0.2"/>
  <pageSetup paperSize="5" scale="2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00"/>
  </sheetPr>
  <dimension ref="A1:R270"/>
  <sheetViews>
    <sheetView view="pageBreakPreview" zoomScale="60" zoomScaleNormal="77" workbookViewId="0">
      <selection activeCell="G89" sqref="G89:G90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67" t="s">
        <v>115</v>
      </c>
      <c r="B1" s="868"/>
      <c r="C1" s="868"/>
      <c r="D1" s="868"/>
      <c r="E1" s="868"/>
      <c r="F1" s="868"/>
      <c r="G1" s="868"/>
      <c r="H1" s="868"/>
      <c r="I1" s="868"/>
      <c r="J1" s="869"/>
    </row>
    <row r="2" spans="1:15" s="57" customFormat="1" ht="23.25">
      <c r="A2" s="191" t="s">
        <v>349</v>
      </c>
      <c r="B2" s="262">
        <v>44872</v>
      </c>
      <c r="C2" s="348" t="s">
        <v>67</v>
      </c>
      <c r="D2" s="218">
        <v>0.75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32</v>
      </c>
      <c r="E3" s="876" t="s">
        <v>119</v>
      </c>
      <c r="F3" s="877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0" t="s">
        <v>128</v>
      </c>
      <c r="B6" s="871"/>
      <c r="C6" s="872"/>
      <c r="D6" s="110"/>
      <c r="E6" s="110">
        <v>0</v>
      </c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'6'!F7</f>
        <v>410637</v>
      </c>
      <c r="F7" s="95">
        <v>433015</v>
      </c>
      <c r="G7" s="112">
        <f>F7-E7</f>
        <v>22378</v>
      </c>
      <c r="H7" s="99">
        <f>G7+'6'!H7</f>
        <v>159332.45000000001</v>
      </c>
      <c r="I7" s="113">
        <f>'1'!I7</f>
        <v>12000</v>
      </c>
      <c r="J7" s="175">
        <f>H7/DAY(B2)</f>
        <v>22761.778571428575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'6'!F8</f>
        <v>588942</v>
      </c>
      <c r="F8" s="114">
        <v>611362</v>
      </c>
      <c r="G8" s="115">
        <f>F8-E8</f>
        <v>22420</v>
      </c>
      <c r="H8" s="99">
        <f>G8+'6'!H8</f>
        <v>160101</v>
      </c>
      <c r="I8" s="116"/>
      <c r="J8" s="175">
        <f>H8/DAY(B2)</f>
        <v>22871.571428571428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'6'!F9</f>
        <v>4152576</v>
      </c>
      <c r="F9" s="117">
        <v>4158707.1</v>
      </c>
      <c r="G9" s="112">
        <f>F9-E9</f>
        <v>6131.1000000000931</v>
      </c>
      <c r="H9" s="99">
        <f>G9+'6'!H9</f>
        <v>44536.800000000279</v>
      </c>
      <c r="I9" s="124">
        <f>I7-J7</f>
        <v>-10761.778571428575</v>
      </c>
      <c r="J9" s="175">
        <f>H9/DAY(B2)</f>
        <v>6362.4000000000397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'6'!F10</f>
        <v>3784129.9</v>
      </c>
      <c r="F10" s="117">
        <v>3799967.1</v>
      </c>
      <c r="G10" s="112">
        <f t="shared" ref="G10:G12" si="0">F10-E10</f>
        <v>15837.200000000186</v>
      </c>
      <c r="H10" s="99">
        <f>G10+'6'!H10</f>
        <v>110488</v>
      </c>
      <c r="I10" s="282"/>
      <c r="J10" s="175">
        <f>H10/DAY(B2)</f>
        <v>15784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'6'!F11</f>
        <v>38120</v>
      </c>
      <c r="F11" s="95">
        <v>38120</v>
      </c>
      <c r="G11" s="112">
        <f t="shared" si="0"/>
        <v>0</v>
      </c>
      <c r="H11" s="99">
        <f>G11+'6'!H11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'6'!F12</f>
        <v>40390</v>
      </c>
      <c r="F12" s="117">
        <v>40390</v>
      </c>
      <c r="G12" s="112">
        <f t="shared" si="0"/>
        <v>0</v>
      </c>
      <c r="H12" s="99">
        <f>G12+'6'!H12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21968.300000000279</v>
      </c>
      <c r="H13" s="99">
        <f>G13+'6'!H13</f>
        <v>159253.5</v>
      </c>
      <c r="I13" s="120">
        <f>G7-G13</f>
        <v>409.6999999997206</v>
      </c>
      <c r="J13" s="175">
        <f>H13/DAY(B2)</f>
        <v>22750.5</v>
      </c>
      <c r="K13" s="79"/>
      <c r="L13" s="66"/>
      <c r="N13" s="87"/>
      <c r="O13" s="71"/>
    </row>
    <row r="14" spans="1:15" ht="26.25">
      <c r="A14" s="873" t="s">
        <v>137</v>
      </c>
      <c r="B14" s="874"/>
      <c r="C14" s="87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'6'!F15</f>
        <v>2225475.4</v>
      </c>
      <c r="F15" s="468">
        <v>2226580</v>
      </c>
      <c r="G15" s="112">
        <f>(F15-E15)</f>
        <v>1104.6000000000931</v>
      </c>
      <c r="H15" s="99">
        <f>G15+'6'!H15</f>
        <v>7639</v>
      </c>
      <c r="I15" s="113">
        <f>'1'!I15</f>
        <v>800</v>
      </c>
      <c r="J15" s="175">
        <f>H15/DAY(B2)</f>
        <v>1091.2857142857142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-291.28571428571422</v>
      </c>
      <c r="J16" s="176"/>
      <c r="K16" s="79"/>
      <c r="L16" s="66"/>
      <c r="N16" s="87"/>
      <c r="O16" s="71"/>
    </row>
    <row r="17" spans="1:15" ht="26.25">
      <c r="A17" s="873" t="s">
        <v>140</v>
      </c>
      <c r="B17" s="874"/>
      <c r="C17" s="87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64" t="s">
        <v>141</v>
      </c>
      <c r="B18" s="865"/>
      <c r="C18" s="866"/>
      <c r="D18" s="151" t="s">
        <v>142</v>
      </c>
      <c r="E18" s="95">
        <f>'6'!F18</f>
        <v>31</v>
      </c>
      <c r="F18" s="122">
        <v>22</v>
      </c>
      <c r="G18" s="119">
        <f>F18*10</f>
        <v>220</v>
      </c>
      <c r="H18" s="99">
        <f>G18+'6'!H18</f>
        <v>1770</v>
      </c>
      <c r="I18" s="113">
        <f>'1'!I18</f>
        <v>65</v>
      </c>
      <c r="J18" s="175">
        <f>H18/DAY(B2)</f>
        <v>252.85714285714286</v>
      </c>
      <c r="K18" s="79"/>
      <c r="L18" s="66"/>
      <c r="N18" s="87"/>
      <c r="O18" s="71"/>
    </row>
    <row r="19" spans="1:15" ht="25.5">
      <c r="A19" s="864" t="s">
        <v>69</v>
      </c>
      <c r="B19" s="865"/>
      <c r="C19" s="866"/>
      <c r="D19" s="151" t="s">
        <v>142</v>
      </c>
      <c r="E19" s="95">
        <f>'6'!F19</f>
        <v>168295</v>
      </c>
      <c r="F19" s="122">
        <v>168344</v>
      </c>
      <c r="G19" s="112">
        <f t="shared" ref="G19" si="1">F19-E19</f>
        <v>49</v>
      </c>
      <c r="H19" s="99">
        <f>G19+'6'!H19</f>
        <v>384</v>
      </c>
      <c r="I19" s="335"/>
      <c r="J19" s="175">
        <f>H19/DAY(B2)</f>
        <v>54.857142857142854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269</v>
      </c>
      <c r="H20" s="99">
        <f>G20+'6'!H20</f>
        <v>2154</v>
      </c>
      <c r="I20" s="336">
        <f>I18-J20</f>
        <v>-242.71428571428572</v>
      </c>
      <c r="J20" s="175">
        <f>H20/DAY(B2)</f>
        <v>307.71428571428572</v>
      </c>
      <c r="K20" s="79"/>
      <c r="L20" s="66"/>
      <c r="N20" s="87"/>
      <c r="O20" s="71"/>
    </row>
    <row r="21" spans="1:15" ht="26.25">
      <c r="A21" s="873" t="s">
        <v>144</v>
      </c>
      <c r="B21" s="874"/>
      <c r="C21" s="87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'6'!F22</f>
        <v>2970</v>
      </c>
      <c r="F22" s="122">
        <v>2970</v>
      </c>
      <c r="G22" s="119">
        <f t="shared" ref="G22" si="2">(F22-E22)</f>
        <v>0</v>
      </c>
      <c r="H22" s="99">
        <f>G22+'6'!H22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'6'!F23</f>
        <v>2000</v>
      </c>
      <c r="F23" s="122">
        <v>1500</v>
      </c>
      <c r="G23" s="119">
        <v>0</v>
      </c>
      <c r="H23" s="99">
        <f>G23+'6'!H23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'6'!F24</f>
        <v>4970</v>
      </c>
      <c r="F24" s="128">
        <v>4970</v>
      </c>
      <c r="G24" s="119">
        <v>0</v>
      </c>
      <c r="H24" s="99">
        <f>G24+'6'!H24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78" t="s">
        <v>149</v>
      </c>
      <c r="B25" s="879"/>
      <c r="C25" s="88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22420</v>
      </c>
      <c r="F27" s="136">
        <v>9</v>
      </c>
      <c r="G27" s="137">
        <f>E27*F27</f>
        <v>201780</v>
      </c>
      <c r="H27" s="99">
        <f>G27+'6'!H27</f>
        <v>1463499.8</v>
      </c>
      <c r="I27" s="138"/>
      <c r="J27" s="175">
        <f>H27/DAY(B2)</f>
        <v>209071.4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1104.6000000000931</v>
      </c>
      <c r="F28" s="136">
        <v>70</v>
      </c>
      <c r="G28" s="137">
        <f>E28*F28</f>
        <v>77322.000000006519</v>
      </c>
      <c r="H28" s="99">
        <f>G28+'6'!H28</f>
        <v>545241.75000000047</v>
      </c>
      <c r="I28" s="140"/>
      <c r="J28" s="175">
        <f>H28/DAY(B2)</f>
        <v>77891.678571428638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49</v>
      </c>
      <c r="F30" s="136">
        <v>151</v>
      </c>
      <c r="G30" s="137">
        <f>E30*F30</f>
        <v>7399</v>
      </c>
      <c r="H30" s="99">
        <f>G30+'6'!H30</f>
        <v>57984</v>
      </c>
      <c r="I30" s="140"/>
      <c r="J30" s="175">
        <f>H30/DAY(B2)</f>
        <v>8283.4285714285706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G31+'6'!H31</f>
        <v>141600</v>
      </c>
      <c r="I31" s="140"/>
      <c r="J31" s="175">
        <f>H31/DAY(B2)</f>
        <v>20228.571428571428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304101.00000000652</v>
      </c>
      <c r="H32" s="99">
        <f>G32+'6'!H32</f>
        <v>2208325.5500000003</v>
      </c>
      <c r="I32" s="144"/>
      <c r="J32" s="175">
        <f>H32/DAY(B2)</f>
        <v>315475.0785714286</v>
      </c>
      <c r="K32" s="63"/>
      <c r="L32" s="89"/>
      <c r="N32" s="87"/>
      <c r="O32" s="71"/>
    </row>
    <row r="33" spans="1:15" ht="25.5" customHeight="1">
      <c r="A33" s="881" t="s">
        <v>331</v>
      </c>
      <c r="B33" s="882"/>
      <c r="C33" s="88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'6'!F35</f>
        <v>386130.8</v>
      </c>
      <c r="F35" s="145">
        <v>388085.4</v>
      </c>
      <c r="G35" s="112">
        <f t="shared" ref="G35:G46" si="3">F35-E35</f>
        <v>1954.6000000000349</v>
      </c>
      <c r="H35" s="99">
        <f>G35+'6'!H35</f>
        <v>18988.490000000049</v>
      </c>
      <c r="I35" s="95"/>
      <c r="J35" s="175">
        <f>H35/DAY(B2)</f>
        <v>2712.6414285714354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'6'!F36</f>
        <v>328890.99</v>
      </c>
      <c r="F36" s="145">
        <v>329798.21000000002</v>
      </c>
      <c r="G36" s="112">
        <f t="shared" si="3"/>
        <v>907.22000000003027</v>
      </c>
      <c r="H36" s="99">
        <f>G36+'6'!H36</f>
        <v>7581.1000000000349</v>
      </c>
      <c r="I36" s="95"/>
      <c r="J36" s="175">
        <f>H36/DAY(B2)</f>
        <v>1083.0142857142907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'6'!F37</f>
        <v>322998.69</v>
      </c>
      <c r="F37" s="145">
        <v>322998.69</v>
      </c>
      <c r="G37" s="112">
        <f t="shared" si="3"/>
        <v>0</v>
      </c>
      <c r="H37" s="99">
        <f>G37+'6'!H37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'6'!F38</f>
        <v>750074.95</v>
      </c>
      <c r="F38" s="108">
        <v>752537.43</v>
      </c>
      <c r="G38" s="112">
        <f t="shared" si="3"/>
        <v>2462.4800000000978</v>
      </c>
      <c r="H38" s="99">
        <f>G38+'6'!H38</f>
        <v>16685.040000000037</v>
      </c>
      <c r="I38" s="95"/>
      <c r="J38" s="175">
        <f>H38/DAY(B2)</f>
        <v>2383.5771428571484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'6'!F39</f>
        <v>591584.18999999994</v>
      </c>
      <c r="F39" s="145">
        <v>591584.18999999994</v>
      </c>
      <c r="G39" s="112">
        <f t="shared" si="3"/>
        <v>0</v>
      </c>
      <c r="H39" s="99">
        <f>G39+'6'!H39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'6'!F40</f>
        <v>199244.85</v>
      </c>
      <c r="F40" s="145">
        <v>199652.99</v>
      </c>
      <c r="G40" s="112">
        <f t="shared" si="3"/>
        <v>408.13999999998487</v>
      </c>
      <c r="H40" s="99">
        <f>G40+'6'!H40</f>
        <v>2923.0199999999895</v>
      </c>
      <c r="I40" s="95"/>
      <c r="J40" s="175">
        <f>H40/DAY(B2)</f>
        <v>417.5742857142842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'6'!F41</f>
        <v>419167.59</v>
      </c>
      <c r="F41" s="145">
        <v>419167.59</v>
      </c>
      <c r="G41" s="112">
        <f t="shared" si="3"/>
        <v>0</v>
      </c>
      <c r="H41" s="99">
        <f>G41+'6'!H41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'6'!F42</f>
        <v>871870.87</v>
      </c>
      <c r="F42" s="145">
        <v>871870.87</v>
      </c>
      <c r="G42" s="112">
        <f t="shared" si="3"/>
        <v>0</v>
      </c>
      <c r="H42" s="99">
        <f>G42+'6'!H42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'6'!F43</f>
        <v>407028</v>
      </c>
      <c r="F43" s="145">
        <v>407028</v>
      </c>
      <c r="G43" s="112">
        <f t="shared" si="3"/>
        <v>0</v>
      </c>
      <c r="H43" s="99">
        <f>G43+'6'!H43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'6'!F44</f>
        <v>0</v>
      </c>
      <c r="F44" s="145">
        <v>0</v>
      </c>
      <c r="G44" s="112">
        <f t="shared" si="3"/>
        <v>0</v>
      </c>
      <c r="H44" s="99">
        <f>G44+'6'!H44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'6'!F45</f>
        <v>0</v>
      </c>
      <c r="F45" s="145">
        <v>0</v>
      </c>
      <c r="G45" s="112">
        <f t="shared" si="3"/>
        <v>0</v>
      </c>
      <c r="H45" s="99">
        <f>G45+'6'!H45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'6'!F46</f>
        <v>0</v>
      </c>
      <c r="F46" s="145">
        <v>0</v>
      </c>
      <c r="G46" s="112">
        <f t="shared" si="3"/>
        <v>0</v>
      </c>
      <c r="H46" s="99">
        <f>G46+'6'!H46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5732.4400000001478</v>
      </c>
      <c r="H47" s="99">
        <f>G47+'6'!H47</f>
        <v>46177.650000000111</v>
      </c>
      <c r="I47" s="95"/>
      <c r="J47" s="175">
        <f>H47/DAY(B2)</f>
        <v>6596.8071428571584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'6'!F49</f>
        <v>795859.75</v>
      </c>
      <c r="F49" s="145">
        <v>796283.5</v>
      </c>
      <c r="G49" s="112">
        <f t="shared" ref="G49:G58" si="4">F49-E49</f>
        <v>423.75</v>
      </c>
      <c r="H49" s="99">
        <f>G49+'6'!H49</f>
        <v>2660.5500000000466</v>
      </c>
      <c r="I49" s="95"/>
      <c r="J49" s="175">
        <f>H49/DAY(B2)</f>
        <v>380.07857142857807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'6'!F50</f>
        <v>466084.99</v>
      </c>
      <c r="F50" s="145">
        <v>467394.35</v>
      </c>
      <c r="G50" s="112">
        <f t="shared" si="4"/>
        <v>1309.359999999986</v>
      </c>
      <c r="H50" s="99">
        <f>G50+'6'!H50</f>
        <v>10725.27999999997</v>
      </c>
      <c r="I50" s="95"/>
      <c r="J50" s="175">
        <f>H50/DAY(B2)</f>
        <v>1532.1828571428528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'6'!F51</f>
        <v>141619.71</v>
      </c>
      <c r="F51" s="145">
        <v>142719.14000000001</v>
      </c>
      <c r="G51" s="112">
        <f t="shared" si="4"/>
        <v>1099.4300000000221</v>
      </c>
      <c r="H51" s="99">
        <f>G51+'6'!H51</f>
        <v>7474.5900000000256</v>
      </c>
      <c r="I51" s="95"/>
      <c r="J51" s="175">
        <f>H51/DAY(B2)</f>
        <v>1067.7985714285751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'6'!F52</f>
        <v>9.76</v>
      </c>
      <c r="F52" s="145">
        <v>9.76</v>
      </c>
      <c r="G52" s="112">
        <f t="shared" si="4"/>
        <v>0</v>
      </c>
      <c r="H52" s="99">
        <f>G52+'6'!H52</f>
        <v>-0.24000000000000021</v>
      </c>
      <c r="I52" s="95"/>
      <c r="J52" s="175">
        <f>H52/DAY(B2)</f>
        <v>-3.4285714285714315E-2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'6'!F53</f>
        <v>571091.59</v>
      </c>
      <c r="F53" s="145">
        <v>575133</v>
      </c>
      <c r="G53" s="112">
        <f t="shared" si="4"/>
        <v>4041.4100000000326</v>
      </c>
      <c r="H53" s="99">
        <f>G53+'6'!H53</f>
        <v>28591.729999999981</v>
      </c>
      <c r="I53" s="95"/>
      <c r="J53" s="175">
        <f>H53/DAY(B2)</f>
        <v>4084.5328571428545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'6'!F54</f>
        <v>108641.94</v>
      </c>
      <c r="F54" s="145">
        <v>108802.92</v>
      </c>
      <c r="G54" s="112">
        <f t="shared" si="4"/>
        <v>160.97999999999593</v>
      </c>
      <c r="H54" s="99">
        <f>G54+'6'!H54</f>
        <v>1139.7599999999948</v>
      </c>
      <c r="I54" s="95"/>
      <c r="J54" s="175">
        <f>H54/DAY(B2)</f>
        <v>162.82285714285641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'6'!F55</f>
        <v>561917.43000000005</v>
      </c>
      <c r="F55" s="145">
        <v>565077.18999999994</v>
      </c>
      <c r="G55" s="112">
        <f t="shared" si="4"/>
        <v>3159.7599999998929</v>
      </c>
      <c r="H55" s="99">
        <f>G55+'6'!H55</f>
        <v>3592.5199999999022</v>
      </c>
      <c r="I55" s="95"/>
      <c r="J55" s="175">
        <f>H55/DAY(B2)</f>
        <v>513.21714285712892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'6'!F56</f>
        <v>289696.81</v>
      </c>
      <c r="F56" s="145">
        <v>290528.27</v>
      </c>
      <c r="G56" s="112">
        <f t="shared" si="4"/>
        <v>831.46000000002095</v>
      </c>
      <c r="H56" s="99">
        <f>G56+'6'!H56</f>
        <v>22413.260000000009</v>
      </c>
      <c r="I56" s="95"/>
      <c r="J56" s="175">
        <f>H56/DAY(B2)</f>
        <v>3201.894285714287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'6'!F57</f>
        <v>583072.6</v>
      </c>
      <c r="F57" s="145">
        <v>585549.67000000004</v>
      </c>
      <c r="G57" s="112">
        <f t="shared" si="4"/>
        <v>2477.0700000000652</v>
      </c>
      <c r="H57" s="99">
        <f>G57+'6'!H57</f>
        <v>16971.20000000007</v>
      </c>
      <c r="I57" s="95"/>
      <c r="J57" s="175">
        <f>H57/DAY(B2)</f>
        <v>2424.457142857153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'6'!F58</f>
        <v>80211.009999999995</v>
      </c>
      <c r="F58" s="145">
        <v>80401.600000000006</v>
      </c>
      <c r="G58" s="112">
        <f t="shared" si="4"/>
        <v>190.59000000001106</v>
      </c>
      <c r="H58" s="99">
        <f>G58+'6'!H58</f>
        <v>1685.9100000000035</v>
      </c>
      <c r="I58" s="95"/>
      <c r="J58" s="175">
        <f>H58/DAY(B2)</f>
        <v>240.8442857142862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13693.810000000027</v>
      </c>
      <c r="H59" s="99">
        <f>G59+'6'!H59</f>
        <v>95254.56</v>
      </c>
      <c r="I59" s="95">
        <f>G7-G60</f>
        <v>2951.7499999998254</v>
      </c>
      <c r="J59" s="175">
        <f>H59/DAY(B2)</f>
        <v>13607.794285714286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19426.250000000175</v>
      </c>
      <c r="H60" s="99">
        <f>G60+'6'!H60</f>
        <v>141432.21000000014</v>
      </c>
      <c r="I60" s="95">
        <f>G13-G60</f>
        <v>2542.0500000001048</v>
      </c>
      <c r="J60" s="175">
        <f>H60/DAY(B2)</f>
        <v>20204.601428571448</v>
      </c>
      <c r="K60" s="79"/>
      <c r="L60" s="66"/>
      <c r="N60" s="87"/>
      <c r="O60" s="71"/>
    </row>
    <row r="61" spans="1:15" s="68" customFormat="1" ht="26.25">
      <c r="A61" s="883" t="s">
        <v>332</v>
      </c>
      <c r="B61" s="884"/>
      <c r="C61" s="88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64" t="s">
        <v>198</v>
      </c>
      <c r="B62" s="865"/>
      <c r="C62" s="866"/>
      <c r="D62" s="151" t="s">
        <v>142</v>
      </c>
      <c r="E62" s="95">
        <f>'6'!F62</f>
        <v>308985</v>
      </c>
      <c r="F62" s="122">
        <v>309107</v>
      </c>
      <c r="G62" s="112">
        <f t="shared" ref="G62:G63" si="5">F62-E62</f>
        <v>122</v>
      </c>
      <c r="H62" s="99">
        <f>G62+'6'!H62</f>
        <v>793</v>
      </c>
      <c r="I62" s="118"/>
      <c r="J62" s="175">
        <f>H62/DAY(B2)</f>
        <v>113.28571428571429</v>
      </c>
      <c r="K62" s="80"/>
      <c r="L62" s="66"/>
      <c r="N62" s="87"/>
      <c r="O62" s="71"/>
    </row>
    <row r="63" spans="1:15" ht="25.5">
      <c r="A63" s="864" t="s">
        <v>199</v>
      </c>
      <c r="B63" s="865"/>
      <c r="C63" s="866"/>
      <c r="D63" s="151" t="s">
        <v>142</v>
      </c>
      <c r="E63" s="95">
        <f>'6'!F63</f>
        <v>247277</v>
      </c>
      <c r="F63" s="122">
        <v>247347</v>
      </c>
      <c r="G63" s="112">
        <f t="shared" si="5"/>
        <v>70</v>
      </c>
      <c r="H63" s="99">
        <f>G63+'6'!H63</f>
        <v>418</v>
      </c>
      <c r="I63" s="118"/>
      <c r="J63" s="175">
        <f>H63/DAY(B2)</f>
        <v>59.714285714285715</v>
      </c>
      <c r="K63" s="69"/>
      <c r="L63" s="66"/>
      <c r="N63" s="87"/>
      <c r="O63" s="71"/>
    </row>
    <row r="64" spans="1:15" ht="26.25">
      <c r="A64" s="861" t="s">
        <v>200</v>
      </c>
      <c r="B64" s="862"/>
      <c r="C64" s="863"/>
      <c r="D64" s="151"/>
      <c r="E64" s="95">
        <f>'6'!F64</f>
        <v>0</v>
      </c>
      <c r="F64" s="122"/>
      <c r="G64" s="112">
        <f>G62+G63</f>
        <v>192</v>
      </c>
      <c r="H64" s="99">
        <f>G64+'6'!H64</f>
        <v>1211</v>
      </c>
      <c r="I64" s="118"/>
      <c r="J64" s="175">
        <f>H64/DAY(B2)</f>
        <v>173</v>
      </c>
      <c r="K64" s="69"/>
      <c r="L64" s="66"/>
      <c r="N64" s="87"/>
      <c r="O64" s="71"/>
    </row>
    <row r="65" spans="1:15" ht="25.5">
      <c r="A65" s="864" t="s">
        <v>201</v>
      </c>
      <c r="B65" s="865"/>
      <c r="C65" s="866"/>
      <c r="D65" s="151" t="s">
        <v>142</v>
      </c>
      <c r="E65" s="95">
        <f>'6'!F65</f>
        <v>468680</v>
      </c>
      <c r="F65" s="122">
        <v>468805</v>
      </c>
      <c r="G65" s="112">
        <f t="shared" ref="G65:G70" si="6">F65-E65</f>
        <v>125</v>
      </c>
      <c r="H65" s="99">
        <f>G65+'6'!H65</f>
        <v>904</v>
      </c>
      <c r="I65" s="118"/>
      <c r="J65" s="175">
        <f>H65/DAY(B2)</f>
        <v>129.14285714285714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'6'!F66</f>
        <v>113252</v>
      </c>
      <c r="F66" s="122">
        <v>168707</v>
      </c>
      <c r="G66" s="112">
        <f t="shared" si="6"/>
        <v>55455</v>
      </c>
      <c r="H66" s="99">
        <f>G66+'6'!H66</f>
        <v>55515</v>
      </c>
      <c r="I66" s="118"/>
      <c r="J66" s="175">
        <f>H66/DAY(B2)</f>
        <v>7930.7142857142853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'6'!F67</f>
        <v>115979</v>
      </c>
      <c r="F67" s="150">
        <v>115995</v>
      </c>
      <c r="G67" s="112">
        <f t="shared" si="6"/>
        <v>16</v>
      </c>
      <c r="H67" s="99">
        <f>G67+'6'!H67</f>
        <v>140</v>
      </c>
      <c r="I67" s="118"/>
      <c r="J67" s="175">
        <f>H67/DAY(B2)</f>
        <v>20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'6'!F68</f>
        <v>168684</v>
      </c>
      <c r="F68" s="122">
        <v>168707</v>
      </c>
      <c r="G68" s="112">
        <f t="shared" si="6"/>
        <v>23</v>
      </c>
      <c r="H68" s="99">
        <f>G68+'6'!H68</f>
        <v>200</v>
      </c>
      <c r="I68" s="118"/>
      <c r="J68" s="175">
        <f>H68/DAY(B2)</f>
        <v>28.571428571428573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'6'!F69</f>
        <v>12831</v>
      </c>
      <c r="F69" s="122">
        <v>12834</v>
      </c>
      <c r="G69" s="112">
        <f t="shared" si="6"/>
        <v>3</v>
      </c>
      <c r="H69" s="99">
        <f>G69+'6'!H69</f>
        <v>24</v>
      </c>
      <c r="I69" s="118"/>
      <c r="J69" s="175">
        <f>H69/DAY(B2)</f>
        <v>3.4285714285714284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'6'!F70</f>
        <v>10822</v>
      </c>
      <c r="F70" s="150">
        <v>10830</v>
      </c>
      <c r="G70" s="112">
        <f t="shared" si="6"/>
        <v>8</v>
      </c>
      <c r="H70" s="99">
        <f>G70+'6'!H70</f>
        <v>51</v>
      </c>
      <c r="I70" s="118"/>
      <c r="J70" s="175">
        <f>H70/DAY(B2)</f>
        <v>7.2857142857142856</v>
      </c>
      <c r="K70" s="69"/>
      <c r="L70" s="66"/>
      <c r="N70" s="87"/>
      <c r="O70" s="71"/>
    </row>
    <row r="71" spans="1:15" ht="26.25">
      <c r="A71" s="861" t="s">
        <v>208</v>
      </c>
      <c r="B71" s="862"/>
      <c r="C71" s="863"/>
      <c r="D71" s="152"/>
      <c r="E71" s="152"/>
      <c r="F71" s="152"/>
      <c r="G71" s="153">
        <f>SUM(G65:G70)</f>
        <v>55630</v>
      </c>
      <c r="H71" s="99">
        <f>G71+'6'!H71</f>
        <v>56834</v>
      </c>
      <c r="I71" s="154"/>
      <c r="J71" s="175">
        <f>H71/DAY(B2)</f>
        <v>8119.1428571428569</v>
      </c>
      <c r="K71" s="69"/>
      <c r="L71" s="66"/>
      <c r="N71" s="87"/>
      <c r="O71" s="71"/>
    </row>
    <row r="72" spans="1:15" s="88" customFormat="1" ht="25.5">
      <c r="A72" s="904"/>
      <c r="B72" s="89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09" t="s">
        <v>333</v>
      </c>
      <c r="B73" s="910"/>
      <c r="C73" s="91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64" t="s">
        <v>220</v>
      </c>
      <c r="B74" s="865"/>
      <c r="C74" s="866"/>
      <c r="D74" s="151" t="s">
        <v>139</v>
      </c>
      <c r="E74" s="95">
        <f>'6'!F74</f>
        <v>995121.93200000003</v>
      </c>
      <c r="F74" s="123">
        <v>995391.97400000005</v>
      </c>
      <c r="G74" s="112">
        <f t="shared" ref="G74:G78" si="7">F74-E74</f>
        <v>270.04200000001583</v>
      </c>
      <c r="H74" s="99">
        <f>G74+'6'!H74</f>
        <v>2032.9440000000177</v>
      </c>
      <c r="I74" s="154"/>
      <c r="J74" s="175">
        <f>H74/DAY(B2)</f>
        <v>290.42057142857396</v>
      </c>
      <c r="K74" s="69"/>
      <c r="L74" s="66"/>
      <c r="N74" s="87"/>
      <c r="O74" s="71"/>
    </row>
    <row r="75" spans="1:15" ht="25.5">
      <c r="A75" s="864" t="s">
        <v>221</v>
      </c>
      <c r="B75" s="865"/>
      <c r="C75" s="866"/>
      <c r="D75" s="151" t="s">
        <v>139</v>
      </c>
      <c r="E75" s="95">
        <f>'6'!F75</f>
        <v>73586.8</v>
      </c>
      <c r="F75" s="123">
        <v>73586.8</v>
      </c>
      <c r="G75" s="112">
        <f t="shared" si="7"/>
        <v>0</v>
      </c>
      <c r="H75" s="99">
        <f>G75+'6'!H75</f>
        <v>0.80000000000291038</v>
      </c>
      <c r="I75" s="154"/>
      <c r="J75" s="175">
        <f>H75/DAY(B2)</f>
        <v>0.11428571428613006</v>
      </c>
      <c r="K75" s="69"/>
      <c r="L75" s="66"/>
      <c r="N75" s="87"/>
      <c r="O75" s="71"/>
    </row>
    <row r="76" spans="1:15" ht="25.5">
      <c r="A76" s="905" t="s">
        <v>222</v>
      </c>
      <c r="B76" s="891"/>
      <c r="C76" s="892"/>
      <c r="D76" s="151" t="s">
        <v>139</v>
      </c>
      <c r="E76" s="95">
        <f>'6'!F76</f>
        <v>204475</v>
      </c>
      <c r="F76" s="123">
        <v>204599.7</v>
      </c>
      <c r="G76" s="112">
        <f t="shared" si="7"/>
        <v>124.70000000001164</v>
      </c>
      <c r="H76" s="99">
        <f>G76+'6'!H76</f>
        <v>937.70000000001164</v>
      </c>
      <c r="I76" s="154"/>
      <c r="J76" s="175">
        <f>H76/DAY(B2)</f>
        <v>133.95714285714453</v>
      </c>
      <c r="K76" s="69"/>
      <c r="L76" s="66"/>
      <c r="N76" s="87"/>
      <c r="O76" s="71"/>
    </row>
    <row r="77" spans="1:15" ht="25.5">
      <c r="A77" s="905" t="s">
        <v>223</v>
      </c>
      <c r="B77" s="891"/>
      <c r="C77" s="892"/>
      <c r="D77" s="151" t="s">
        <v>139</v>
      </c>
      <c r="E77" s="95">
        <f>'6'!F77</f>
        <v>56848</v>
      </c>
      <c r="F77" s="123">
        <v>56904</v>
      </c>
      <c r="G77" s="112">
        <f t="shared" si="7"/>
        <v>56</v>
      </c>
      <c r="H77" s="99">
        <f>G77+'6'!H77</f>
        <v>382</v>
      </c>
      <c r="I77" s="154"/>
      <c r="J77" s="175">
        <f>H77/DAY(B2)</f>
        <v>54.571428571428569</v>
      </c>
      <c r="K77" s="69"/>
      <c r="L77" s="66"/>
      <c r="N77" s="87"/>
      <c r="O77" s="71"/>
    </row>
    <row r="78" spans="1:15" ht="25.5">
      <c r="A78" s="905" t="s">
        <v>224</v>
      </c>
      <c r="B78" s="891"/>
      <c r="C78" s="892"/>
      <c r="D78" s="151" t="s">
        <v>139</v>
      </c>
      <c r="E78" s="95">
        <f>'6'!F78</f>
        <v>9563.4</v>
      </c>
      <c r="F78" s="123">
        <v>9563</v>
      </c>
      <c r="G78" s="112">
        <f t="shared" si="7"/>
        <v>-0.3999999999996362</v>
      </c>
      <c r="H78" s="99">
        <f>G78+'6'!H78</f>
        <v>-0.3999999999996362</v>
      </c>
      <c r="I78" s="118"/>
      <c r="J78" s="175">
        <f>H78/DAY(B2)</f>
        <v>-5.7142857142805169E-2</v>
      </c>
      <c r="K78" s="69"/>
      <c r="L78" s="66"/>
      <c r="N78" s="87"/>
      <c r="O78" s="71"/>
    </row>
    <row r="79" spans="1:15" s="57" customFormat="1" ht="25.5">
      <c r="A79" s="905" t="s">
        <v>225</v>
      </c>
      <c r="B79" s="891"/>
      <c r="C79" s="892"/>
      <c r="D79" s="151"/>
      <c r="E79" s="95">
        <f>'6'!F79</f>
        <v>0</v>
      </c>
      <c r="F79" s="123"/>
      <c r="G79" s="112">
        <f>G15-SUM(G74:G78)</f>
        <v>654.25800000006529</v>
      </c>
      <c r="H79" s="99">
        <f>G79+'6'!H79</f>
        <v>4285.9559999999674</v>
      </c>
      <c r="I79" s="118"/>
      <c r="J79" s="175"/>
      <c r="K79" s="59"/>
      <c r="L79" s="58"/>
      <c r="N79" s="87"/>
      <c r="O79" s="71"/>
    </row>
    <row r="80" spans="1:15" s="57" customFormat="1" ht="26.25">
      <c r="A80" s="861" t="s">
        <v>329</v>
      </c>
      <c r="B80" s="862"/>
      <c r="C80" s="863"/>
      <c r="D80" s="151"/>
      <c r="E80" s="117"/>
      <c r="F80" s="117"/>
      <c r="G80" s="112">
        <f>SUM(G74:G79)</f>
        <v>1104.6000000000931</v>
      </c>
      <c r="H80" s="99">
        <f>G80+'6'!H80</f>
        <v>1104.6000000000931</v>
      </c>
      <c r="I80" s="118"/>
      <c r="J80" s="175"/>
      <c r="K80" s="59"/>
      <c r="L80" s="58"/>
      <c r="N80" s="87"/>
      <c r="O80" s="71"/>
    </row>
    <row r="81" spans="1:15" ht="25.5">
      <c r="A81" s="897" t="s">
        <v>226</v>
      </c>
      <c r="B81" s="898"/>
      <c r="C81" s="89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'6'!F82</f>
        <v>0</v>
      </c>
      <c r="F82" s="122">
        <v>0</v>
      </c>
      <c r="G82" s="112">
        <f t="shared" ref="G82:G92" si="8">F82-E82</f>
        <v>0</v>
      </c>
      <c r="H82" s="99">
        <f>G82+'6'!H82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'6'!F83</f>
        <v>0</v>
      </c>
      <c r="F83" s="122">
        <v>0</v>
      </c>
      <c r="G83" s="112">
        <f t="shared" si="8"/>
        <v>0</v>
      </c>
      <c r="H83" s="99">
        <f>G83+'6'!H83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'6'!F84</f>
        <v>43540</v>
      </c>
      <c r="F84" s="164">
        <v>43540</v>
      </c>
      <c r="G84" s="112">
        <f t="shared" si="8"/>
        <v>0</v>
      </c>
      <c r="H84" s="99">
        <f>G84+'6'!H84</f>
        <v>-0.20999999999912689</v>
      </c>
      <c r="I84" s="545"/>
      <c r="J84" s="175">
        <f>H84/DAY(B2)</f>
        <v>-2.9999999999875269E-2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'6'!F85</f>
        <v>5684</v>
      </c>
      <c r="F85" s="164">
        <v>5684</v>
      </c>
      <c r="G85" s="112">
        <f t="shared" si="8"/>
        <v>0</v>
      </c>
      <c r="H85" s="99">
        <f>G85+'6'!H85</f>
        <v>0</v>
      </c>
      <c r="I85" s="545"/>
      <c r="J85" s="175">
        <f>H85/DAY(B2)</f>
        <v>0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'6'!F86</f>
        <v>46736.49</v>
      </c>
      <c r="F86" s="164">
        <v>46756.25</v>
      </c>
      <c r="G86" s="112">
        <f t="shared" si="8"/>
        <v>19.760000000002037</v>
      </c>
      <c r="H86" s="99">
        <f>G86+'6'!H86</f>
        <v>22.25</v>
      </c>
      <c r="I86" s="545"/>
      <c r="J86" s="175">
        <f>H86/DAY(B2)</f>
        <v>3.1785714285714284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'6'!F87</f>
        <v>36694</v>
      </c>
      <c r="F87" s="164">
        <v>36702</v>
      </c>
      <c r="G87" s="112">
        <f t="shared" si="8"/>
        <v>8</v>
      </c>
      <c r="H87" s="99">
        <f>G87+'6'!H87</f>
        <v>151.79000000000087</v>
      </c>
      <c r="I87" s="544">
        <f>G84+G85+G86+G87</f>
        <v>27.760000000002037</v>
      </c>
      <c r="J87" s="175">
        <f>H87/DAY(B2)</f>
        <v>21.684285714285839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'6'!F88</f>
        <v>24511.8</v>
      </c>
      <c r="F88" s="164">
        <v>24511.8</v>
      </c>
      <c r="G88" s="112">
        <f t="shared" si="8"/>
        <v>0</v>
      </c>
      <c r="H88" s="99">
        <f>G88+'6'!H88</f>
        <v>0</v>
      </c>
      <c r="I88" s="544"/>
      <c r="J88" s="175">
        <f>H88/DAY(B2)</f>
        <v>0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'6'!F89</f>
        <v>28560.9</v>
      </c>
      <c r="F89" s="164">
        <v>28570.97</v>
      </c>
      <c r="G89" s="112">
        <f t="shared" si="8"/>
        <v>10.069999999999709</v>
      </c>
      <c r="H89" s="99">
        <f>G89+'6'!H89</f>
        <v>69.270000000000437</v>
      </c>
      <c r="I89" s="544">
        <f>G88+G89</f>
        <v>10.069999999999709</v>
      </c>
      <c r="J89" s="175">
        <f>H89/DAY(B2)</f>
        <v>9.8957142857143481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'6'!F90</f>
        <v>73934.5</v>
      </c>
      <c r="F90" s="164">
        <v>73948.58</v>
      </c>
      <c r="G90" s="112">
        <f t="shared" si="8"/>
        <v>14.080000000001746</v>
      </c>
      <c r="H90" s="99">
        <f>G90+'6'!H90</f>
        <v>87.979999999995925</v>
      </c>
      <c r="I90" s="544">
        <f>G90</f>
        <v>14.080000000001746</v>
      </c>
      <c r="J90" s="175">
        <f>H90/DAY(B2)</f>
        <v>12.568571428570847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'6'!F91</f>
        <v>5419.8</v>
      </c>
      <c r="F91" s="122">
        <v>5419.8</v>
      </c>
      <c r="G91" s="112">
        <f t="shared" si="8"/>
        <v>0</v>
      </c>
      <c r="H91" s="99">
        <f>G91+'6'!H91</f>
        <v>67.029999999999745</v>
      </c>
      <c r="I91" s="555"/>
      <c r="J91" s="175">
        <f>H91/DAY(B2)</f>
        <v>9.5757142857142501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'6'!F92</f>
        <v>7000</v>
      </c>
      <c r="F92" s="122">
        <v>7010.17</v>
      </c>
      <c r="G92" s="112">
        <f t="shared" si="8"/>
        <v>10.170000000000073</v>
      </c>
      <c r="H92" s="99">
        <f>G92+'6'!H92</f>
        <v>10.170000000000073</v>
      </c>
      <c r="I92" s="556">
        <f>G91+G92</f>
        <v>10.170000000000073</v>
      </c>
      <c r="J92" s="175">
        <f>H92/DAY(B2)</f>
        <v>1.4528571428571533</v>
      </c>
      <c r="O92" s="71"/>
    </row>
    <row r="93" spans="1:15" ht="26.25">
      <c r="A93" s="906" t="s">
        <v>239</v>
      </c>
      <c r="B93" s="907"/>
      <c r="C93" s="90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64" t="s">
        <v>240</v>
      </c>
      <c r="B94" s="865"/>
      <c r="C94" s="866"/>
      <c r="D94" s="151" t="s">
        <v>130</v>
      </c>
      <c r="E94" s="151"/>
      <c r="F94" s="151"/>
      <c r="G94" s="99">
        <f>G35+G43+G49+G57</f>
        <v>4855.4200000001001</v>
      </c>
      <c r="H94" s="99">
        <f>G94+'6'!H94</f>
        <v>38620.240000000165</v>
      </c>
      <c r="I94" s="118"/>
      <c r="J94" s="175">
        <f>H94/DAY(B2)</f>
        <v>5517.1771428571665</v>
      </c>
      <c r="K94" s="69"/>
      <c r="L94" s="66"/>
      <c r="O94" s="71"/>
    </row>
    <row r="95" spans="1:15" ht="25.5">
      <c r="A95" s="864" t="s">
        <v>241</v>
      </c>
      <c r="B95" s="865"/>
      <c r="C95" s="866"/>
      <c r="D95" s="151" t="s">
        <v>23</v>
      </c>
      <c r="E95" s="146"/>
      <c r="F95" s="146"/>
      <c r="G95" s="166">
        <f>G94/G7</f>
        <v>0.2169729198319823</v>
      </c>
      <c r="H95" s="99">
        <f>G95+'6'!H95</f>
        <v>1.696747711551984</v>
      </c>
      <c r="I95" s="167"/>
      <c r="J95" s="175">
        <f>H95/DAY(B2)</f>
        <v>0.242392530221712</v>
      </c>
      <c r="K95" s="69"/>
      <c r="L95" s="66"/>
      <c r="O95" s="71"/>
    </row>
    <row r="96" spans="1:15" ht="25.5">
      <c r="A96" s="864" t="s">
        <v>242</v>
      </c>
      <c r="B96" s="865"/>
      <c r="C96" s="866"/>
      <c r="D96" s="151" t="s">
        <v>130</v>
      </c>
      <c r="E96" s="95"/>
      <c r="F96" s="95"/>
      <c r="G96" s="99">
        <f>G41+G42+G55+G56</f>
        <v>3991.2199999999139</v>
      </c>
      <c r="H96" s="99">
        <f>G96+'6'!H96</f>
        <v>26005.779999999912</v>
      </c>
      <c r="I96" s="118"/>
      <c r="J96" s="175">
        <f>H96/DAY(B2)</f>
        <v>3715.1114285714161</v>
      </c>
      <c r="K96" s="69"/>
      <c r="L96" s="66"/>
      <c r="O96" s="71"/>
    </row>
    <row r="97" spans="1:15" ht="25.5">
      <c r="A97" s="864" t="s">
        <v>243</v>
      </c>
      <c r="B97" s="865"/>
      <c r="C97" s="866"/>
      <c r="D97" s="151" t="s">
        <v>23</v>
      </c>
      <c r="E97" s="95"/>
      <c r="F97" s="95"/>
      <c r="G97" s="166">
        <f>G96/G7</f>
        <v>0.17835463401554713</v>
      </c>
      <c r="H97" s="99">
        <f>G97+'6'!H97</f>
        <v>1.1412548650692753</v>
      </c>
      <c r="I97" s="167"/>
      <c r="J97" s="175">
        <f>H97/DAY(B2)</f>
        <v>0.16303640929561075</v>
      </c>
      <c r="K97" s="69"/>
      <c r="L97" s="66"/>
      <c r="O97" s="71"/>
    </row>
    <row r="98" spans="1:15" ht="25.5">
      <c r="A98" s="864" t="s">
        <v>244</v>
      </c>
      <c r="B98" s="865"/>
      <c r="C98" s="866"/>
      <c r="D98" s="151" t="s">
        <v>130</v>
      </c>
      <c r="E98" s="95"/>
      <c r="F98" s="95"/>
      <c r="G98" s="99">
        <f>G39+G53</f>
        <v>4041.4100000000326</v>
      </c>
      <c r="H98" s="99">
        <f>G98+'6'!H98</f>
        <v>28591.729999999981</v>
      </c>
      <c r="I98" s="168"/>
      <c r="J98" s="175">
        <f>H98/DAY(B2)</f>
        <v>4084.5328571428545</v>
      </c>
      <c r="K98" s="69"/>
      <c r="L98" s="66"/>
      <c r="O98" s="71"/>
    </row>
    <row r="99" spans="1:15" ht="25.5">
      <c r="A99" s="864" t="s">
        <v>245</v>
      </c>
      <c r="B99" s="865"/>
      <c r="C99" s="866"/>
      <c r="D99" s="151" t="s">
        <v>23</v>
      </c>
      <c r="E99" s="95"/>
      <c r="F99" s="95"/>
      <c r="G99" s="166">
        <f>G98/G7</f>
        <v>0.1805974617928337</v>
      </c>
      <c r="H99" s="99">
        <f>G99+'6'!H99</f>
        <v>1.2573656415784231</v>
      </c>
      <c r="I99" s="168"/>
      <c r="J99" s="175">
        <f>H99/DAY(B2)</f>
        <v>0.17962366308263186</v>
      </c>
      <c r="O99" s="71"/>
    </row>
    <row r="100" spans="1:15" ht="26.25">
      <c r="A100" s="864" t="s">
        <v>246</v>
      </c>
      <c r="B100" s="865"/>
      <c r="C100" s="866"/>
      <c r="D100" s="151" t="s">
        <v>180</v>
      </c>
      <c r="E100" s="95"/>
      <c r="F100" s="95"/>
      <c r="G100" s="99">
        <f>G38+G52</f>
        <v>2462.4800000000978</v>
      </c>
      <c r="H100" s="99">
        <f>G100+'6'!H100</f>
        <v>16684.800000000039</v>
      </c>
      <c r="I100" s="118"/>
      <c r="J100" s="175">
        <f>H100/DAY(B2)</f>
        <v>2383.5428571428629</v>
      </c>
      <c r="K100" s="70"/>
      <c r="O100" s="71"/>
    </row>
    <row r="101" spans="1:15" ht="25.5">
      <c r="A101" s="864" t="s">
        <v>247</v>
      </c>
      <c r="B101" s="865"/>
      <c r="C101" s="866"/>
      <c r="D101" s="151" t="s">
        <v>23</v>
      </c>
      <c r="E101" s="95"/>
      <c r="F101" s="95"/>
      <c r="G101" s="166">
        <f>G100/G7</f>
        <v>0.11004021807132441</v>
      </c>
      <c r="H101" s="99">
        <f>G101+'6'!H101</f>
        <v>0.73381344384552749</v>
      </c>
      <c r="I101" s="168"/>
      <c r="J101" s="175">
        <f>H101/DAY(B2)</f>
        <v>0.1048304919779325</v>
      </c>
      <c r="O101" s="71"/>
    </row>
    <row r="102" spans="1:15" ht="25.5">
      <c r="A102" s="864" t="s">
        <v>248</v>
      </c>
      <c r="B102" s="865"/>
      <c r="C102" s="866"/>
      <c r="D102" s="151" t="s">
        <v>180</v>
      </c>
      <c r="E102" s="95"/>
      <c r="F102" s="95"/>
      <c r="G102" s="99">
        <f>G36+G50</f>
        <v>2216.5800000000163</v>
      </c>
      <c r="H102" s="99">
        <f>G102+'6'!H102</f>
        <v>18306.380000000005</v>
      </c>
      <c r="I102" s="168"/>
      <c r="J102" s="175">
        <f>H102/DAY(B2)</f>
        <v>2615.1971428571437</v>
      </c>
      <c r="O102" s="71"/>
    </row>
    <row r="103" spans="1:15" ht="25.5">
      <c r="A103" s="864" t="s">
        <v>249</v>
      </c>
      <c r="B103" s="865"/>
      <c r="C103" s="866"/>
      <c r="D103" s="151" t="s">
        <v>23</v>
      </c>
      <c r="E103" s="95"/>
      <c r="F103" s="95"/>
      <c r="G103" s="166">
        <f>G102/G7</f>
        <v>9.9051747251765854E-2</v>
      </c>
      <c r="H103" s="99">
        <f>G103+'6'!H103</f>
        <v>0.80386332538093863</v>
      </c>
      <c r="I103" s="118"/>
      <c r="J103" s="175">
        <f>H103/DAY(B2)</f>
        <v>0.11483761791156266</v>
      </c>
      <c r="O103" s="71"/>
    </row>
    <row r="104" spans="1:15" ht="25.5">
      <c r="A104" s="864" t="s">
        <v>250</v>
      </c>
      <c r="B104" s="865"/>
      <c r="C104" s="866"/>
      <c r="D104" s="151" t="s">
        <v>180</v>
      </c>
      <c r="E104" s="95"/>
      <c r="F104" s="95"/>
      <c r="G104" s="99">
        <f>G37+G51</f>
        <v>1099.4300000000221</v>
      </c>
      <c r="H104" s="99">
        <f>G104+'6'!H104</f>
        <v>7474.5900000000256</v>
      </c>
      <c r="I104" s="118"/>
      <c r="J104" s="175">
        <f>H104/DAY(B2)</f>
        <v>1067.7985714285751</v>
      </c>
      <c r="O104" s="71"/>
    </row>
    <row r="105" spans="1:15" ht="26.25" thickBot="1">
      <c r="A105" s="901" t="s">
        <v>251</v>
      </c>
      <c r="B105" s="902"/>
      <c r="C105" s="903"/>
      <c r="D105" s="231" t="s">
        <v>23</v>
      </c>
      <c r="E105" s="185"/>
      <c r="F105" s="185"/>
      <c r="G105" s="186">
        <f>G104/G7</f>
        <v>4.9129949057110649E-2</v>
      </c>
      <c r="H105" s="99">
        <f>G105+'6'!H105</f>
        <v>0.32847213603534808</v>
      </c>
      <c r="I105" s="187"/>
      <c r="J105" s="188">
        <f>H105/DAY(B2)</f>
        <v>4.6924590862192583E-2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15" t="s">
        <v>324</v>
      </c>
      <c r="B108" s="915"/>
      <c r="C108" s="915"/>
      <c r="D108" s="915"/>
      <c r="E108" s="915"/>
      <c r="F108" s="915"/>
      <c r="G108" s="915"/>
      <c r="H108" s="915"/>
      <c r="I108" s="915"/>
      <c r="J108" s="915"/>
    </row>
    <row r="109" spans="1:15" ht="26.25">
      <c r="A109" s="900"/>
      <c r="B109" s="900"/>
    </row>
    <row r="110" spans="1:15" ht="26.25">
      <c r="A110" s="916" t="s">
        <v>165</v>
      </c>
      <c r="B110" s="917"/>
      <c r="C110" s="917"/>
      <c r="D110" s="917"/>
      <c r="E110" s="917"/>
      <c r="F110" s="917"/>
      <c r="G110" s="917"/>
      <c r="H110" s="917"/>
      <c r="I110" s="917"/>
      <c r="J110" s="918"/>
    </row>
    <row r="111" spans="1:15" ht="25.5">
      <c r="A111" s="919"/>
      <c r="B111" s="920"/>
      <c r="C111" s="921"/>
      <c r="D111" s="165"/>
      <c r="E111" s="165"/>
      <c r="F111" s="165"/>
      <c r="G111" s="165"/>
      <c r="H111" s="156"/>
      <c r="I111" s="165"/>
      <c r="J111" s="327"/>
    </row>
    <row r="112" spans="1:15" ht="25.5">
      <c r="A112" s="894" t="s">
        <v>252</v>
      </c>
      <c r="B112" s="895"/>
      <c r="C112" s="896"/>
      <c r="D112" s="146" t="s">
        <v>183</v>
      </c>
      <c r="E112" s="95">
        <f>'6'!F112</f>
        <v>15979.6</v>
      </c>
      <c r="F112" s="237">
        <v>16040</v>
      </c>
      <c r="G112" s="112">
        <f t="shared" ref="G112:G123" si="9">F112-E112</f>
        <v>60.399999999999636</v>
      </c>
      <c r="H112" s="99">
        <f>G112+'6'!H112</f>
        <v>426.20000000000073</v>
      </c>
      <c r="I112" s="165"/>
      <c r="J112" s="328">
        <f>H112/DAY(B2)</f>
        <v>60.885714285714393</v>
      </c>
    </row>
    <row r="113" spans="1:18" ht="29.25" customHeight="1">
      <c r="A113" s="894" t="s">
        <v>253</v>
      </c>
      <c r="B113" s="895"/>
      <c r="C113" s="896"/>
      <c r="D113" s="146" t="s">
        <v>183</v>
      </c>
      <c r="E113" s="95">
        <f>'6'!F113</f>
        <v>33308</v>
      </c>
      <c r="F113" s="237">
        <v>33450.6</v>
      </c>
      <c r="G113" s="112">
        <f t="shared" si="9"/>
        <v>142.59999999999854</v>
      </c>
      <c r="H113" s="99">
        <f>G113+'6'!H113</f>
        <v>999.93000000000029</v>
      </c>
      <c r="I113" s="165"/>
      <c r="J113" s="328">
        <f>H113/DAY(B2)</f>
        <v>142.8471428571429</v>
      </c>
    </row>
    <row r="114" spans="1:18" ht="29.25" customHeight="1">
      <c r="A114" s="894" t="s">
        <v>254</v>
      </c>
      <c r="B114" s="895"/>
      <c r="C114" s="896"/>
      <c r="D114" s="146" t="s">
        <v>183</v>
      </c>
      <c r="E114" s="95">
        <f>'6'!F114</f>
        <v>49254.9</v>
      </c>
      <c r="F114" s="237">
        <v>49467</v>
      </c>
      <c r="G114" s="112">
        <f t="shared" si="9"/>
        <v>212.09999999999854</v>
      </c>
      <c r="H114" s="99">
        <f>G114+'6'!H114</f>
        <v>1500.6999999999971</v>
      </c>
      <c r="I114" s="165"/>
      <c r="J114" s="328">
        <f>H114/DAY(B2)</f>
        <v>214.38571428571387</v>
      </c>
    </row>
    <row r="115" spans="1:18" ht="29.25" customHeight="1">
      <c r="A115" s="894" t="s">
        <v>255</v>
      </c>
      <c r="B115" s="895"/>
      <c r="C115" s="896"/>
      <c r="D115" s="146" t="s">
        <v>183</v>
      </c>
      <c r="E115" s="95">
        <f>'6'!F115</f>
        <v>31263.1</v>
      </c>
      <c r="F115" s="237">
        <v>31421.9</v>
      </c>
      <c r="G115" s="112">
        <f t="shared" si="9"/>
        <v>158.80000000000291</v>
      </c>
      <c r="H115" s="99">
        <f>G115+'6'!H115</f>
        <v>985.5</v>
      </c>
      <c r="I115" s="165"/>
      <c r="J115" s="328">
        <f>H115/DAY(B2)</f>
        <v>140.78571428571428</v>
      </c>
    </row>
    <row r="116" spans="1:18" ht="29.25" customHeight="1">
      <c r="A116" s="912" t="s">
        <v>96</v>
      </c>
      <c r="B116" s="913"/>
      <c r="C116" s="914"/>
      <c r="D116" s="146" t="s">
        <v>183</v>
      </c>
      <c r="E116" s="95">
        <f>'6'!F116</f>
        <v>125305.07</v>
      </c>
      <c r="F116" s="237">
        <v>125685</v>
      </c>
      <c r="G116" s="112">
        <f t="shared" si="9"/>
        <v>379.92999999999302</v>
      </c>
      <c r="H116" s="99">
        <f>G116+'6'!H116</f>
        <v>2824.8000000000029</v>
      </c>
      <c r="I116" s="165"/>
      <c r="J116" s="328">
        <f>H116/DAY(B2)</f>
        <v>403.54285714285754</v>
      </c>
      <c r="Q116" s="894" t="s">
        <v>311</v>
      </c>
      <c r="R116" s="896"/>
    </row>
    <row r="117" spans="1:18" ht="29.25" customHeight="1">
      <c r="A117" s="912" t="s">
        <v>184</v>
      </c>
      <c r="B117" s="913"/>
      <c r="C117" s="914"/>
      <c r="D117" s="146" t="s">
        <v>183</v>
      </c>
      <c r="E117" s="95">
        <f>'6'!F117</f>
        <v>75554.5</v>
      </c>
      <c r="F117" s="237">
        <v>75808</v>
      </c>
      <c r="G117" s="112">
        <f t="shared" si="9"/>
        <v>253.5</v>
      </c>
      <c r="H117" s="99">
        <f>G117+'6'!H117</f>
        <v>1826.8000000000029</v>
      </c>
      <c r="I117" s="165"/>
      <c r="J117" s="328">
        <f>H117/DAY(B2)</f>
        <v>260.97142857142899</v>
      </c>
      <c r="Q117" s="894" t="s">
        <v>312</v>
      </c>
      <c r="R117" s="896"/>
    </row>
    <row r="118" spans="1:18" ht="25.5">
      <c r="A118" s="889" t="s">
        <v>97</v>
      </c>
      <c r="B118" s="889"/>
      <c r="C118" s="889"/>
      <c r="D118" s="151" t="s">
        <v>183</v>
      </c>
      <c r="E118" s="95">
        <f>'6'!F118</f>
        <v>142538.88</v>
      </c>
      <c r="F118" s="237">
        <v>143153.9</v>
      </c>
      <c r="G118" s="112">
        <f t="shared" si="9"/>
        <v>615.01999999998952</v>
      </c>
      <c r="H118" s="99">
        <f>G118+'6'!H118</f>
        <v>4341.4499999999825</v>
      </c>
      <c r="I118" s="165"/>
      <c r="J118" s="328">
        <f>H118/DAY(B2)</f>
        <v>620.20714285714041</v>
      </c>
      <c r="Q118" s="894" t="s">
        <v>311</v>
      </c>
      <c r="R118" s="896"/>
    </row>
    <row r="119" spans="1:18" ht="25.5">
      <c r="A119" s="889" t="s">
        <v>98</v>
      </c>
      <c r="B119" s="889"/>
      <c r="C119" s="889"/>
      <c r="D119" s="151" t="s">
        <v>183</v>
      </c>
      <c r="E119" s="95">
        <f>'6'!F119</f>
        <v>43425.599999999999</v>
      </c>
      <c r="F119" s="237">
        <v>43437</v>
      </c>
      <c r="G119" s="112">
        <f t="shared" si="9"/>
        <v>11.400000000001455</v>
      </c>
      <c r="H119" s="99">
        <f>G119+'6'!H119</f>
        <v>83.30000000000291</v>
      </c>
      <c r="I119" s="165"/>
      <c r="J119" s="328">
        <f>H119/DAY(B2)</f>
        <v>11.900000000000416</v>
      </c>
    </row>
    <row r="120" spans="1:18" ht="25.5">
      <c r="A120" s="889" t="s">
        <v>99</v>
      </c>
      <c r="B120" s="889"/>
      <c r="C120" s="889"/>
      <c r="D120" s="151" t="s">
        <v>183</v>
      </c>
      <c r="E120" s="95">
        <f>'6'!F120</f>
        <v>98158.3</v>
      </c>
      <c r="F120" s="237">
        <v>98555</v>
      </c>
      <c r="G120" s="112">
        <f t="shared" si="9"/>
        <v>396.69999999999709</v>
      </c>
      <c r="H120" s="99">
        <f>G120+'6'!H120</f>
        <v>2847.3999999999942</v>
      </c>
      <c r="I120" s="165"/>
      <c r="J120" s="328">
        <f>H120/DAY(B2)</f>
        <v>406.77142857142775</v>
      </c>
    </row>
    <row r="121" spans="1:18" ht="25.5">
      <c r="A121" s="889" t="s">
        <v>100</v>
      </c>
      <c r="B121" s="889"/>
      <c r="C121" s="889"/>
      <c r="D121" s="151" t="s">
        <v>183</v>
      </c>
      <c r="E121" s="95">
        <f>'6'!F121</f>
        <v>110332.73</v>
      </c>
      <c r="F121" s="237">
        <v>110749.6</v>
      </c>
      <c r="G121" s="112">
        <f t="shared" si="9"/>
        <v>416.8700000000099</v>
      </c>
      <c r="H121" s="99">
        <f>G121+'6'!H121</f>
        <v>2920.5500000000029</v>
      </c>
      <c r="I121" s="165"/>
      <c r="J121" s="328">
        <f>H121/DAY(B2)</f>
        <v>417.22142857142899</v>
      </c>
    </row>
    <row r="122" spans="1:18" ht="25.5">
      <c r="A122" s="889" t="s">
        <v>101</v>
      </c>
      <c r="B122" s="889"/>
      <c r="C122" s="889"/>
      <c r="D122" s="151" t="s">
        <v>183</v>
      </c>
      <c r="E122" s="95">
        <f>'6'!F122</f>
        <v>73159.17</v>
      </c>
      <c r="F122" s="237">
        <v>73506.600000000006</v>
      </c>
      <c r="G122" s="112">
        <f t="shared" si="9"/>
        <v>347.43000000000757</v>
      </c>
      <c r="H122" s="99">
        <f>G122+'6'!H122</f>
        <v>2468.7000000000116</v>
      </c>
      <c r="I122" s="165"/>
      <c r="J122" s="328">
        <f>H122/DAY(B2)</f>
        <v>352.67142857143023</v>
      </c>
    </row>
    <row r="123" spans="1:18" ht="25.5">
      <c r="A123" s="889" t="s">
        <v>102</v>
      </c>
      <c r="B123" s="889"/>
      <c r="C123" s="889"/>
      <c r="D123" s="151" t="s">
        <v>183</v>
      </c>
      <c r="E123" s="95">
        <f>'6'!F123</f>
        <v>70223.399999999994</v>
      </c>
      <c r="F123" s="237">
        <v>70535</v>
      </c>
      <c r="G123" s="112">
        <f t="shared" si="9"/>
        <v>311.60000000000582</v>
      </c>
      <c r="H123" s="99">
        <f>G123+'6'!H123</f>
        <v>2177.6999999999971</v>
      </c>
      <c r="I123" s="165"/>
      <c r="J123" s="328">
        <f>H123/DAY(B2)</f>
        <v>311.09999999999957</v>
      </c>
    </row>
    <row r="124" spans="1:18" ht="29.25" customHeight="1">
      <c r="A124" s="919"/>
      <c r="B124" s="920"/>
      <c r="C124" s="921"/>
      <c r="D124" s="165"/>
      <c r="E124" s="165"/>
      <c r="F124" s="165"/>
      <c r="G124" s="327"/>
      <c r="H124" s="156"/>
      <c r="I124" s="165"/>
      <c r="J124" s="328"/>
    </row>
    <row r="125" spans="1:18" ht="25.5">
      <c r="A125" s="853" t="s">
        <v>196</v>
      </c>
      <c r="B125" s="854"/>
      <c r="C125" s="245"/>
      <c r="D125" s="307"/>
      <c r="E125" s="308"/>
      <c r="F125" s="308"/>
      <c r="G125" s="309">
        <f>SUM(G112:G124)</f>
        <v>3306.350000000004</v>
      </c>
      <c r="H125" s="156"/>
      <c r="I125" s="327">
        <f>G125-(G39+G53)</f>
        <v>-735.06000000002859</v>
      </c>
      <c r="J125" s="327"/>
    </row>
    <row r="126" spans="1:18" ht="25.5">
      <c r="A126" s="922" t="s">
        <v>317</v>
      </c>
      <c r="B126" s="922"/>
      <c r="C126" s="922"/>
      <c r="D126" s="922"/>
      <c r="E126" s="922"/>
      <c r="F126" s="922"/>
      <c r="G126" s="922"/>
      <c r="H126" s="922"/>
      <c r="I126" s="922"/>
      <c r="J126" s="922"/>
    </row>
    <row r="127" spans="1:18" ht="25.5">
      <c r="A127" s="923"/>
      <c r="B127" s="923"/>
      <c r="C127" s="245"/>
      <c r="D127" s="307"/>
      <c r="E127" s="308"/>
      <c r="F127" s="308"/>
      <c r="G127" s="309"/>
      <c r="H127" s="99">
        <f>G127+'6'!H127</f>
        <v>0</v>
      </c>
      <c r="I127" s="165"/>
      <c r="J127" s="328">
        <f>H127/DAY(B2)</f>
        <v>0</v>
      </c>
    </row>
    <row r="128" spans="1:18" ht="29.25" customHeight="1">
      <c r="A128" s="894" t="s">
        <v>318</v>
      </c>
      <c r="B128" s="895"/>
      <c r="C128" s="896"/>
      <c r="D128" s="151" t="s">
        <v>183</v>
      </c>
      <c r="E128" s="95">
        <f>'6'!F128</f>
        <v>181639.41</v>
      </c>
      <c r="F128" s="165">
        <v>182006.51</v>
      </c>
      <c r="G128" s="112">
        <f t="shared" ref="G128:G134" si="10">F128-E128</f>
        <v>367.10000000000582</v>
      </c>
      <c r="H128" s="99">
        <f>G128+'6'!H128</f>
        <v>2594.6600000000035</v>
      </c>
      <c r="I128" s="165"/>
      <c r="J128" s="328">
        <f>H128/DAY(B2)</f>
        <v>370.66571428571478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'6'!F129</f>
        <v>97249.600000000006</v>
      </c>
      <c r="F129" s="165">
        <v>97440</v>
      </c>
      <c r="G129" s="112">
        <f t="shared" si="10"/>
        <v>190.39999999999418</v>
      </c>
      <c r="H129" s="99">
        <f>G129+'6'!H129</f>
        <v>1410.5</v>
      </c>
      <c r="I129" s="165"/>
      <c r="J129" s="328">
        <f>H129/DAY(B2)</f>
        <v>201.5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'6'!F130</f>
        <v>251099.53</v>
      </c>
      <c r="F130" s="165">
        <v>251715.6</v>
      </c>
      <c r="G130" s="112">
        <f t="shared" si="10"/>
        <v>616.07000000000698</v>
      </c>
      <c r="H130" s="99">
        <f>G130+'6'!H130</f>
        <v>4875.8500000000058</v>
      </c>
      <c r="I130" s="165"/>
      <c r="J130" s="328">
        <f>H130/DAY(B2)</f>
        <v>696.55000000000086</v>
      </c>
      <c r="N130" s="240"/>
      <c r="O130" s="241"/>
    </row>
    <row r="131" spans="1:15" ht="25.5">
      <c r="A131" s="894" t="s">
        <v>321</v>
      </c>
      <c r="B131" s="895"/>
      <c r="C131" s="896"/>
      <c r="D131" s="151" t="s">
        <v>183</v>
      </c>
      <c r="E131" s="95">
        <f>'6'!F131</f>
        <v>75019.73</v>
      </c>
      <c r="F131" s="165">
        <v>75246.559999999998</v>
      </c>
      <c r="G131" s="112">
        <f t="shared" si="10"/>
        <v>226.83000000000175</v>
      </c>
      <c r="H131" s="99">
        <f>G131+'6'!H131</f>
        <v>1735.9599999999919</v>
      </c>
      <c r="I131" s="165"/>
      <c r="J131" s="328">
        <f>H131/DAY(B2)</f>
        <v>247.99428571428456</v>
      </c>
      <c r="N131" s="240"/>
      <c r="O131" s="241"/>
    </row>
    <row r="132" spans="1:15" ht="25.5">
      <c r="A132" s="894" t="s">
        <v>322</v>
      </c>
      <c r="B132" s="895"/>
      <c r="C132" s="896"/>
      <c r="D132" s="151" t="s">
        <v>183</v>
      </c>
      <c r="E132" s="95">
        <f>'6'!F132</f>
        <v>146985</v>
      </c>
      <c r="F132" s="165">
        <v>146985</v>
      </c>
      <c r="G132" s="112">
        <f t="shared" si="10"/>
        <v>0</v>
      </c>
      <c r="H132" s="99">
        <f>G132+'6'!H132</f>
        <v>0</v>
      </c>
      <c r="I132" s="165"/>
      <c r="J132" s="328">
        <f>H132/DAY(B2)</f>
        <v>0</v>
      </c>
    </row>
    <row r="133" spans="1:15" ht="25.5">
      <c r="A133" s="894" t="s">
        <v>323</v>
      </c>
      <c r="B133" s="895"/>
      <c r="C133" s="896"/>
      <c r="D133" s="151" t="s">
        <v>183</v>
      </c>
      <c r="E133" s="95">
        <f>'6'!F133</f>
        <v>914711</v>
      </c>
      <c r="F133" s="554">
        <v>915443</v>
      </c>
      <c r="G133" s="112">
        <f t="shared" si="10"/>
        <v>732</v>
      </c>
      <c r="H133" s="99">
        <f>G133+'6'!H133</f>
        <v>5199</v>
      </c>
      <c r="I133" s="165"/>
      <c r="J133" s="328">
        <f>H133/DAY(B2)</f>
        <v>742.71428571428567</v>
      </c>
    </row>
    <row r="134" spans="1:15" ht="25.5">
      <c r="A134" s="894" t="s">
        <v>340</v>
      </c>
      <c r="B134" s="895"/>
      <c r="C134" s="896"/>
      <c r="D134" s="151" t="s">
        <v>183</v>
      </c>
      <c r="E134" s="95">
        <f>'6'!F134</f>
        <v>80039.59</v>
      </c>
      <c r="F134" s="165">
        <v>80251.399999999994</v>
      </c>
      <c r="G134" s="112">
        <f t="shared" si="10"/>
        <v>211.80999999999767</v>
      </c>
      <c r="H134" s="99">
        <f>G134+'6'!H134</f>
        <v>1491.7999999999884</v>
      </c>
      <c r="I134" s="165"/>
      <c r="J134" s="328">
        <f>H134/DAY(B2)</f>
        <v>213.11428571428405</v>
      </c>
    </row>
    <row r="135" spans="1:15" ht="25.5">
      <c r="A135" s="853" t="s">
        <v>196</v>
      </c>
      <c r="B135" s="854"/>
      <c r="C135" s="331"/>
      <c r="D135" s="151"/>
      <c r="E135" s="95"/>
      <c r="F135" s="165"/>
      <c r="G135" s="112">
        <f>SUM(G128:G134)</f>
        <v>2344.2100000000064</v>
      </c>
      <c r="H135" s="99">
        <f>G135+'6'!H135</f>
        <v>17307.76999999999</v>
      </c>
      <c r="I135" s="327">
        <f>G135-(G35+G49)</f>
        <v>-34.140000000028522</v>
      </c>
      <c r="J135" s="328">
        <f>H135/DAY(B2)</f>
        <v>2472.5385714285699</v>
      </c>
    </row>
    <row r="136" spans="1:15" ht="27.75">
      <c r="A136" s="924" t="s">
        <v>325</v>
      </c>
      <c r="B136" s="924"/>
      <c r="C136" s="924"/>
      <c r="D136" s="924"/>
      <c r="E136" s="924"/>
      <c r="F136" s="924"/>
      <c r="G136" s="924"/>
      <c r="H136" s="924"/>
      <c r="I136" s="924"/>
      <c r="J136" s="92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9" t="s">
        <v>185</v>
      </c>
      <c r="B138" s="889"/>
      <c r="C138" s="889"/>
      <c r="D138" s="151" t="s">
        <v>183</v>
      </c>
      <c r="E138" s="95">
        <f>'6'!F138</f>
        <v>906318</v>
      </c>
      <c r="F138" s="147">
        <v>906428</v>
      </c>
      <c r="G138" s="112">
        <f t="shared" ref="G138:G152" si="11">F138-E138</f>
        <v>110</v>
      </c>
      <c r="H138" s="99">
        <f>G138+'6'!H138</f>
        <v>769</v>
      </c>
      <c r="I138" s="118"/>
      <c r="J138" s="328">
        <f>H138/DAY(B2)</f>
        <v>109.85714285714286</v>
      </c>
    </row>
    <row r="139" spans="1:15" ht="25.5">
      <c r="A139" s="889" t="s">
        <v>186</v>
      </c>
      <c r="B139" s="889"/>
      <c r="C139" s="889"/>
      <c r="D139" s="151" t="s">
        <v>183</v>
      </c>
      <c r="E139" s="95">
        <f>'6'!F139</f>
        <v>928264</v>
      </c>
      <c r="F139" s="148">
        <v>928422</v>
      </c>
      <c r="G139" s="112">
        <f t="shared" si="11"/>
        <v>158</v>
      </c>
      <c r="H139" s="99">
        <f>G139+'6'!H139</f>
        <v>1141</v>
      </c>
      <c r="I139" s="118"/>
      <c r="J139" s="328">
        <f>H139/DAY(B2)</f>
        <v>163</v>
      </c>
    </row>
    <row r="140" spans="1:15" ht="25.5">
      <c r="A140" s="889" t="s">
        <v>187</v>
      </c>
      <c r="B140" s="889"/>
      <c r="C140" s="889"/>
      <c r="D140" s="151" t="s">
        <v>183</v>
      </c>
      <c r="E140" s="95">
        <f>'6'!F140</f>
        <v>3455.87</v>
      </c>
      <c r="F140" s="149">
        <v>3483.6</v>
      </c>
      <c r="G140" s="112">
        <f t="shared" si="11"/>
        <v>27.730000000000018</v>
      </c>
      <c r="H140" s="99">
        <f>G140+'6'!H140</f>
        <v>152.5</v>
      </c>
      <c r="I140" s="118"/>
      <c r="J140" s="328">
        <f>H140/DAY(B2)</f>
        <v>21.785714285714285</v>
      </c>
    </row>
    <row r="141" spans="1:15" ht="25.5">
      <c r="A141" s="893" t="s">
        <v>188</v>
      </c>
      <c r="B141" s="893"/>
      <c r="C141" s="893"/>
      <c r="D141" s="151" t="s">
        <v>183</v>
      </c>
      <c r="E141" s="95">
        <f>'6'!F141</f>
        <v>118988.24</v>
      </c>
      <c r="F141" s="149">
        <v>119218</v>
      </c>
      <c r="G141" s="112">
        <f t="shared" si="11"/>
        <v>229.75999999999476</v>
      </c>
      <c r="H141" s="99">
        <f>G141+'6'!H141</f>
        <v>1660.0200000000041</v>
      </c>
      <c r="I141" s="118"/>
      <c r="J141" s="328">
        <f>H141/DAY(B2)</f>
        <v>237.14571428571486</v>
      </c>
    </row>
    <row r="142" spans="1:15" ht="25.5">
      <c r="A142" s="893" t="s">
        <v>189</v>
      </c>
      <c r="B142" s="893"/>
      <c r="C142" s="893"/>
      <c r="D142" s="151" t="s">
        <v>183</v>
      </c>
      <c r="E142" s="95">
        <f>'6'!F142</f>
        <v>48017.37</v>
      </c>
      <c r="F142" s="148">
        <v>48111.43</v>
      </c>
      <c r="G142" s="112">
        <f t="shared" si="11"/>
        <v>94.059999999997672</v>
      </c>
      <c r="H142" s="99">
        <f>G142+'6'!H142</f>
        <v>606.93000000000029</v>
      </c>
      <c r="I142" s="140"/>
      <c r="J142" s="328">
        <f>H142/DAY(B2)</f>
        <v>86.70428571428576</v>
      </c>
    </row>
    <row r="143" spans="1:15" ht="25.5">
      <c r="A143" s="889" t="s">
        <v>91</v>
      </c>
      <c r="B143" s="889"/>
      <c r="C143" s="889"/>
      <c r="D143" s="151" t="s">
        <v>183</v>
      </c>
      <c r="E143" s="95">
        <f>'6'!F143</f>
        <v>12605.8</v>
      </c>
      <c r="F143" s="149">
        <v>12635</v>
      </c>
      <c r="G143" s="112">
        <f t="shared" si="11"/>
        <v>29.200000000000728</v>
      </c>
      <c r="H143" s="99">
        <f>G143+'6'!H143</f>
        <v>219.60000000000036</v>
      </c>
      <c r="I143" s="140"/>
      <c r="J143" s="328">
        <f>H143/DAY(B2)</f>
        <v>31.371428571428623</v>
      </c>
    </row>
    <row r="144" spans="1:15" ht="25.5">
      <c r="A144" s="893" t="s">
        <v>90</v>
      </c>
      <c r="B144" s="893"/>
      <c r="C144" s="893"/>
      <c r="D144" s="151" t="s">
        <v>183</v>
      </c>
      <c r="E144" s="95">
        <f>'6'!F144</f>
        <v>949587</v>
      </c>
      <c r="F144" s="149">
        <v>949821</v>
      </c>
      <c r="G144" s="112">
        <f t="shared" si="11"/>
        <v>234</v>
      </c>
      <c r="H144" s="99">
        <f>G144+'6'!H144</f>
        <v>1623</v>
      </c>
      <c r="I144" s="140"/>
      <c r="J144" s="328">
        <f>H144/DAY(B2)</f>
        <v>231.85714285714286</v>
      </c>
    </row>
    <row r="145" spans="1:10" ht="25.5">
      <c r="A145" s="889" t="s">
        <v>190</v>
      </c>
      <c r="B145" s="889"/>
      <c r="C145" s="889"/>
      <c r="D145" s="152" t="s">
        <v>183</v>
      </c>
      <c r="E145" s="95">
        <f>'6'!F145</f>
        <v>23415.1</v>
      </c>
      <c r="F145" s="149">
        <v>23587.1</v>
      </c>
      <c r="G145" s="112">
        <f t="shared" si="11"/>
        <v>172</v>
      </c>
      <c r="H145" s="99">
        <f>G145+'6'!H145</f>
        <v>991</v>
      </c>
      <c r="I145" s="140"/>
      <c r="J145" s="328">
        <f>H145/DAY(B2)</f>
        <v>141.57142857142858</v>
      </c>
    </row>
    <row r="146" spans="1:10" ht="25.5">
      <c r="A146" s="890" t="s">
        <v>191</v>
      </c>
      <c r="B146" s="891"/>
      <c r="C146" s="892"/>
      <c r="D146" s="152" t="s">
        <v>183</v>
      </c>
      <c r="E146" s="95">
        <f>'6'!F146</f>
        <v>786881</v>
      </c>
      <c r="F146" s="148">
        <v>786910</v>
      </c>
      <c r="G146" s="112">
        <f t="shared" si="11"/>
        <v>29</v>
      </c>
      <c r="H146" s="99">
        <f>G146+'6'!H146</f>
        <v>242</v>
      </c>
      <c r="I146" s="140"/>
      <c r="J146" s="328">
        <f>H146/DAY(B2)</f>
        <v>34.571428571428569</v>
      </c>
    </row>
    <row r="147" spans="1:10" ht="25.5">
      <c r="A147" s="893" t="s">
        <v>192</v>
      </c>
      <c r="B147" s="893"/>
      <c r="C147" s="893"/>
      <c r="D147" s="152" t="s">
        <v>183</v>
      </c>
      <c r="E147" s="95">
        <f>'6'!F147</f>
        <v>750171.6</v>
      </c>
      <c r="F147" s="148">
        <v>750577.28</v>
      </c>
      <c r="G147" s="112">
        <f t="shared" si="11"/>
        <v>405.68000000005122</v>
      </c>
      <c r="H147" s="99">
        <f>G147+'6'!H147</f>
        <v>3023.1199999999953</v>
      </c>
      <c r="I147" s="140"/>
      <c r="J147" s="328">
        <f>H147/DAY(B2)</f>
        <v>431.87428571428507</v>
      </c>
    </row>
    <row r="148" spans="1:10" ht="25.5">
      <c r="A148" s="886" t="s">
        <v>193</v>
      </c>
      <c r="B148" s="887"/>
      <c r="C148" s="888"/>
      <c r="D148" s="123" t="s">
        <v>130</v>
      </c>
      <c r="E148" s="95">
        <f>'6'!F148</f>
        <v>786839.52</v>
      </c>
      <c r="F148" s="150">
        <v>787186</v>
      </c>
      <c r="G148" s="112">
        <f t="shared" si="11"/>
        <v>346.47999999998137</v>
      </c>
      <c r="H148" s="99">
        <f>G148+'6'!H148</f>
        <v>2541</v>
      </c>
      <c r="I148" s="124"/>
      <c r="J148" s="328">
        <f>H148/DAY(B2)</f>
        <v>363</v>
      </c>
    </row>
    <row r="149" spans="1:10" ht="25.5">
      <c r="A149" s="886" t="s">
        <v>336</v>
      </c>
      <c r="B149" s="887"/>
      <c r="C149" s="888"/>
      <c r="D149" s="227" t="s">
        <v>130</v>
      </c>
      <c r="E149" s="95">
        <f>'6'!F149</f>
        <v>188037</v>
      </c>
      <c r="F149" s="146">
        <v>188541.23</v>
      </c>
      <c r="G149" s="112">
        <f t="shared" si="11"/>
        <v>504.23000000001048</v>
      </c>
      <c r="H149" s="99">
        <f>G149+'6'!H149</f>
        <v>3244.3399999999965</v>
      </c>
      <c r="I149" s="119"/>
      <c r="J149" s="328">
        <f>H149/DAY(B2)</f>
        <v>463.47714285714238</v>
      </c>
    </row>
    <row r="150" spans="1:10" ht="25.5">
      <c r="A150" s="886" t="s">
        <v>337</v>
      </c>
      <c r="B150" s="887"/>
      <c r="C150" s="888"/>
      <c r="D150" s="117" t="s">
        <v>130</v>
      </c>
      <c r="E150" s="95">
        <f>'6'!F150</f>
        <v>79039.899999999994</v>
      </c>
      <c r="F150" s="233">
        <v>79270.39</v>
      </c>
      <c r="G150" s="112">
        <f t="shared" si="11"/>
        <v>230.49000000000524</v>
      </c>
      <c r="H150" s="99">
        <f>G150+'6'!H150</f>
        <v>1604.0899999999965</v>
      </c>
      <c r="I150" s="119"/>
      <c r="J150" s="328">
        <f>H150/DAY(B2)</f>
        <v>229.1557142857138</v>
      </c>
    </row>
    <row r="151" spans="1:10" ht="25.5">
      <c r="A151" s="886" t="s">
        <v>338</v>
      </c>
      <c r="B151" s="887"/>
      <c r="C151" s="888"/>
      <c r="D151" s="117" t="s">
        <v>130</v>
      </c>
      <c r="E151" s="95">
        <f>'6'!F151</f>
        <v>159745</v>
      </c>
      <c r="F151" s="233">
        <v>159973</v>
      </c>
      <c r="G151" s="112">
        <f t="shared" si="11"/>
        <v>228</v>
      </c>
      <c r="H151" s="99">
        <f>G151+'6'!H151</f>
        <v>1663</v>
      </c>
      <c r="I151" s="119"/>
      <c r="J151" s="328">
        <f>H151/DAY(B2)</f>
        <v>237.57142857142858</v>
      </c>
    </row>
    <row r="152" spans="1:10" ht="25.5">
      <c r="A152" s="886" t="s">
        <v>339</v>
      </c>
      <c r="B152" s="887"/>
      <c r="C152" s="888"/>
      <c r="D152" s="117" t="s">
        <v>130</v>
      </c>
      <c r="E152" s="95">
        <f>'6'!F152</f>
        <v>39415</v>
      </c>
      <c r="F152" s="233">
        <v>39553.199999999997</v>
      </c>
      <c r="G152" s="112">
        <f t="shared" si="11"/>
        <v>138.19999999999709</v>
      </c>
      <c r="H152" s="99">
        <f>G152+'6'!H152</f>
        <v>937.29999999999563</v>
      </c>
      <c r="I152" s="119"/>
      <c r="J152" s="328">
        <f>H152/DAY(B2)</f>
        <v>133.89999999999938</v>
      </c>
    </row>
    <row r="153" spans="1:10" ht="25.5">
      <c r="A153" s="853" t="s">
        <v>196</v>
      </c>
      <c r="B153" s="854"/>
      <c r="C153" s="365"/>
      <c r="D153" s="358"/>
      <c r="E153" s="360"/>
      <c r="F153" s="361"/>
      <c r="G153" s="362">
        <f>SUM(G138:G152)</f>
        <v>2936.8300000000386</v>
      </c>
      <c r="H153" s="363"/>
      <c r="I153" s="119" t="s">
        <v>207</v>
      </c>
      <c r="J153" s="366"/>
    </row>
    <row r="154" spans="1:10" ht="27.75">
      <c r="A154" s="924" t="s">
        <v>344</v>
      </c>
      <c r="B154" s="924"/>
      <c r="C154" s="924"/>
      <c r="D154" s="924"/>
      <c r="E154" s="924"/>
      <c r="F154" s="924"/>
      <c r="G154" s="924"/>
      <c r="H154" s="924"/>
      <c r="I154" s="924"/>
      <c r="J154" s="924"/>
    </row>
    <row r="155" spans="1:10" ht="27.75">
      <c r="A155" s="893" t="s">
        <v>345</v>
      </c>
      <c r="B155" s="893"/>
      <c r="C155" s="893"/>
      <c r="D155" s="117" t="s">
        <v>130</v>
      </c>
      <c r="E155" s="95">
        <f>'6'!F155</f>
        <v>223729</v>
      </c>
      <c r="F155" s="374">
        <v>224366.7</v>
      </c>
      <c r="G155" s="112">
        <f t="shared" ref="G155:G158" si="12">F155-E155</f>
        <v>637.70000000001164</v>
      </c>
      <c r="H155" s="99">
        <f>G155+'6'!H155</f>
        <v>4379</v>
      </c>
      <c r="I155" s="364"/>
      <c r="J155" s="328">
        <f>H155/DAY(B2)</f>
        <v>625.57142857142856</v>
      </c>
    </row>
    <row r="156" spans="1:10" ht="25.5">
      <c r="A156" s="893" t="s">
        <v>346</v>
      </c>
      <c r="B156" s="893"/>
      <c r="C156" s="893"/>
      <c r="D156" s="117" t="s">
        <v>130</v>
      </c>
      <c r="E156" s="95">
        <f>'6'!F156</f>
        <v>27117</v>
      </c>
      <c r="F156" s="155">
        <v>27212.799999999999</v>
      </c>
      <c r="G156" s="112">
        <f t="shared" si="12"/>
        <v>95.799999999999272</v>
      </c>
      <c r="H156" s="99">
        <f>G156+'6'!H156</f>
        <v>682.59999999999854</v>
      </c>
      <c r="I156" s="165"/>
      <c r="J156" s="328">
        <f>H156/DAY(B2)</f>
        <v>97.514285714285506</v>
      </c>
    </row>
    <row r="157" spans="1:10" ht="25.5">
      <c r="A157" s="886" t="s">
        <v>360</v>
      </c>
      <c r="B157" s="887"/>
      <c r="C157" s="888"/>
      <c r="D157" s="117" t="s">
        <v>130</v>
      </c>
      <c r="E157" s="95">
        <f>'6'!F157</f>
        <v>37559</v>
      </c>
      <c r="F157" s="155">
        <v>37559</v>
      </c>
      <c r="G157" s="112">
        <f t="shared" si="12"/>
        <v>0</v>
      </c>
      <c r="H157" s="99">
        <f>G157+'6'!H157</f>
        <v>0</v>
      </c>
      <c r="I157" s="165"/>
      <c r="J157" s="328">
        <f>H157/DAY(B2)</f>
        <v>0</v>
      </c>
    </row>
    <row r="158" spans="1:10" ht="25.5">
      <c r="A158" s="886" t="s">
        <v>361</v>
      </c>
      <c r="B158" s="887"/>
      <c r="C158" s="888"/>
      <c r="D158" s="117" t="s">
        <v>130</v>
      </c>
      <c r="E158" s="95">
        <f>'6'!F158</f>
        <v>1648.6</v>
      </c>
      <c r="F158" s="155">
        <v>1669.92</v>
      </c>
      <c r="G158" s="112">
        <f t="shared" si="12"/>
        <v>21.320000000000164</v>
      </c>
      <c r="H158" s="99">
        <f>G158+'6'!H158</f>
        <v>108.57000000000016</v>
      </c>
      <c r="I158" s="165"/>
      <c r="J158" s="328">
        <f>H158/DAY(B2)</f>
        <v>15.510000000000023</v>
      </c>
    </row>
    <row r="159" spans="1:10" ht="25.5">
      <c r="A159" s="942"/>
      <c r="B159" s="943"/>
      <c r="C159" s="944"/>
      <c r="D159" s="117"/>
      <c r="E159" s="95"/>
      <c r="F159" s="165"/>
      <c r="G159" s="112"/>
      <c r="H159" s="99"/>
      <c r="I159" s="165"/>
      <c r="J159" s="328"/>
    </row>
    <row r="160" spans="1:10" ht="27.75">
      <c r="A160" s="924" t="s">
        <v>326</v>
      </c>
      <c r="B160" s="924"/>
      <c r="C160" s="924"/>
      <c r="D160" s="924"/>
      <c r="E160" s="924"/>
      <c r="F160" s="924"/>
      <c r="G160" s="924"/>
      <c r="H160" s="924"/>
      <c r="I160" s="924"/>
      <c r="J160" s="924"/>
    </row>
    <row r="161" spans="1:10" ht="26.25">
      <c r="A161" s="242" t="s">
        <v>92</v>
      </c>
      <c r="B161" s="243"/>
      <c r="C161" s="243"/>
      <c r="D161" s="244" t="s">
        <v>180</v>
      </c>
      <c r="E161" s="95">
        <f>'6'!F161</f>
        <v>504321.04</v>
      </c>
      <c r="F161" s="235">
        <v>504478.52</v>
      </c>
      <c r="G161" s="238">
        <f t="shared" ref="G161:G165" si="13">F161-E161</f>
        <v>157.48000000003958</v>
      </c>
      <c r="H161" s="99">
        <f>G161+'6'!H161</f>
        <v>1107.3600000000442</v>
      </c>
      <c r="I161" s="236"/>
      <c r="J161" s="239">
        <f>H161/DAY(B2)</f>
        <v>158.19428571429202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'6'!F162</f>
        <v>99898.5</v>
      </c>
      <c r="F162" s="235">
        <v>99942.2</v>
      </c>
      <c r="G162" s="238">
        <f t="shared" si="13"/>
        <v>43.69999999999709</v>
      </c>
      <c r="H162" s="99">
        <f>G162+'6'!H162</f>
        <v>288.59999999999127</v>
      </c>
      <c r="I162" s="236"/>
      <c r="J162" s="239">
        <f>H162/DAY(B2)</f>
        <v>41.228571428570184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'6'!F163</f>
        <v>0</v>
      </c>
      <c r="F163" s="235">
        <v>0</v>
      </c>
      <c r="G163" s="238">
        <f t="shared" si="13"/>
        <v>0</v>
      </c>
      <c r="H163" s="99">
        <f>G163+'6'!H163</f>
        <v>0</v>
      </c>
      <c r="I163" s="236"/>
      <c r="J163" s="239">
        <f>H163/DAY(B2)</f>
        <v>0</v>
      </c>
    </row>
    <row r="164" spans="1:10" ht="30" customHeight="1">
      <c r="A164" s="242" t="s">
        <v>197</v>
      </c>
      <c r="B164" s="243"/>
      <c r="C164" s="243"/>
      <c r="D164" s="244" t="s">
        <v>180</v>
      </c>
      <c r="E164" s="95">
        <f>'6'!F164</f>
        <v>7032.3</v>
      </c>
      <c r="F164" s="235">
        <v>7042.9</v>
      </c>
      <c r="G164" s="238">
        <f t="shared" si="13"/>
        <v>10.599999999999454</v>
      </c>
      <c r="H164" s="99">
        <f>G164+'6'!H164</f>
        <v>52.699999999999818</v>
      </c>
      <c r="I164" s="236"/>
      <c r="J164" s="239">
        <f>H164/DAY(B2)</f>
        <v>7.5285714285714027</v>
      </c>
    </row>
    <row r="165" spans="1:10" ht="28.5" customHeight="1">
      <c r="A165" s="242" t="s">
        <v>309</v>
      </c>
      <c r="B165" s="243"/>
      <c r="C165" s="243"/>
      <c r="D165" s="244" t="s">
        <v>180</v>
      </c>
      <c r="E165" s="95">
        <f>'6'!F165</f>
        <v>32615.99</v>
      </c>
      <c r="F165" s="235">
        <v>32623.66</v>
      </c>
      <c r="G165" s="238">
        <f t="shared" si="13"/>
        <v>7.6699999999982538</v>
      </c>
      <c r="H165" s="99">
        <f>G165+'6'!H165</f>
        <v>49.56000000000131</v>
      </c>
      <c r="I165" s="236"/>
      <c r="J165" s="239">
        <f>H165/DAY(B2)</f>
        <v>7.0800000000001875</v>
      </c>
    </row>
    <row r="166" spans="1:10" ht="25.5" customHeight="1">
      <c r="A166" s="923"/>
      <c r="B166" s="923"/>
      <c r="C166" s="246"/>
      <c r="D166" s="244" t="s">
        <v>180</v>
      </c>
      <c r="E166" s="95">
        <f>'6'!F166</f>
        <v>0</v>
      </c>
      <c r="F166" s="165"/>
      <c r="G166" s="165"/>
      <c r="H166" s="99">
        <f>G166+'6'!H166</f>
        <v>0</v>
      </c>
      <c r="I166" s="165"/>
      <c r="J166" s="239">
        <f>H166/DAY(B2)</f>
        <v>0</v>
      </c>
    </row>
    <row r="167" spans="1:10" ht="26.25">
      <c r="A167" s="923"/>
      <c r="B167" s="923"/>
      <c r="C167" s="246"/>
      <c r="D167" s="244" t="s">
        <v>180</v>
      </c>
      <c r="E167" s="95">
        <f>'6'!F167</f>
        <v>0</v>
      </c>
      <c r="F167" s="165"/>
      <c r="G167" s="165"/>
      <c r="H167" s="99">
        <f>G167+'6'!H167</f>
        <v>0</v>
      </c>
      <c r="I167" s="165"/>
      <c r="J167" s="239">
        <f>H167/DAY(B2)</f>
        <v>0</v>
      </c>
    </row>
    <row r="168" spans="1:10" ht="26.25">
      <c r="A168" s="923"/>
      <c r="B168" s="923"/>
      <c r="C168" s="246"/>
      <c r="D168" s="244" t="s">
        <v>180</v>
      </c>
      <c r="E168" s="95">
        <f>'6'!F168</f>
        <v>0</v>
      </c>
      <c r="F168" s="165"/>
      <c r="G168" s="165"/>
      <c r="H168" s="99">
        <f>G168+'6'!H168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33" t="s">
        <v>330</v>
      </c>
      <c r="B171" s="934"/>
      <c r="C171" s="934"/>
      <c r="D171" s="934"/>
      <c r="E171" s="934"/>
      <c r="F171" s="934"/>
      <c r="G171" s="934"/>
      <c r="H171" s="934"/>
      <c r="I171" s="934"/>
      <c r="J171" s="935"/>
    </row>
    <row r="172" spans="1:10" ht="25.5">
      <c r="A172" s="929"/>
      <c r="B172" s="930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41" t="s">
        <v>209</v>
      </c>
      <c r="B173" s="843"/>
      <c r="C173" s="333"/>
      <c r="D173" s="228" t="s">
        <v>142</v>
      </c>
      <c r="E173" s="95">
        <f>'6'!F173</f>
        <v>8594</v>
      </c>
      <c r="F173" s="155">
        <v>8596</v>
      </c>
      <c r="G173" s="155">
        <f>F173-E173</f>
        <v>2</v>
      </c>
      <c r="H173" s="99">
        <f>G173+'6'!H173</f>
        <v>12</v>
      </c>
      <c r="I173" s="155"/>
      <c r="J173" s="178">
        <f>H173/DAY(B2)</f>
        <v>1.7142857142857142</v>
      </c>
    </row>
    <row r="174" spans="1:10" ht="25.5">
      <c r="A174" s="841" t="s">
        <v>75</v>
      </c>
      <c r="B174" s="843"/>
      <c r="C174" s="333"/>
      <c r="D174" s="228" t="s">
        <v>142</v>
      </c>
      <c r="E174" s="95">
        <f>'6'!F174</f>
        <v>42738</v>
      </c>
      <c r="F174" s="157">
        <v>42748</v>
      </c>
      <c r="G174" s="155">
        <f t="shared" ref="G174:G175" si="14">F174-E174</f>
        <v>10</v>
      </c>
      <c r="H174" s="99">
        <f>G174+'6'!H174</f>
        <v>79</v>
      </c>
      <c r="I174" s="155"/>
      <c r="J174" s="178">
        <f>H174/DAY(B2)</f>
        <v>11.285714285714286</v>
      </c>
    </row>
    <row r="175" spans="1:10" ht="25.5">
      <c r="A175" s="841" t="s">
        <v>76</v>
      </c>
      <c r="B175" s="842"/>
      <c r="C175" s="843"/>
      <c r="D175" s="228" t="s">
        <v>142</v>
      </c>
      <c r="E175" s="95">
        <f>'6'!F175</f>
        <v>25470</v>
      </c>
      <c r="F175" s="155">
        <v>25486</v>
      </c>
      <c r="G175" s="155">
        <f t="shared" si="14"/>
        <v>16</v>
      </c>
      <c r="H175" s="99">
        <f>G175+'6'!H175</f>
        <v>93</v>
      </c>
      <c r="I175" s="155"/>
      <c r="J175" s="178">
        <f>H175/DAY(B2)</f>
        <v>13.285714285714286</v>
      </c>
    </row>
    <row r="176" spans="1:10" ht="25.5">
      <c r="A176" s="462" t="s">
        <v>196</v>
      </c>
      <c r="B176" s="463"/>
      <c r="C176" s="333"/>
      <c r="D176" s="228" t="s">
        <v>142</v>
      </c>
      <c r="E176" s="95"/>
      <c r="F176" s="155"/>
      <c r="G176" s="155">
        <f>SUM(G173:G175)</f>
        <v>28</v>
      </c>
      <c r="H176" s="99">
        <f>G176+'6'!H176</f>
        <v>184</v>
      </c>
      <c r="I176" s="155"/>
      <c r="J176" s="178">
        <f>H176/DAY(B2)</f>
        <v>26.285714285714285</v>
      </c>
    </row>
    <row r="177" spans="1:10" ht="25.5">
      <c r="A177" s="841" t="s">
        <v>77</v>
      </c>
      <c r="B177" s="843"/>
      <c r="C177" s="333"/>
      <c r="D177" s="228" t="s">
        <v>142</v>
      </c>
      <c r="E177" s="95"/>
      <c r="F177" s="155"/>
      <c r="G177" s="155"/>
      <c r="H177" s="99">
        <f>G177+'6'!H177</f>
        <v>0</v>
      </c>
      <c r="I177" s="155"/>
      <c r="J177" s="178">
        <f>H177/DAY(B2)</f>
        <v>0</v>
      </c>
    </row>
    <row r="178" spans="1:10" ht="25.5">
      <c r="A178" s="841" t="s">
        <v>210</v>
      </c>
      <c r="B178" s="843"/>
      <c r="C178" s="333"/>
      <c r="D178" s="228" t="s">
        <v>142</v>
      </c>
      <c r="E178" s="95">
        <f>'6'!F178</f>
        <v>103987</v>
      </c>
      <c r="F178" s="155">
        <v>104032</v>
      </c>
      <c r="G178" s="155">
        <f>F178-E178</f>
        <v>45</v>
      </c>
      <c r="H178" s="99">
        <f>G178+'6'!H178</f>
        <v>389</v>
      </c>
      <c r="I178" s="155"/>
      <c r="J178" s="178">
        <f>H178/DAY(B2)</f>
        <v>55.571428571428569</v>
      </c>
    </row>
    <row r="179" spans="1:10" ht="25.5">
      <c r="A179" s="841" t="s">
        <v>211</v>
      </c>
      <c r="B179" s="843"/>
      <c r="C179" s="333"/>
      <c r="D179" s="228" t="s">
        <v>142</v>
      </c>
      <c r="E179" s="95">
        <f>'6'!F179</f>
        <v>37501</v>
      </c>
      <c r="F179" s="155">
        <v>37501</v>
      </c>
      <c r="G179" s="155">
        <f t="shared" ref="G179:G180" si="15">F179-E179</f>
        <v>0</v>
      </c>
      <c r="H179" s="99">
        <f>G179+'6'!H179</f>
        <v>0</v>
      </c>
      <c r="I179" s="155"/>
      <c r="J179" s="178">
        <f>H179/DAY(B2)</f>
        <v>0</v>
      </c>
    </row>
    <row r="180" spans="1:10" ht="25.5">
      <c r="A180" s="841" t="s">
        <v>212</v>
      </c>
      <c r="B180" s="843"/>
      <c r="C180" s="333"/>
      <c r="D180" s="228" t="s">
        <v>142</v>
      </c>
      <c r="E180" s="95">
        <f>'6'!F180</f>
        <v>7439</v>
      </c>
      <c r="F180" s="155">
        <v>7439</v>
      </c>
      <c r="G180" s="155">
        <f t="shared" si="15"/>
        <v>0</v>
      </c>
      <c r="H180" s="99">
        <f>G180+'6'!H180</f>
        <v>19</v>
      </c>
      <c r="I180" s="155"/>
      <c r="J180" s="178">
        <f>H180/DAY(B2)</f>
        <v>2.7142857142857144</v>
      </c>
    </row>
    <row r="181" spans="1:10" ht="25.5">
      <c r="A181" s="927" t="s">
        <v>108</v>
      </c>
      <c r="B181" s="928"/>
      <c r="C181" s="333"/>
      <c r="D181" s="228" t="s">
        <v>142</v>
      </c>
      <c r="E181" s="95"/>
      <c r="F181" s="155"/>
      <c r="G181" s="155">
        <f>SUM(G178:G180)</f>
        <v>45</v>
      </c>
      <c r="H181" s="99">
        <f>G181+'6'!H181</f>
        <v>408</v>
      </c>
      <c r="I181" s="155"/>
      <c r="J181" s="178">
        <f>H181/DAY(B2)</f>
        <v>58.285714285714285</v>
      </c>
    </row>
    <row r="182" spans="1:10" ht="25.5">
      <c r="A182" s="841" t="s">
        <v>213</v>
      </c>
      <c r="B182" s="843"/>
      <c r="C182" s="333"/>
      <c r="D182" s="228" t="s">
        <v>142</v>
      </c>
      <c r="E182" s="95"/>
      <c r="F182" s="155"/>
      <c r="G182" s="155"/>
      <c r="H182" s="99">
        <f>G182+'6'!H182</f>
        <v>0</v>
      </c>
      <c r="I182" s="155"/>
      <c r="J182" s="178">
        <f>H182/DAY(B2)</f>
        <v>0</v>
      </c>
    </row>
    <row r="183" spans="1:10" ht="25.5">
      <c r="A183" s="841" t="s">
        <v>214</v>
      </c>
      <c r="B183" s="843"/>
      <c r="C183" s="334"/>
      <c r="D183" s="228" t="s">
        <v>142</v>
      </c>
      <c r="E183" s="95">
        <f>'6'!F183</f>
        <v>18197</v>
      </c>
      <c r="F183" s="157">
        <v>18200</v>
      </c>
      <c r="G183" s="157">
        <f>F183-E183</f>
        <v>3</v>
      </c>
      <c r="H183" s="99">
        <f>G183+'6'!H183</f>
        <v>32</v>
      </c>
      <c r="I183" s="155"/>
      <c r="J183" s="178">
        <f>H183/DAY(B2)</f>
        <v>4.5714285714285712</v>
      </c>
    </row>
    <row r="184" spans="1:10" ht="25.5">
      <c r="A184" s="841" t="s">
        <v>215</v>
      </c>
      <c r="B184" s="843"/>
      <c r="C184" s="334"/>
      <c r="D184" s="228" t="s">
        <v>142</v>
      </c>
      <c r="E184" s="95">
        <f>'6'!F184</f>
        <v>12800</v>
      </c>
      <c r="F184" s="157">
        <v>12805</v>
      </c>
      <c r="G184" s="157">
        <f t="shared" ref="G184:G185" si="16">F184-E184</f>
        <v>5</v>
      </c>
      <c r="H184" s="99">
        <f>G184+'6'!H184</f>
        <v>55</v>
      </c>
      <c r="I184" s="155"/>
      <c r="J184" s="178">
        <f>H184/DAY(B2)</f>
        <v>7.8571428571428568</v>
      </c>
    </row>
    <row r="185" spans="1:10" ht="25.5">
      <c r="A185" s="841" t="s">
        <v>216</v>
      </c>
      <c r="B185" s="843"/>
      <c r="C185" s="334"/>
      <c r="D185" s="228" t="s">
        <v>142</v>
      </c>
      <c r="E185" s="95">
        <f>'6'!F185</f>
        <v>0</v>
      </c>
      <c r="F185" s="157"/>
      <c r="G185" s="157">
        <f t="shared" si="16"/>
        <v>0</v>
      </c>
      <c r="H185" s="99">
        <f>G185+'6'!H185</f>
        <v>0</v>
      </c>
      <c r="I185" s="155"/>
      <c r="J185" s="178">
        <f>H185/DAY(B2)</f>
        <v>0</v>
      </c>
    </row>
    <row r="186" spans="1:10" ht="25.5">
      <c r="A186" s="853" t="s">
        <v>196</v>
      </c>
      <c r="B186" s="854"/>
      <c r="C186" s="334"/>
      <c r="D186" s="228" t="s">
        <v>142</v>
      </c>
      <c r="E186" s="95"/>
      <c r="F186" s="157"/>
      <c r="G186" s="157">
        <f>SUM(G183:G185)</f>
        <v>8</v>
      </c>
      <c r="H186" s="99">
        <f>G186+'6'!H186</f>
        <v>87</v>
      </c>
      <c r="I186" s="157"/>
      <c r="J186" s="178">
        <f>H186/DAY(B2)</f>
        <v>12.428571428571429</v>
      </c>
    </row>
    <row r="187" spans="1:10" ht="25.5">
      <c r="A187" s="931" t="s">
        <v>217</v>
      </c>
      <c r="B187" s="932"/>
      <c r="C187" s="333"/>
      <c r="D187" s="228" t="s">
        <v>142</v>
      </c>
      <c r="E187" s="95"/>
      <c r="F187" s="159"/>
      <c r="G187" s="377">
        <f>G62+G19</f>
        <v>171</v>
      </c>
      <c r="H187" s="99">
        <f>G187+'6'!H187</f>
        <v>1177</v>
      </c>
      <c r="I187" s="158"/>
      <c r="J187" s="179">
        <f>H187/DAY(B2)</f>
        <v>168.14285714285714</v>
      </c>
    </row>
    <row r="188" spans="1:10" ht="25.5">
      <c r="A188" s="931" t="s">
        <v>218</v>
      </c>
      <c r="B188" s="932"/>
      <c r="C188" s="333"/>
      <c r="D188" s="230" t="s">
        <v>142</v>
      </c>
      <c r="E188" s="95"/>
      <c r="F188" s="159"/>
      <c r="G188" s="377">
        <f>G65+G66+G67+G69+G70</f>
        <v>55607</v>
      </c>
      <c r="H188" s="99">
        <f>G188+'6'!H188</f>
        <v>56634</v>
      </c>
      <c r="I188" s="158"/>
      <c r="J188" s="179">
        <f>H188/DAY(B2)</f>
        <v>8090.5714285714284</v>
      </c>
    </row>
    <row r="189" spans="1:10" ht="25.5">
      <c r="A189" s="931" t="s">
        <v>219</v>
      </c>
      <c r="B189" s="932"/>
      <c r="C189" s="333"/>
      <c r="D189" s="230" t="s">
        <v>142</v>
      </c>
      <c r="E189" s="95"/>
      <c r="F189" s="157"/>
      <c r="G189" s="376">
        <f>G181</f>
        <v>45</v>
      </c>
      <c r="H189" s="99">
        <f>G189+'6'!H189</f>
        <v>408</v>
      </c>
      <c r="I189" s="158"/>
      <c r="J189" s="179">
        <f>H189/DAY(B2)</f>
        <v>58.285714285714285</v>
      </c>
    </row>
    <row r="190" spans="1:10" ht="25.5">
      <c r="A190" s="925"/>
      <c r="B190" s="926"/>
      <c r="C190" s="390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50:C150"/>
    <mergeCell ref="A151:C151"/>
    <mergeCell ref="A152:C152"/>
    <mergeCell ref="A160:J160"/>
    <mergeCell ref="A166:B166"/>
    <mergeCell ref="A134:C134"/>
    <mergeCell ref="A136:J136"/>
    <mergeCell ref="A138:C138"/>
    <mergeCell ref="A139:C139"/>
    <mergeCell ref="A154:J154"/>
    <mergeCell ref="A155:C155"/>
    <mergeCell ref="A156:C156"/>
    <mergeCell ref="A153:B153"/>
    <mergeCell ref="A135:B135"/>
    <mergeCell ref="A157:C157"/>
    <mergeCell ref="A158:C158"/>
    <mergeCell ref="A159:C159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4:B184"/>
    <mergeCell ref="A183:B183"/>
    <mergeCell ref="A182:B182"/>
    <mergeCell ref="A175:C175"/>
    <mergeCell ref="A181:B181"/>
    <mergeCell ref="A167:B167"/>
    <mergeCell ref="A168:B168"/>
    <mergeCell ref="A64:C64"/>
    <mergeCell ref="A65:C65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09:B109"/>
    <mergeCell ref="A102:C102"/>
    <mergeCell ref="A110:J110"/>
    <mergeCell ref="A111:C111"/>
    <mergeCell ref="A112:C112"/>
    <mergeCell ref="A113:C113"/>
    <mergeCell ref="A114:C114"/>
    <mergeCell ref="A115:C115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:J1"/>
    <mergeCell ref="A6:C6"/>
    <mergeCell ref="A14:C14"/>
    <mergeCell ref="A17:C17"/>
    <mergeCell ref="E3:F3"/>
    <mergeCell ref="A119:C119"/>
    <mergeCell ref="A123:C123"/>
    <mergeCell ref="A143:C143"/>
    <mergeCell ref="A144:C144"/>
    <mergeCell ref="A126:J126"/>
    <mergeCell ref="A127:B127"/>
    <mergeCell ref="A128:C128"/>
    <mergeCell ref="A131:C131"/>
    <mergeCell ref="A132:C132"/>
    <mergeCell ref="A133:C133"/>
    <mergeCell ref="A120:C120"/>
    <mergeCell ref="A121:C121"/>
    <mergeCell ref="A122:C122"/>
    <mergeCell ref="A124:C124"/>
    <mergeCell ref="A125:B125"/>
    <mergeCell ref="A140:C140"/>
    <mergeCell ref="A141:C141"/>
    <mergeCell ref="A142:C142"/>
    <mergeCell ref="A78:C78"/>
    <mergeCell ref="A171:J171"/>
    <mergeCell ref="A172:B172"/>
    <mergeCell ref="A173:B173"/>
    <mergeCell ref="A174:B174"/>
    <mergeCell ref="A18:C18"/>
    <mergeCell ref="A19:C19"/>
    <mergeCell ref="A21:C21"/>
    <mergeCell ref="A25:C25"/>
    <mergeCell ref="A33:C33"/>
    <mergeCell ref="A145:C145"/>
    <mergeCell ref="A146:C146"/>
    <mergeCell ref="A147:C147"/>
    <mergeCell ref="A148:C148"/>
    <mergeCell ref="A149:C149"/>
    <mergeCell ref="A97:C97"/>
    <mergeCell ref="A98:C98"/>
    <mergeCell ref="A99:C99"/>
    <mergeCell ref="A100:C100"/>
    <mergeCell ref="A61:C61"/>
    <mergeCell ref="A62:C62"/>
    <mergeCell ref="A63:C63"/>
    <mergeCell ref="A71:C71"/>
    <mergeCell ref="A72:B72"/>
    <mergeCell ref="A116:C116"/>
  </mergeCells>
  <pageMargins left="0.23622047244094491" right="0.15748031496062992" top="0.15748031496062992" bottom="0.19685039370078741" header="0.19685039370078741" footer="0.19685039370078741"/>
  <pageSetup paperSize="5" scale="18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R270"/>
  <sheetViews>
    <sheetView view="pageBreakPreview" zoomScale="55" zoomScaleSheetLayoutView="55" workbookViewId="0">
      <selection activeCell="F178" sqref="F178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67" t="s">
        <v>115</v>
      </c>
      <c r="B1" s="868"/>
      <c r="C1" s="868"/>
      <c r="D1" s="868"/>
      <c r="E1" s="868"/>
      <c r="F1" s="868"/>
      <c r="G1" s="868"/>
      <c r="H1" s="868"/>
      <c r="I1" s="868"/>
      <c r="J1" s="869"/>
    </row>
    <row r="2" spans="1:15" s="57" customFormat="1" ht="23.25">
      <c r="A2" s="191" t="s">
        <v>354</v>
      </c>
      <c r="B2" s="262">
        <v>44903</v>
      </c>
      <c r="C2" s="348" t="s">
        <v>67</v>
      </c>
      <c r="D2" s="218">
        <v>0.49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32</v>
      </c>
      <c r="E3" s="876" t="s">
        <v>119</v>
      </c>
      <c r="F3" s="877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0" t="s">
        <v>128</v>
      </c>
      <c r="B6" s="871"/>
      <c r="C6" s="87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'7'!F7</f>
        <v>433015</v>
      </c>
      <c r="F7" s="95">
        <v>456775.71</v>
      </c>
      <c r="G7" s="112">
        <f>F7-E7</f>
        <v>23760.710000000021</v>
      </c>
      <c r="H7" s="99">
        <f>G7+'7'!H7</f>
        <v>183093.16000000003</v>
      </c>
      <c r="I7" s="113">
        <f>'1'!I7</f>
        <v>12000</v>
      </c>
      <c r="J7" s="175">
        <f>H7/DAY(B2)</f>
        <v>22886.645000000004</v>
      </c>
      <c r="K7" s="172">
        <v>1375467</v>
      </c>
      <c r="L7" s="66"/>
      <c r="N7" s="87"/>
      <c r="O7" s="71">
        <f>G7-G8</f>
        <v>-43.999999999941792</v>
      </c>
    </row>
    <row r="8" spans="1:15" ht="27" thickBot="1">
      <c r="A8" s="196" t="s">
        <v>131</v>
      </c>
      <c r="B8" s="197"/>
      <c r="C8" s="198"/>
      <c r="D8" s="224" t="s">
        <v>24</v>
      </c>
      <c r="E8" s="95">
        <f>'7'!F8</f>
        <v>611362</v>
      </c>
      <c r="F8" s="114">
        <v>635166.71</v>
      </c>
      <c r="G8" s="115">
        <f>F8-E8</f>
        <v>23804.709999999963</v>
      </c>
      <c r="H8" s="99">
        <f>G8+'7'!H8</f>
        <v>183905.70999999996</v>
      </c>
      <c r="I8" s="116"/>
      <c r="J8" s="175">
        <f>H8/DAY(B2)</f>
        <v>22988.213749999995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'7'!F9</f>
        <v>4158707.1</v>
      </c>
      <c r="F9" s="117">
        <v>4165065.1</v>
      </c>
      <c r="G9" s="112">
        <f>F9-E9</f>
        <v>6358</v>
      </c>
      <c r="H9" s="99">
        <f>G9+'7'!H9</f>
        <v>50894.800000000279</v>
      </c>
      <c r="I9" s="124">
        <f>I7-J7</f>
        <v>-10886.645000000004</v>
      </c>
      <c r="J9" s="175">
        <f>H9/DAY(B2)</f>
        <v>6361.8500000000349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'7'!F10</f>
        <v>3799967.1</v>
      </c>
      <c r="F10" s="117">
        <v>3816708.3</v>
      </c>
      <c r="G10" s="112">
        <f t="shared" ref="G10:G12" si="0">F10-E10</f>
        <v>16741.199999999721</v>
      </c>
      <c r="H10" s="99">
        <f>G10+'7'!H10</f>
        <v>127229.19999999972</v>
      </c>
      <c r="I10" s="282"/>
      <c r="J10" s="175">
        <f>H10/DAY(B2)</f>
        <v>15903.649999999965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'7'!F11</f>
        <v>38120</v>
      </c>
      <c r="F11" s="95">
        <v>38120</v>
      </c>
      <c r="G11" s="112">
        <f t="shared" si="0"/>
        <v>0</v>
      </c>
      <c r="H11" s="99">
        <f>G11+'7'!H11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'7'!F12</f>
        <v>40390</v>
      </c>
      <c r="F12" s="117">
        <v>40390</v>
      </c>
      <c r="G12" s="112">
        <f t="shared" si="0"/>
        <v>0</v>
      </c>
      <c r="H12" s="99">
        <f>G12+'7'!H12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23099.199999999721</v>
      </c>
      <c r="H13" s="99">
        <f>G13+'7'!H13</f>
        <v>182352.69999999972</v>
      </c>
      <c r="I13" s="120">
        <f>G7-G13</f>
        <v>661.51000000030035</v>
      </c>
      <c r="J13" s="175">
        <f>H13/DAY(B2)</f>
        <v>22794.087499999965</v>
      </c>
      <c r="K13" s="79"/>
      <c r="L13" s="66"/>
      <c r="N13" s="87"/>
      <c r="O13" s="71"/>
    </row>
    <row r="14" spans="1:15" ht="26.25">
      <c r="A14" s="873" t="s">
        <v>137</v>
      </c>
      <c r="B14" s="874"/>
      <c r="C14" s="87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'7'!F15</f>
        <v>2226580</v>
      </c>
      <c r="F15" s="468">
        <v>2227728.17</v>
      </c>
      <c r="G15" s="112">
        <f>(F15-E15)</f>
        <v>1148.1699999999255</v>
      </c>
      <c r="H15" s="99">
        <f>G15+'7'!H15</f>
        <v>8787.1699999999255</v>
      </c>
      <c r="I15" s="113">
        <f>'1'!I15</f>
        <v>800</v>
      </c>
      <c r="J15" s="175">
        <f>H15/DAY(B2)</f>
        <v>1098.3962499999907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-298.39624999999069</v>
      </c>
      <c r="J16" s="176"/>
      <c r="K16" s="79"/>
      <c r="L16" s="66"/>
      <c r="N16" s="87"/>
      <c r="O16" s="71"/>
    </row>
    <row r="17" spans="1:15" ht="26.25">
      <c r="A17" s="873" t="s">
        <v>140</v>
      </c>
      <c r="B17" s="874"/>
      <c r="C17" s="87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64" t="s">
        <v>141</v>
      </c>
      <c r="B18" s="865"/>
      <c r="C18" s="866"/>
      <c r="D18" s="151" t="s">
        <v>142</v>
      </c>
      <c r="E18" s="95">
        <f>'7'!F18</f>
        <v>22</v>
      </c>
      <c r="F18" s="122">
        <v>25</v>
      </c>
      <c r="G18" s="119">
        <f>F18*10</f>
        <v>250</v>
      </c>
      <c r="H18" s="99">
        <f>G18+'7'!H18</f>
        <v>2020</v>
      </c>
      <c r="I18" s="113">
        <f>'1'!I18</f>
        <v>65</v>
      </c>
      <c r="J18" s="175">
        <f>H18/DAY(B2)</f>
        <v>252.5</v>
      </c>
      <c r="K18" s="79"/>
      <c r="L18" s="66"/>
      <c r="N18" s="87"/>
      <c r="O18" s="71"/>
    </row>
    <row r="19" spans="1:15" ht="25.5">
      <c r="A19" s="864" t="s">
        <v>69</v>
      </c>
      <c r="B19" s="865"/>
      <c r="C19" s="866"/>
      <c r="D19" s="151" t="s">
        <v>142</v>
      </c>
      <c r="E19" s="95">
        <f>'7'!F19</f>
        <v>168344</v>
      </c>
      <c r="F19" s="122">
        <v>168387</v>
      </c>
      <c r="G19" s="112">
        <f t="shared" ref="G19" si="1">F19-E19</f>
        <v>43</v>
      </c>
      <c r="H19" s="99">
        <f>G19+'7'!H19</f>
        <v>427</v>
      </c>
      <c r="I19" s="335"/>
      <c r="J19" s="175">
        <f>H19/DAY(B2)</f>
        <v>53.375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293</v>
      </c>
      <c r="H20" s="99">
        <f>G20+'7'!H20</f>
        <v>2447</v>
      </c>
      <c r="I20" s="336">
        <f>I18-J20</f>
        <v>-240.875</v>
      </c>
      <c r="J20" s="175">
        <f>H20/DAY(B2)</f>
        <v>305.875</v>
      </c>
      <c r="K20" s="79"/>
      <c r="L20" s="66"/>
      <c r="N20" s="87"/>
      <c r="O20" s="71"/>
    </row>
    <row r="21" spans="1:15" ht="26.25">
      <c r="A21" s="873" t="s">
        <v>144</v>
      </c>
      <c r="B21" s="874"/>
      <c r="C21" s="87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'7'!F22</f>
        <v>2970</v>
      </c>
      <c r="F22" s="122">
        <v>2970</v>
      </c>
      <c r="G22" s="119">
        <f t="shared" ref="G22" si="2">(F22-E22)</f>
        <v>0</v>
      </c>
      <c r="H22" s="99">
        <f>G22+'7'!H22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v>2970</v>
      </c>
      <c r="F24" s="128">
        <v>2970</v>
      </c>
      <c r="G24" s="119">
        <v>0</v>
      </c>
      <c r="H24" s="99">
        <f>G24+'7'!H24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78" t="s">
        <v>149</v>
      </c>
      <c r="B25" s="879"/>
      <c r="C25" s="88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23804.709999999963</v>
      </c>
      <c r="F27" s="136">
        <v>9</v>
      </c>
      <c r="G27" s="137">
        <f>E27*F27</f>
        <v>214242.38999999966</v>
      </c>
      <c r="H27" s="99">
        <f>G27+'7'!H27</f>
        <v>1677742.1899999997</v>
      </c>
      <c r="I27" s="138"/>
      <c r="J27" s="175">
        <f>H27/DAY(B2)</f>
        <v>209717.77374999996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1148.1699999999255</v>
      </c>
      <c r="F28" s="136">
        <v>70</v>
      </c>
      <c r="G28" s="137">
        <f>E28*F28</f>
        <v>80371.899999994785</v>
      </c>
      <c r="H28" s="99">
        <f>G28+'7'!H28</f>
        <v>625613.64999999525</v>
      </c>
      <c r="I28" s="140"/>
      <c r="J28" s="175">
        <f>H28/DAY(B2)</f>
        <v>78201.706249999406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43</v>
      </c>
      <c r="F30" s="136">
        <v>151</v>
      </c>
      <c r="G30" s="137">
        <f>E30*F30</f>
        <v>6493</v>
      </c>
      <c r="H30" s="99">
        <f>G30+'7'!H30</f>
        <v>64477</v>
      </c>
      <c r="I30" s="140"/>
      <c r="J30" s="175">
        <f>H30/DAY(B2)</f>
        <v>8059.625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250</v>
      </c>
      <c r="F31" s="136">
        <v>80</v>
      </c>
      <c r="G31" s="137">
        <f>E31*F31</f>
        <v>20000</v>
      </c>
      <c r="H31" s="99">
        <f>G31+'7'!H31</f>
        <v>161600</v>
      </c>
      <c r="I31" s="140"/>
      <c r="J31" s="175">
        <f>H31/DAY(B2)</f>
        <v>20200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321107.28999999445</v>
      </c>
      <c r="H32" s="99">
        <f>G32+'7'!H32</f>
        <v>2529432.8399999947</v>
      </c>
      <c r="I32" s="144"/>
      <c r="J32" s="175">
        <f>H32/DAY(B2)</f>
        <v>316179.10499999934</v>
      </c>
      <c r="K32" s="63"/>
      <c r="L32" s="89"/>
      <c r="N32" s="87"/>
      <c r="O32" s="71"/>
    </row>
    <row r="33" spans="1:15" ht="25.5" customHeight="1">
      <c r="A33" s="881" t="s">
        <v>331</v>
      </c>
      <c r="B33" s="882"/>
      <c r="C33" s="88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'7'!F35</f>
        <v>388085.4</v>
      </c>
      <c r="F35" s="145">
        <v>391564.15</v>
      </c>
      <c r="G35" s="112">
        <f t="shared" ref="G35:G46" si="3">F35-E35</f>
        <v>3478.75</v>
      </c>
      <c r="H35" s="99">
        <f>G35+'7'!H35</f>
        <v>22467.240000000049</v>
      </c>
      <c r="I35" s="95"/>
      <c r="J35" s="175">
        <f>H35/DAY(B2)</f>
        <v>2808.4050000000061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'7'!F36</f>
        <v>329798.21000000002</v>
      </c>
      <c r="F36" s="145">
        <v>330813.28999999998</v>
      </c>
      <c r="G36" s="112">
        <f t="shared" si="3"/>
        <v>1015.0799999999581</v>
      </c>
      <c r="H36" s="99">
        <f>G36+'7'!H36</f>
        <v>8596.179999999993</v>
      </c>
      <c r="I36" s="95"/>
      <c r="J36" s="175">
        <f>H36/DAY(B2)</f>
        <v>1074.5224999999991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'7'!F37</f>
        <v>322998.69</v>
      </c>
      <c r="F37" s="145">
        <v>322998.69</v>
      </c>
      <c r="G37" s="112">
        <f t="shared" si="3"/>
        <v>0</v>
      </c>
      <c r="H37" s="99">
        <f>G37+'7'!H37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'7'!F38</f>
        <v>752537.43</v>
      </c>
      <c r="F38" s="108">
        <v>755046.79</v>
      </c>
      <c r="G38" s="112">
        <f t="shared" si="3"/>
        <v>2509.359999999986</v>
      </c>
      <c r="H38" s="99">
        <f>G38+'7'!H38</f>
        <v>19194.400000000023</v>
      </c>
      <c r="I38" s="95"/>
      <c r="J38" s="175">
        <f>H38/DAY(B2)</f>
        <v>2399.3000000000029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'7'!F39</f>
        <v>591584.18999999994</v>
      </c>
      <c r="F39" s="145">
        <v>591584.18999999994</v>
      </c>
      <c r="G39" s="112">
        <f t="shared" si="3"/>
        <v>0</v>
      </c>
      <c r="H39" s="99">
        <f>G39+'7'!H39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'7'!F40</f>
        <v>199652.99</v>
      </c>
      <c r="F40" s="145">
        <v>200068.95</v>
      </c>
      <c r="G40" s="112">
        <f t="shared" si="3"/>
        <v>415.96000000002095</v>
      </c>
      <c r="H40" s="99">
        <f>G40+'7'!H40</f>
        <v>3338.9800000000105</v>
      </c>
      <c r="I40" s="95"/>
      <c r="J40" s="175">
        <f>H40/DAY(B2)</f>
        <v>417.37250000000131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'7'!F41</f>
        <v>419167.59</v>
      </c>
      <c r="F41" s="145">
        <v>419167.59</v>
      </c>
      <c r="G41" s="112">
        <f t="shared" si="3"/>
        <v>0</v>
      </c>
      <c r="H41" s="99">
        <f>G41+'7'!H41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'7'!F42</f>
        <v>871870.87</v>
      </c>
      <c r="F42" s="145">
        <v>871870.87</v>
      </c>
      <c r="G42" s="112">
        <f t="shared" si="3"/>
        <v>0</v>
      </c>
      <c r="H42" s="99">
        <f>G42+'7'!H42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'7'!F43</f>
        <v>407028</v>
      </c>
      <c r="F43" s="145">
        <v>407028</v>
      </c>
      <c r="G43" s="112">
        <f t="shared" si="3"/>
        <v>0</v>
      </c>
      <c r="H43" s="99">
        <f>G43+'7'!H43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'7'!F44</f>
        <v>0</v>
      </c>
      <c r="F44" s="145">
        <v>0</v>
      </c>
      <c r="G44" s="112">
        <f t="shared" si="3"/>
        <v>0</v>
      </c>
      <c r="H44" s="99">
        <f>G44+'7'!H44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'7'!F45</f>
        <v>0</v>
      </c>
      <c r="F45" s="145">
        <v>0</v>
      </c>
      <c r="G45" s="112">
        <f t="shared" si="3"/>
        <v>0</v>
      </c>
      <c r="H45" s="99">
        <f>G45+'7'!H45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'7'!F46</f>
        <v>0</v>
      </c>
      <c r="F46" s="145">
        <v>0</v>
      </c>
      <c r="G46" s="112">
        <f t="shared" si="3"/>
        <v>0</v>
      </c>
      <c r="H46" s="99">
        <f>G46+'7'!H46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7419.1499999999651</v>
      </c>
      <c r="H47" s="99">
        <f>G47+'7'!H47</f>
        <v>53596.800000000076</v>
      </c>
      <c r="I47" s="95"/>
      <c r="J47" s="175">
        <f>H47/DAY(B2)</f>
        <v>6699.6000000000095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'7'!F49</f>
        <v>796283.5</v>
      </c>
      <c r="F49" s="145">
        <v>796753.75</v>
      </c>
      <c r="G49" s="112">
        <f t="shared" ref="G49:G58" si="4">F49-E49</f>
        <v>470.25</v>
      </c>
      <c r="H49" s="99">
        <f>G49+'7'!H49</f>
        <v>3130.8000000000466</v>
      </c>
      <c r="I49" s="95"/>
      <c r="J49" s="175">
        <f>H49/DAY(B2)</f>
        <v>391.35000000000582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'7'!F50</f>
        <v>467394.35</v>
      </c>
      <c r="F50" s="145">
        <v>469019.23</v>
      </c>
      <c r="G50" s="112">
        <f t="shared" si="4"/>
        <v>1624.8800000000047</v>
      </c>
      <c r="H50" s="99">
        <f>G50+'7'!H50</f>
        <v>12350.159999999974</v>
      </c>
      <c r="I50" s="95"/>
      <c r="J50" s="175">
        <f>H50/DAY(B2)</f>
        <v>1543.7699999999968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'7'!F51</f>
        <v>142719.14000000001</v>
      </c>
      <c r="F51" s="145">
        <v>143849.07999999999</v>
      </c>
      <c r="G51" s="112">
        <f t="shared" si="4"/>
        <v>1129.9399999999732</v>
      </c>
      <c r="H51" s="99">
        <f>G51+'7'!H51</f>
        <v>8604.5299999999988</v>
      </c>
      <c r="I51" s="95"/>
      <c r="J51" s="175">
        <f>H51/DAY(B2)</f>
        <v>1075.5662499999999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'7'!F52</f>
        <v>9.76</v>
      </c>
      <c r="F52" s="145">
        <v>9.76</v>
      </c>
      <c r="G52" s="112">
        <f t="shared" si="4"/>
        <v>0</v>
      </c>
      <c r="H52" s="99">
        <f>G52+'7'!H52</f>
        <v>-0.24000000000000021</v>
      </c>
      <c r="I52" s="95"/>
      <c r="J52" s="175">
        <f>H52/DAY(B2)</f>
        <v>-3.0000000000000027E-2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'7'!F53</f>
        <v>575133</v>
      </c>
      <c r="F53" s="145">
        <v>579258.79</v>
      </c>
      <c r="G53" s="112">
        <f t="shared" si="4"/>
        <v>4125.7900000000373</v>
      </c>
      <c r="H53" s="99">
        <f>G53+'7'!H53</f>
        <v>32717.520000000019</v>
      </c>
      <c r="I53" s="95"/>
      <c r="J53" s="175">
        <f>H53/DAY(B2)</f>
        <v>4089.6900000000023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'7'!F54</f>
        <v>108802.92</v>
      </c>
      <c r="F54" s="145">
        <v>108967.8</v>
      </c>
      <c r="G54" s="112">
        <f t="shared" si="4"/>
        <v>164.88000000000466</v>
      </c>
      <c r="H54" s="99">
        <f>G54+'7'!H54</f>
        <v>1304.6399999999994</v>
      </c>
      <c r="I54" s="95"/>
      <c r="J54" s="175">
        <f>H54/DAY(B2)</f>
        <v>163.07999999999993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'7'!F55</f>
        <v>565077.18999999994</v>
      </c>
      <c r="F55" s="145">
        <v>568710.87</v>
      </c>
      <c r="G55" s="112">
        <f t="shared" si="4"/>
        <v>3633.6800000000512</v>
      </c>
      <c r="H55" s="99">
        <f>G55+'7'!H55</f>
        <v>7226.1999999999534</v>
      </c>
      <c r="I55" s="95"/>
      <c r="J55" s="175">
        <f>H55/DAY(B2)</f>
        <v>903.27499999999418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'7'!F56</f>
        <v>290528.27</v>
      </c>
      <c r="F56" s="145">
        <v>291240.25</v>
      </c>
      <c r="G56" s="112">
        <f t="shared" si="4"/>
        <v>711.97999999998137</v>
      </c>
      <c r="H56" s="99">
        <f>G56+'7'!H56</f>
        <v>23125.239999999991</v>
      </c>
      <c r="I56" s="95"/>
      <c r="J56" s="175">
        <f>H56/DAY(B2)</f>
        <v>2890.6549999999988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'7'!F57</f>
        <v>585549.67000000004</v>
      </c>
      <c r="F57" s="145">
        <v>588127.91</v>
      </c>
      <c r="G57" s="112">
        <f t="shared" si="4"/>
        <v>2578.2399999999907</v>
      </c>
      <c r="H57" s="99">
        <f>G57+'7'!H57</f>
        <v>19549.440000000061</v>
      </c>
      <c r="I57" s="95"/>
      <c r="J57" s="175">
        <f>H57/DAY(B2)</f>
        <v>2443.6800000000076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'7'!F58</f>
        <v>80401.600000000006</v>
      </c>
      <c r="F58" s="145">
        <v>80617.58</v>
      </c>
      <c r="G58" s="112">
        <f t="shared" si="4"/>
        <v>215.97999999999593</v>
      </c>
      <c r="H58" s="99">
        <f>G58+'7'!H58</f>
        <v>1901.8899999999994</v>
      </c>
      <c r="I58" s="95"/>
      <c r="J58" s="175">
        <f>H58/DAY(B2)</f>
        <v>237.73624999999993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14655.620000000039</v>
      </c>
      <c r="H59" s="99">
        <f>G59+'7'!H59</f>
        <v>109910.18000000004</v>
      </c>
      <c r="I59" s="95">
        <f>G7-G60</f>
        <v>1685.9400000000169</v>
      </c>
      <c r="J59" s="175">
        <f>H59/DAY(B2)</f>
        <v>13738.772500000005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22074.770000000004</v>
      </c>
      <c r="H60" s="99">
        <f>G60+'7'!H60</f>
        <v>163506.98000000016</v>
      </c>
      <c r="I60" s="95">
        <f>G13-G60</f>
        <v>1024.4299999997165</v>
      </c>
      <c r="J60" s="175">
        <f>H60/DAY(B2)</f>
        <v>20438.372500000019</v>
      </c>
      <c r="K60" s="79"/>
      <c r="L60" s="66"/>
      <c r="N60" s="87"/>
      <c r="O60" s="71"/>
    </row>
    <row r="61" spans="1:15" s="68" customFormat="1" ht="26.25">
      <c r="A61" s="883" t="s">
        <v>332</v>
      </c>
      <c r="B61" s="884"/>
      <c r="C61" s="88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64" t="s">
        <v>198</v>
      </c>
      <c r="B62" s="865"/>
      <c r="C62" s="866"/>
      <c r="D62" s="151" t="s">
        <v>142</v>
      </c>
      <c r="E62" s="95">
        <f>'7'!F62</f>
        <v>309107</v>
      </c>
      <c r="F62" s="122">
        <v>309219</v>
      </c>
      <c r="G62" s="112">
        <f t="shared" ref="G62:G63" si="5">F62-E62</f>
        <v>112</v>
      </c>
      <c r="H62" s="99">
        <f>G62+'7'!H62</f>
        <v>905</v>
      </c>
      <c r="I62" s="118"/>
      <c r="J62" s="175">
        <f>H62/DAY(B2)</f>
        <v>113.125</v>
      </c>
      <c r="K62" s="80"/>
      <c r="L62" s="66"/>
      <c r="N62" s="87"/>
      <c r="O62" s="71"/>
    </row>
    <row r="63" spans="1:15" ht="25.5">
      <c r="A63" s="864" t="s">
        <v>199</v>
      </c>
      <c r="B63" s="865"/>
      <c r="C63" s="866"/>
      <c r="D63" s="151" t="s">
        <v>142</v>
      </c>
      <c r="E63" s="95">
        <f>'7'!F63</f>
        <v>247347</v>
      </c>
      <c r="F63" s="122">
        <v>247400</v>
      </c>
      <c r="G63" s="112">
        <f t="shared" si="5"/>
        <v>53</v>
      </c>
      <c r="H63" s="99">
        <f>G63+'7'!H63</f>
        <v>471</v>
      </c>
      <c r="I63" s="118"/>
      <c r="J63" s="175">
        <f>H63/DAY(B2)</f>
        <v>58.875</v>
      </c>
      <c r="K63" s="69"/>
      <c r="L63" s="66"/>
      <c r="N63" s="87"/>
      <c r="O63" s="71"/>
    </row>
    <row r="64" spans="1:15" ht="26.25">
      <c r="A64" s="861" t="s">
        <v>200</v>
      </c>
      <c r="B64" s="862"/>
      <c r="C64" s="863"/>
      <c r="D64" s="151"/>
      <c r="E64" s="95">
        <f>'7'!F64</f>
        <v>0</v>
      </c>
      <c r="F64" s="122"/>
      <c r="G64" s="112">
        <f>G62+G63</f>
        <v>165</v>
      </c>
      <c r="H64" s="99">
        <f>G64+'7'!H64</f>
        <v>1376</v>
      </c>
      <c r="I64" s="118"/>
      <c r="J64" s="175">
        <f>H64/DAY(B2)</f>
        <v>172</v>
      </c>
      <c r="K64" s="69"/>
      <c r="L64" s="66"/>
      <c r="N64" s="87"/>
      <c r="O64" s="71"/>
    </row>
    <row r="65" spans="1:15" ht="25.5">
      <c r="A65" s="864" t="s">
        <v>201</v>
      </c>
      <c r="B65" s="865"/>
      <c r="C65" s="866"/>
      <c r="D65" s="151" t="s">
        <v>142</v>
      </c>
      <c r="E65" s="95">
        <f>'7'!F65</f>
        <v>468805</v>
      </c>
      <c r="F65" s="122">
        <v>468934</v>
      </c>
      <c r="G65" s="112">
        <f t="shared" ref="G65:G70" si="6">F65-E65</f>
        <v>129</v>
      </c>
      <c r="H65" s="99">
        <f>G65+'7'!H65</f>
        <v>1033</v>
      </c>
      <c r="I65" s="118"/>
      <c r="J65" s="175">
        <f>H65/DAY(B2)</f>
        <v>129.125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v>113262</v>
      </c>
      <c r="F66" s="122">
        <v>113268</v>
      </c>
      <c r="G66" s="112">
        <f t="shared" si="6"/>
        <v>6</v>
      </c>
      <c r="H66" s="99">
        <f>G66+'7'!H66</f>
        <v>55521</v>
      </c>
      <c r="I66" s="118"/>
      <c r="J66" s="175">
        <f>H66/DAY(B2)</f>
        <v>6940.125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'7'!F67</f>
        <v>115995</v>
      </c>
      <c r="F67" s="122">
        <v>116010</v>
      </c>
      <c r="G67" s="112">
        <f t="shared" si="6"/>
        <v>15</v>
      </c>
      <c r="H67" s="99">
        <f>G67+'7'!H67</f>
        <v>155</v>
      </c>
      <c r="I67" s="118"/>
      <c r="J67" s="175">
        <f>H67/DAY(B2)</f>
        <v>19.375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'7'!F68</f>
        <v>168707</v>
      </c>
      <c r="F68" s="122">
        <v>168741</v>
      </c>
      <c r="G68" s="112">
        <f t="shared" si="6"/>
        <v>34</v>
      </c>
      <c r="H68" s="99">
        <f>G68+'7'!H68</f>
        <v>234</v>
      </c>
      <c r="I68" s="118"/>
      <c r="J68" s="175">
        <f>H68/DAY(B2)</f>
        <v>29.25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'7'!F69</f>
        <v>12834</v>
      </c>
      <c r="F69" s="122">
        <v>12837</v>
      </c>
      <c r="G69" s="112">
        <f t="shared" si="6"/>
        <v>3</v>
      </c>
      <c r="H69" s="99">
        <f>G69+'7'!H69</f>
        <v>27</v>
      </c>
      <c r="I69" s="118"/>
      <c r="J69" s="175">
        <f>H69/DAY(B2)</f>
        <v>3.375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'7'!F70</f>
        <v>10830</v>
      </c>
      <c r="F70" s="122">
        <v>10835</v>
      </c>
      <c r="G70" s="112">
        <f t="shared" si="6"/>
        <v>5</v>
      </c>
      <c r="H70" s="99">
        <f>G70+'7'!H70</f>
        <v>56</v>
      </c>
      <c r="I70" s="118"/>
      <c r="J70" s="175">
        <f>H70/DAY(B2)</f>
        <v>7</v>
      </c>
      <c r="K70" s="69"/>
      <c r="L70" s="66"/>
      <c r="N70" s="87"/>
      <c r="O70" s="71"/>
    </row>
    <row r="71" spans="1:15" ht="26.25">
      <c r="A71" s="861" t="s">
        <v>208</v>
      </c>
      <c r="B71" s="862"/>
      <c r="C71" s="863"/>
      <c r="D71" s="152"/>
      <c r="E71" s="152"/>
      <c r="F71" s="152"/>
      <c r="G71" s="153">
        <f>SUM(G65:G70)</f>
        <v>192</v>
      </c>
      <c r="H71" s="99">
        <f>G71+'7'!H71</f>
        <v>57026</v>
      </c>
      <c r="I71" s="154"/>
      <c r="J71" s="175">
        <f>H71/DAY(B2)</f>
        <v>7128.25</v>
      </c>
      <c r="K71" s="69"/>
      <c r="L71" s="66"/>
      <c r="N71" s="87"/>
      <c r="O71" s="71"/>
    </row>
    <row r="72" spans="1:15" s="88" customFormat="1" ht="25.5">
      <c r="A72" s="904"/>
      <c r="B72" s="89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09" t="s">
        <v>333</v>
      </c>
      <c r="B73" s="910"/>
      <c r="C73" s="91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64" t="s">
        <v>220</v>
      </c>
      <c r="B74" s="865"/>
      <c r="C74" s="866"/>
      <c r="D74" s="151" t="s">
        <v>139</v>
      </c>
      <c r="E74" s="95">
        <f>'7'!F74</f>
        <v>995391.97400000005</v>
      </c>
      <c r="F74" s="123">
        <v>995712.7</v>
      </c>
      <c r="G74" s="112">
        <f t="shared" ref="G74:G78" si="7">F74-E74</f>
        <v>320.7259999999078</v>
      </c>
      <c r="H74" s="99">
        <f>G74+'7'!H74</f>
        <v>2353.6699999999255</v>
      </c>
      <c r="I74" s="154"/>
      <c r="J74" s="175">
        <f>H74/DAY(B2)</f>
        <v>294.20874999999069</v>
      </c>
      <c r="K74" s="69"/>
      <c r="L74" s="66"/>
      <c r="N74" s="87"/>
      <c r="O74" s="71"/>
    </row>
    <row r="75" spans="1:15" ht="25.5">
      <c r="A75" s="864" t="s">
        <v>221</v>
      </c>
      <c r="B75" s="865"/>
      <c r="C75" s="866"/>
      <c r="D75" s="151" t="s">
        <v>139</v>
      </c>
      <c r="E75" s="95">
        <f>'7'!F75</f>
        <v>73586.8</v>
      </c>
      <c r="F75" s="123">
        <v>73586.8</v>
      </c>
      <c r="G75" s="112">
        <f t="shared" si="7"/>
        <v>0</v>
      </c>
      <c r="H75" s="99">
        <f>G75+'7'!H75</f>
        <v>0.80000000000291038</v>
      </c>
      <c r="I75" s="154"/>
      <c r="J75" s="175">
        <f>H75/DAY(B2)</f>
        <v>0.1000000000003638</v>
      </c>
      <c r="K75" s="69"/>
      <c r="L75" s="66"/>
      <c r="N75" s="87"/>
      <c r="O75" s="71"/>
    </row>
    <row r="76" spans="1:15" ht="25.5">
      <c r="A76" s="905" t="s">
        <v>222</v>
      </c>
      <c r="B76" s="891"/>
      <c r="C76" s="892"/>
      <c r="D76" s="151" t="s">
        <v>139</v>
      </c>
      <c r="E76" s="95">
        <f>'7'!F76</f>
        <v>204599.7</v>
      </c>
      <c r="F76" s="123">
        <v>204756</v>
      </c>
      <c r="G76" s="112">
        <f t="shared" si="7"/>
        <v>156.29999999998836</v>
      </c>
      <c r="H76" s="99">
        <f>G76+'7'!H76</f>
        <v>1094</v>
      </c>
      <c r="I76" s="154"/>
      <c r="J76" s="175">
        <f>H76/DAY(B2)</f>
        <v>136.75</v>
      </c>
      <c r="K76" s="69"/>
      <c r="L76" s="66"/>
      <c r="N76" s="87"/>
      <c r="O76" s="71"/>
    </row>
    <row r="77" spans="1:15" ht="25.5">
      <c r="A77" s="905" t="s">
        <v>223</v>
      </c>
      <c r="B77" s="891"/>
      <c r="C77" s="892"/>
      <c r="D77" s="151" t="s">
        <v>139</v>
      </c>
      <c r="E77" s="95">
        <f>'7'!F77</f>
        <v>56904</v>
      </c>
      <c r="F77" s="123">
        <v>56953.9</v>
      </c>
      <c r="G77" s="112">
        <f t="shared" si="7"/>
        <v>49.900000000001455</v>
      </c>
      <c r="H77" s="99">
        <f>G77+'7'!H77</f>
        <v>431.90000000000146</v>
      </c>
      <c r="I77" s="154"/>
      <c r="J77" s="175">
        <f>H77/DAY(B2)</f>
        <v>53.987500000000182</v>
      </c>
      <c r="K77" s="69"/>
      <c r="L77" s="66"/>
      <c r="N77" s="87"/>
      <c r="O77" s="71"/>
    </row>
    <row r="78" spans="1:15" ht="25.5">
      <c r="A78" s="905" t="s">
        <v>224</v>
      </c>
      <c r="B78" s="891"/>
      <c r="C78" s="892"/>
      <c r="D78" s="151" t="s">
        <v>139</v>
      </c>
      <c r="E78" s="95">
        <f>'7'!F78</f>
        <v>9563</v>
      </c>
      <c r="F78" s="123">
        <v>9563.4</v>
      </c>
      <c r="G78" s="112">
        <f t="shared" si="7"/>
        <v>0.3999999999996362</v>
      </c>
      <c r="H78" s="99">
        <f>G78+'7'!H78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05" t="s">
        <v>225</v>
      </c>
      <c r="B79" s="891"/>
      <c r="C79" s="892"/>
      <c r="D79" s="151"/>
      <c r="E79" s="95">
        <f>'7'!F79</f>
        <v>0</v>
      </c>
      <c r="F79" s="117"/>
      <c r="G79" s="112">
        <f>G15-SUM(G74:G78)</f>
        <v>620.84400000002825</v>
      </c>
      <c r="H79" s="99">
        <f>G79+'7'!H79</f>
        <v>4906.7999999999956</v>
      </c>
      <c r="I79" s="118"/>
      <c r="J79" s="175"/>
      <c r="K79" s="59"/>
      <c r="L79" s="58"/>
      <c r="N79" s="87"/>
      <c r="O79" s="71"/>
    </row>
    <row r="80" spans="1:15" s="57" customFormat="1" ht="26.25">
      <c r="A80" s="861" t="s">
        <v>329</v>
      </c>
      <c r="B80" s="862"/>
      <c r="C80" s="863"/>
      <c r="D80" s="151"/>
      <c r="E80" s="117"/>
      <c r="F80" s="117"/>
      <c r="G80" s="112">
        <f>SUM(G74:G79)</f>
        <v>1148.1699999999255</v>
      </c>
      <c r="H80" s="99"/>
      <c r="I80" s="118"/>
      <c r="J80" s="175"/>
      <c r="K80" s="59"/>
      <c r="L80" s="58"/>
      <c r="N80" s="87"/>
      <c r="O80" s="71"/>
    </row>
    <row r="81" spans="1:15" ht="25.5">
      <c r="A81" s="897" t="s">
        <v>226</v>
      </c>
      <c r="B81" s="898"/>
      <c r="C81" s="89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'7'!F82</f>
        <v>0</v>
      </c>
      <c r="F82" s="122">
        <v>0</v>
      </c>
      <c r="G82" s="112">
        <f t="shared" ref="G82:G92" si="8">F82-E82</f>
        <v>0</v>
      </c>
      <c r="H82" s="99">
        <f>G82+'7'!H82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'7'!F83</f>
        <v>0</v>
      </c>
      <c r="F83" s="122">
        <v>0</v>
      </c>
      <c r="G83" s="112">
        <f t="shared" si="8"/>
        <v>0</v>
      </c>
      <c r="H83" s="99">
        <f>G83+'7'!H83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'7'!F84</f>
        <v>43540</v>
      </c>
      <c r="F84" s="164">
        <v>43540</v>
      </c>
      <c r="G84" s="112">
        <f t="shared" si="8"/>
        <v>0</v>
      </c>
      <c r="H84" s="99">
        <f>G84+'7'!H84</f>
        <v>-0.20999999999912689</v>
      </c>
      <c r="I84" s="545"/>
      <c r="J84" s="175">
        <f>H84/DAY(B2)</f>
        <v>-2.6249999999890861E-2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'7'!F85</f>
        <v>5684</v>
      </c>
      <c r="F85" s="164">
        <v>5684.12</v>
      </c>
      <c r="G85" s="112">
        <f t="shared" si="8"/>
        <v>0.11999999999989086</v>
      </c>
      <c r="H85" s="99">
        <f>G85+'7'!H85</f>
        <v>0.11999999999989086</v>
      </c>
      <c r="I85" s="545"/>
      <c r="J85" s="175">
        <f>H85/DAY(B2)</f>
        <v>1.4999999999986358E-2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'7'!F86</f>
        <v>46756.25</v>
      </c>
      <c r="F86" s="164">
        <v>46780.65</v>
      </c>
      <c r="G86" s="112">
        <f t="shared" si="8"/>
        <v>24.400000000001455</v>
      </c>
      <c r="H86" s="99">
        <f>G86+'7'!H86</f>
        <v>46.650000000001455</v>
      </c>
      <c r="I86" s="545"/>
      <c r="J86" s="175">
        <f>H86/DAY(B2)</f>
        <v>5.8312500000001819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'7'!F87</f>
        <v>36702</v>
      </c>
      <c r="F87" s="164">
        <v>36708.5</v>
      </c>
      <c r="G87" s="112">
        <f t="shared" si="8"/>
        <v>6.5</v>
      </c>
      <c r="H87" s="99">
        <f>G87+'7'!H87</f>
        <v>158.29000000000087</v>
      </c>
      <c r="I87" s="544">
        <f>G84+G85+G86+G87</f>
        <v>31.020000000001346</v>
      </c>
      <c r="J87" s="175">
        <f>H87/DAY(B2)</f>
        <v>19.786250000000109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'7'!F88</f>
        <v>24511.8</v>
      </c>
      <c r="F88" s="164">
        <v>24511.8</v>
      </c>
      <c r="G88" s="112">
        <f t="shared" si="8"/>
        <v>0</v>
      </c>
      <c r="H88" s="99">
        <f>G88+'7'!H88</f>
        <v>0</v>
      </c>
      <c r="I88" s="544"/>
      <c r="J88" s="175">
        <f>H88/DAY(B2)</f>
        <v>0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'7'!F89</f>
        <v>28570.97</v>
      </c>
      <c r="F89" s="164">
        <v>28581.58</v>
      </c>
      <c r="G89" s="112">
        <f t="shared" si="8"/>
        <v>10.610000000000582</v>
      </c>
      <c r="H89" s="99">
        <f>G89+'7'!H89</f>
        <v>79.880000000001019</v>
      </c>
      <c r="I89" s="544">
        <f>G88+G89</f>
        <v>10.610000000000582</v>
      </c>
      <c r="J89" s="175">
        <f>H89/DAY(B2)</f>
        <v>9.9850000000001273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'7'!F90</f>
        <v>73948.58</v>
      </c>
      <c r="F90" s="164">
        <v>73959.789999999994</v>
      </c>
      <c r="G90" s="112">
        <f t="shared" si="8"/>
        <v>11.209999999991851</v>
      </c>
      <c r="H90" s="99">
        <f>G90+'7'!H90</f>
        <v>99.189999999987776</v>
      </c>
      <c r="I90" s="544">
        <f>G90</f>
        <v>11.209999999991851</v>
      </c>
      <c r="J90" s="175">
        <f>H90/DAY(B2)</f>
        <v>12.398749999998472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'7'!F91</f>
        <v>5419.8</v>
      </c>
      <c r="F91" s="122">
        <v>5419.87</v>
      </c>
      <c r="G91" s="112">
        <f t="shared" si="8"/>
        <v>6.9999999999708962E-2</v>
      </c>
      <c r="H91" s="99">
        <f>G91+'7'!H91</f>
        <v>67.099999999999454</v>
      </c>
      <c r="I91" s="555"/>
      <c r="J91" s="175">
        <f>H91/DAY(B2)</f>
        <v>8.3874999999999318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'7'!F92</f>
        <v>7010.17</v>
      </c>
      <c r="F92" s="122">
        <v>7021.35</v>
      </c>
      <c r="G92" s="112">
        <f t="shared" si="8"/>
        <v>11.180000000000291</v>
      </c>
      <c r="H92" s="99">
        <f>G92+'7'!H92</f>
        <v>21.350000000000364</v>
      </c>
      <c r="I92" s="556">
        <f>G91+G92</f>
        <v>11.25</v>
      </c>
      <c r="J92" s="175">
        <f>H92/DAY(B2)</f>
        <v>2.6687500000000455</v>
      </c>
      <c r="O92" s="71"/>
    </row>
    <row r="93" spans="1:15" ht="26.25">
      <c r="A93" s="906" t="s">
        <v>239</v>
      </c>
      <c r="B93" s="907"/>
      <c r="C93" s="90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64" t="s">
        <v>240</v>
      </c>
      <c r="B94" s="865"/>
      <c r="C94" s="866"/>
      <c r="D94" s="151" t="s">
        <v>130</v>
      </c>
      <c r="E94" s="151"/>
      <c r="F94" s="151"/>
      <c r="G94" s="99">
        <f>G35+G43+G49+G57</f>
        <v>6527.2399999999907</v>
      </c>
      <c r="H94" s="99">
        <f>G94+'7'!H94</f>
        <v>45147.480000000156</v>
      </c>
      <c r="I94" s="118"/>
      <c r="J94" s="175">
        <f>H94/DAY(B2)</f>
        <v>5643.4350000000195</v>
      </c>
      <c r="K94" s="69"/>
      <c r="L94" s="66"/>
      <c r="O94" s="71"/>
    </row>
    <row r="95" spans="1:15" ht="25.5">
      <c r="A95" s="864" t="s">
        <v>241</v>
      </c>
      <c r="B95" s="865"/>
      <c r="C95" s="866"/>
      <c r="D95" s="151" t="s">
        <v>23</v>
      </c>
      <c r="E95" s="146"/>
      <c r="F95" s="146"/>
      <c r="G95" s="166">
        <f>G94/G7</f>
        <v>0.27470727937001821</v>
      </c>
      <c r="H95" s="99">
        <f>G95+'7'!H95</f>
        <v>1.9714549909220023</v>
      </c>
      <c r="I95" s="167"/>
      <c r="J95" s="175">
        <f>H95/DAY(B2)</f>
        <v>0.24643187386525028</v>
      </c>
      <c r="K95" s="69"/>
      <c r="L95" s="66"/>
      <c r="O95" s="71"/>
    </row>
    <row r="96" spans="1:15" ht="25.5">
      <c r="A96" s="864" t="s">
        <v>242</v>
      </c>
      <c r="B96" s="865"/>
      <c r="C96" s="866"/>
      <c r="D96" s="151" t="s">
        <v>130</v>
      </c>
      <c r="E96" s="95"/>
      <c r="F96" s="95"/>
      <c r="G96" s="99">
        <f>G41+G42+G55+G56</f>
        <v>4345.6600000000326</v>
      </c>
      <c r="H96" s="99">
        <f>G96+'7'!H96</f>
        <v>30351.439999999944</v>
      </c>
      <c r="I96" s="118"/>
      <c r="J96" s="175">
        <f>H96/DAY(B2)</f>
        <v>3793.929999999993</v>
      </c>
      <c r="K96" s="69"/>
      <c r="L96" s="66"/>
      <c r="O96" s="71"/>
    </row>
    <row r="97" spans="1:15" ht="25.5">
      <c r="A97" s="864" t="s">
        <v>243</v>
      </c>
      <c r="B97" s="865"/>
      <c r="C97" s="866"/>
      <c r="D97" s="151" t="s">
        <v>23</v>
      </c>
      <c r="E97" s="95"/>
      <c r="F97" s="95"/>
      <c r="G97" s="166">
        <f>G96/G7</f>
        <v>0.18289268292067151</v>
      </c>
      <c r="H97" s="99">
        <f>G97+'7'!H97</f>
        <v>1.3241475479899467</v>
      </c>
      <c r="I97" s="167"/>
      <c r="J97" s="175">
        <f>H97/DAY(B2)</f>
        <v>0.16551844349874334</v>
      </c>
      <c r="K97" s="69"/>
      <c r="L97" s="66"/>
      <c r="O97" s="71"/>
    </row>
    <row r="98" spans="1:15" ht="25.5">
      <c r="A98" s="864" t="s">
        <v>244</v>
      </c>
      <c r="B98" s="865"/>
      <c r="C98" s="866"/>
      <c r="D98" s="151" t="s">
        <v>130</v>
      </c>
      <c r="E98" s="95"/>
      <c r="F98" s="95"/>
      <c r="G98" s="99">
        <f>G39+G53</f>
        <v>4125.7900000000373</v>
      </c>
      <c r="H98" s="99">
        <f>G98+'7'!H98</f>
        <v>32717.520000000019</v>
      </c>
      <c r="I98" s="168"/>
      <c r="J98" s="175">
        <f>H98/DAY(B2)</f>
        <v>4089.6900000000023</v>
      </c>
      <c r="K98" s="69"/>
      <c r="L98" s="66"/>
      <c r="O98" s="71"/>
    </row>
    <row r="99" spans="1:15" ht="25.5">
      <c r="A99" s="864" t="s">
        <v>245</v>
      </c>
      <c r="B99" s="865"/>
      <c r="C99" s="866"/>
      <c r="D99" s="151" t="s">
        <v>23</v>
      </c>
      <c r="E99" s="95"/>
      <c r="F99" s="95"/>
      <c r="G99" s="166">
        <f>G98/G7</f>
        <v>0.1736391715567436</v>
      </c>
      <c r="H99" s="99">
        <f>G99+'7'!H99</f>
        <v>1.4310048131351667</v>
      </c>
      <c r="I99" s="168"/>
      <c r="J99" s="175">
        <f>H99/DAY(B2)</f>
        <v>0.17887560164189584</v>
      </c>
      <c r="O99" s="71"/>
    </row>
    <row r="100" spans="1:15" ht="26.25">
      <c r="A100" s="864" t="s">
        <v>246</v>
      </c>
      <c r="B100" s="865"/>
      <c r="C100" s="866"/>
      <c r="D100" s="151" t="s">
        <v>180</v>
      </c>
      <c r="E100" s="95"/>
      <c r="F100" s="95"/>
      <c r="G100" s="99">
        <f>G38+G52</f>
        <v>2509.359999999986</v>
      </c>
      <c r="H100" s="99">
        <f>G100+'7'!H100</f>
        <v>19194.160000000025</v>
      </c>
      <c r="I100" s="118"/>
      <c r="J100" s="175">
        <f>H100/DAY(B2)</f>
        <v>2399.2700000000032</v>
      </c>
      <c r="K100" s="70"/>
      <c r="O100" s="71"/>
    </row>
    <row r="101" spans="1:15" ht="25.5">
      <c r="A101" s="864" t="s">
        <v>247</v>
      </c>
      <c r="B101" s="865"/>
      <c r="C101" s="866"/>
      <c r="D101" s="151" t="s">
        <v>23</v>
      </c>
      <c r="E101" s="95"/>
      <c r="F101" s="95"/>
      <c r="G101" s="166">
        <f>G100/G7</f>
        <v>0.10560963876921119</v>
      </c>
      <c r="H101" s="99">
        <f>G101+'7'!H101</f>
        <v>0.83942308261473864</v>
      </c>
      <c r="I101" s="168"/>
      <c r="J101" s="175">
        <f>H101/DAY(B2)</f>
        <v>0.10492788532684233</v>
      </c>
      <c r="O101" s="71"/>
    </row>
    <row r="102" spans="1:15" ht="25.5">
      <c r="A102" s="864" t="s">
        <v>248</v>
      </c>
      <c r="B102" s="865"/>
      <c r="C102" s="866"/>
      <c r="D102" s="151" t="s">
        <v>180</v>
      </c>
      <c r="E102" s="95"/>
      <c r="F102" s="95"/>
      <c r="G102" s="99">
        <f>G36+G50</f>
        <v>2639.9599999999627</v>
      </c>
      <c r="H102" s="99">
        <f>G102+'7'!H102</f>
        <v>20946.339999999967</v>
      </c>
      <c r="I102" s="168"/>
      <c r="J102" s="175">
        <f>H102/DAY(B2)</f>
        <v>2618.2924999999959</v>
      </c>
      <c r="O102" s="71"/>
    </row>
    <row r="103" spans="1:15" ht="25.5">
      <c r="A103" s="864" t="s">
        <v>249</v>
      </c>
      <c r="B103" s="865"/>
      <c r="C103" s="866"/>
      <c r="D103" s="151" t="s">
        <v>23</v>
      </c>
      <c r="E103" s="95"/>
      <c r="F103" s="95"/>
      <c r="G103" s="166">
        <f>G102/G7</f>
        <v>0.11110610751951269</v>
      </c>
      <c r="H103" s="99">
        <f>G103+'7'!H103</f>
        <v>0.9149694329004513</v>
      </c>
      <c r="I103" s="118"/>
      <c r="J103" s="175">
        <f>H103/DAY(B2)</f>
        <v>0.11437117911255641</v>
      </c>
      <c r="O103" s="71"/>
    </row>
    <row r="104" spans="1:15" ht="25.5">
      <c r="A104" s="864" t="s">
        <v>250</v>
      </c>
      <c r="B104" s="865"/>
      <c r="C104" s="866"/>
      <c r="D104" s="151" t="s">
        <v>180</v>
      </c>
      <c r="E104" s="95"/>
      <c r="F104" s="95"/>
      <c r="G104" s="99">
        <f>G37+G51</f>
        <v>1129.9399999999732</v>
      </c>
      <c r="H104" s="99">
        <f>G104+'7'!H104</f>
        <v>8604.5299999999988</v>
      </c>
      <c r="I104" s="118"/>
      <c r="J104" s="175">
        <f>H104/DAY(B2)</f>
        <v>1075.5662499999999</v>
      </c>
      <c r="O104" s="71"/>
    </row>
    <row r="105" spans="1:15" ht="26.25" thickBot="1">
      <c r="A105" s="901" t="s">
        <v>251</v>
      </c>
      <c r="B105" s="902"/>
      <c r="C105" s="903"/>
      <c r="D105" s="231" t="s">
        <v>23</v>
      </c>
      <c r="E105" s="185"/>
      <c r="F105" s="185"/>
      <c r="G105" s="186">
        <f>G104/G7</f>
        <v>4.7554976261230085E-2</v>
      </c>
      <c r="H105" s="99">
        <f>G105+'7'!H105</f>
        <v>0.37602711229657815</v>
      </c>
      <c r="I105" s="187"/>
      <c r="J105" s="188">
        <f>H105/DAY(B2)</f>
        <v>4.7003389037072268E-2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15" t="s">
        <v>324</v>
      </c>
      <c r="B108" s="915"/>
      <c r="C108" s="915"/>
      <c r="D108" s="915"/>
      <c r="E108" s="915"/>
      <c r="F108" s="915"/>
      <c r="G108" s="915"/>
      <c r="H108" s="915"/>
      <c r="I108" s="915"/>
      <c r="J108" s="915"/>
    </row>
    <row r="109" spans="1:15" ht="26.25">
      <c r="A109" s="900"/>
      <c r="B109" s="900"/>
    </row>
    <row r="110" spans="1:15" ht="26.25">
      <c r="A110" s="916" t="s">
        <v>165</v>
      </c>
      <c r="B110" s="917"/>
      <c r="C110" s="917"/>
      <c r="D110" s="917"/>
      <c r="E110" s="917"/>
      <c r="F110" s="917"/>
      <c r="G110" s="917"/>
      <c r="H110" s="917"/>
      <c r="I110" s="917"/>
      <c r="J110" s="918"/>
    </row>
    <row r="111" spans="1:15" ht="25.5">
      <c r="A111" s="919"/>
      <c r="B111" s="920"/>
      <c r="C111" s="921"/>
      <c r="D111" s="165"/>
      <c r="E111" s="165"/>
      <c r="F111" s="165"/>
      <c r="G111" s="165"/>
      <c r="H111" s="156"/>
      <c r="I111" s="165"/>
      <c r="J111" s="327"/>
    </row>
    <row r="112" spans="1:15" ht="25.5">
      <c r="A112" s="894" t="s">
        <v>252</v>
      </c>
      <c r="B112" s="895"/>
      <c r="C112" s="896"/>
      <c r="D112" s="146" t="s">
        <v>183</v>
      </c>
      <c r="E112" s="95">
        <f>'7'!F112</f>
        <v>16040</v>
      </c>
      <c r="F112" s="237">
        <v>16101.56</v>
      </c>
      <c r="G112" s="112">
        <f t="shared" ref="G112:G123" si="9">F112-E112</f>
        <v>61.559999999999491</v>
      </c>
      <c r="H112" s="99">
        <f>G112+'7'!H112</f>
        <v>487.76000000000022</v>
      </c>
      <c r="I112" s="165"/>
      <c r="J112" s="328">
        <f>H112/DAY(B2)</f>
        <v>60.970000000000027</v>
      </c>
    </row>
    <row r="113" spans="1:18" ht="29.25" customHeight="1">
      <c r="A113" s="894" t="s">
        <v>253</v>
      </c>
      <c r="B113" s="895"/>
      <c r="C113" s="896"/>
      <c r="D113" s="146" t="s">
        <v>183</v>
      </c>
      <c r="E113" s="95">
        <f>'7'!F113</f>
        <v>33450.6</v>
      </c>
      <c r="F113" s="237">
        <v>33601.86</v>
      </c>
      <c r="G113" s="112">
        <f t="shared" si="9"/>
        <v>151.26000000000204</v>
      </c>
      <c r="H113" s="99">
        <f>G113+'7'!H113</f>
        <v>1151.1900000000023</v>
      </c>
      <c r="I113" s="165"/>
      <c r="J113" s="328">
        <f>H113/DAY(B2)</f>
        <v>143.89875000000029</v>
      </c>
    </row>
    <row r="114" spans="1:18" ht="29.25" customHeight="1">
      <c r="A114" s="894" t="s">
        <v>254</v>
      </c>
      <c r="B114" s="895"/>
      <c r="C114" s="896"/>
      <c r="D114" s="146" t="s">
        <v>183</v>
      </c>
      <c r="E114" s="95">
        <f>'7'!F114</f>
        <v>49467</v>
      </c>
      <c r="F114" s="237">
        <v>49672.800000000003</v>
      </c>
      <c r="G114" s="112">
        <f t="shared" si="9"/>
        <v>205.80000000000291</v>
      </c>
      <c r="H114" s="99">
        <f>G114+'7'!H114</f>
        <v>1706.5</v>
      </c>
      <c r="I114" s="165"/>
      <c r="J114" s="328">
        <f>H114/DAY(B2)</f>
        <v>213.3125</v>
      </c>
    </row>
    <row r="115" spans="1:18" ht="29.25" customHeight="1">
      <c r="A115" s="894" t="s">
        <v>255</v>
      </c>
      <c r="B115" s="895"/>
      <c r="C115" s="896"/>
      <c r="D115" s="146" t="s">
        <v>183</v>
      </c>
      <c r="E115" s="95">
        <f>'7'!F115</f>
        <v>31421.9</v>
      </c>
      <c r="F115" s="237">
        <v>31593.63</v>
      </c>
      <c r="G115" s="112">
        <f t="shared" si="9"/>
        <v>171.72999999999956</v>
      </c>
      <c r="H115" s="99">
        <f>G115+'7'!H115</f>
        <v>1157.2299999999996</v>
      </c>
      <c r="I115" s="165"/>
      <c r="J115" s="328">
        <f>H115/DAY(B2)</f>
        <v>144.65374999999995</v>
      </c>
    </row>
    <row r="116" spans="1:18" ht="29.25" customHeight="1">
      <c r="A116" s="912" t="s">
        <v>96</v>
      </c>
      <c r="B116" s="913"/>
      <c r="C116" s="914"/>
      <c r="D116" s="146" t="s">
        <v>183</v>
      </c>
      <c r="E116" s="95">
        <f>'7'!F116</f>
        <v>125685</v>
      </c>
      <c r="F116" s="237">
        <v>126023.57</v>
      </c>
      <c r="G116" s="112">
        <f t="shared" si="9"/>
        <v>338.57000000000698</v>
      </c>
      <c r="H116" s="99">
        <f>G116+'7'!H116</f>
        <v>3163.3700000000099</v>
      </c>
      <c r="I116" s="165"/>
      <c r="J116" s="328">
        <f>H116/DAY(B2)</f>
        <v>395.42125000000124</v>
      </c>
      <c r="Q116" s="894" t="s">
        <v>311</v>
      </c>
      <c r="R116" s="896"/>
    </row>
    <row r="117" spans="1:18" ht="29.25" customHeight="1">
      <c r="A117" s="912" t="s">
        <v>184</v>
      </c>
      <c r="B117" s="913"/>
      <c r="C117" s="914"/>
      <c r="D117" s="146" t="s">
        <v>183</v>
      </c>
      <c r="E117" s="95">
        <f>'7'!F117</f>
        <v>75808</v>
      </c>
      <c r="F117" s="237">
        <v>76063.44</v>
      </c>
      <c r="G117" s="112">
        <f t="shared" si="9"/>
        <v>255.44000000000233</v>
      </c>
      <c r="H117" s="99">
        <f>G117+'7'!H117</f>
        <v>2082.2400000000052</v>
      </c>
      <c r="I117" s="165"/>
      <c r="J117" s="328">
        <f>H117/DAY(B2)</f>
        <v>260.28000000000065</v>
      </c>
      <c r="Q117" s="894" t="s">
        <v>312</v>
      </c>
      <c r="R117" s="896"/>
    </row>
    <row r="118" spans="1:18" ht="25.5">
      <c r="A118" s="889" t="s">
        <v>97</v>
      </c>
      <c r="B118" s="889"/>
      <c r="C118" s="889"/>
      <c r="D118" s="151" t="s">
        <v>183</v>
      </c>
      <c r="E118" s="95">
        <f>'7'!F118</f>
        <v>143153.9</v>
      </c>
      <c r="F118" s="237">
        <v>143798.81</v>
      </c>
      <c r="G118" s="112">
        <f t="shared" si="9"/>
        <v>644.91000000000349</v>
      </c>
      <c r="H118" s="99">
        <f>G118+'7'!H118</f>
        <v>4986.359999999986</v>
      </c>
      <c r="I118" s="165"/>
      <c r="J118" s="328">
        <f>H118/DAY(B2)</f>
        <v>623.29499999999825</v>
      </c>
      <c r="Q118" s="894" t="s">
        <v>311</v>
      </c>
      <c r="R118" s="896"/>
    </row>
    <row r="119" spans="1:18" ht="25.5">
      <c r="A119" s="889" t="s">
        <v>98</v>
      </c>
      <c r="B119" s="889"/>
      <c r="C119" s="889"/>
      <c r="D119" s="151" t="s">
        <v>183</v>
      </c>
      <c r="E119" s="95">
        <f>'7'!F119</f>
        <v>43437</v>
      </c>
      <c r="F119" s="237">
        <v>43449.33</v>
      </c>
      <c r="G119" s="112">
        <f t="shared" si="9"/>
        <v>12.330000000001746</v>
      </c>
      <c r="H119" s="99">
        <f>G119+'7'!H119</f>
        <v>95.630000000004657</v>
      </c>
      <c r="I119" s="165"/>
      <c r="J119" s="328">
        <f>H119/DAY(B2)</f>
        <v>11.953750000000582</v>
      </c>
    </row>
    <row r="120" spans="1:18" ht="25.5">
      <c r="A120" s="889" t="s">
        <v>99</v>
      </c>
      <c r="B120" s="889"/>
      <c r="C120" s="889"/>
      <c r="D120" s="151" t="s">
        <v>183</v>
      </c>
      <c r="E120" s="95">
        <f>'7'!F120</f>
        <v>98555</v>
      </c>
      <c r="F120" s="237">
        <v>98975.59</v>
      </c>
      <c r="G120" s="112">
        <f t="shared" si="9"/>
        <v>420.58999999999651</v>
      </c>
      <c r="H120" s="99">
        <f>G120+'7'!H120</f>
        <v>3267.9899999999907</v>
      </c>
      <c r="I120" s="165"/>
      <c r="J120" s="328">
        <f>H120/DAY(B2)</f>
        <v>408.49874999999884</v>
      </c>
    </row>
    <row r="121" spans="1:18" ht="25.5">
      <c r="A121" s="889" t="s">
        <v>100</v>
      </c>
      <c r="B121" s="889"/>
      <c r="C121" s="889"/>
      <c r="D121" s="151" t="s">
        <v>183</v>
      </c>
      <c r="E121" s="95">
        <f>'7'!F121</f>
        <v>110749.6</v>
      </c>
      <c r="F121" s="237">
        <v>111187.71</v>
      </c>
      <c r="G121" s="112">
        <f t="shared" si="9"/>
        <v>438.11000000000058</v>
      </c>
      <c r="H121" s="99">
        <f>G121+'7'!H121</f>
        <v>3358.6600000000035</v>
      </c>
      <c r="I121" s="165"/>
      <c r="J121" s="328">
        <f>H121/DAY(B2)</f>
        <v>419.83250000000044</v>
      </c>
    </row>
    <row r="122" spans="1:18" ht="25.5">
      <c r="A122" s="889" t="s">
        <v>101</v>
      </c>
      <c r="B122" s="889"/>
      <c r="C122" s="889"/>
      <c r="D122" s="151" t="s">
        <v>183</v>
      </c>
      <c r="E122" s="95">
        <f>'7'!F122</f>
        <v>73506.600000000006</v>
      </c>
      <c r="F122" s="237">
        <v>73851.27</v>
      </c>
      <c r="G122" s="112">
        <f t="shared" si="9"/>
        <v>344.66999999999825</v>
      </c>
      <c r="H122" s="99">
        <f>G122+'7'!H122</f>
        <v>2813.3700000000099</v>
      </c>
      <c r="I122" s="165"/>
      <c r="J122" s="328">
        <f>H122/DAY(B2)</f>
        <v>351.67125000000124</v>
      </c>
    </row>
    <row r="123" spans="1:18" ht="25.5">
      <c r="A123" s="889" t="s">
        <v>102</v>
      </c>
      <c r="B123" s="889"/>
      <c r="C123" s="889"/>
      <c r="D123" s="151" t="s">
        <v>183</v>
      </c>
      <c r="E123" s="95">
        <f>'7'!F123</f>
        <v>70535</v>
      </c>
      <c r="F123" s="237">
        <v>70859.86</v>
      </c>
      <c r="G123" s="112">
        <f t="shared" si="9"/>
        <v>324.86000000000058</v>
      </c>
      <c r="H123" s="99">
        <f>G123+'7'!H123</f>
        <v>2502.5599999999977</v>
      </c>
      <c r="I123" s="165"/>
      <c r="J123" s="328">
        <f>H123/DAY(B2)</f>
        <v>312.81999999999971</v>
      </c>
    </row>
    <row r="124" spans="1:18" ht="29.25" customHeight="1">
      <c r="A124" s="919"/>
      <c r="B124" s="920"/>
      <c r="C124" s="921"/>
      <c r="D124" s="165"/>
      <c r="E124" s="165"/>
      <c r="F124" s="165"/>
      <c r="G124" s="327"/>
      <c r="H124" s="156"/>
      <c r="I124" s="165"/>
      <c r="J124" s="327"/>
    </row>
    <row r="125" spans="1:18" ht="25.5">
      <c r="A125" s="853" t="s">
        <v>196</v>
      </c>
      <c r="B125" s="854"/>
      <c r="C125" s="245"/>
      <c r="D125" s="307"/>
      <c r="E125" s="308"/>
      <c r="F125" s="308"/>
      <c r="G125" s="309">
        <f>SUM(G112:G124)</f>
        <v>3369.8300000000145</v>
      </c>
      <c r="H125" s="156"/>
      <c r="I125" s="327">
        <f>G125-(G39+G53)</f>
        <v>-755.96000000002277</v>
      </c>
      <c r="J125" s="327"/>
    </row>
    <row r="126" spans="1:18" ht="25.5">
      <c r="A126" s="922" t="s">
        <v>317</v>
      </c>
      <c r="B126" s="922"/>
      <c r="C126" s="922"/>
      <c r="D126" s="922"/>
      <c r="E126" s="922"/>
      <c r="F126" s="922"/>
      <c r="G126" s="922"/>
      <c r="H126" s="922"/>
      <c r="I126" s="922"/>
      <c r="J126" s="922"/>
    </row>
    <row r="127" spans="1:18" ht="25.5">
      <c r="A127" s="923"/>
      <c r="B127" s="923"/>
      <c r="C127" s="245"/>
      <c r="D127" s="307"/>
      <c r="E127" s="308"/>
      <c r="F127" s="308"/>
      <c r="G127" s="309"/>
      <c r="H127" s="99">
        <f>G127+'7'!H127</f>
        <v>0</v>
      </c>
      <c r="I127" s="165"/>
      <c r="J127" s="328">
        <f>H127/DAY(B2)</f>
        <v>0</v>
      </c>
    </row>
    <row r="128" spans="1:18" ht="29.25" customHeight="1">
      <c r="A128" s="894" t="s">
        <v>318</v>
      </c>
      <c r="B128" s="895"/>
      <c r="C128" s="896"/>
      <c r="D128" s="151" t="s">
        <v>183</v>
      </c>
      <c r="E128" s="95">
        <f>'7'!F128</f>
        <v>182006.51</v>
      </c>
      <c r="F128" s="165">
        <v>182396.91</v>
      </c>
      <c r="G128" s="112">
        <f t="shared" ref="G128:G134" si="10">F128-E128</f>
        <v>390.39999999999418</v>
      </c>
      <c r="H128" s="99">
        <f>G128+'7'!H128</f>
        <v>2985.0599999999977</v>
      </c>
      <c r="I128" s="165"/>
      <c r="J128" s="328">
        <f>H128/DAY(B2)</f>
        <v>373.13249999999971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'7'!F129</f>
        <v>97440</v>
      </c>
      <c r="F129" s="165">
        <v>97606</v>
      </c>
      <c r="G129" s="112">
        <f t="shared" si="10"/>
        <v>166</v>
      </c>
      <c r="H129" s="99">
        <f>G129+'7'!H129</f>
        <v>1576.5</v>
      </c>
      <c r="I129" s="165"/>
      <c r="J129" s="328">
        <f>H129/DAY(B2)</f>
        <v>197.0625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'7'!F130</f>
        <v>251715.6</v>
      </c>
      <c r="F130" s="165">
        <v>252317</v>
      </c>
      <c r="G130" s="112">
        <f t="shared" si="10"/>
        <v>601.39999999999418</v>
      </c>
      <c r="H130" s="99">
        <f>G130+'7'!H130</f>
        <v>5477.25</v>
      </c>
      <c r="I130" s="165"/>
      <c r="J130" s="328">
        <f>H130/DAY(B2)</f>
        <v>684.65625</v>
      </c>
      <c r="N130" s="240"/>
      <c r="O130" s="241"/>
    </row>
    <row r="131" spans="1:15" ht="25.5">
      <c r="A131" s="894" t="s">
        <v>321</v>
      </c>
      <c r="B131" s="895"/>
      <c r="C131" s="896"/>
      <c r="D131" s="151" t="s">
        <v>183</v>
      </c>
      <c r="E131" s="95">
        <f>'7'!F131</f>
        <v>75246.559999999998</v>
      </c>
      <c r="F131" s="165">
        <v>75510.63</v>
      </c>
      <c r="G131" s="112">
        <f t="shared" si="10"/>
        <v>264.07000000000698</v>
      </c>
      <c r="H131" s="99">
        <f>G131+'7'!H131</f>
        <v>2000.0299999999988</v>
      </c>
      <c r="I131" s="165"/>
      <c r="J131" s="328">
        <f>H131/DAY(B2)</f>
        <v>250.00374999999985</v>
      </c>
      <c r="N131" s="240"/>
      <c r="O131" s="241"/>
    </row>
    <row r="132" spans="1:15" ht="25.5">
      <c r="A132" s="894" t="s">
        <v>322</v>
      </c>
      <c r="B132" s="895"/>
      <c r="C132" s="896"/>
      <c r="D132" s="151" t="s">
        <v>183</v>
      </c>
      <c r="E132" s="95">
        <f>'7'!F132</f>
        <v>146985</v>
      </c>
      <c r="F132" s="165">
        <v>146985</v>
      </c>
      <c r="G132" s="112">
        <f t="shared" si="10"/>
        <v>0</v>
      </c>
      <c r="H132" s="99">
        <f>G132+'7'!H132</f>
        <v>0</v>
      </c>
      <c r="I132" s="165"/>
      <c r="J132" s="328">
        <f>H132/DAY(B2)</f>
        <v>0</v>
      </c>
    </row>
    <row r="133" spans="1:15" ht="25.5">
      <c r="A133" s="894" t="s">
        <v>323</v>
      </c>
      <c r="B133" s="895"/>
      <c r="C133" s="896"/>
      <c r="D133" s="151" t="s">
        <v>183</v>
      </c>
      <c r="E133" s="95">
        <f>'7'!F133</f>
        <v>915443</v>
      </c>
      <c r="F133" s="165">
        <v>916229</v>
      </c>
      <c r="G133" s="112">
        <f t="shared" si="10"/>
        <v>786</v>
      </c>
      <c r="H133" s="99">
        <f>G133+'7'!H133</f>
        <v>5985</v>
      </c>
      <c r="I133" s="165"/>
      <c r="J133" s="328">
        <f>H133/DAY(B2)</f>
        <v>748.125</v>
      </c>
    </row>
    <row r="134" spans="1:15" ht="25.5">
      <c r="A134" s="894" t="s">
        <v>340</v>
      </c>
      <c r="B134" s="895"/>
      <c r="C134" s="896"/>
      <c r="D134" s="151" t="s">
        <v>183</v>
      </c>
      <c r="E134" s="95">
        <f>'7'!F134</f>
        <v>80251.399999999994</v>
      </c>
      <c r="F134" s="165">
        <v>80468.479999999996</v>
      </c>
      <c r="G134" s="112">
        <f t="shared" si="10"/>
        <v>217.08000000000175</v>
      </c>
      <c r="H134" s="99">
        <f>G134+'7'!H134</f>
        <v>1708.8799999999901</v>
      </c>
      <c r="I134" s="165"/>
      <c r="J134" s="328">
        <f>H134/DAY(B2)</f>
        <v>213.60999999999876</v>
      </c>
    </row>
    <row r="135" spans="1:15" ht="25.5">
      <c r="A135" s="853" t="s">
        <v>196</v>
      </c>
      <c r="B135" s="854"/>
      <c r="C135" s="331"/>
      <c r="D135" s="151"/>
      <c r="E135" s="95"/>
      <c r="F135" s="165"/>
      <c r="G135" s="112">
        <f>SUM(G128:G134)</f>
        <v>2424.9499999999971</v>
      </c>
      <c r="H135" s="99">
        <f>G135+'7'!H135</f>
        <v>19732.719999999987</v>
      </c>
      <c r="I135" s="327">
        <f>G135-(G35+G49)</f>
        <v>-1524.0500000000029</v>
      </c>
      <c r="J135" s="328">
        <f>H135/DAY(B2)</f>
        <v>2466.5899999999983</v>
      </c>
    </row>
    <row r="136" spans="1:15" ht="27.75">
      <c r="A136" s="924" t="s">
        <v>325</v>
      </c>
      <c r="B136" s="924"/>
      <c r="C136" s="924"/>
      <c r="D136" s="924"/>
      <c r="E136" s="924"/>
      <c r="F136" s="924"/>
      <c r="G136" s="924"/>
      <c r="H136" s="924"/>
      <c r="I136" s="924"/>
      <c r="J136" s="92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9" t="s">
        <v>185</v>
      </c>
      <c r="B138" s="889"/>
      <c r="C138" s="889"/>
      <c r="D138" s="151" t="s">
        <v>183</v>
      </c>
      <c r="E138" s="95">
        <f>'7'!F138</f>
        <v>906428</v>
      </c>
      <c r="F138" s="147">
        <v>906553</v>
      </c>
      <c r="G138" s="112">
        <f t="shared" ref="G138:G152" si="11">F138-E138</f>
        <v>125</v>
      </c>
      <c r="H138" s="99">
        <f>G138+'7'!H138</f>
        <v>894</v>
      </c>
      <c r="I138" s="118"/>
      <c r="J138" s="328">
        <f>H138/DAY(B2)</f>
        <v>111.75</v>
      </c>
    </row>
    <row r="139" spans="1:15" ht="25.5">
      <c r="A139" s="889" t="s">
        <v>186</v>
      </c>
      <c r="B139" s="889"/>
      <c r="C139" s="889"/>
      <c r="D139" s="151" t="s">
        <v>183</v>
      </c>
      <c r="E139" s="95">
        <f>'7'!F139</f>
        <v>928422</v>
      </c>
      <c r="F139" s="148">
        <v>928583</v>
      </c>
      <c r="G139" s="112">
        <f t="shared" si="11"/>
        <v>161</v>
      </c>
      <c r="H139" s="99">
        <f>G139+'7'!H139</f>
        <v>1302</v>
      </c>
      <c r="I139" s="118"/>
      <c r="J139" s="328">
        <f>H139/DAY(B2)</f>
        <v>162.75</v>
      </c>
    </row>
    <row r="140" spans="1:15" ht="25.5">
      <c r="A140" s="889" t="s">
        <v>187</v>
      </c>
      <c r="B140" s="889"/>
      <c r="C140" s="889"/>
      <c r="D140" s="151" t="s">
        <v>183</v>
      </c>
      <c r="E140" s="95">
        <f>'7'!F140</f>
        <v>3483.6</v>
      </c>
      <c r="F140" s="149">
        <v>3511.65</v>
      </c>
      <c r="G140" s="112">
        <f t="shared" si="11"/>
        <v>28.050000000000182</v>
      </c>
      <c r="H140" s="99">
        <f>G140+'7'!H140</f>
        <v>180.55000000000018</v>
      </c>
      <c r="I140" s="118"/>
      <c r="J140" s="328">
        <f>H140/DAY(B2)</f>
        <v>22.568750000000023</v>
      </c>
    </row>
    <row r="141" spans="1:15" ht="25.5">
      <c r="A141" s="893" t="s">
        <v>188</v>
      </c>
      <c r="B141" s="893"/>
      <c r="C141" s="893"/>
      <c r="D141" s="151" t="s">
        <v>183</v>
      </c>
      <c r="E141" s="95">
        <f>'7'!F141</f>
        <v>119218</v>
      </c>
      <c r="F141" s="149">
        <v>119446.7</v>
      </c>
      <c r="G141" s="112">
        <f t="shared" si="11"/>
        <v>228.69999999999709</v>
      </c>
      <c r="H141" s="99">
        <f>G141+'7'!H141</f>
        <v>1888.7200000000012</v>
      </c>
      <c r="I141" s="118"/>
      <c r="J141" s="328">
        <f>H141/DAY(B2)</f>
        <v>236.09000000000015</v>
      </c>
    </row>
    <row r="142" spans="1:15" ht="25.5">
      <c r="A142" s="893" t="s">
        <v>189</v>
      </c>
      <c r="B142" s="893"/>
      <c r="C142" s="893"/>
      <c r="D142" s="151" t="s">
        <v>183</v>
      </c>
      <c r="E142" s="95">
        <f>'7'!F142</f>
        <v>48111.43</v>
      </c>
      <c r="F142" s="517">
        <v>48208.47</v>
      </c>
      <c r="G142" s="112">
        <f t="shared" si="11"/>
        <v>97.040000000000873</v>
      </c>
      <c r="H142" s="99">
        <f>G142+'7'!H142</f>
        <v>703.97000000000116</v>
      </c>
      <c r="I142" s="140"/>
      <c r="J142" s="328">
        <f>H142/DAY(B2)</f>
        <v>87.996250000000146</v>
      </c>
    </row>
    <row r="143" spans="1:15" ht="25.5">
      <c r="A143" s="889" t="s">
        <v>91</v>
      </c>
      <c r="B143" s="889"/>
      <c r="C143" s="889"/>
      <c r="D143" s="151" t="s">
        <v>183</v>
      </c>
      <c r="E143" s="95">
        <f>'7'!F143</f>
        <v>12635</v>
      </c>
      <c r="F143" s="149">
        <v>12668</v>
      </c>
      <c r="G143" s="112">
        <f t="shared" si="11"/>
        <v>33</v>
      </c>
      <c r="H143" s="99">
        <f>G143+'7'!H143</f>
        <v>252.60000000000036</v>
      </c>
      <c r="I143" s="140"/>
      <c r="J143" s="328">
        <f>H143/DAY(B2)</f>
        <v>31.575000000000045</v>
      </c>
    </row>
    <row r="144" spans="1:15" ht="25.5">
      <c r="A144" s="893" t="s">
        <v>90</v>
      </c>
      <c r="B144" s="893"/>
      <c r="C144" s="893"/>
      <c r="D144" s="151" t="s">
        <v>183</v>
      </c>
      <c r="E144" s="95">
        <f>'7'!F144</f>
        <v>949821</v>
      </c>
      <c r="F144" s="149">
        <v>950057</v>
      </c>
      <c r="G144" s="112">
        <f t="shared" si="11"/>
        <v>236</v>
      </c>
      <c r="H144" s="99">
        <f>G144+'7'!H144</f>
        <v>1859</v>
      </c>
      <c r="I144" s="140"/>
      <c r="J144" s="328">
        <f>H144/DAY(B2)</f>
        <v>232.375</v>
      </c>
    </row>
    <row r="145" spans="1:10" ht="25.5">
      <c r="A145" s="889" t="s">
        <v>190</v>
      </c>
      <c r="B145" s="889"/>
      <c r="C145" s="889"/>
      <c r="D145" s="152" t="s">
        <v>183</v>
      </c>
      <c r="E145" s="95">
        <f>'7'!F145</f>
        <v>23587.1</v>
      </c>
      <c r="F145" s="149">
        <v>23763</v>
      </c>
      <c r="G145" s="112">
        <f t="shared" si="11"/>
        <v>175.90000000000146</v>
      </c>
      <c r="H145" s="99">
        <f>G145+'7'!H145</f>
        <v>1166.9000000000015</v>
      </c>
      <c r="I145" s="140"/>
      <c r="J145" s="328">
        <f>H145/DAY(B2)</f>
        <v>145.86250000000018</v>
      </c>
    </row>
    <row r="146" spans="1:10" ht="25.5">
      <c r="A146" s="890" t="s">
        <v>191</v>
      </c>
      <c r="B146" s="891"/>
      <c r="C146" s="892"/>
      <c r="D146" s="152" t="s">
        <v>183</v>
      </c>
      <c r="E146" s="95">
        <f>'7'!F146</f>
        <v>786910</v>
      </c>
      <c r="F146" s="148">
        <v>786941</v>
      </c>
      <c r="G146" s="112">
        <f t="shared" si="11"/>
        <v>31</v>
      </c>
      <c r="H146" s="99">
        <f>G146+'7'!H146</f>
        <v>273</v>
      </c>
      <c r="I146" s="140"/>
      <c r="J146" s="328">
        <f>H146/DAY(B2)</f>
        <v>34.125</v>
      </c>
    </row>
    <row r="147" spans="1:10" ht="25.5">
      <c r="A147" s="893" t="s">
        <v>192</v>
      </c>
      <c r="B147" s="893"/>
      <c r="C147" s="893"/>
      <c r="D147" s="152" t="s">
        <v>183</v>
      </c>
      <c r="E147" s="95">
        <f>'7'!F147</f>
        <v>750577.28</v>
      </c>
      <c r="F147" s="148">
        <v>751030</v>
      </c>
      <c r="G147" s="112">
        <f t="shared" si="11"/>
        <v>452.71999999997206</v>
      </c>
      <c r="H147" s="99">
        <f>G147+'7'!H147</f>
        <v>3475.8399999999674</v>
      </c>
      <c r="I147" s="140"/>
      <c r="J147" s="328">
        <f>H147/DAY(B2)</f>
        <v>434.47999999999593</v>
      </c>
    </row>
    <row r="148" spans="1:10" ht="25.5">
      <c r="A148" s="886" t="s">
        <v>193</v>
      </c>
      <c r="B148" s="887"/>
      <c r="C148" s="888"/>
      <c r="D148" s="123" t="s">
        <v>130</v>
      </c>
      <c r="E148" s="95">
        <f>'7'!F148</f>
        <v>787186</v>
      </c>
      <c r="F148" s="150">
        <v>787549</v>
      </c>
      <c r="G148" s="112">
        <f t="shared" si="11"/>
        <v>363</v>
      </c>
      <c r="H148" s="99">
        <f>G148+'7'!H148</f>
        <v>2904</v>
      </c>
      <c r="I148" s="124"/>
      <c r="J148" s="328">
        <f>H148/DAY(B2)</f>
        <v>363</v>
      </c>
    </row>
    <row r="149" spans="1:10" ht="25.5">
      <c r="A149" s="886" t="s">
        <v>336</v>
      </c>
      <c r="B149" s="887"/>
      <c r="C149" s="888"/>
      <c r="D149" s="227" t="s">
        <v>130</v>
      </c>
      <c r="E149" s="95">
        <f>'7'!F149</f>
        <v>188541.23</v>
      </c>
      <c r="F149" s="146">
        <v>189024</v>
      </c>
      <c r="G149" s="112">
        <f t="shared" si="11"/>
        <v>482.76999999998952</v>
      </c>
      <c r="H149" s="99">
        <f>G149+'7'!H149</f>
        <v>3727.109999999986</v>
      </c>
      <c r="I149" s="119"/>
      <c r="J149" s="328">
        <f>H149/DAY(B2)</f>
        <v>465.88874999999825</v>
      </c>
    </row>
    <row r="150" spans="1:10" ht="25.5">
      <c r="A150" s="886" t="s">
        <v>337</v>
      </c>
      <c r="B150" s="887"/>
      <c r="C150" s="888"/>
      <c r="D150" s="117" t="s">
        <v>130</v>
      </c>
      <c r="E150" s="95">
        <f>'7'!F150</f>
        <v>79270.39</v>
      </c>
      <c r="F150" s="233">
        <v>79505</v>
      </c>
      <c r="G150" s="112">
        <f t="shared" si="11"/>
        <v>234.61000000000058</v>
      </c>
      <c r="H150" s="99">
        <f>G150+'7'!H150</f>
        <v>1838.6999999999971</v>
      </c>
      <c r="I150" s="119"/>
      <c r="J150" s="328">
        <f>H150/DAY(B2)</f>
        <v>229.83749999999964</v>
      </c>
    </row>
    <row r="151" spans="1:10" ht="25.5">
      <c r="A151" s="886" t="s">
        <v>338</v>
      </c>
      <c r="B151" s="887"/>
      <c r="C151" s="888"/>
      <c r="D151" s="117" t="s">
        <v>130</v>
      </c>
      <c r="E151" s="95">
        <f>'7'!F151</f>
        <v>159973</v>
      </c>
      <c r="F151" s="233">
        <v>160199</v>
      </c>
      <c r="G151" s="112">
        <f t="shared" si="11"/>
        <v>226</v>
      </c>
      <c r="H151" s="99">
        <f>G151+'7'!H151</f>
        <v>1889</v>
      </c>
      <c r="I151" s="119"/>
      <c r="J151" s="328">
        <f>H151/DAY(B2)</f>
        <v>236.125</v>
      </c>
    </row>
    <row r="152" spans="1:10" ht="25.5">
      <c r="A152" s="886" t="s">
        <v>339</v>
      </c>
      <c r="B152" s="887"/>
      <c r="C152" s="888"/>
      <c r="D152" s="117" t="s">
        <v>130</v>
      </c>
      <c r="E152" s="95">
        <f>'7'!F152</f>
        <v>39553.199999999997</v>
      </c>
      <c r="F152" s="233">
        <v>39696</v>
      </c>
      <c r="G152" s="112">
        <f t="shared" si="11"/>
        <v>142.80000000000291</v>
      </c>
      <c r="H152" s="99">
        <f>G152+'7'!H152</f>
        <v>1080.0999999999985</v>
      </c>
      <c r="I152" s="119"/>
      <c r="J152" s="328">
        <f>H152/DAY(B2)</f>
        <v>135.01249999999982</v>
      </c>
    </row>
    <row r="153" spans="1:10" ht="25.5">
      <c r="A153" s="853" t="s">
        <v>196</v>
      </c>
      <c r="B153" s="854"/>
      <c r="C153" s="365"/>
      <c r="D153" s="358"/>
      <c r="E153" s="360"/>
      <c r="F153" s="361"/>
      <c r="G153" s="362">
        <f>SUM(G138:G152)</f>
        <v>3017.5899999999647</v>
      </c>
      <c r="H153" s="363"/>
      <c r="I153" s="119">
        <f>G153-(G38+G52)</f>
        <v>508.22999999997865</v>
      </c>
      <c r="J153" s="366"/>
    </row>
    <row r="154" spans="1:10" ht="27.75">
      <c r="A154" s="924" t="s">
        <v>344</v>
      </c>
      <c r="B154" s="924"/>
      <c r="C154" s="924"/>
      <c r="D154" s="924"/>
      <c r="E154" s="924"/>
      <c r="F154" s="924"/>
      <c r="G154" s="924"/>
      <c r="H154" s="924"/>
      <c r="I154" s="924"/>
      <c r="J154" s="924"/>
    </row>
    <row r="155" spans="1:10" ht="27.75">
      <c r="A155" s="893" t="s">
        <v>345</v>
      </c>
      <c r="B155" s="893"/>
      <c r="C155" s="893"/>
      <c r="D155" s="117" t="s">
        <v>130</v>
      </c>
      <c r="E155" s="95">
        <f>'7'!F155</f>
        <v>224366.7</v>
      </c>
      <c r="F155" s="374">
        <v>225009</v>
      </c>
      <c r="G155" s="112">
        <f t="shared" ref="G155:G158" si="12">F155-E155</f>
        <v>642.29999999998836</v>
      </c>
      <c r="H155" s="99">
        <f>G155+'7'!H155</f>
        <v>5021.2999999999884</v>
      </c>
      <c r="I155" s="364"/>
      <c r="J155" s="328">
        <f>H155/DAY(B2)</f>
        <v>627.66249999999854</v>
      </c>
    </row>
    <row r="156" spans="1:10" ht="25.5">
      <c r="A156" s="893" t="s">
        <v>346</v>
      </c>
      <c r="B156" s="893"/>
      <c r="C156" s="893"/>
      <c r="D156" s="117" t="s">
        <v>130</v>
      </c>
      <c r="E156" s="95">
        <f>'7'!F156</f>
        <v>27212.799999999999</v>
      </c>
      <c r="F156" s="155">
        <v>27303</v>
      </c>
      <c r="G156" s="112">
        <f t="shared" si="12"/>
        <v>90.200000000000728</v>
      </c>
      <c r="H156" s="99">
        <f>G156+'7'!H156</f>
        <v>772.79999999999927</v>
      </c>
      <c r="I156" s="165"/>
      <c r="J156" s="328">
        <f>H156/DAY(B2)</f>
        <v>96.599999999999909</v>
      </c>
    </row>
    <row r="157" spans="1:10" ht="25.5">
      <c r="A157" s="886" t="s">
        <v>360</v>
      </c>
      <c r="B157" s="887"/>
      <c r="C157" s="888"/>
      <c r="D157" s="117" t="s">
        <v>130</v>
      </c>
      <c r="E157" s="95">
        <f>'7'!F157</f>
        <v>37559</v>
      </c>
      <c r="F157" s="155">
        <v>37559</v>
      </c>
      <c r="G157" s="112">
        <f t="shared" si="12"/>
        <v>0</v>
      </c>
      <c r="H157" s="99">
        <f>G157+'7'!H157</f>
        <v>0</v>
      </c>
      <c r="I157" s="165"/>
      <c r="J157" s="328">
        <f>H157/DAY(B2)</f>
        <v>0</v>
      </c>
    </row>
    <row r="158" spans="1:10" ht="25.5">
      <c r="A158" s="886" t="s">
        <v>361</v>
      </c>
      <c r="B158" s="887"/>
      <c r="C158" s="888"/>
      <c r="D158" s="117" t="s">
        <v>130</v>
      </c>
      <c r="E158" s="95">
        <f>'7'!F158</f>
        <v>1669.92</v>
      </c>
      <c r="F158" s="155">
        <v>1684.92</v>
      </c>
      <c r="G158" s="112">
        <f t="shared" si="12"/>
        <v>15</v>
      </c>
      <c r="H158" s="99">
        <f>G158+'7'!H158</f>
        <v>123.57000000000016</v>
      </c>
      <c r="I158" s="165"/>
      <c r="J158" s="328">
        <f>H158/DAY(B2)</f>
        <v>15.44625000000002</v>
      </c>
    </row>
    <row r="159" spans="1:10" ht="25.5">
      <c r="A159" s="942"/>
      <c r="B159" s="943"/>
      <c r="C159" s="944"/>
      <c r="D159" s="117"/>
      <c r="E159" s="95"/>
      <c r="F159" s="155"/>
      <c r="G159" s="112"/>
      <c r="H159" s="99"/>
      <c r="I159" s="165"/>
      <c r="J159" s="328"/>
    </row>
    <row r="160" spans="1:10" ht="27.75">
      <c r="A160" s="924" t="s">
        <v>326</v>
      </c>
      <c r="B160" s="924"/>
      <c r="C160" s="924"/>
      <c r="D160" s="924"/>
      <c r="E160" s="924"/>
      <c r="F160" s="924"/>
      <c r="G160" s="924"/>
      <c r="H160" s="924"/>
      <c r="I160" s="924"/>
      <c r="J160" s="924"/>
    </row>
    <row r="161" spans="1:10" ht="26.25">
      <c r="A161" s="242" t="s">
        <v>92</v>
      </c>
      <c r="B161" s="243"/>
      <c r="C161" s="243"/>
      <c r="D161" s="244" t="s">
        <v>180</v>
      </c>
      <c r="E161" s="95">
        <f>'7'!F161</f>
        <v>504478.52</v>
      </c>
      <c r="F161" s="235">
        <v>504674.44</v>
      </c>
      <c r="G161" s="238">
        <f t="shared" ref="G161:G165" si="13">F161-E161</f>
        <v>195.9199999999837</v>
      </c>
      <c r="H161" s="99">
        <f>G161+'7'!H161</f>
        <v>1303.2800000000279</v>
      </c>
      <c r="I161" s="236"/>
      <c r="J161" s="239">
        <f>H161/DAY(B2)</f>
        <v>162.91000000000349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'7'!F162</f>
        <v>99942.2</v>
      </c>
      <c r="F162" s="235">
        <v>99983.6</v>
      </c>
      <c r="G162" s="238">
        <f t="shared" si="13"/>
        <v>41.400000000008731</v>
      </c>
      <c r="H162" s="99">
        <f>G162+'7'!H162</f>
        <v>330</v>
      </c>
      <c r="I162" s="236"/>
      <c r="J162" s="239">
        <f>H162/DAY(B2)</f>
        <v>41.25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'7'!F163</f>
        <v>0</v>
      </c>
      <c r="F163" s="235">
        <v>0</v>
      </c>
      <c r="G163" s="238">
        <f t="shared" si="13"/>
        <v>0</v>
      </c>
      <c r="H163" s="99">
        <f>G163+'7'!H163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'7'!F164</f>
        <v>7042.9</v>
      </c>
      <c r="F164" s="235">
        <v>7050</v>
      </c>
      <c r="G164" s="238">
        <f t="shared" si="13"/>
        <v>7.1000000000003638</v>
      </c>
      <c r="H164" s="99">
        <f>G164+'7'!H164</f>
        <v>59.800000000000182</v>
      </c>
      <c r="I164" s="236"/>
      <c r="J164" s="239">
        <f>H164/DAY(B2)</f>
        <v>7.4750000000000227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'7'!F165</f>
        <v>32623.66</v>
      </c>
      <c r="F165" s="417">
        <v>32632</v>
      </c>
      <c r="G165" s="238">
        <f t="shared" si="13"/>
        <v>8.3400000000001455</v>
      </c>
      <c r="H165" s="99">
        <f>G165+'7'!H165</f>
        <v>57.900000000001455</v>
      </c>
      <c r="I165" s="236"/>
      <c r="J165" s="239">
        <f>H165/DAY(B2)</f>
        <v>7.2375000000001819</v>
      </c>
    </row>
    <row r="166" spans="1:10" ht="26.25">
      <c r="A166" s="923"/>
      <c r="B166" s="923"/>
      <c r="C166" s="246"/>
      <c r="D166" s="244" t="s">
        <v>180</v>
      </c>
      <c r="E166" s="95">
        <f>'7'!F166</f>
        <v>0</v>
      </c>
      <c r="F166" s="165"/>
      <c r="G166" s="165"/>
      <c r="H166" s="99">
        <f>G166+'7'!H166</f>
        <v>0</v>
      </c>
      <c r="I166" s="165"/>
      <c r="J166" s="239">
        <f>H166/DAY(B2)</f>
        <v>0</v>
      </c>
    </row>
    <row r="167" spans="1:10" ht="26.25">
      <c r="A167" s="923"/>
      <c r="B167" s="923"/>
      <c r="C167" s="246"/>
      <c r="D167" s="244" t="s">
        <v>180</v>
      </c>
      <c r="E167" s="95">
        <f>'7'!F167</f>
        <v>0</v>
      </c>
      <c r="F167" s="165"/>
      <c r="G167" s="165"/>
      <c r="H167" s="99">
        <f>G167+'7'!H167</f>
        <v>0</v>
      </c>
      <c r="I167" s="165"/>
      <c r="J167" s="239">
        <f>H167/DAY(B2)</f>
        <v>0</v>
      </c>
    </row>
    <row r="168" spans="1:10" ht="26.25">
      <c r="A168" s="923"/>
      <c r="B168" s="923"/>
      <c r="C168" s="246"/>
      <c r="D168" s="244" t="s">
        <v>180</v>
      </c>
      <c r="E168" s="95">
        <f>'7'!F168</f>
        <v>0</v>
      </c>
      <c r="F168" s="165"/>
      <c r="G168" s="165"/>
      <c r="H168" s="99">
        <f>G168+'7'!H168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33" t="s">
        <v>330</v>
      </c>
      <c r="B171" s="934"/>
      <c r="C171" s="934"/>
      <c r="D171" s="934"/>
      <c r="E171" s="934"/>
      <c r="F171" s="934"/>
      <c r="G171" s="934"/>
      <c r="H171" s="934"/>
      <c r="I171" s="934"/>
      <c r="J171" s="935"/>
    </row>
    <row r="172" spans="1:10" ht="25.5">
      <c r="A172" s="929"/>
      <c r="B172" s="930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41" t="s">
        <v>209</v>
      </c>
      <c r="B173" s="843"/>
      <c r="C173" s="333"/>
      <c r="D173" s="228" t="s">
        <v>142</v>
      </c>
      <c r="E173" s="95">
        <f>'7'!F173</f>
        <v>8596</v>
      </c>
      <c r="F173" s="155">
        <v>8596</v>
      </c>
      <c r="G173" s="155">
        <f>F173-E173</f>
        <v>0</v>
      </c>
      <c r="H173" s="99">
        <f>G173+'7'!H173</f>
        <v>12</v>
      </c>
      <c r="I173" s="155"/>
      <c r="J173" s="178">
        <f>H173/DAY(B2)</f>
        <v>1.5</v>
      </c>
    </row>
    <row r="174" spans="1:10" ht="25.5">
      <c r="A174" s="841" t="s">
        <v>75</v>
      </c>
      <c r="B174" s="843"/>
      <c r="C174" s="333"/>
      <c r="D174" s="228" t="s">
        <v>142</v>
      </c>
      <c r="E174" s="95">
        <f>'7'!F174</f>
        <v>42748</v>
      </c>
      <c r="F174" s="157">
        <v>42760</v>
      </c>
      <c r="G174" s="155">
        <f t="shared" ref="G174:G175" si="14">F174-E174</f>
        <v>12</v>
      </c>
      <c r="H174" s="99">
        <f>G174+'7'!H174</f>
        <v>91</v>
      </c>
      <c r="I174" s="155"/>
      <c r="J174" s="178">
        <f>H174/DAY(B2)</f>
        <v>11.375</v>
      </c>
    </row>
    <row r="175" spans="1:10" ht="25.5">
      <c r="A175" s="841" t="s">
        <v>76</v>
      </c>
      <c r="B175" s="842"/>
      <c r="C175" s="843"/>
      <c r="D175" s="228" t="s">
        <v>142</v>
      </c>
      <c r="E175" s="95">
        <f>'7'!F175</f>
        <v>25486</v>
      </c>
      <c r="F175" s="155">
        <v>25498</v>
      </c>
      <c r="G175" s="155">
        <f t="shared" si="14"/>
        <v>12</v>
      </c>
      <c r="H175" s="99">
        <f>G175+'7'!H175</f>
        <v>105</v>
      </c>
      <c r="I175" s="155"/>
      <c r="J175" s="178">
        <f>H175/DAY(B2)</f>
        <v>13.125</v>
      </c>
    </row>
    <row r="176" spans="1:10" ht="25.5">
      <c r="A176" s="853" t="s">
        <v>196</v>
      </c>
      <c r="B176" s="854"/>
      <c r="C176" s="333"/>
      <c r="D176" s="228" t="s">
        <v>142</v>
      </c>
      <c r="E176" s="95"/>
      <c r="F176" s="155"/>
      <c r="G176" s="155">
        <f>SUM(G173:G175)</f>
        <v>24</v>
      </c>
      <c r="H176" s="99">
        <f>G176+'7'!H176</f>
        <v>208</v>
      </c>
      <c r="I176" s="155"/>
      <c r="J176" s="178">
        <f>H176/DAY(B2)</f>
        <v>26</v>
      </c>
    </row>
    <row r="177" spans="1:10" ht="25.5">
      <c r="A177" s="841" t="s">
        <v>77</v>
      </c>
      <c r="B177" s="843"/>
      <c r="C177" s="333"/>
      <c r="D177" s="228" t="s">
        <v>142</v>
      </c>
      <c r="E177" s="95"/>
      <c r="F177" s="155"/>
      <c r="G177" s="155"/>
      <c r="H177" s="99">
        <f>G177+'7'!H177</f>
        <v>0</v>
      </c>
      <c r="I177" s="155"/>
      <c r="J177" s="178">
        <f>H177/DAY(B2)</f>
        <v>0</v>
      </c>
    </row>
    <row r="178" spans="1:10" ht="25.5">
      <c r="A178" s="841" t="s">
        <v>210</v>
      </c>
      <c r="B178" s="843"/>
      <c r="C178" s="333"/>
      <c r="D178" s="228" t="s">
        <v>142</v>
      </c>
      <c r="E178" s="95">
        <f>'7'!F178</f>
        <v>104032</v>
      </c>
      <c r="F178" s="155">
        <v>104108</v>
      </c>
      <c r="G178" s="155">
        <f>F178-E178</f>
        <v>76</v>
      </c>
      <c r="H178" s="99">
        <f>G178+'7'!H178</f>
        <v>465</v>
      </c>
      <c r="I178" s="155"/>
      <c r="J178" s="178">
        <f>H178/DAY(B2)</f>
        <v>58.125</v>
      </c>
    </row>
    <row r="179" spans="1:10" ht="25.5">
      <c r="A179" s="841" t="s">
        <v>211</v>
      </c>
      <c r="B179" s="843"/>
      <c r="C179" s="333"/>
      <c r="D179" s="228" t="s">
        <v>142</v>
      </c>
      <c r="E179" s="95">
        <f>'7'!F179</f>
        <v>37501</v>
      </c>
      <c r="F179" s="155">
        <v>37501</v>
      </c>
      <c r="G179" s="155">
        <f t="shared" ref="G179:G180" si="15">F179-E179</f>
        <v>0</v>
      </c>
      <c r="H179" s="99">
        <f>G179+'7'!H179</f>
        <v>0</v>
      </c>
      <c r="I179" s="155"/>
      <c r="J179" s="178">
        <f>H179/DAY(B2)</f>
        <v>0</v>
      </c>
    </row>
    <row r="180" spans="1:10" ht="25.5">
      <c r="A180" s="841" t="s">
        <v>212</v>
      </c>
      <c r="B180" s="843"/>
      <c r="C180" s="333"/>
      <c r="D180" s="228" t="s">
        <v>142</v>
      </c>
      <c r="E180" s="95">
        <f>'7'!F180</f>
        <v>7439</v>
      </c>
      <c r="F180" s="155">
        <v>7439</v>
      </c>
      <c r="G180" s="155">
        <f t="shared" si="15"/>
        <v>0</v>
      </c>
      <c r="H180" s="99">
        <f>G180+'7'!H180</f>
        <v>19</v>
      </c>
      <c r="I180" s="155"/>
      <c r="J180" s="178">
        <f>H180/DAY(B2)</f>
        <v>2.375</v>
      </c>
    </row>
    <row r="181" spans="1:10" ht="25.5">
      <c r="A181" s="927" t="s">
        <v>108</v>
      </c>
      <c r="B181" s="928"/>
      <c r="C181" s="333"/>
      <c r="D181" s="228" t="s">
        <v>142</v>
      </c>
      <c r="E181" s="95"/>
      <c r="F181" s="155"/>
      <c r="G181" s="155">
        <f>SUM(G178:G180)</f>
        <v>76</v>
      </c>
      <c r="H181" s="99">
        <f>G181+'7'!H181</f>
        <v>484</v>
      </c>
      <c r="I181" s="155"/>
      <c r="J181" s="178">
        <f>H181/DAY(B2)</f>
        <v>60.5</v>
      </c>
    </row>
    <row r="182" spans="1:10" ht="25.5">
      <c r="A182" s="841" t="s">
        <v>213</v>
      </c>
      <c r="B182" s="843"/>
      <c r="C182" s="333"/>
      <c r="D182" s="228" t="s">
        <v>142</v>
      </c>
      <c r="E182" s="95"/>
      <c r="F182" s="155"/>
      <c r="G182" s="155"/>
      <c r="H182" s="99">
        <f>G182+'7'!H182</f>
        <v>0</v>
      </c>
      <c r="I182" s="155"/>
      <c r="J182" s="178">
        <f>H182/DAY(B2)</f>
        <v>0</v>
      </c>
    </row>
    <row r="183" spans="1:10" ht="25.5">
      <c r="A183" s="841" t="s">
        <v>214</v>
      </c>
      <c r="B183" s="843"/>
      <c r="C183" s="334"/>
      <c r="D183" s="228" t="s">
        <v>142</v>
      </c>
      <c r="E183" s="95">
        <f>'7'!F183</f>
        <v>18200</v>
      </c>
      <c r="F183" s="157">
        <v>18205</v>
      </c>
      <c r="G183" s="157">
        <f>F183-E183</f>
        <v>5</v>
      </c>
      <c r="H183" s="99">
        <f>G183+'7'!H183</f>
        <v>37</v>
      </c>
      <c r="I183" s="155"/>
      <c r="J183" s="178">
        <f>H183/DAY(B2)</f>
        <v>4.625</v>
      </c>
    </row>
    <row r="184" spans="1:10" ht="25.5">
      <c r="A184" s="841" t="s">
        <v>215</v>
      </c>
      <c r="B184" s="843"/>
      <c r="C184" s="334"/>
      <c r="D184" s="228" t="s">
        <v>142</v>
      </c>
      <c r="E184" s="95">
        <f>'7'!F184</f>
        <v>12805</v>
      </c>
      <c r="F184" s="157">
        <v>12810</v>
      </c>
      <c r="G184" s="157">
        <f t="shared" ref="G184:G185" si="16">F184-E184</f>
        <v>5</v>
      </c>
      <c r="H184" s="99">
        <f>G184+'7'!H184</f>
        <v>60</v>
      </c>
      <c r="I184" s="155"/>
      <c r="J184" s="178">
        <f>H184/DAY(B2)</f>
        <v>7.5</v>
      </c>
    </row>
    <row r="185" spans="1:10" ht="25.5">
      <c r="A185" s="841" t="s">
        <v>216</v>
      </c>
      <c r="B185" s="843"/>
      <c r="C185" s="334"/>
      <c r="D185" s="228" t="s">
        <v>142</v>
      </c>
      <c r="E185" s="95">
        <f>'7'!F185</f>
        <v>0</v>
      </c>
      <c r="F185" s="157"/>
      <c r="G185" s="157">
        <f t="shared" si="16"/>
        <v>0</v>
      </c>
      <c r="H185" s="99">
        <f>G185+'7'!H185</f>
        <v>0</v>
      </c>
      <c r="I185" s="155"/>
      <c r="J185" s="178">
        <f>H185/DAY(B2)</f>
        <v>0</v>
      </c>
    </row>
    <row r="186" spans="1:10" ht="27" customHeight="1">
      <c r="A186" s="853" t="s">
        <v>196</v>
      </c>
      <c r="B186" s="854"/>
      <c r="C186" s="334"/>
      <c r="D186" s="228" t="s">
        <v>142</v>
      </c>
      <c r="E186" s="95"/>
      <c r="F186" s="157"/>
      <c r="G186" s="157">
        <f>SUM(G183:G185)</f>
        <v>10</v>
      </c>
      <c r="H186" s="99">
        <f>G186+'7'!H186</f>
        <v>97</v>
      </c>
      <c r="I186" s="157"/>
      <c r="J186" s="178">
        <f>H186/DAY(B2)</f>
        <v>12.125</v>
      </c>
    </row>
    <row r="187" spans="1:10" ht="25.5">
      <c r="A187" s="931" t="s">
        <v>217</v>
      </c>
      <c r="B187" s="932"/>
      <c r="C187" s="333"/>
      <c r="D187" s="230" t="s">
        <v>142</v>
      </c>
      <c r="E187" s="95"/>
      <c r="F187" s="159"/>
      <c r="G187" s="159">
        <f>G62+G19</f>
        <v>155</v>
      </c>
      <c r="H187" s="99">
        <f>G187+'7'!H187</f>
        <v>1332</v>
      </c>
      <c r="I187" s="158"/>
      <c r="J187" s="179">
        <f>H187/DAY(B2)</f>
        <v>166.5</v>
      </c>
    </row>
    <row r="188" spans="1:10" ht="25.5">
      <c r="A188" s="931" t="s">
        <v>218</v>
      </c>
      <c r="B188" s="932"/>
      <c r="C188" s="333"/>
      <c r="D188" s="230" t="s">
        <v>142</v>
      </c>
      <c r="E188" s="95"/>
      <c r="F188" s="159"/>
      <c r="G188" s="159">
        <f>G65+G66+G67+G69+G70</f>
        <v>158</v>
      </c>
      <c r="H188" s="99">
        <f>G188+'7'!H188</f>
        <v>56792</v>
      </c>
      <c r="I188" s="158"/>
      <c r="J188" s="179">
        <f>H188/DAY(B2)</f>
        <v>7099</v>
      </c>
    </row>
    <row r="189" spans="1:10" ht="25.5">
      <c r="A189" s="931" t="s">
        <v>219</v>
      </c>
      <c r="B189" s="932"/>
      <c r="C189" s="333"/>
      <c r="D189" s="230" t="s">
        <v>142</v>
      </c>
      <c r="E189" s="95"/>
      <c r="F189" s="157"/>
      <c r="G189" s="157">
        <f>G181</f>
        <v>76</v>
      </c>
      <c r="H189" s="99">
        <f>G189+'7'!H189</f>
        <v>484</v>
      </c>
      <c r="I189" s="158"/>
      <c r="J189" s="179">
        <f>H189/DAY(B2)</f>
        <v>60.5</v>
      </c>
    </row>
    <row r="190" spans="1:10" ht="25.5">
      <c r="A190" s="925"/>
      <c r="B190" s="926"/>
      <c r="C190" s="390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  <row r="193" ht="26.25"/>
    <row r="194" ht="20.25" customHeight="1"/>
    <row r="195" ht="20.25" customHeight="1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7:C157"/>
    <mergeCell ref="A158:C158"/>
    <mergeCell ref="A159:C159"/>
    <mergeCell ref="A175:C175"/>
    <mergeCell ref="A182:B182"/>
    <mergeCell ref="A168:B168"/>
    <mergeCell ref="A171:J171"/>
    <mergeCell ref="A172:B172"/>
    <mergeCell ref="A189:B189"/>
    <mergeCell ref="A173:B173"/>
    <mergeCell ref="A174:B174"/>
    <mergeCell ref="A167:B167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1:B181"/>
    <mergeCell ref="A183:B183"/>
    <mergeCell ref="Q116:R116"/>
    <mergeCell ref="A117:C117"/>
    <mergeCell ref="Q117:R117"/>
    <mergeCell ref="A118:C118"/>
    <mergeCell ref="Q118:R118"/>
    <mergeCell ref="A141:C141"/>
    <mergeCell ref="A142:C142"/>
    <mergeCell ref="A160:J160"/>
    <mergeCell ref="A166:B166"/>
    <mergeCell ref="A127:B127"/>
    <mergeCell ref="A128:C128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36:J136"/>
    <mergeCell ref="A138:C138"/>
    <mergeCell ref="A139:C139"/>
    <mergeCell ref="A140:C140"/>
    <mergeCell ref="A147:C147"/>
    <mergeCell ref="A145:C145"/>
    <mergeCell ref="A146:C146"/>
    <mergeCell ref="A72:B72"/>
    <mergeCell ref="A78:C78"/>
    <mergeCell ref="A97:C97"/>
    <mergeCell ref="A98:C98"/>
    <mergeCell ref="A99:C99"/>
    <mergeCell ref="A33:C33"/>
    <mergeCell ref="A61:C61"/>
    <mergeCell ref="A62:C62"/>
    <mergeCell ref="A63:C63"/>
    <mergeCell ref="A71:C71"/>
    <mergeCell ref="A73:C73"/>
    <mergeCell ref="A74:C74"/>
    <mergeCell ref="A75:C75"/>
    <mergeCell ref="A76:C76"/>
    <mergeCell ref="A77:C77"/>
    <mergeCell ref="A79:C79"/>
    <mergeCell ref="A80:C80"/>
    <mergeCell ref="A64:C64"/>
    <mergeCell ref="A65:C65"/>
    <mergeCell ref="A81:C81"/>
    <mergeCell ref="A133:C133"/>
    <mergeCell ref="A134:C134"/>
    <mergeCell ref="A125:B125"/>
    <mergeCell ref="A126:J126"/>
    <mergeCell ref="A114:C114"/>
    <mergeCell ref="A115:C115"/>
    <mergeCell ref="A116:C116"/>
    <mergeCell ref="A119:C119"/>
    <mergeCell ref="A120:C120"/>
    <mergeCell ref="A121:C121"/>
    <mergeCell ref="A122:C122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24:C124"/>
    <mergeCell ref="A148:C148"/>
    <mergeCell ref="A149:C149"/>
    <mergeCell ref="A143:C143"/>
    <mergeCell ref="A144:C144"/>
    <mergeCell ref="A131:C131"/>
    <mergeCell ref="A132:C13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02:C102"/>
    <mergeCell ref="A123:C123"/>
    <mergeCell ref="A109:B109"/>
    <mergeCell ref="A95:C95"/>
    <mergeCell ref="A96:C96"/>
    <mergeCell ref="A93:C93"/>
    <mergeCell ref="A94:C94"/>
    <mergeCell ref="A108:J108"/>
    <mergeCell ref="A110:J110"/>
  </mergeCells>
  <pageMargins left="0.22" right="0.17" top="0.14000000000000001" bottom="0.2" header="0.2" footer="0.2"/>
  <pageSetup paperSize="5" scale="2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R270"/>
  <sheetViews>
    <sheetView view="pageBreakPreview" topLeftCell="A16" zoomScale="55" zoomScaleNormal="80" zoomScaleSheetLayoutView="55" workbookViewId="0">
      <selection activeCell="F176" sqref="F176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7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67" t="s">
        <v>115</v>
      </c>
      <c r="B1" s="868"/>
      <c r="C1" s="868"/>
      <c r="D1" s="868"/>
      <c r="E1" s="868"/>
      <c r="F1" s="868"/>
      <c r="G1" s="868"/>
      <c r="H1" s="868"/>
      <c r="I1" s="868"/>
      <c r="J1" s="869"/>
    </row>
    <row r="2" spans="1:15" s="57" customFormat="1" ht="23.25">
      <c r="A2" s="191" t="s">
        <v>371</v>
      </c>
      <c r="B2" s="262">
        <v>44904</v>
      </c>
      <c r="C2" s="348" t="s">
        <v>67</v>
      </c>
      <c r="D2" s="218">
        <v>0.49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32</v>
      </c>
      <c r="E3" s="876" t="s">
        <v>119</v>
      </c>
      <c r="F3" s="877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0" t="s">
        <v>128</v>
      </c>
      <c r="B6" s="871"/>
      <c r="C6" s="87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'8'!F7</f>
        <v>456775.71</v>
      </c>
      <c r="F7" s="95">
        <v>480243.19</v>
      </c>
      <c r="G7" s="112">
        <f>F7-E7</f>
        <v>23467.479999999981</v>
      </c>
      <c r="H7" s="99">
        <f>G7+'8'!H7</f>
        <v>206560.64000000001</v>
      </c>
      <c r="I7" s="113">
        <f>'1'!I7</f>
        <v>12000</v>
      </c>
      <c r="J7" s="175">
        <f>H7/DAY(B2)</f>
        <v>22951.182222222225</v>
      </c>
      <c r="K7" s="172">
        <v>1375467</v>
      </c>
      <c r="L7" s="66"/>
      <c r="N7" s="87">
        <f>G7+600</f>
        <v>24067.479999999981</v>
      </c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'8'!F8</f>
        <v>635166.71</v>
      </c>
      <c r="F8" s="114">
        <v>658942.55000000005</v>
      </c>
      <c r="G8" s="115">
        <f>F8-E8</f>
        <v>23775.840000000084</v>
      </c>
      <c r="H8" s="99">
        <f>G8+'8'!H8</f>
        <v>207681.55000000005</v>
      </c>
      <c r="I8" s="116"/>
      <c r="J8" s="175">
        <f>H8/DAY(B2)</f>
        <v>23075.727777777782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'8'!F9</f>
        <v>4165065.1</v>
      </c>
      <c r="F9" s="353">
        <v>4172093.5</v>
      </c>
      <c r="G9" s="112">
        <f>F9-E9</f>
        <v>7028.3999999999069</v>
      </c>
      <c r="H9" s="99">
        <f>G9+'8'!H9</f>
        <v>57923.200000000186</v>
      </c>
      <c r="I9" s="124">
        <f>I7-J7</f>
        <v>-10951.182222222225</v>
      </c>
      <c r="J9" s="175">
        <f>H9/DAY(B2)</f>
        <v>6435.9111111111315</v>
      </c>
      <c r="K9" s="79">
        <f>K8-100</f>
        <v>1715817</v>
      </c>
      <c r="L9" s="66"/>
      <c r="N9" s="87">
        <f>E8+234223+600</f>
        <v>869989.71</v>
      </c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'8'!F10</f>
        <v>3816708.3</v>
      </c>
      <c r="F10" s="117">
        <v>3832525.1</v>
      </c>
      <c r="G10" s="112">
        <f t="shared" ref="G10:G12" si="0">F10-E10</f>
        <v>15816.800000000279</v>
      </c>
      <c r="H10" s="99">
        <f>G10+'8'!H10</f>
        <v>143046</v>
      </c>
      <c r="I10" s="282"/>
      <c r="J10" s="175">
        <f>H10/DAY(B2)</f>
        <v>15894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'8'!F11</f>
        <v>38120</v>
      </c>
      <c r="F11" s="95">
        <v>38120</v>
      </c>
      <c r="G11" s="112">
        <f t="shared" si="0"/>
        <v>0</v>
      </c>
      <c r="H11" s="99">
        <f>G11+'8'!H11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'8'!F12</f>
        <v>40390</v>
      </c>
      <c r="F12" s="117">
        <v>40390</v>
      </c>
      <c r="G12" s="112">
        <f t="shared" si="0"/>
        <v>0</v>
      </c>
      <c r="H12" s="99">
        <f>G12+'8'!H12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22845.200000000186</v>
      </c>
      <c r="H13" s="99">
        <f>G13+'8'!H13</f>
        <v>205197.89999999991</v>
      </c>
      <c r="I13" s="120">
        <f>G7-G13</f>
        <v>622.27999999979511</v>
      </c>
      <c r="J13" s="175">
        <f>H13/DAY(B2)</f>
        <v>22799.766666666656</v>
      </c>
      <c r="K13" s="79"/>
      <c r="L13" s="66"/>
      <c r="N13" s="87"/>
      <c r="O13" s="71"/>
    </row>
    <row r="14" spans="1:15" ht="26.25">
      <c r="A14" s="873" t="s">
        <v>137</v>
      </c>
      <c r="B14" s="874"/>
      <c r="C14" s="87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'8'!F15</f>
        <v>2227728.17</v>
      </c>
      <c r="F15" s="468">
        <v>2228829</v>
      </c>
      <c r="G15" s="112">
        <f>(F15-E15)</f>
        <v>1100.8300000000745</v>
      </c>
      <c r="H15" s="99">
        <f>G15+'8'!H15</f>
        <v>9888</v>
      </c>
      <c r="I15" s="113">
        <f>'1'!I15</f>
        <v>800</v>
      </c>
      <c r="J15" s="175">
        <f>H15/DAY(B2)</f>
        <v>1098.6666666666667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-298.66666666666674</v>
      </c>
      <c r="J16" s="176"/>
      <c r="K16" s="79"/>
      <c r="L16" s="66"/>
      <c r="N16" s="87"/>
      <c r="O16" s="71"/>
    </row>
    <row r="17" spans="1:15" ht="26.25">
      <c r="A17" s="873" t="s">
        <v>140</v>
      </c>
      <c r="B17" s="874"/>
      <c r="C17" s="87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64" t="s">
        <v>141</v>
      </c>
      <c r="B18" s="865"/>
      <c r="C18" s="866"/>
      <c r="D18" s="151" t="s">
        <v>142</v>
      </c>
      <c r="E18" s="95">
        <f>'8'!F18</f>
        <v>25</v>
      </c>
      <c r="F18" s="164">
        <v>28</v>
      </c>
      <c r="G18" s="119">
        <f>F18*10</f>
        <v>280</v>
      </c>
      <c r="H18" s="99">
        <f>G18+'8'!H18</f>
        <v>2300</v>
      </c>
      <c r="I18" s="113">
        <f>'1'!I18</f>
        <v>65</v>
      </c>
      <c r="J18" s="175">
        <f>H18/DAY(B2)</f>
        <v>255.55555555555554</v>
      </c>
      <c r="K18" s="79"/>
      <c r="L18" s="66"/>
      <c r="N18" s="87"/>
      <c r="O18" s="71"/>
    </row>
    <row r="19" spans="1:15" ht="25.5">
      <c r="A19" s="864" t="s">
        <v>69</v>
      </c>
      <c r="B19" s="865"/>
      <c r="C19" s="866"/>
      <c r="D19" s="151" t="s">
        <v>142</v>
      </c>
      <c r="E19" s="95">
        <f>'8'!F19</f>
        <v>168387</v>
      </c>
      <c r="F19" s="122">
        <v>168443</v>
      </c>
      <c r="G19" s="112">
        <f t="shared" ref="G19" si="1">F19-E19</f>
        <v>56</v>
      </c>
      <c r="H19" s="99">
        <f>G19+'8'!H19</f>
        <v>483</v>
      </c>
      <c r="I19" s="335"/>
      <c r="J19" s="175">
        <f>H19/DAY(B2)</f>
        <v>53.666666666666664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336</v>
      </c>
      <c r="H20" s="99">
        <f>G20+'8'!H20</f>
        <v>2783</v>
      </c>
      <c r="I20" s="336">
        <f>I18-J20</f>
        <v>-244.22222222222223</v>
      </c>
      <c r="J20" s="175">
        <f>H20/DAY(B2)</f>
        <v>309.22222222222223</v>
      </c>
      <c r="K20" s="79"/>
      <c r="L20" s="66"/>
      <c r="N20" s="87"/>
      <c r="O20" s="71"/>
    </row>
    <row r="21" spans="1:15" ht="26.25">
      <c r="A21" s="873" t="s">
        <v>144</v>
      </c>
      <c r="B21" s="874"/>
      <c r="C21" s="87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'8'!F22</f>
        <v>2970</v>
      </c>
      <c r="F22" s="122">
        <v>2970</v>
      </c>
      <c r="G22" s="119">
        <f t="shared" ref="G22" si="2">(F22-E22)</f>
        <v>0</v>
      </c>
      <c r="H22" s="99">
        <f>G22+'8'!H22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'8'!F23</f>
        <v>2000</v>
      </c>
      <c r="F23" s="122">
        <v>2000</v>
      </c>
      <c r="G23" s="119">
        <v>0</v>
      </c>
      <c r="H23" s="99">
        <f>G23+'8'!H23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'8'!F24</f>
        <v>2970</v>
      </c>
      <c r="F24" s="128">
        <v>4970</v>
      </c>
      <c r="G24" s="119">
        <v>0</v>
      </c>
      <c r="H24" s="99">
        <f>G24+'8'!H24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78" t="s">
        <v>149</v>
      </c>
      <c r="B25" s="879"/>
      <c r="C25" s="88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23775.840000000084</v>
      </c>
      <c r="F27" s="136">
        <v>9</v>
      </c>
      <c r="G27" s="137">
        <f>E27*F27</f>
        <v>213982.56000000075</v>
      </c>
      <c r="H27" s="99">
        <f>G27+'8'!H27</f>
        <v>1891724.7500000005</v>
      </c>
      <c r="I27" s="138"/>
      <c r="J27" s="175">
        <f>H27/DAY(B2)</f>
        <v>210191.63888888893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1100.8300000000745</v>
      </c>
      <c r="F28" s="136">
        <v>70</v>
      </c>
      <c r="G28" s="137">
        <f>E28*F28</f>
        <v>77058.100000005215</v>
      </c>
      <c r="H28" s="99">
        <f>G28+'8'!H28</f>
        <v>702671.75000000047</v>
      </c>
      <c r="I28" s="140"/>
      <c r="J28" s="175">
        <f>H28/DAY(B2)</f>
        <v>78074.638888888934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151</v>
      </c>
      <c r="G30" s="137">
        <f>E30*F30</f>
        <v>8456</v>
      </c>
      <c r="H30" s="99">
        <f>G30+'8'!H30</f>
        <v>72933</v>
      </c>
      <c r="I30" s="140"/>
      <c r="J30" s="175">
        <f>H30/DAY(B2)</f>
        <v>8103.666666666667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280</v>
      </c>
      <c r="F31" s="136">
        <v>80</v>
      </c>
      <c r="G31" s="137">
        <f>E31*F31</f>
        <v>22400</v>
      </c>
      <c r="H31" s="99">
        <f>G31+'8'!H31</f>
        <v>184000</v>
      </c>
      <c r="I31" s="140"/>
      <c r="J31" s="175">
        <f>H31/DAY(B2)</f>
        <v>20444.444444444445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321896.66000000597</v>
      </c>
      <c r="H32" s="99">
        <f>G32+'8'!H32</f>
        <v>2851329.5000000009</v>
      </c>
      <c r="I32" s="144"/>
      <c r="J32" s="175">
        <f>H32/DAY(B2)</f>
        <v>316814.38888888899</v>
      </c>
      <c r="K32" s="63"/>
      <c r="L32" s="89"/>
      <c r="N32" s="87"/>
      <c r="O32" s="71"/>
    </row>
    <row r="33" spans="1:15" ht="25.5" customHeight="1">
      <c r="A33" s="881" t="s">
        <v>331</v>
      </c>
      <c r="B33" s="882"/>
      <c r="C33" s="88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145">
        <f>'8'!F35</f>
        <v>391564.15</v>
      </c>
      <c r="F35" s="145">
        <v>394579.55</v>
      </c>
      <c r="G35" s="112">
        <f t="shared" ref="G35:G46" si="3">F35-E35</f>
        <v>3015.3999999999651</v>
      </c>
      <c r="H35" s="99">
        <f>G35+'8'!H35</f>
        <v>25482.640000000014</v>
      </c>
      <c r="I35" s="95"/>
      <c r="J35" s="175">
        <f>H35/DAY(B2)</f>
        <v>2831.4044444444462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145">
        <f>'8'!F36</f>
        <v>330813.28999999998</v>
      </c>
      <c r="F36" s="145">
        <v>332030.63</v>
      </c>
      <c r="G36" s="112">
        <f t="shared" si="3"/>
        <v>1217.3400000000256</v>
      </c>
      <c r="H36" s="99">
        <f>G36+'8'!H36</f>
        <v>9813.5200000000186</v>
      </c>
      <c r="I36" s="95"/>
      <c r="J36" s="175">
        <f>H36/DAY(B2)</f>
        <v>1090.3911111111131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145">
        <f>'8'!F37</f>
        <v>322998.69</v>
      </c>
      <c r="F37" s="145">
        <v>322998.69</v>
      </c>
      <c r="G37" s="112">
        <f t="shared" si="3"/>
        <v>0</v>
      </c>
      <c r="H37" s="99">
        <f>G37+'8'!H37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145">
        <f>'8'!F38</f>
        <v>755046.79</v>
      </c>
      <c r="F38" s="108">
        <v>757711.59</v>
      </c>
      <c r="G38" s="112">
        <f t="shared" si="3"/>
        <v>2664.7999999999302</v>
      </c>
      <c r="H38" s="99">
        <f>G38+'8'!H38</f>
        <v>21859.199999999953</v>
      </c>
      <c r="I38" s="95"/>
      <c r="J38" s="175">
        <f>H38/DAY(B2)</f>
        <v>2428.7999999999947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145">
        <f>'8'!F39</f>
        <v>591584.18999999994</v>
      </c>
      <c r="F39" s="145">
        <v>591584.18999999994</v>
      </c>
      <c r="G39" s="112">
        <f t="shared" si="3"/>
        <v>0</v>
      </c>
      <c r="H39" s="99">
        <f>G39+'8'!H39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145">
        <f>'8'!F40</f>
        <v>200068.95</v>
      </c>
      <c r="F40" s="145">
        <v>200531.37</v>
      </c>
      <c r="G40" s="112">
        <f t="shared" si="3"/>
        <v>462.4199999999837</v>
      </c>
      <c r="H40" s="99">
        <f>G40+'8'!H40</f>
        <v>3801.3999999999942</v>
      </c>
      <c r="I40" s="95"/>
      <c r="J40" s="175">
        <f>H40/DAY(B2)</f>
        <v>422.37777777777711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145">
        <f>'8'!F41</f>
        <v>419167.59</v>
      </c>
      <c r="F41" s="145">
        <v>419197.47</v>
      </c>
      <c r="G41" s="112">
        <f t="shared" si="3"/>
        <v>29.879999999946449</v>
      </c>
      <c r="H41" s="99">
        <f>G41+'8'!H41</f>
        <v>29.879999999946449</v>
      </c>
      <c r="I41" s="95"/>
      <c r="J41" s="175">
        <f>H41/DAY(B2)</f>
        <v>3.3199999999940499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145">
        <f>'8'!F42</f>
        <v>871870.87</v>
      </c>
      <c r="F42" s="145">
        <v>871891.03</v>
      </c>
      <c r="G42" s="112">
        <f t="shared" si="3"/>
        <v>20.160000000032596</v>
      </c>
      <c r="H42" s="99">
        <f>G42+'8'!H42</f>
        <v>20.160000000032596</v>
      </c>
      <c r="I42" s="95"/>
      <c r="J42" s="175">
        <f>H42/DAY(B2)</f>
        <v>2.2400000000036218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145">
        <f>'8'!F43</f>
        <v>407028</v>
      </c>
      <c r="F43" s="145">
        <v>407028</v>
      </c>
      <c r="G43" s="112">
        <f t="shared" si="3"/>
        <v>0</v>
      </c>
      <c r="H43" s="99">
        <f>G43+'8'!H43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145">
        <f>'8'!F44</f>
        <v>0</v>
      </c>
      <c r="F44" s="145">
        <v>0</v>
      </c>
      <c r="G44" s="112">
        <f t="shared" si="3"/>
        <v>0</v>
      </c>
      <c r="H44" s="99">
        <f>G44+'8'!H44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145">
        <f>'8'!F45</f>
        <v>0</v>
      </c>
      <c r="F45" s="145">
        <v>0</v>
      </c>
      <c r="G45" s="112">
        <f t="shared" si="3"/>
        <v>0</v>
      </c>
      <c r="H45" s="99">
        <f>G45+'8'!H45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145">
        <f>'8'!F46</f>
        <v>0</v>
      </c>
      <c r="F46" s="145">
        <v>0</v>
      </c>
      <c r="G46" s="112">
        <f t="shared" si="3"/>
        <v>0</v>
      </c>
      <c r="H46" s="99">
        <f>G46+'8'!H46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7409.9999999998836</v>
      </c>
      <c r="H47" s="99">
        <f>G47+'8'!H47</f>
        <v>61006.799999999959</v>
      </c>
      <c r="I47" s="95"/>
      <c r="J47" s="175">
        <f>H47/DAY(B2)</f>
        <v>6778.5333333333292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145">
        <f>'8'!F49</f>
        <v>796753.75</v>
      </c>
      <c r="F49" s="145">
        <v>797222.63</v>
      </c>
      <c r="G49" s="112">
        <f t="shared" ref="G49:G58" si="4">F49-E49</f>
        <v>468.88000000000466</v>
      </c>
      <c r="H49" s="99">
        <f>G49+'8'!H49</f>
        <v>3599.6800000000512</v>
      </c>
      <c r="I49" s="95"/>
      <c r="J49" s="175">
        <f>H49/DAY(B2)</f>
        <v>399.96444444445012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145">
        <f>'8'!F50</f>
        <v>469019.23</v>
      </c>
      <c r="F50" s="145">
        <v>470699.47</v>
      </c>
      <c r="G50" s="112">
        <f t="shared" si="4"/>
        <v>1680.2399999999907</v>
      </c>
      <c r="H50" s="99">
        <f>G50+'8'!H50</f>
        <v>14030.399999999965</v>
      </c>
      <c r="I50" s="95"/>
      <c r="J50" s="175">
        <f>H50/DAY(B2)</f>
        <v>1558.9333333333295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145">
        <f>'8'!F51</f>
        <v>143849.07999999999</v>
      </c>
      <c r="F51" s="145">
        <v>145002.51</v>
      </c>
      <c r="G51" s="112">
        <f t="shared" si="4"/>
        <v>1153.4300000000221</v>
      </c>
      <c r="H51" s="99">
        <f>G51+'8'!H51</f>
        <v>9757.960000000021</v>
      </c>
      <c r="I51" s="95"/>
      <c r="J51" s="175">
        <f>H51/DAY(B2)</f>
        <v>1084.2177777777802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145">
        <f>'8'!F52</f>
        <v>9.76</v>
      </c>
      <c r="F52" s="145">
        <v>9.76</v>
      </c>
      <c r="G52" s="112">
        <f t="shared" si="4"/>
        <v>0</v>
      </c>
      <c r="H52" s="99">
        <f>G52+'8'!H52</f>
        <v>-0.24000000000000021</v>
      </c>
      <c r="I52" s="95"/>
      <c r="J52" s="175">
        <f>H52/DAY(B2)</f>
        <v>-2.6666666666666689E-2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145">
        <f>'8'!F53</f>
        <v>579258.79</v>
      </c>
      <c r="F53" s="145">
        <v>583496.94999999995</v>
      </c>
      <c r="G53" s="112">
        <f t="shared" si="4"/>
        <v>4238.1599999999162</v>
      </c>
      <c r="H53" s="99">
        <f>G53+'8'!H53</f>
        <v>36955.679999999935</v>
      </c>
      <c r="I53" s="95"/>
      <c r="J53" s="175">
        <f>H53/DAY(B2)</f>
        <v>4106.1866666666592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145">
        <f>'8'!F54</f>
        <v>108967.8</v>
      </c>
      <c r="F54" s="145">
        <v>109132.52</v>
      </c>
      <c r="G54" s="112">
        <f t="shared" si="4"/>
        <v>164.72000000000116</v>
      </c>
      <c r="H54" s="99">
        <f>G54+'8'!H54</f>
        <v>1469.3600000000006</v>
      </c>
      <c r="I54" s="95"/>
      <c r="J54" s="175">
        <f>H54/DAY(B2)</f>
        <v>163.26222222222228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145">
        <f>'8'!F55</f>
        <v>568710.87</v>
      </c>
      <c r="F55" s="145">
        <v>571421.55000000005</v>
      </c>
      <c r="G55" s="112">
        <f t="shared" si="4"/>
        <v>2710.6800000000512</v>
      </c>
      <c r="H55" s="99">
        <f>G55+'8'!H55</f>
        <v>9936.8800000000047</v>
      </c>
      <c r="I55" s="95"/>
      <c r="J55" s="175">
        <f>H55/DAY(B2)</f>
        <v>1104.0977777777782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145">
        <f>'8'!F56</f>
        <v>291240.25</v>
      </c>
      <c r="F56" s="145">
        <v>292199.25</v>
      </c>
      <c r="G56" s="112">
        <f t="shared" si="4"/>
        <v>959</v>
      </c>
      <c r="H56" s="99">
        <f>G56+'8'!H56</f>
        <v>24084.239999999991</v>
      </c>
      <c r="I56" s="95"/>
      <c r="J56" s="175">
        <f>H56/DAY(B2)</f>
        <v>2676.0266666666657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145">
        <f>'8'!F57</f>
        <v>588127.91</v>
      </c>
      <c r="F57" s="145">
        <v>590668.51</v>
      </c>
      <c r="G57" s="112">
        <f t="shared" si="4"/>
        <v>2540.5999999999767</v>
      </c>
      <c r="H57" s="99">
        <f>G57+'8'!H57</f>
        <v>22090.040000000037</v>
      </c>
      <c r="I57" s="95"/>
      <c r="J57" s="175">
        <f>H57/DAY(B2)</f>
        <v>2454.4488888888932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145">
        <f>'8'!F58</f>
        <v>80617.58</v>
      </c>
      <c r="F58" s="145">
        <v>80856.05</v>
      </c>
      <c r="G58" s="112">
        <f t="shared" si="4"/>
        <v>238.47000000000116</v>
      </c>
      <c r="H58" s="99">
        <f>G58+'8'!H58</f>
        <v>2140.3600000000006</v>
      </c>
      <c r="I58" s="95"/>
      <c r="J58" s="175">
        <f>H58/DAY(B2)</f>
        <v>237.81777777777785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14154.179999999964</v>
      </c>
      <c r="H59" s="99">
        <f>G59+'8'!H59</f>
        <v>124064.36</v>
      </c>
      <c r="I59" s="95">
        <f>G7-G60</f>
        <v>1903.3000000001339</v>
      </c>
      <c r="J59" s="175">
        <f>H59/DAY(B2)</f>
        <v>13784.92888888889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21564.179999999847</v>
      </c>
      <c r="H60" s="99">
        <f>G60+'8'!H60</f>
        <v>185071.16</v>
      </c>
      <c r="I60" s="95">
        <f>G13-G60</f>
        <v>1281.0200000003388</v>
      </c>
      <c r="J60" s="175">
        <f>H60/DAY(B2)</f>
        <v>20563.462222222224</v>
      </c>
      <c r="K60" s="79"/>
      <c r="L60" s="66"/>
      <c r="N60" s="87"/>
      <c r="O60" s="71"/>
    </row>
    <row r="61" spans="1:15" s="68" customFormat="1" ht="26.25">
      <c r="A61" s="883" t="s">
        <v>332</v>
      </c>
      <c r="B61" s="884"/>
      <c r="C61" s="88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64" t="s">
        <v>198</v>
      </c>
      <c r="B62" s="865"/>
      <c r="C62" s="866"/>
      <c r="D62" s="151" t="s">
        <v>142</v>
      </c>
      <c r="E62" s="95">
        <f>'8'!F62</f>
        <v>309219</v>
      </c>
      <c r="F62" s="122">
        <v>309355</v>
      </c>
      <c r="G62" s="112">
        <f t="shared" ref="G62:G63" si="5">F62-E62</f>
        <v>136</v>
      </c>
      <c r="H62" s="99">
        <f>G62+'8'!H62</f>
        <v>1041</v>
      </c>
      <c r="I62" s="118"/>
      <c r="J62" s="175">
        <f>H62/DAY(B2)</f>
        <v>115.66666666666667</v>
      </c>
      <c r="K62" s="80"/>
      <c r="L62" s="66"/>
      <c r="N62" s="87"/>
      <c r="O62" s="71"/>
    </row>
    <row r="63" spans="1:15" ht="25.5">
      <c r="A63" s="864" t="s">
        <v>199</v>
      </c>
      <c r="B63" s="865"/>
      <c r="C63" s="866"/>
      <c r="D63" s="151" t="s">
        <v>142</v>
      </c>
      <c r="E63" s="95">
        <f>'8'!F63</f>
        <v>247400</v>
      </c>
      <c r="F63" s="122">
        <v>247492</v>
      </c>
      <c r="G63" s="112">
        <f t="shared" si="5"/>
        <v>92</v>
      </c>
      <c r="H63" s="99">
        <f>G63+'8'!H63</f>
        <v>563</v>
      </c>
      <c r="I63" s="118"/>
      <c r="J63" s="175">
        <f>H63/DAY(B2)</f>
        <v>62.555555555555557</v>
      </c>
      <c r="K63" s="69"/>
      <c r="L63" s="66"/>
      <c r="N63" s="87"/>
      <c r="O63" s="71"/>
    </row>
    <row r="64" spans="1:15" ht="26.25">
      <c r="A64" s="861" t="s">
        <v>200</v>
      </c>
      <c r="B64" s="862"/>
      <c r="C64" s="863"/>
      <c r="D64" s="151"/>
      <c r="E64" s="95">
        <f>'8'!F64</f>
        <v>0</v>
      </c>
      <c r="F64" s="122">
        <v>0</v>
      </c>
      <c r="G64" s="112">
        <f>G62+G63</f>
        <v>228</v>
      </c>
      <c r="H64" s="99">
        <f>G64+'8'!H64</f>
        <v>1604</v>
      </c>
      <c r="I64" s="118"/>
      <c r="J64" s="175">
        <f>H64/DAY(B2)</f>
        <v>178.22222222222223</v>
      </c>
      <c r="K64" s="69"/>
      <c r="L64" s="66"/>
      <c r="N64" s="87"/>
      <c r="O64" s="71"/>
    </row>
    <row r="65" spans="1:15" ht="25.5">
      <c r="A65" s="864" t="s">
        <v>201</v>
      </c>
      <c r="B65" s="865"/>
      <c r="C65" s="866"/>
      <c r="D65" s="151" t="s">
        <v>142</v>
      </c>
      <c r="E65" s="95">
        <f>'8'!F65</f>
        <v>468934</v>
      </c>
      <c r="F65" s="122">
        <v>469089</v>
      </c>
      <c r="G65" s="112">
        <f t="shared" ref="G65:G70" si="6">F65-E65</f>
        <v>155</v>
      </c>
      <c r="H65" s="99">
        <f>G65+'8'!H65</f>
        <v>1188</v>
      </c>
      <c r="I65" s="118"/>
      <c r="J65" s="175">
        <f>H65/DAY(B2)</f>
        <v>132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v>113268</v>
      </c>
      <c r="F66" s="122">
        <v>113285</v>
      </c>
      <c r="G66" s="112">
        <f t="shared" si="6"/>
        <v>17</v>
      </c>
      <c r="H66" s="99">
        <f>G66+'8'!H66</f>
        <v>55538</v>
      </c>
      <c r="I66" s="118"/>
      <c r="J66" s="175">
        <f>H66/DAY(B2)</f>
        <v>6170.8888888888887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'8'!F67</f>
        <v>116010</v>
      </c>
      <c r="F67" s="122">
        <v>116031</v>
      </c>
      <c r="G67" s="112">
        <f t="shared" si="6"/>
        <v>21</v>
      </c>
      <c r="H67" s="99">
        <f>G67+'8'!H67</f>
        <v>176</v>
      </c>
      <c r="I67" s="118"/>
      <c r="J67" s="175">
        <f>H67/DAY(B2)</f>
        <v>19.555555555555557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'8'!F68</f>
        <v>168741</v>
      </c>
      <c r="F68" s="122">
        <v>168761</v>
      </c>
      <c r="G68" s="112">
        <f t="shared" si="6"/>
        <v>20</v>
      </c>
      <c r="H68" s="99">
        <f>G68+'8'!H68</f>
        <v>254</v>
      </c>
      <c r="I68" s="118"/>
      <c r="J68" s="175">
        <f>H68/DAY(B2)</f>
        <v>28.222222222222221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'8'!F69</f>
        <v>12837</v>
      </c>
      <c r="F69" s="122">
        <v>12844</v>
      </c>
      <c r="G69" s="112">
        <f t="shared" si="6"/>
        <v>7</v>
      </c>
      <c r="H69" s="99">
        <f>G69+'8'!H69</f>
        <v>34</v>
      </c>
      <c r="I69" s="118"/>
      <c r="J69" s="175">
        <f>H69/DAY(B2)</f>
        <v>3.7777777777777777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'8'!F70</f>
        <v>10835</v>
      </c>
      <c r="F70" s="122">
        <v>10843</v>
      </c>
      <c r="G70" s="112">
        <f t="shared" si="6"/>
        <v>8</v>
      </c>
      <c r="H70" s="99">
        <f>G70+'8'!H70</f>
        <v>64</v>
      </c>
      <c r="I70" s="118"/>
      <c r="J70" s="175">
        <f>H70/DAY(B2)</f>
        <v>7.1111111111111107</v>
      </c>
      <c r="K70" s="69"/>
      <c r="L70" s="66"/>
      <c r="N70" s="87"/>
      <c r="O70" s="71"/>
    </row>
    <row r="71" spans="1:15" ht="26.25">
      <c r="A71" s="861" t="s">
        <v>208</v>
      </c>
      <c r="B71" s="862"/>
      <c r="C71" s="863"/>
      <c r="D71" s="152"/>
      <c r="E71" s="152"/>
      <c r="F71" s="152"/>
      <c r="G71" s="153">
        <f>SUM(G65:G70)</f>
        <v>228</v>
      </c>
      <c r="H71" s="99">
        <f>G71+'8'!H71</f>
        <v>57254</v>
      </c>
      <c r="I71" s="154"/>
      <c r="J71" s="175">
        <f>H71/DAY(B2)</f>
        <v>6361.5555555555557</v>
      </c>
      <c r="K71" s="69"/>
      <c r="L71" s="66"/>
      <c r="N71" s="87"/>
      <c r="O71" s="71"/>
    </row>
    <row r="72" spans="1:15" s="88" customFormat="1" ht="25.5">
      <c r="A72" s="904"/>
      <c r="B72" s="89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09" t="s">
        <v>333</v>
      </c>
      <c r="B73" s="910"/>
      <c r="C73" s="91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64" t="s">
        <v>220</v>
      </c>
      <c r="B74" s="865"/>
      <c r="C74" s="866"/>
      <c r="D74" s="151" t="s">
        <v>139</v>
      </c>
      <c r="E74" s="95">
        <f>'8'!F74</f>
        <v>995712.7</v>
      </c>
      <c r="F74" s="117">
        <v>996024</v>
      </c>
      <c r="G74" s="112">
        <f t="shared" ref="G74:G78" si="7">F74-E74</f>
        <v>311.30000000004657</v>
      </c>
      <c r="H74" s="99">
        <f>G74+'8'!H74</f>
        <v>2664.9699999999721</v>
      </c>
      <c r="I74" s="154"/>
      <c r="J74" s="175">
        <f>H74/DAY(B2)</f>
        <v>296.10777777777469</v>
      </c>
      <c r="K74" s="69"/>
      <c r="L74" s="66"/>
      <c r="N74" s="87"/>
      <c r="O74" s="71"/>
    </row>
    <row r="75" spans="1:15" ht="25.5">
      <c r="A75" s="864" t="s">
        <v>221</v>
      </c>
      <c r="B75" s="865"/>
      <c r="C75" s="866"/>
      <c r="D75" s="151" t="s">
        <v>139</v>
      </c>
      <c r="E75" s="95">
        <f>'8'!F75</f>
        <v>73586.8</v>
      </c>
      <c r="F75" s="123">
        <v>73586.8</v>
      </c>
      <c r="G75" s="112">
        <f t="shared" si="7"/>
        <v>0</v>
      </c>
      <c r="H75" s="99">
        <f>G75+'8'!H75</f>
        <v>0.80000000000291038</v>
      </c>
      <c r="I75" s="154"/>
      <c r="J75" s="175">
        <f>H75/DAY(B2)</f>
        <v>8.8888888889212259E-2</v>
      </c>
      <c r="K75" s="69"/>
      <c r="L75" s="66"/>
      <c r="N75" s="87"/>
      <c r="O75" s="71"/>
    </row>
    <row r="76" spans="1:15" ht="25.5">
      <c r="A76" s="905" t="s">
        <v>222</v>
      </c>
      <c r="B76" s="891"/>
      <c r="C76" s="892"/>
      <c r="D76" s="151" t="s">
        <v>139</v>
      </c>
      <c r="E76" s="95">
        <f>'8'!F76</f>
        <v>204756</v>
      </c>
      <c r="F76" s="123">
        <v>204925.07</v>
      </c>
      <c r="G76" s="112">
        <f t="shared" si="7"/>
        <v>169.07000000000698</v>
      </c>
      <c r="H76" s="99">
        <f>G76+'8'!H76</f>
        <v>1263.070000000007</v>
      </c>
      <c r="I76" s="154"/>
      <c r="J76" s="175">
        <f>H76/DAY(B2)</f>
        <v>140.3411111111119</v>
      </c>
      <c r="K76" s="69"/>
      <c r="L76" s="66"/>
      <c r="N76" s="87"/>
      <c r="O76" s="71"/>
    </row>
    <row r="77" spans="1:15" ht="25.5">
      <c r="A77" s="905" t="s">
        <v>223</v>
      </c>
      <c r="B77" s="891"/>
      <c r="C77" s="892"/>
      <c r="D77" s="151" t="s">
        <v>139</v>
      </c>
      <c r="E77" s="95">
        <f>'8'!F77</f>
        <v>56953.9</v>
      </c>
      <c r="F77" s="123">
        <v>57011</v>
      </c>
      <c r="G77" s="112">
        <f t="shared" si="7"/>
        <v>57.099999999998545</v>
      </c>
      <c r="H77" s="99">
        <f>G77+'8'!H77</f>
        <v>489</v>
      </c>
      <c r="I77" s="154"/>
      <c r="J77" s="175">
        <f>H77/DAY(B2)</f>
        <v>54.333333333333336</v>
      </c>
      <c r="K77" s="69"/>
      <c r="L77" s="66"/>
      <c r="N77" s="87"/>
      <c r="O77" s="71"/>
    </row>
    <row r="78" spans="1:15" ht="25.5">
      <c r="A78" s="905" t="s">
        <v>224</v>
      </c>
      <c r="B78" s="891"/>
      <c r="C78" s="892"/>
      <c r="D78" s="151" t="s">
        <v>139</v>
      </c>
      <c r="E78" s="95">
        <f>'8'!F78</f>
        <v>9563.4</v>
      </c>
      <c r="F78" s="123">
        <v>9563.4</v>
      </c>
      <c r="G78" s="112">
        <f t="shared" si="7"/>
        <v>0</v>
      </c>
      <c r="H78" s="99">
        <f>G78+'8'!H78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05" t="s">
        <v>225</v>
      </c>
      <c r="B79" s="891"/>
      <c r="C79" s="892"/>
      <c r="D79" s="151"/>
      <c r="E79" s="95">
        <f>'8'!F79</f>
        <v>0</v>
      </c>
      <c r="F79" s="117"/>
      <c r="G79" s="112">
        <f>G15-SUM(G74:G78)</f>
        <v>563.36000000002241</v>
      </c>
      <c r="H79" s="99">
        <f>G79+'8'!H79</f>
        <v>5470.160000000018</v>
      </c>
      <c r="I79" s="118"/>
      <c r="J79" s="175"/>
      <c r="K79" s="59"/>
      <c r="L79" s="58"/>
      <c r="N79" s="87"/>
      <c r="O79" s="71"/>
    </row>
    <row r="80" spans="1:15" s="57" customFormat="1" ht="26.25">
      <c r="A80" s="861" t="s">
        <v>329</v>
      </c>
      <c r="B80" s="862"/>
      <c r="C80" s="863"/>
      <c r="D80" s="151"/>
      <c r="E80" s="117"/>
      <c r="F80" s="117"/>
      <c r="G80" s="112">
        <f>SUM(G74:G79)</f>
        <v>1100.8300000000745</v>
      </c>
      <c r="H80" s="99"/>
      <c r="I80" s="118"/>
      <c r="J80" s="175"/>
      <c r="K80" s="59"/>
      <c r="L80" s="58"/>
      <c r="N80" s="87"/>
      <c r="O80" s="71"/>
    </row>
    <row r="81" spans="1:15" ht="25.5">
      <c r="A81" s="897" t="s">
        <v>226</v>
      </c>
      <c r="B81" s="898"/>
      <c r="C81" s="89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'8'!F82</f>
        <v>0</v>
      </c>
      <c r="F82" s="122">
        <v>0</v>
      </c>
      <c r="G82" s="112">
        <f t="shared" ref="G82:G92" si="8">F82-E82</f>
        <v>0</v>
      </c>
      <c r="H82" s="99">
        <f>G82+'8'!H82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'8'!F83</f>
        <v>0</v>
      </c>
      <c r="F83" s="122">
        <v>0</v>
      </c>
      <c r="G83" s="112">
        <f t="shared" si="8"/>
        <v>0</v>
      </c>
      <c r="H83" s="99">
        <f>G83+'8'!H83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'8'!F84</f>
        <v>43540</v>
      </c>
      <c r="F84" s="164">
        <v>43540.35</v>
      </c>
      <c r="G84" s="112">
        <f t="shared" si="8"/>
        <v>0.34999999999854481</v>
      </c>
      <c r="H84" s="99">
        <f>G84+'8'!H84</f>
        <v>0.13999999999941792</v>
      </c>
      <c r="I84" s="545"/>
      <c r="J84" s="175">
        <f>H84/DAY(B2)</f>
        <v>1.5555555555490881E-2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'8'!F85</f>
        <v>5684.12</v>
      </c>
      <c r="F85" s="164">
        <v>5684.2</v>
      </c>
      <c r="G85" s="112">
        <f t="shared" si="8"/>
        <v>7.999999999992724E-2</v>
      </c>
      <c r="H85" s="99">
        <f>G85+'8'!H85</f>
        <v>0.1999999999998181</v>
      </c>
      <c r="I85" s="545"/>
      <c r="J85" s="175">
        <f>H85/DAY(B2)</f>
        <v>2.222222222220201E-2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'8'!F86</f>
        <v>46780.65</v>
      </c>
      <c r="F86" s="164">
        <v>46801.14</v>
      </c>
      <c r="G86" s="112">
        <f t="shared" si="8"/>
        <v>20.489999999997963</v>
      </c>
      <c r="H86" s="99">
        <f>G86+'8'!H86</f>
        <v>67.139999999999418</v>
      </c>
      <c r="I86" s="545"/>
      <c r="J86" s="175">
        <f>H86/DAY(B2)</f>
        <v>7.4599999999999351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'8'!F87</f>
        <v>36708.5</v>
      </c>
      <c r="F87" s="164">
        <v>36716.39</v>
      </c>
      <c r="G87" s="112">
        <f t="shared" si="8"/>
        <v>7.8899999999994179</v>
      </c>
      <c r="H87" s="99">
        <f>G87+'8'!H87</f>
        <v>166.18000000000029</v>
      </c>
      <c r="I87" s="544">
        <f>G84+G85+G86+G87</f>
        <v>28.809999999995853</v>
      </c>
      <c r="J87" s="175">
        <f>H87/DAY(B2)</f>
        <v>18.464444444444478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'8'!F88</f>
        <v>24511.8</v>
      </c>
      <c r="F88" s="164">
        <v>24511.8</v>
      </c>
      <c r="G88" s="112">
        <f t="shared" si="8"/>
        <v>0</v>
      </c>
      <c r="H88" s="99">
        <f>G88+'8'!H88</f>
        <v>0</v>
      </c>
      <c r="I88" s="544"/>
      <c r="J88" s="175">
        <f>H88/DAY(B2)</f>
        <v>0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'8'!F89</f>
        <v>28581.58</v>
      </c>
      <c r="F89" s="164">
        <v>28591.31</v>
      </c>
      <c r="G89" s="112">
        <f t="shared" si="8"/>
        <v>9.7299999999995634</v>
      </c>
      <c r="H89" s="99">
        <f>G89+'8'!H89</f>
        <v>89.610000000000582</v>
      </c>
      <c r="I89" s="544">
        <f>G88+G89</f>
        <v>9.7299999999995634</v>
      </c>
      <c r="J89" s="175">
        <f>H89/DAY(B2)</f>
        <v>9.9566666666667309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'8'!F90</f>
        <v>73959.789999999994</v>
      </c>
      <c r="F90" s="164">
        <v>73969.960000000006</v>
      </c>
      <c r="G90" s="112">
        <f t="shared" si="8"/>
        <v>10.170000000012806</v>
      </c>
      <c r="H90" s="99">
        <f>G90+'8'!H90</f>
        <v>109.36000000000058</v>
      </c>
      <c r="I90" s="544">
        <f>G90</f>
        <v>10.170000000012806</v>
      </c>
      <c r="J90" s="175">
        <f>H90/DAY(B2)</f>
        <v>12.151111111111176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'8'!F91</f>
        <v>5419.87</v>
      </c>
      <c r="F91" s="122">
        <v>5419.87</v>
      </c>
      <c r="G91" s="112">
        <f t="shared" si="8"/>
        <v>0</v>
      </c>
      <c r="H91" s="99">
        <f>G91+'8'!H91</f>
        <v>67.099999999999454</v>
      </c>
      <c r="I91" s="555"/>
      <c r="J91" s="175">
        <f>H91/DAY(B2)</f>
        <v>7.4555555555554953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'8'!F92</f>
        <v>7021.35</v>
      </c>
      <c r="F92" s="122">
        <v>7030.88</v>
      </c>
      <c r="G92" s="112">
        <f t="shared" si="8"/>
        <v>9.5299999999997453</v>
      </c>
      <c r="H92" s="99">
        <f>G92+'8'!H92</f>
        <v>30.880000000000109</v>
      </c>
      <c r="I92" s="556">
        <f>G91+G92</f>
        <v>9.5299999999997453</v>
      </c>
      <c r="J92" s="175">
        <f>H92/DAY(B2)</f>
        <v>3.4311111111111234</v>
      </c>
      <c r="O92" s="71"/>
    </row>
    <row r="93" spans="1:15" ht="26.25">
      <c r="A93" s="906" t="s">
        <v>239</v>
      </c>
      <c r="B93" s="907"/>
      <c r="C93" s="90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64" t="s">
        <v>240</v>
      </c>
      <c r="B94" s="865"/>
      <c r="C94" s="866"/>
      <c r="D94" s="151" t="s">
        <v>130</v>
      </c>
      <c r="E94" s="151"/>
      <c r="F94" s="151"/>
      <c r="G94" s="99">
        <f>G35+G43+G49+G57</f>
        <v>6024.8799999999464</v>
      </c>
      <c r="H94" s="99">
        <f>G94+'8'!H94</f>
        <v>51172.360000000102</v>
      </c>
      <c r="I94" s="118"/>
      <c r="J94" s="175">
        <f>H94/DAY(B2)</f>
        <v>5685.8177777777892</v>
      </c>
      <c r="K94" s="69"/>
      <c r="L94" s="66"/>
      <c r="O94" s="71"/>
    </row>
    <row r="95" spans="1:15" ht="25.5">
      <c r="A95" s="864" t="s">
        <v>241</v>
      </c>
      <c r="B95" s="865"/>
      <c r="C95" s="866"/>
      <c r="D95" s="151" t="s">
        <v>23</v>
      </c>
      <c r="E95" s="146"/>
      <c r="F95" s="146"/>
      <c r="G95" s="166">
        <f>G94/G7</f>
        <v>0.25673314731705116</v>
      </c>
      <c r="H95" s="99">
        <f>G95+'8'!H95</f>
        <v>2.2281881382390534</v>
      </c>
      <c r="I95" s="167"/>
      <c r="J95" s="175">
        <f>H95/DAY(B2)</f>
        <v>0.24757645980433926</v>
      </c>
      <c r="K95" s="69"/>
      <c r="L95" s="66"/>
      <c r="O95" s="71"/>
    </row>
    <row r="96" spans="1:15" ht="25.5">
      <c r="A96" s="864" t="s">
        <v>242</v>
      </c>
      <c r="B96" s="865"/>
      <c r="C96" s="866"/>
      <c r="D96" s="151" t="s">
        <v>130</v>
      </c>
      <c r="E96" s="95"/>
      <c r="F96" s="95"/>
      <c r="G96" s="99">
        <f>G41+G42+G55+G56</f>
        <v>3719.7200000000303</v>
      </c>
      <c r="H96" s="99">
        <f>G96+'8'!H96</f>
        <v>34071.159999999974</v>
      </c>
      <c r="I96" s="118"/>
      <c r="J96" s="175">
        <f>H96/DAY(B2)</f>
        <v>3785.6844444444414</v>
      </c>
      <c r="K96" s="69"/>
      <c r="L96" s="66"/>
      <c r="O96" s="71"/>
    </row>
    <row r="97" spans="1:15" ht="25.5">
      <c r="A97" s="864" t="s">
        <v>243</v>
      </c>
      <c r="B97" s="865"/>
      <c r="C97" s="866"/>
      <c r="D97" s="151" t="s">
        <v>23</v>
      </c>
      <c r="E97" s="95"/>
      <c r="F97" s="95"/>
      <c r="G97" s="166">
        <f>G96/G7</f>
        <v>0.15850530180488204</v>
      </c>
      <c r="H97" s="99">
        <f>G97+'8'!H97</f>
        <v>1.4826528497948288</v>
      </c>
      <c r="I97" s="167"/>
      <c r="J97" s="175">
        <f>H97/DAY(B2)</f>
        <v>0.16473920553275875</v>
      </c>
      <c r="K97" s="69"/>
      <c r="L97" s="66"/>
      <c r="O97" s="71"/>
    </row>
    <row r="98" spans="1:15" ht="25.5">
      <c r="A98" s="864" t="s">
        <v>244</v>
      </c>
      <c r="B98" s="865"/>
      <c r="C98" s="866"/>
      <c r="D98" s="151" t="s">
        <v>130</v>
      </c>
      <c r="E98" s="95"/>
      <c r="F98" s="95"/>
      <c r="G98" s="99">
        <f>G39+G53</f>
        <v>4238.1599999999162</v>
      </c>
      <c r="H98" s="99">
        <f>G98+'8'!H98</f>
        <v>36955.679999999935</v>
      </c>
      <c r="I98" s="168"/>
      <c r="J98" s="175">
        <f>H98/DAY(B2)</f>
        <v>4106.1866666666592</v>
      </c>
      <c r="K98" s="69"/>
      <c r="L98" s="66"/>
      <c r="O98" s="71"/>
    </row>
    <row r="99" spans="1:15" ht="25.5">
      <c r="A99" s="864" t="s">
        <v>245</v>
      </c>
      <c r="B99" s="865"/>
      <c r="C99" s="866"/>
      <c r="D99" s="151" t="s">
        <v>23</v>
      </c>
      <c r="E99" s="95"/>
      <c r="F99" s="95"/>
      <c r="G99" s="166">
        <f>G98/G7</f>
        <v>0.18059714975787428</v>
      </c>
      <c r="H99" s="99">
        <f>G99+'8'!H99</f>
        <v>1.6116019628930409</v>
      </c>
      <c r="I99" s="168"/>
      <c r="J99" s="175">
        <f>H99/DAY(B2)</f>
        <v>0.17906688476589344</v>
      </c>
      <c r="O99" s="71"/>
    </row>
    <row r="100" spans="1:15" ht="26.25">
      <c r="A100" s="864" t="s">
        <v>246</v>
      </c>
      <c r="B100" s="865"/>
      <c r="C100" s="866"/>
      <c r="D100" s="151" t="s">
        <v>180</v>
      </c>
      <c r="E100" s="95"/>
      <c r="F100" s="95"/>
      <c r="G100" s="99">
        <f>G38+G52</f>
        <v>2664.7999999999302</v>
      </c>
      <c r="H100" s="99">
        <f>G100+'8'!H100</f>
        <v>21858.959999999955</v>
      </c>
      <c r="I100" s="118"/>
      <c r="J100" s="175">
        <f>H100/DAY(B2)</f>
        <v>2428.7733333333285</v>
      </c>
      <c r="K100" s="70"/>
      <c r="O100" s="71"/>
    </row>
    <row r="101" spans="1:15" ht="25.5">
      <c r="A101" s="864" t="s">
        <v>247</v>
      </c>
      <c r="B101" s="865"/>
      <c r="C101" s="866"/>
      <c r="D101" s="151" t="s">
        <v>23</v>
      </c>
      <c r="E101" s="95"/>
      <c r="F101" s="95"/>
      <c r="G101" s="166">
        <f>G100/G7</f>
        <v>0.11355288254213627</v>
      </c>
      <c r="H101" s="99">
        <f>G101+'8'!H101</f>
        <v>0.95297596515687488</v>
      </c>
      <c r="I101" s="168"/>
      <c r="J101" s="175">
        <f>H101/DAY(B2)</f>
        <v>0.10588621835076388</v>
      </c>
      <c r="O101" s="71"/>
    </row>
    <row r="102" spans="1:15" ht="25.5">
      <c r="A102" s="864" t="s">
        <v>248</v>
      </c>
      <c r="B102" s="865"/>
      <c r="C102" s="866"/>
      <c r="D102" s="151" t="s">
        <v>180</v>
      </c>
      <c r="E102" s="95"/>
      <c r="F102" s="95"/>
      <c r="G102" s="99">
        <f>G36+G50</f>
        <v>2897.5800000000163</v>
      </c>
      <c r="H102" s="99">
        <f>G102+'8'!H102</f>
        <v>23843.919999999984</v>
      </c>
      <c r="I102" s="168"/>
      <c r="J102" s="175">
        <f>H102/DAY(B2)</f>
        <v>2649.3244444444426</v>
      </c>
      <c r="O102" s="71"/>
    </row>
    <row r="103" spans="1:15" ht="25.5">
      <c r="A103" s="864" t="s">
        <v>249</v>
      </c>
      <c r="B103" s="865"/>
      <c r="C103" s="866"/>
      <c r="D103" s="151" t="s">
        <v>23</v>
      </c>
      <c r="E103" s="95"/>
      <c r="F103" s="95"/>
      <c r="G103" s="166">
        <f>G102/G7</f>
        <v>0.12347214102238581</v>
      </c>
      <c r="H103" s="99">
        <f>G103+'8'!H103</f>
        <v>1.0384415739228372</v>
      </c>
      <c r="I103" s="118"/>
      <c r="J103" s="175">
        <f>H103/DAY(B2)</f>
        <v>0.11538239710253746</v>
      </c>
      <c r="O103" s="71"/>
    </row>
    <row r="104" spans="1:15" ht="25.5">
      <c r="A104" s="864" t="s">
        <v>250</v>
      </c>
      <c r="B104" s="865"/>
      <c r="C104" s="866"/>
      <c r="D104" s="151" t="s">
        <v>180</v>
      </c>
      <c r="E104" s="95"/>
      <c r="F104" s="95"/>
      <c r="G104" s="99">
        <f>G37+G51</f>
        <v>1153.4300000000221</v>
      </c>
      <c r="H104" s="99">
        <f>G104+'8'!H104</f>
        <v>9757.960000000021</v>
      </c>
      <c r="I104" s="118"/>
      <c r="J104" s="175">
        <f>H104/DAY(B2)</f>
        <v>1084.2177777777802</v>
      </c>
      <c r="O104" s="71"/>
    </row>
    <row r="105" spans="1:15" ht="26.25" thickBot="1">
      <c r="A105" s="901" t="s">
        <v>251</v>
      </c>
      <c r="B105" s="902"/>
      <c r="C105" s="903"/>
      <c r="D105" s="231" t="s">
        <v>23</v>
      </c>
      <c r="E105" s="185"/>
      <c r="F105" s="185"/>
      <c r="G105" s="186">
        <f>G104/G7</f>
        <v>4.9150143091632466E-2</v>
      </c>
      <c r="H105" s="99">
        <f>G105+'8'!H105</f>
        <v>0.42517725538821061</v>
      </c>
      <c r="I105" s="187"/>
      <c r="J105" s="188">
        <f>H105/DAY(B2)</f>
        <v>4.7241917265356731E-2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15" t="s">
        <v>324</v>
      </c>
      <c r="B108" s="915"/>
      <c r="C108" s="915"/>
      <c r="D108" s="915"/>
      <c r="E108" s="915"/>
      <c r="F108" s="915"/>
      <c r="G108" s="915"/>
      <c r="H108" s="915"/>
      <c r="I108" s="915"/>
      <c r="J108" s="915"/>
    </row>
    <row r="109" spans="1:15" ht="26.25">
      <c r="A109" s="900"/>
      <c r="B109" s="900"/>
    </row>
    <row r="110" spans="1:15" ht="26.25">
      <c r="A110" s="916" t="s">
        <v>165</v>
      </c>
      <c r="B110" s="917"/>
      <c r="C110" s="917"/>
      <c r="D110" s="917"/>
      <c r="E110" s="917"/>
      <c r="F110" s="917"/>
      <c r="G110" s="917"/>
      <c r="H110" s="917"/>
      <c r="I110" s="917"/>
      <c r="J110" s="918"/>
    </row>
    <row r="111" spans="1:15" ht="25.5">
      <c r="A111" s="919"/>
      <c r="B111" s="920"/>
      <c r="C111" s="921"/>
      <c r="D111" s="165"/>
      <c r="E111" s="165"/>
      <c r="F111" s="165"/>
      <c r="G111" s="165"/>
      <c r="H111" s="156"/>
      <c r="I111" s="165"/>
      <c r="J111" s="327"/>
    </row>
    <row r="112" spans="1:15" ht="25.5">
      <c r="A112" s="894" t="s">
        <v>252</v>
      </c>
      <c r="B112" s="895"/>
      <c r="C112" s="896"/>
      <c r="D112" s="146" t="s">
        <v>183</v>
      </c>
      <c r="E112" s="95">
        <f>'8'!F112</f>
        <v>16101.56</v>
      </c>
      <c r="F112" s="237">
        <v>16163.68</v>
      </c>
      <c r="G112" s="112">
        <f t="shared" ref="G112:G123" si="9">F112-E112</f>
        <v>62.1200000000008</v>
      </c>
      <c r="H112" s="99">
        <f>G112+'8'!H112</f>
        <v>549.88000000000102</v>
      </c>
      <c r="I112" s="165"/>
      <c r="J112" s="328">
        <f>H112/DAY(B2)</f>
        <v>61.097777777777893</v>
      </c>
    </row>
    <row r="113" spans="1:18" ht="29.25" customHeight="1">
      <c r="A113" s="894" t="s">
        <v>253</v>
      </c>
      <c r="B113" s="895"/>
      <c r="C113" s="896"/>
      <c r="D113" s="146" t="s">
        <v>183</v>
      </c>
      <c r="E113" s="95">
        <f>'8'!F113</f>
        <v>33601.86</v>
      </c>
      <c r="F113" s="237">
        <v>33749.43</v>
      </c>
      <c r="G113" s="112">
        <f t="shared" si="9"/>
        <v>147.56999999999971</v>
      </c>
      <c r="H113" s="99">
        <f>G113+'8'!H113</f>
        <v>1298.760000000002</v>
      </c>
      <c r="I113" s="165"/>
      <c r="J113" s="328">
        <f>H113/DAY(B2)</f>
        <v>144.3066666666669</v>
      </c>
    </row>
    <row r="114" spans="1:18" ht="29.25" customHeight="1">
      <c r="A114" s="894" t="s">
        <v>254</v>
      </c>
      <c r="B114" s="895"/>
      <c r="C114" s="896"/>
      <c r="D114" s="146" t="s">
        <v>183</v>
      </c>
      <c r="E114" s="95">
        <f>'8'!F114</f>
        <v>49672.800000000003</v>
      </c>
      <c r="F114" s="237">
        <v>49873.31</v>
      </c>
      <c r="G114" s="112">
        <f t="shared" si="9"/>
        <v>200.50999999999476</v>
      </c>
      <c r="H114" s="99">
        <f>G114+'8'!H114</f>
        <v>1907.0099999999948</v>
      </c>
      <c r="I114" s="165"/>
      <c r="J114" s="328">
        <f>H114/DAY(B2)</f>
        <v>211.88999999999942</v>
      </c>
    </row>
    <row r="115" spans="1:18" ht="29.25" customHeight="1">
      <c r="A115" s="894" t="s">
        <v>255</v>
      </c>
      <c r="B115" s="895"/>
      <c r="C115" s="896"/>
      <c r="D115" s="146" t="s">
        <v>183</v>
      </c>
      <c r="E115" s="95">
        <f>'8'!F115</f>
        <v>31593.63</v>
      </c>
      <c r="F115" s="237">
        <v>31754.37</v>
      </c>
      <c r="G115" s="112">
        <f t="shared" si="9"/>
        <v>160.73999999999796</v>
      </c>
      <c r="H115" s="99">
        <f>G115+'8'!H115</f>
        <v>1317.9699999999975</v>
      </c>
      <c r="I115" s="165"/>
      <c r="J115" s="328">
        <f>H115/DAY(B2)</f>
        <v>146.44111111111084</v>
      </c>
    </row>
    <row r="116" spans="1:18" ht="29.25" customHeight="1">
      <c r="A116" s="912" t="s">
        <v>96</v>
      </c>
      <c r="B116" s="913"/>
      <c r="C116" s="914"/>
      <c r="D116" s="146" t="s">
        <v>183</v>
      </c>
      <c r="E116" s="95">
        <f>'8'!F116</f>
        <v>126023.57</v>
      </c>
      <c r="F116" s="237">
        <v>126457.18</v>
      </c>
      <c r="G116" s="112">
        <f t="shared" si="9"/>
        <v>433.60999999998603</v>
      </c>
      <c r="H116" s="99">
        <f>G116+'8'!H116</f>
        <v>3596.9799999999959</v>
      </c>
      <c r="I116" s="165"/>
      <c r="J116" s="328">
        <f>H116/DAY(B2)</f>
        <v>399.66444444444397</v>
      </c>
      <c r="Q116" s="894"/>
      <c r="R116" s="896"/>
    </row>
    <row r="117" spans="1:18" ht="29.25" customHeight="1">
      <c r="A117" s="912" t="s">
        <v>184</v>
      </c>
      <c r="B117" s="913"/>
      <c r="C117" s="914"/>
      <c r="D117" s="146" t="s">
        <v>183</v>
      </c>
      <c r="E117" s="405">
        <f>'8'!F117</f>
        <v>76063.44</v>
      </c>
      <c r="F117" s="416">
        <v>76353.649999999994</v>
      </c>
      <c r="G117" s="236">
        <f t="shared" si="9"/>
        <v>290.20999999999185</v>
      </c>
      <c r="H117" s="99">
        <f>G117+'8'!H117</f>
        <v>2372.4499999999971</v>
      </c>
      <c r="I117" s="165"/>
      <c r="J117" s="328">
        <f>H117/DAY(B2)</f>
        <v>263.60555555555521</v>
      </c>
      <c r="Q117" s="894"/>
      <c r="R117" s="896"/>
    </row>
    <row r="118" spans="1:18" ht="25.5">
      <c r="A118" s="889" t="s">
        <v>97</v>
      </c>
      <c r="B118" s="889"/>
      <c r="C118" s="889"/>
      <c r="D118" s="151" t="s">
        <v>183</v>
      </c>
      <c r="E118" s="405">
        <f>'8'!F118</f>
        <v>143798.81</v>
      </c>
      <c r="F118" s="416">
        <v>144454.88</v>
      </c>
      <c r="G118" s="236">
        <f t="shared" si="9"/>
        <v>656.07000000000698</v>
      </c>
      <c r="H118" s="99">
        <f>G118+'8'!H118</f>
        <v>5642.429999999993</v>
      </c>
      <c r="I118" s="165"/>
      <c r="J118" s="328">
        <f>H118/DAY(B2)</f>
        <v>626.93666666666593</v>
      </c>
      <c r="Q118" s="894"/>
      <c r="R118" s="896"/>
    </row>
    <row r="119" spans="1:18" ht="25.5">
      <c r="A119" s="889" t="s">
        <v>98</v>
      </c>
      <c r="B119" s="889"/>
      <c r="C119" s="889"/>
      <c r="D119" s="151" t="s">
        <v>183</v>
      </c>
      <c r="E119" s="405">
        <f>'8'!F119</f>
        <v>43449.33</v>
      </c>
      <c r="F119" s="416">
        <v>43460.57</v>
      </c>
      <c r="G119" s="236">
        <f t="shared" si="9"/>
        <v>11.239999999997963</v>
      </c>
      <c r="H119" s="99">
        <f>G119+'8'!H119</f>
        <v>106.87000000000262</v>
      </c>
      <c r="I119" s="165"/>
      <c r="J119" s="328">
        <f>H119/DAY(B2)</f>
        <v>11.874444444444736</v>
      </c>
    </row>
    <row r="120" spans="1:18" ht="25.5">
      <c r="A120" s="889" t="s">
        <v>99</v>
      </c>
      <c r="B120" s="889"/>
      <c r="C120" s="889"/>
      <c r="D120" s="151" t="s">
        <v>183</v>
      </c>
      <c r="E120" s="95">
        <f>'8'!F120</f>
        <v>98975.59</v>
      </c>
      <c r="F120" s="237">
        <v>99417.11</v>
      </c>
      <c r="G120" s="112">
        <f t="shared" si="9"/>
        <v>441.52000000000407</v>
      </c>
      <c r="H120" s="99">
        <f>G120+'8'!H120</f>
        <v>3709.5099999999948</v>
      </c>
      <c r="I120" s="165"/>
      <c r="J120" s="328">
        <f>H120/DAY(B2)</f>
        <v>412.16777777777719</v>
      </c>
    </row>
    <row r="121" spans="1:18" ht="25.5">
      <c r="A121" s="889" t="s">
        <v>100</v>
      </c>
      <c r="B121" s="889"/>
      <c r="C121" s="889"/>
      <c r="D121" s="151" t="s">
        <v>183</v>
      </c>
      <c r="E121" s="95">
        <f>'8'!F121</f>
        <v>111187.71</v>
      </c>
      <c r="F121" s="237">
        <v>111622.63</v>
      </c>
      <c r="G121" s="112">
        <f t="shared" si="9"/>
        <v>434.91999999999825</v>
      </c>
      <c r="H121" s="99">
        <f>G121+'8'!H121</f>
        <v>3793.5800000000017</v>
      </c>
      <c r="I121" s="165"/>
      <c r="J121" s="328">
        <f>H121/DAY(B2)</f>
        <v>421.50888888888909</v>
      </c>
    </row>
    <row r="122" spans="1:18" ht="25.5">
      <c r="A122" s="889" t="s">
        <v>101</v>
      </c>
      <c r="B122" s="889"/>
      <c r="C122" s="889"/>
      <c r="D122" s="151" t="s">
        <v>183</v>
      </c>
      <c r="E122" s="95">
        <f>'8'!F122</f>
        <v>73851.27</v>
      </c>
      <c r="F122" s="237">
        <v>74176.95</v>
      </c>
      <c r="G122" s="112">
        <f t="shared" si="9"/>
        <v>325.67999999999302</v>
      </c>
      <c r="H122" s="99">
        <f>G122+'8'!H122</f>
        <v>3139.0500000000029</v>
      </c>
      <c r="I122" s="165"/>
      <c r="J122" s="328">
        <f>H122/DAY(B2)</f>
        <v>348.78333333333364</v>
      </c>
    </row>
    <row r="123" spans="1:18" ht="25.5">
      <c r="A123" s="889" t="s">
        <v>102</v>
      </c>
      <c r="B123" s="889"/>
      <c r="C123" s="889"/>
      <c r="D123" s="151" t="s">
        <v>183</v>
      </c>
      <c r="E123" s="95">
        <f>'8'!F123</f>
        <v>70859.86</v>
      </c>
      <c r="F123" s="237">
        <v>71181.87</v>
      </c>
      <c r="G123" s="112">
        <f t="shared" si="9"/>
        <v>322.00999999999476</v>
      </c>
      <c r="H123" s="99">
        <f>G123+'8'!H123</f>
        <v>2824.5699999999924</v>
      </c>
      <c r="I123" s="165"/>
      <c r="J123" s="328">
        <f>H123/DAY(B2)</f>
        <v>313.84111111111025</v>
      </c>
    </row>
    <row r="124" spans="1:18" ht="29.25" customHeight="1">
      <c r="A124" s="919"/>
      <c r="B124" s="920"/>
      <c r="C124" s="921"/>
      <c r="D124" s="165"/>
      <c r="E124" s="165"/>
      <c r="F124" s="165"/>
      <c r="G124" s="327"/>
      <c r="H124" s="156"/>
      <c r="I124" s="165"/>
      <c r="J124" s="327"/>
    </row>
    <row r="125" spans="1:18" ht="25.5">
      <c r="A125" s="853" t="s">
        <v>196</v>
      </c>
      <c r="B125" s="854"/>
      <c r="C125" s="245"/>
      <c r="D125" s="307"/>
      <c r="E125" s="308"/>
      <c r="F125" s="308"/>
      <c r="G125" s="309">
        <f>SUM(G112:G124)</f>
        <v>3486.1999999999662</v>
      </c>
      <c r="H125" s="156"/>
      <c r="I125" s="327">
        <f>G125-(G39+G53)</f>
        <v>-751.95999999995001</v>
      </c>
      <c r="J125" s="327"/>
    </row>
    <row r="126" spans="1:18" ht="25.5">
      <c r="A126" s="922" t="s">
        <v>317</v>
      </c>
      <c r="B126" s="922"/>
      <c r="C126" s="922"/>
      <c r="D126" s="922"/>
      <c r="E126" s="922"/>
      <c r="F126" s="922"/>
      <c r="G126" s="922"/>
      <c r="H126" s="922"/>
      <c r="I126" s="922"/>
      <c r="J126" s="922"/>
    </row>
    <row r="127" spans="1:18" ht="25.5">
      <c r="A127" s="923"/>
      <c r="B127" s="923"/>
      <c r="C127" s="245"/>
      <c r="D127" s="307"/>
      <c r="E127" s="308"/>
      <c r="F127" s="308"/>
      <c r="G127" s="309"/>
      <c r="H127" s="99">
        <f>G127+'8'!H127</f>
        <v>0</v>
      </c>
      <c r="I127" s="165"/>
      <c r="J127" s="328">
        <f>H127/DAY(B2)</f>
        <v>0</v>
      </c>
    </row>
    <row r="128" spans="1:18" ht="29.25" customHeight="1">
      <c r="A128" s="894" t="s">
        <v>318</v>
      </c>
      <c r="B128" s="895"/>
      <c r="C128" s="896"/>
      <c r="D128" s="151" t="s">
        <v>183</v>
      </c>
      <c r="E128" s="95">
        <f>'8'!F128</f>
        <v>182396.91</v>
      </c>
      <c r="F128" s="155">
        <v>182820.17</v>
      </c>
      <c r="G128" s="112">
        <f t="shared" ref="G128:G134" si="10">F128-E128</f>
        <v>423.26000000000931</v>
      </c>
      <c r="H128" s="99">
        <f>G128+'8'!H128</f>
        <v>3408.320000000007</v>
      </c>
      <c r="I128" s="165"/>
      <c r="J128" s="328">
        <f>H128/DAY(B2)</f>
        <v>378.70222222222299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'8'!F129</f>
        <v>97606</v>
      </c>
      <c r="F129" s="155">
        <v>97772.14</v>
      </c>
      <c r="G129" s="112">
        <f t="shared" si="10"/>
        <v>166.13999999999942</v>
      </c>
      <c r="H129" s="99">
        <f>G129+'8'!H129</f>
        <v>1742.6399999999994</v>
      </c>
      <c r="I129" s="165"/>
      <c r="J129" s="328">
        <f>H129/DAY(B2)</f>
        <v>193.62666666666661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'8'!F130</f>
        <v>252317</v>
      </c>
      <c r="F130" s="155">
        <v>253139.73</v>
      </c>
      <c r="G130" s="112">
        <f t="shared" si="10"/>
        <v>822.73000000001048</v>
      </c>
      <c r="H130" s="99">
        <f>G130+'8'!H130</f>
        <v>6299.9800000000105</v>
      </c>
      <c r="I130" s="165"/>
      <c r="J130" s="328">
        <f>H130/DAY(B2)</f>
        <v>699.99777777777899</v>
      </c>
      <c r="N130" s="240"/>
      <c r="O130" s="241"/>
    </row>
    <row r="131" spans="1:15" ht="25.5">
      <c r="A131" s="894" t="s">
        <v>321</v>
      </c>
      <c r="B131" s="895"/>
      <c r="C131" s="896"/>
      <c r="D131" s="151" t="s">
        <v>183</v>
      </c>
      <c r="E131" s="95">
        <f>'8'!F131</f>
        <v>75510.63</v>
      </c>
      <c r="F131" s="155">
        <v>75778.55</v>
      </c>
      <c r="G131" s="112">
        <f t="shared" si="10"/>
        <v>267.91999999999825</v>
      </c>
      <c r="H131" s="99">
        <f>G131+'8'!H131</f>
        <v>2267.9499999999971</v>
      </c>
      <c r="I131" s="165"/>
      <c r="J131" s="328">
        <f>H131/DAY(B2)</f>
        <v>251.99444444444413</v>
      </c>
      <c r="N131" s="240"/>
      <c r="O131" s="241"/>
    </row>
    <row r="132" spans="1:15" ht="25.5">
      <c r="A132" s="894" t="s">
        <v>322</v>
      </c>
      <c r="B132" s="895"/>
      <c r="C132" s="896"/>
      <c r="D132" s="151" t="s">
        <v>183</v>
      </c>
      <c r="E132" s="95">
        <f>'8'!F132</f>
        <v>146985</v>
      </c>
      <c r="F132" s="155">
        <v>146985</v>
      </c>
      <c r="G132" s="112">
        <f t="shared" si="10"/>
        <v>0</v>
      </c>
      <c r="H132" s="99">
        <f>G132+'8'!H132</f>
        <v>0</v>
      </c>
      <c r="I132" s="165"/>
      <c r="J132" s="328">
        <f>H132/DAY(B2)</f>
        <v>0</v>
      </c>
    </row>
    <row r="133" spans="1:15" ht="25.5">
      <c r="A133" s="894" t="s">
        <v>323</v>
      </c>
      <c r="B133" s="895"/>
      <c r="C133" s="896"/>
      <c r="D133" s="151" t="s">
        <v>183</v>
      </c>
      <c r="E133" s="95">
        <f>'8'!F133</f>
        <v>916229</v>
      </c>
      <c r="F133" s="155">
        <v>916944</v>
      </c>
      <c r="G133" s="112">
        <f t="shared" si="10"/>
        <v>715</v>
      </c>
      <c r="H133" s="99">
        <f>G133+'8'!H133</f>
        <v>6700</v>
      </c>
      <c r="I133" s="165"/>
      <c r="J133" s="328">
        <f>H133/DAY(B2)</f>
        <v>744.44444444444446</v>
      </c>
    </row>
    <row r="134" spans="1:15" ht="25.5">
      <c r="A134" s="894" t="s">
        <v>340</v>
      </c>
      <c r="B134" s="895"/>
      <c r="C134" s="896"/>
      <c r="D134" s="151" t="s">
        <v>183</v>
      </c>
      <c r="E134" s="95">
        <f>'8'!F134</f>
        <v>80468.479999999996</v>
      </c>
      <c r="F134" s="155">
        <v>80684.77</v>
      </c>
      <c r="G134" s="112">
        <f t="shared" si="10"/>
        <v>216.29000000000815</v>
      </c>
      <c r="H134" s="99">
        <f>G134+'8'!H134</f>
        <v>1925.1699999999983</v>
      </c>
      <c r="I134" s="165"/>
      <c r="J134" s="328">
        <f>H134/DAY(B2)</f>
        <v>213.9077777777776</v>
      </c>
    </row>
    <row r="135" spans="1:15" ht="25.5">
      <c r="A135" s="853" t="s">
        <v>196</v>
      </c>
      <c r="B135" s="854"/>
      <c r="C135" s="331"/>
      <c r="D135" s="151"/>
      <c r="E135" s="95"/>
      <c r="F135" s="165"/>
      <c r="G135" s="112">
        <f>SUM(G128:G134)</f>
        <v>2611.3400000000256</v>
      </c>
      <c r="H135" s="99">
        <f>G135+'8'!H135</f>
        <v>22344.060000000012</v>
      </c>
      <c r="I135" s="327">
        <f>G135-(G35+G49)</f>
        <v>-872.93999999994412</v>
      </c>
      <c r="J135" s="328">
        <f>H135/DAY(B2)</f>
        <v>2482.6733333333345</v>
      </c>
    </row>
    <row r="136" spans="1:15" ht="27.75">
      <c r="A136" s="924" t="s">
        <v>325</v>
      </c>
      <c r="B136" s="924"/>
      <c r="C136" s="924"/>
      <c r="D136" s="924"/>
      <c r="E136" s="924"/>
      <c r="F136" s="924"/>
      <c r="G136" s="924"/>
      <c r="H136" s="924"/>
      <c r="I136" s="924"/>
      <c r="J136" s="92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9" t="s">
        <v>185</v>
      </c>
      <c r="B138" s="889"/>
      <c r="C138" s="889"/>
      <c r="D138" s="151" t="s">
        <v>183</v>
      </c>
      <c r="E138" s="95">
        <f>'8'!F138</f>
        <v>906553</v>
      </c>
      <c r="F138" s="147">
        <v>906725</v>
      </c>
      <c r="G138" s="112">
        <f t="shared" ref="G138:G152" si="11">F138-E138</f>
        <v>172</v>
      </c>
      <c r="H138" s="99">
        <f>G138+'8'!H138</f>
        <v>1066</v>
      </c>
      <c r="I138" s="118"/>
      <c r="J138" s="328">
        <f>H138/DAY(B2)</f>
        <v>118.44444444444444</v>
      </c>
    </row>
    <row r="139" spans="1:15" ht="25.5">
      <c r="A139" s="889" t="s">
        <v>186</v>
      </c>
      <c r="B139" s="889"/>
      <c r="C139" s="889"/>
      <c r="D139" s="151" t="s">
        <v>183</v>
      </c>
      <c r="E139" s="95">
        <f>'8'!F139</f>
        <v>928583</v>
      </c>
      <c r="F139" s="148">
        <v>928772</v>
      </c>
      <c r="G139" s="112">
        <f t="shared" si="11"/>
        <v>189</v>
      </c>
      <c r="H139" s="99">
        <f>G139+'8'!H139</f>
        <v>1491</v>
      </c>
      <c r="I139" s="118"/>
      <c r="J139" s="328">
        <f>H139/DAY(B2)</f>
        <v>165.66666666666666</v>
      </c>
    </row>
    <row r="140" spans="1:15" ht="25.5">
      <c r="A140" s="889" t="s">
        <v>187</v>
      </c>
      <c r="B140" s="889"/>
      <c r="C140" s="889"/>
      <c r="D140" s="151" t="s">
        <v>183</v>
      </c>
      <c r="E140" s="95">
        <f>'8'!F140</f>
        <v>3511.65</v>
      </c>
      <c r="F140" s="149">
        <v>3538.81</v>
      </c>
      <c r="G140" s="112">
        <f t="shared" si="11"/>
        <v>27.159999999999854</v>
      </c>
      <c r="H140" s="99">
        <f>G140+'8'!H140</f>
        <v>207.71000000000004</v>
      </c>
      <c r="I140" s="118"/>
      <c r="J140" s="328">
        <f>H140/DAY(B2)</f>
        <v>23.078888888888894</v>
      </c>
    </row>
    <row r="141" spans="1:15" ht="25.5">
      <c r="A141" s="893" t="s">
        <v>188</v>
      </c>
      <c r="B141" s="893"/>
      <c r="C141" s="893"/>
      <c r="D141" s="151" t="s">
        <v>183</v>
      </c>
      <c r="E141" s="95">
        <f>'8'!F141</f>
        <v>119446.7</v>
      </c>
      <c r="F141" s="149">
        <v>119671.32</v>
      </c>
      <c r="G141" s="112">
        <f t="shared" si="11"/>
        <v>224.6200000000099</v>
      </c>
      <c r="H141" s="99">
        <f>G141+'8'!H141</f>
        <v>2113.3400000000111</v>
      </c>
      <c r="I141" s="118"/>
      <c r="J141" s="328">
        <f>H141/DAY(B2)</f>
        <v>234.81555555555678</v>
      </c>
    </row>
    <row r="142" spans="1:15" ht="25.5">
      <c r="A142" s="893" t="s">
        <v>189</v>
      </c>
      <c r="B142" s="893"/>
      <c r="C142" s="893"/>
      <c r="D142" s="151" t="s">
        <v>183</v>
      </c>
      <c r="E142" s="95">
        <f>'8'!F142</f>
        <v>48208.47</v>
      </c>
      <c r="F142" s="148">
        <v>48320.07</v>
      </c>
      <c r="G142" s="112">
        <f t="shared" si="11"/>
        <v>111.59999999999854</v>
      </c>
      <c r="H142" s="99">
        <f>G142+'8'!H142</f>
        <v>815.56999999999971</v>
      </c>
      <c r="I142" s="140"/>
      <c r="J142" s="328">
        <f>H142/DAY(B2)</f>
        <v>90.618888888888861</v>
      </c>
    </row>
    <row r="143" spans="1:15" ht="25.5">
      <c r="A143" s="889" t="s">
        <v>91</v>
      </c>
      <c r="B143" s="889"/>
      <c r="C143" s="889"/>
      <c r="D143" s="151" t="s">
        <v>183</v>
      </c>
      <c r="E143" s="95">
        <f>'8'!F143</f>
        <v>12668</v>
      </c>
      <c r="F143" s="149">
        <v>12697.35</v>
      </c>
      <c r="G143" s="112">
        <f t="shared" si="11"/>
        <v>29.350000000000364</v>
      </c>
      <c r="H143" s="99">
        <f>G143+'8'!H143</f>
        <v>281.95000000000073</v>
      </c>
      <c r="I143" s="140"/>
      <c r="J143" s="328">
        <f>H143/DAY(B2)</f>
        <v>31.327777777777857</v>
      </c>
    </row>
    <row r="144" spans="1:15" ht="25.5">
      <c r="A144" s="893" t="s">
        <v>90</v>
      </c>
      <c r="B144" s="893"/>
      <c r="C144" s="893"/>
      <c r="D144" s="151" t="s">
        <v>183</v>
      </c>
      <c r="E144" s="405">
        <f>'8'!F144</f>
        <v>950057</v>
      </c>
      <c r="F144" s="148">
        <v>950286</v>
      </c>
      <c r="G144" s="112">
        <f t="shared" si="11"/>
        <v>229</v>
      </c>
      <c r="H144" s="99">
        <f>G144+'8'!H144</f>
        <v>2088</v>
      </c>
      <c r="I144" s="140"/>
      <c r="J144" s="328">
        <f>H144/DAY(B2)</f>
        <v>232</v>
      </c>
    </row>
    <row r="145" spans="1:10" ht="25.5">
      <c r="A145" s="889" t="s">
        <v>190</v>
      </c>
      <c r="B145" s="889"/>
      <c r="C145" s="889"/>
      <c r="D145" s="152" t="s">
        <v>183</v>
      </c>
      <c r="E145" s="405">
        <f>'8'!F145</f>
        <v>23763</v>
      </c>
      <c r="F145" s="148">
        <v>23915.07</v>
      </c>
      <c r="G145" s="112">
        <f t="shared" si="11"/>
        <v>152.06999999999971</v>
      </c>
      <c r="H145" s="99">
        <f>G145+'8'!H145</f>
        <v>1318.9700000000012</v>
      </c>
      <c r="I145" s="140"/>
      <c r="J145" s="328">
        <f>H145/DAY(B2)</f>
        <v>146.55222222222235</v>
      </c>
    </row>
    <row r="146" spans="1:10" ht="25.5">
      <c r="A146" s="890" t="s">
        <v>191</v>
      </c>
      <c r="B146" s="891"/>
      <c r="C146" s="892"/>
      <c r="D146" s="152" t="s">
        <v>183</v>
      </c>
      <c r="E146" s="405">
        <f>'8'!F146</f>
        <v>786941</v>
      </c>
      <c r="F146" s="148">
        <v>786977</v>
      </c>
      <c r="G146" s="112">
        <f t="shared" si="11"/>
        <v>36</v>
      </c>
      <c r="H146" s="99">
        <f>G146+'8'!H146</f>
        <v>309</v>
      </c>
      <c r="I146" s="140"/>
      <c r="J146" s="328">
        <f>H146/DAY(B2)</f>
        <v>34.333333333333336</v>
      </c>
    </row>
    <row r="147" spans="1:10" ht="25.5">
      <c r="A147" s="893" t="s">
        <v>192</v>
      </c>
      <c r="B147" s="893"/>
      <c r="C147" s="893"/>
      <c r="D147" s="152" t="s">
        <v>183</v>
      </c>
      <c r="E147" s="405">
        <f>'8'!F147</f>
        <v>751030</v>
      </c>
      <c r="F147" s="148">
        <v>751529.92</v>
      </c>
      <c r="G147" s="112">
        <f t="shared" si="11"/>
        <v>499.92000000004191</v>
      </c>
      <c r="H147" s="99">
        <f>G147+'8'!H147</f>
        <v>3975.7600000000093</v>
      </c>
      <c r="I147" s="140"/>
      <c r="J147" s="328">
        <f>H147/DAY(B2)</f>
        <v>441.75111111111215</v>
      </c>
    </row>
    <row r="148" spans="1:10" ht="25.5">
      <c r="A148" s="886" t="s">
        <v>193</v>
      </c>
      <c r="B148" s="887"/>
      <c r="C148" s="888"/>
      <c r="D148" s="123" t="s">
        <v>130</v>
      </c>
      <c r="E148" s="405">
        <f>'8'!F148</f>
        <v>787549</v>
      </c>
      <c r="F148" s="164">
        <v>788053</v>
      </c>
      <c r="G148" s="112">
        <f t="shared" si="11"/>
        <v>504</v>
      </c>
      <c r="H148" s="99">
        <f>G148+'8'!H148</f>
        <v>3408</v>
      </c>
      <c r="I148" s="124"/>
      <c r="J148" s="328">
        <f>H148/DAY(B2)</f>
        <v>378.66666666666669</v>
      </c>
    </row>
    <row r="149" spans="1:10" ht="25.5">
      <c r="A149" s="886" t="s">
        <v>336</v>
      </c>
      <c r="B149" s="887"/>
      <c r="C149" s="888"/>
      <c r="D149" s="227" t="s">
        <v>130</v>
      </c>
      <c r="E149" s="405">
        <f>'8'!F149</f>
        <v>189024</v>
      </c>
      <c r="F149" s="415">
        <v>189572.87</v>
      </c>
      <c r="G149" s="112">
        <f t="shared" si="11"/>
        <v>548.86999999999534</v>
      </c>
      <c r="H149" s="99">
        <f>G149+'8'!H149</f>
        <v>4275.9799999999814</v>
      </c>
      <c r="I149" s="119"/>
      <c r="J149" s="328">
        <f>H149/DAY(B2)</f>
        <v>475.10888888888684</v>
      </c>
    </row>
    <row r="150" spans="1:10" ht="25.5">
      <c r="A150" s="886" t="s">
        <v>337</v>
      </c>
      <c r="B150" s="887"/>
      <c r="C150" s="888"/>
      <c r="D150" s="117" t="s">
        <v>130</v>
      </c>
      <c r="E150" s="405">
        <f>'8'!F150</f>
        <v>79505</v>
      </c>
      <c r="F150" s="233">
        <v>79742.75</v>
      </c>
      <c r="G150" s="112">
        <f t="shared" si="11"/>
        <v>237.75</v>
      </c>
      <c r="H150" s="99">
        <f>G150+'8'!H150</f>
        <v>2076.4499999999971</v>
      </c>
      <c r="I150" s="119"/>
      <c r="J150" s="328">
        <f>H150/DAY(B2)</f>
        <v>230.71666666666636</v>
      </c>
    </row>
    <row r="151" spans="1:10" ht="25.5">
      <c r="A151" s="886" t="s">
        <v>338</v>
      </c>
      <c r="B151" s="887"/>
      <c r="C151" s="888"/>
      <c r="D151" s="117" t="s">
        <v>130</v>
      </c>
      <c r="E151" s="95">
        <f>'8'!F151</f>
        <v>160199</v>
      </c>
      <c r="F151" s="233">
        <v>160480</v>
      </c>
      <c r="G151" s="112">
        <f t="shared" si="11"/>
        <v>281</v>
      </c>
      <c r="H151" s="99">
        <f>G151+'8'!H151</f>
        <v>2170</v>
      </c>
      <c r="I151" s="119"/>
      <c r="J151" s="328">
        <f>H151/DAY(B2)</f>
        <v>241.11111111111111</v>
      </c>
    </row>
    <row r="152" spans="1:10" ht="25.5">
      <c r="A152" s="886" t="s">
        <v>339</v>
      </c>
      <c r="B152" s="887"/>
      <c r="C152" s="888"/>
      <c r="D152" s="117" t="s">
        <v>130</v>
      </c>
      <c r="E152" s="95">
        <f>'8'!F152</f>
        <v>39696</v>
      </c>
      <c r="F152" s="233">
        <v>39849.1</v>
      </c>
      <c r="G152" s="112">
        <f t="shared" si="11"/>
        <v>153.09999999999854</v>
      </c>
      <c r="H152" s="99">
        <f>G152+'8'!H152</f>
        <v>1233.1999999999971</v>
      </c>
      <c r="I152" s="119"/>
      <c r="J152" s="328">
        <f>H152/DAY(B2)</f>
        <v>137.0222222222219</v>
      </c>
    </row>
    <row r="153" spans="1:10" ht="25.5">
      <c r="A153" s="853" t="s">
        <v>196</v>
      </c>
      <c r="B153" s="854"/>
      <c r="C153" s="365"/>
      <c r="D153" s="358"/>
      <c r="E153" s="360"/>
      <c r="F153" s="361"/>
      <c r="G153" s="362">
        <f>SUM(G138:G152)</f>
        <v>3395.4400000000442</v>
      </c>
      <c r="H153" s="363"/>
      <c r="I153" s="119">
        <f>G153-(G38+G52)</f>
        <v>730.64000000011401</v>
      </c>
      <c r="J153" s="366"/>
    </row>
    <row r="154" spans="1:10" ht="27.75">
      <c r="A154" s="924" t="s">
        <v>344</v>
      </c>
      <c r="B154" s="924"/>
      <c r="C154" s="924"/>
      <c r="D154" s="924"/>
      <c r="E154" s="924"/>
      <c r="F154" s="924"/>
      <c r="G154" s="924"/>
      <c r="H154" s="924"/>
      <c r="I154" s="924"/>
      <c r="J154" s="924"/>
    </row>
    <row r="155" spans="1:10" ht="27.75">
      <c r="A155" s="893" t="s">
        <v>345</v>
      </c>
      <c r="B155" s="893"/>
      <c r="C155" s="893"/>
      <c r="D155" s="117" t="s">
        <v>130</v>
      </c>
      <c r="E155" s="95">
        <f>'8'!F155</f>
        <v>225009</v>
      </c>
      <c r="F155" s="374">
        <v>225635</v>
      </c>
      <c r="G155" s="112">
        <f t="shared" ref="G155:G158" si="12">F155-E155</f>
        <v>626</v>
      </c>
      <c r="H155" s="99">
        <f>G155+'8'!H155</f>
        <v>5647.2999999999884</v>
      </c>
      <c r="I155" s="364"/>
      <c r="J155" s="328">
        <f>H155/DAY(B2)</f>
        <v>627.47777777777651</v>
      </c>
    </row>
    <row r="156" spans="1:10" ht="25.5">
      <c r="A156" s="893" t="s">
        <v>346</v>
      </c>
      <c r="B156" s="893"/>
      <c r="C156" s="893"/>
      <c r="D156" s="117" t="s">
        <v>130</v>
      </c>
      <c r="E156" s="95">
        <f>'8'!F156</f>
        <v>27303</v>
      </c>
      <c r="F156" s="155">
        <v>27396</v>
      </c>
      <c r="G156" s="112">
        <f t="shared" si="12"/>
        <v>93</v>
      </c>
      <c r="H156" s="99">
        <f>G156+'8'!H156</f>
        <v>865.79999999999927</v>
      </c>
      <c r="I156" s="165"/>
      <c r="J156" s="328">
        <f>H156/DAY(B2)</f>
        <v>96.199999999999918</v>
      </c>
    </row>
    <row r="157" spans="1:10" ht="25.5">
      <c r="A157" s="886" t="s">
        <v>360</v>
      </c>
      <c r="B157" s="887"/>
      <c r="C157" s="888"/>
      <c r="D157" s="117" t="s">
        <v>130</v>
      </c>
      <c r="E157" s="95">
        <f>'8'!F157</f>
        <v>37559</v>
      </c>
      <c r="F157" s="155">
        <v>37559</v>
      </c>
      <c r="G157" s="112">
        <f t="shared" si="12"/>
        <v>0</v>
      </c>
      <c r="H157" s="99">
        <f>G157+'8'!H157</f>
        <v>0</v>
      </c>
      <c r="I157" s="165"/>
      <c r="J157" s="328">
        <f>H157/DAY(B2)</f>
        <v>0</v>
      </c>
    </row>
    <row r="158" spans="1:10" ht="25.5">
      <c r="A158" s="886" t="s">
        <v>361</v>
      </c>
      <c r="B158" s="887"/>
      <c r="C158" s="888"/>
      <c r="D158" s="117" t="s">
        <v>130</v>
      </c>
      <c r="E158" s="95">
        <f>'8'!F158</f>
        <v>1684.92</v>
      </c>
      <c r="F158" s="155">
        <v>1689</v>
      </c>
      <c r="G158" s="112">
        <f t="shared" si="12"/>
        <v>4.0799999999999272</v>
      </c>
      <c r="H158" s="99">
        <f>G158+'8'!H158</f>
        <v>127.65000000000009</v>
      </c>
      <c r="I158" s="165"/>
      <c r="J158" s="328">
        <f>H158/DAY(B2)</f>
        <v>14.183333333333344</v>
      </c>
    </row>
    <row r="159" spans="1:10" ht="25.5">
      <c r="A159" s="942"/>
      <c r="B159" s="943"/>
      <c r="C159" s="944"/>
      <c r="D159" s="117"/>
      <c r="E159" s="95"/>
      <c r="F159" s="155"/>
      <c r="G159" s="112"/>
      <c r="H159" s="99">
        <f>G159+'8'!H159</f>
        <v>0</v>
      </c>
      <c r="I159" s="165"/>
      <c r="J159" s="328">
        <f>H159/DAY(B2)</f>
        <v>0</v>
      </c>
    </row>
    <row r="160" spans="1:10" ht="27.75">
      <c r="A160" s="924" t="s">
        <v>326</v>
      </c>
      <c r="B160" s="924"/>
      <c r="C160" s="924"/>
      <c r="D160" s="924"/>
      <c r="E160" s="924"/>
      <c r="F160" s="924"/>
      <c r="G160" s="924"/>
      <c r="H160" s="924"/>
      <c r="I160" s="924"/>
      <c r="J160" s="924"/>
    </row>
    <row r="161" spans="1:10" ht="26.25">
      <c r="A161" s="242" t="s">
        <v>92</v>
      </c>
      <c r="B161" s="243"/>
      <c r="C161" s="243"/>
      <c r="D161" s="244" t="s">
        <v>180</v>
      </c>
      <c r="E161" s="95">
        <f>'8'!F161</f>
        <v>504674.44</v>
      </c>
      <c r="F161" s="235">
        <v>504801.96</v>
      </c>
      <c r="G161" s="238">
        <f t="shared" ref="G161:G166" si="13">F161-E161</f>
        <v>127.52000000001863</v>
      </c>
      <c r="H161" s="99">
        <f>G161+'8'!H161</f>
        <v>1430.8000000000466</v>
      </c>
      <c r="I161" s="236"/>
      <c r="J161" s="239">
        <f>H161/DAY(B2)</f>
        <v>158.97777777778296</v>
      </c>
    </row>
    <row r="162" spans="1:10" ht="27" customHeight="1">
      <c r="A162" s="242" t="s">
        <v>93</v>
      </c>
      <c r="B162" s="243"/>
      <c r="C162" s="243"/>
      <c r="D162" s="244" t="s">
        <v>180</v>
      </c>
      <c r="E162" s="95">
        <f>'8'!F162</f>
        <v>99983.6</v>
      </c>
      <c r="F162" s="235">
        <v>100029</v>
      </c>
      <c r="G162" s="238">
        <f t="shared" si="13"/>
        <v>45.399999999994179</v>
      </c>
      <c r="H162" s="99">
        <f>G162+'8'!H162</f>
        <v>375.39999999999418</v>
      </c>
      <c r="I162" s="236"/>
      <c r="J162" s="239">
        <f>H162/DAY(B2)</f>
        <v>41.711111111110462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'8'!F163</f>
        <v>0</v>
      </c>
      <c r="F163" s="235">
        <v>0</v>
      </c>
      <c r="G163" s="238">
        <f t="shared" si="13"/>
        <v>0</v>
      </c>
      <c r="H163" s="99">
        <f>G163+'8'!H163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'8'!F164</f>
        <v>7050</v>
      </c>
      <c r="F164" s="235">
        <v>7077</v>
      </c>
      <c r="G164" s="238">
        <f t="shared" si="13"/>
        <v>27</v>
      </c>
      <c r="H164" s="99">
        <f>G164+'8'!H164</f>
        <v>86.800000000000182</v>
      </c>
      <c r="I164" s="236"/>
      <c r="J164" s="239">
        <f>H164/DAY(B2)</f>
        <v>9.6444444444444652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'8'!F165</f>
        <v>32632</v>
      </c>
      <c r="F165" s="235">
        <v>32640</v>
      </c>
      <c r="G165" s="238">
        <f t="shared" si="13"/>
        <v>8</v>
      </c>
      <c r="H165" s="99">
        <f>G165+'8'!H165</f>
        <v>65.900000000001455</v>
      </c>
      <c r="I165" s="236"/>
      <c r="J165" s="239">
        <f>H165/DAY(B2)</f>
        <v>7.3222222222223836</v>
      </c>
    </row>
    <row r="166" spans="1:10" ht="26.25">
      <c r="A166" s="923"/>
      <c r="B166" s="923"/>
      <c r="C166" s="246"/>
      <c r="D166" s="244" t="s">
        <v>180</v>
      </c>
      <c r="E166" s="95">
        <f>'8'!F166</f>
        <v>0</v>
      </c>
      <c r="F166" s="165">
        <v>0</v>
      </c>
      <c r="G166" s="165">
        <f t="shared" si="13"/>
        <v>0</v>
      </c>
      <c r="H166" s="99">
        <f>G166+'8'!H166</f>
        <v>0</v>
      </c>
      <c r="I166" s="165"/>
      <c r="J166" s="239">
        <f>H166/DAY(B2)</f>
        <v>0</v>
      </c>
    </row>
    <row r="167" spans="1:10" ht="26.25">
      <c r="A167" s="923"/>
      <c r="B167" s="923"/>
      <c r="C167" s="246"/>
      <c r="D167" s="244" t="s">
        <v>180</v>
      </c>
      <c r="E167" s="95">
        <f>'8'!F167</f>
        <v>0</v>
      </c>
      <c r="F167" s="165"/>
      <c r="G167" s="165"/>
      <c r="H167" s="99">
        <f>G167+'8'!H167</f>
        <v>0</v>
      </c>
      <c r="I167" s="165"/>
      <c r="J167" s="239">
        <f>H167/DAY(B2)</f>
        <v>0</v>
      </c>
    </row>
    <row r="168" spans="1:10" ht="26.25">
      <c r="A168" s="923"/>
      <c r="B168" s="923"/>
      <c r="C168" s="246"/>
      <c r="D168" s="244" t="s">
        <v>180</v>
      </c>
      <c r="E168" s="95">
        <f>'8'!F168</f>
        <v>0</v>
      </c>
      <c r="F168" s="165"/>
      <c r="G168" s="165"/>
      <c r="H168" s="99">
        <f>G168+'8'!H168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33" t="s">
        <v>330</v>
      </c>
      <c r="B171" s="934"/>
      <c r="C171" s="934"/>
      <c r="D171" s="934"/>
      <c r="E171" s="934"/>
      <c r="F171" s="934"/>
      <c r="G171" s="934"/>
      <c r="H171" s="934"/>
      <c r="I171" s="934"/>
      <c r="J171" s="935"/>
    </row>
    <row r="172" spans="1:10" ht="25.5">
      <c r="A172" s="929"/>
      <c r="B172" s="930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41" t="s">
        <v>209</v>
      </c>
      <c r="B173" s="843"/>
      <c r="C173" s="333"/>
      <c r="D173" s="228" t="s">
        <v>142</v>
      </c>
      <c r="E173" s="95">
        <f>'8'!F173</f>
        <v>8596</v>
      </c>
      <c r="F173" s="155">
        <v>8596</v>
      </c>
      <c r="G173" s="155">
        <f>F173-E173</f>
        <v>0</v>
      </c>
      <c r="H173" s="99">
        <f>G173+'8'!H173</f>
        <v>12</v>
      </c>
      <c r="I173" s="155"/>
      <c r="J173" s="178">
        <f>H173/DAY(B2)</f>
        <v>1.3333333333333333</v>
      </c>
    </row>
    <row r="174" spans="1:10" ht="25.5">
      <c r="A174" s="841" t="s">
        <v>75</v>
      </c>
      <c r="B174" s="843"/>
      <c r="C174" s="333"/>
      <c r="D174" s="228" t="s">
        <v>142</v>
      </c>
      <c r="E174" s="95">
        <f>'8'!F174</f>
        <v>42760</v>
      </c>
      <c r="F174" s="157">
        <v>42773</v>
      </c>
      <c r="G174" s="155">
        <f t="shared" ref="G174:G175" si="14">F174-E174</f>
        <v>13</v>
      </c>
      <c r="H174" s="99">
        <f>G174+'8'!H174</f>
        <v>104</v>
      </c>
      <c r="I174" s="155"/>
      <c r="J174" s="178">
        <f>H174/DAY(B2)</f>
        <v>11.555555555555555</v>
      </c>
    </row>
    <row r="175" spans="1:10" ht="25.5">
      <c r="A175" s="841" t="s">
        <v>76</v>
      </c>
      <c r="B175" s="842"/>
      <c r="C175" s="843"/>
      <c r="D175" s="228" t="s">
        <v>142</v>
      </c>
      <c r="E175" s="95">
        <f>'8'!F175</f>
        <v>25498</v>
      </c>
      <c r="F175" s="155">
        <v>25510</v>
      </c>
      <c r="G175" s="155">
        <f t="shared" si="14"/>
        <v>12</v>
      </c>
      <c r="H175" s="99">
        <f>G175+'8'!H175</f>
        <v>117</v>
      </c>
      <c r="I175" s="155"/>
      <c r="J175" s="178">
        <f>H175/DAY(B2)</f>
        <v>13</v>
      </c>
    </row>
    <row r="176" spans="1:10" ht="25.5">
      <c r="A176" s="853" t="s">
        <v>196</v>
      </c>
      <c r="B176" s="854"/>
      <c r="C176" s="333"/>
      <c r="D176" s="228" t="s">
        <v>142</v>
      </c>
      <c r="E176" s="95"/>
      <c r="F176" s="155"/>
      <c r="G176" s="155">
        <f>SUM(G173:G175)</f>
        <v>25</v>
      </c>
      <c r="H176" s="99">
        <f>G176+'8'!H176</f>
        <v>233</v>
      </c>
      <c r="I176" s="155"/>
      <c r="J176" s="178">
        <f>H176/DAY(B2)</f>
        <v>25.888888888888889</v>
      </c>
    </row>
    <row r="177" spans="1:10" ht="25.5">
      <c r="A177" s="841" t="s">
        <v>77</v>
      </c>
      <c r="B177" s="843"/>
      <c r="C177" s="333"/>
      <c r="D177" s="228" t="s">
        <v>142</v>
      </c>
      <c r="E177" s="95"/>
      <c r="F177" s="155"/>
      <c r="G177" s="155"/>
      <c r="H177" s="99">
        <f>G177+'8'!H177</f>
        <v>0</v>
      </c>
      <c r="I177" s="155"/>
      <c r="J177" s="178">
        <f>H177/DAY(B2)</f>
        <v>0</v>
      </c>
    </row>
    <row r="178" spans="1:10" ht="25.5">
      <c r="A178" s="841" t="s">
        <v>210</v>
      </c>
      <c r="B178" s="843"/>
      <c r="C178" s="333"/>
      <c r="D178" s="228" t="s">
        <v>142</v>
      </c>
      <c r="E178" s="95">
        <f>'8'!F178</f>
        <v>104108</v>
      </c>
      <c r="F178" s="155">
        <v>104188</v>
      </c>
      <c r="G178" s="155">
        <f>F178-E178</f>
        <v>80</v>
      </c>
      <c r="H178" s="99">
        <f>G178+'8'!H178</f>
        <v>545</v>
      </c>
      <c r="I178" s="155"/>
      <c r="J178" s="178">
        <f>H178/DAY(B2)</f>
        <v>60.555555555555557</v>
      </c>
    </row>
    <row r="179" spans="1:10" ht="25.5">
      <c r="A179" s="841" t="s">
        <v>211</v>
      </c>
      <c r="B179" s="843"/>
      <c r="C179" s="333"/>
      <c r="D179" s="228" t="s">
        <v>142</v>
      </c>
      <c r="E179" s="95">
        <f>'8'!F179</f>
        <v>37501</v>
      </c>
      <c r="F179" s="155">
        <v>37501</v>
      </c>
      <c r="G179" s="155">
        <f t="shared" ref="G179:G180" si="15">F179-E179</f>
        <v>0</v>
      </c>
      <c r="H179" s="99">
        <f>G179+'8'!H179</f>
        <v>0</v>
      </c>
      <c r="I179" s="155"/>
      <c r="J179" s="178">
        <f>H179/DAY(B2)</f>
        <v>0</v>
      </c>
    </row>
    <row r="180" spans="1:10" ht="31.5" customHeight="1">
      <c r="A180" s="841" t="s">
        <v>212</v>
      </c>
      <c r="B180" s="843"/>
      <c r="C180" s="333"/>
      <c r="D180" s="228" t="s">
        <v>142</v>
      </c>
      <c r="E180" s="95">
        <f>'8'!F180</f>
        <v>7439</v>
      </c>
      <c r="F180" s="155">
        <v>7439</v>
      </c>
      <c r="G180" s="155">
        <f t="shared" si="15"/>
        <v>0</v>
      </c>
      <c r="H180" s="99">
        <f>G180+'8'!H180</f>
        <v>19</v>
      </c>
      <c r="I180" s="155"/>
      <c r="J180" s="178">
        <f>H180/DAY(B2)</f>
        <v>2.1111111111111112</v>
      </c>
    </row>
    <row r="181" spans="1:10" ht="25.5">
      <c r="A181" s="927" t="s">
        <v>108</v>
      </c>
      <c r="B181" s="928"/>
      <c r="C181" s="333"/>
      <c r="D181" s="228" t="s">
        <v>142</v>
      </c>
      <c r="E181" s="95"/>
      <c r="F181" s="155"/>
      <c r="G181" s="155">
        <f>SUM(G178:G180)</f>
        <v>80</v>
      </c>
      <c r="H181" s="99">
        <f>G181+'8'!H181</f>
        <v>564</v>
      </c>
      <c r="I181" s="155"/>
      <c r="J181" s="178">
        <f>H181/DAY(B2)</f>
        <v>62.666666666666664</v>
      </c>
    </row>
    <row r="182" spans="1:10" ht="25.5">
      <c r="A182" s="841" t="s">
        <v>213</v>
      </c>
      <c r="B182" s="843"/>
      <c r="C182" s="333"/>
      <c r="D182" s="228" t="s">
        <v>142</v>
      </c>
      <c r="E182" s="95"/>
      <c r="F182" s="155"/>
      <c r="G182" s="155"/>
      <c r="H182" s="99">
        <f>G182+'8'!H182</f>
        <v>0</v>
      </c>
      <c r="I182" s="155"/>
      <c r="J182" s="178">
        <f>H182/DAY(B2)</f>
        <v>0</v>
      </c>
    </row>
    <row r="183" spans="1:10" ht="25.5">
      <c r="A183" s="841" t="s">
        <v>214</v>
      </c>
      <c r="B183" s="843"/>
      <c r="C183" s="334"/>
      <c r="D183" s="228" t="s">
        <v>142</v>
      </c>
      <c r="E183" s="95">
        <f>'8'!F183</f>
        <v>18205</v>
      </c>
      <c r="F183" s="157">
        <v>18213</v>
      </c>
      <c r="G183" s="157">
        <f>F183-E183</f>
        <v>8</v>
      </c>
      <c r="H183" s="99">
        <f>G183+'8'!H183</f>
        <v>45</v>
      </c>
      <c r="I183" s="155"/>
      <c r="J183" s="178">
        <f>H183/DAY(B2)</f>
        <v>5</v>
      </c>
    </row>
    <row r="184" spans="1:10" ht="25.5">
      <c r="A184" s="841" t="s">
        <v>215</v>
      </c>
      <c r="B184" s="843"/>
      <c r="C184" s="334"/>
      <c r="D184" s="228" t="s">
        <v>142</v>
      </c>
      <c r="E184" s="95">
        <f>'8'!F184</f>
        <v>12810</v>
      </c>
      <c r="F184" s="157">
        <v>12815</v>
      </c>
      <c r="G184" s="157">
        <f t="shared" ref="G184:G185" si="16">F184-E184</f>
        <v>5</v>
      </c>
      <c r="H184" s="99">
        <f>G184+'8'!H184</f>
        <v>65</v>
      </c>
      <c r="I184" s="155"/>
      <c r="J184" s="178">
        <f>H184/DAY(B2)</f>
        <v>7.2222222222222223</v>
      </c>
    </row>
    <row r="185" spans="1:10" ht="35.25" customHeight="1">
      <c r="A185" s="841" t="s">
        <v>216</v>
      </c>
      <c r="B185" s="843"/>
      <c r="C185" s="334"/>
      <c r="D185" s="228" t="s">
        <v>142</v>
      </c>
      <c r="E185" s="95">
        <f>'8'!F185</f>
        <v>0</v>
      </c>
      <c r="F185" s="157">
        <v>0</v>
      </c>
      <c r="G185" s="157">
        <f t="shared" si="16"/>
        <v>0</v>
      </c>
      <c r="H185" s="99">
        <f>G185+'8'!H185</f>
        <v>0</v>
      </c>
      <c r="I185" s="155"/>
      <c r="J185" s="178">
        <f>H185/DAY(B2)</f>
        <v>0</v>
      </c>
    </row>
    <row r="186" spans="1:10" ht="27" customHeight="1">
      <c r="A186" s="853" t="s">
        <v>196</v>
      </c>
      <c r="B186" s="854"/>
      <c r="C186" s="334"/>
      <c r="D186" s="228" t="s">
        <v>142</v>
      </c>
      <c r="E186" s="95"/>
      <c r="F186" s="157"/>
      <c r="G186" s="157">
        <f>SUM(G183:G185)</f>
        <v>13</v>
      </c>
      <c r="H186" s="99">
        <f>G186+'8'!H186</f>
        <v>110</v>
      </c>
      <c r="I186" s="157"/>
      <c r="J186" s="178">
        <f>H186/DAY(B2)</f>
        <v>12.222222222222221</v>
      </c>
    </row>
    <row r="187" spans="1:10" ht="25.5">
      <c r="A187" s="931" t="s">
        <v>217</v>
      </c>
      <c r="B187" s="932"/>
      <c r="C187" s="333"/>
      <c r="D187" s="230" t="s">
        <v>142</v>
      </c>
      <c r="E187" s="95"/>
      <c r="F187" s="159"/>
      <c r="G187" s="159">
        <f>G62+G19</f>
        <v>192</v>
      </c>
      <c r="H187" s="99">
        <f>G187+'8'!H187</f>
        <v>1524</v>
      </c>
      <c r="I187" s="158"/>
      <c r="J187" s="179">
        <f>H187/DAY(B2)</f>
        <v>169.33333333333334</v>
      </c>
    </row>
    <row r="188" spans="1:10" ht="25.5">
      <c r="A188" s="931" t="s">
        <v>218</v>
      </c>
      <c r="B188" s="932"/>
      <c r="C188" s="333"/>
      <c r="D188" s="230" t="s">
        <v>142</v>
      </c>
      <c r="E188" s="95"/>
      <c r="F188" s="159"/>
      <c r="G188" s="159">
        <f>G65+G66+G67+G69+G70</f>
        <v>208</v>
      </c>
      <c r="H188" s="99">
        <f>G188+'8'!H188</f>
        <v>57000</v>
      </c>
      <c r="I188" s="158"/>
      <c r="J188" s="179">
        <f>H188/DAY(B2)</f>
        <v>6333.333333333333</v>
      </c>
    </row>
    <row r="189" spans="1:10" ht="25.5">
      <c r="A189" s="931" t="s">
        <v>219</v>
      </c>
      <c r="B189" s="932"/>
      <c r="C189" s="333"/>
      <c r="D189" s="230" t="s">
        <v>142</v>
      </c>
      <c r="E189" s="95"/>
      <c r="F189" s="157"/>
      <c r="G189" s="157">
        <f>G181</f>
        <v>80</v>
      </c>
      <c r="H189" s="99">
        <f>G189+'8'!H189</f>
        <v>564</v>
      </c>
      <c r="I189" s="158"/>
      <c r="J189" s="179">
        <f>H189/DAY(B2)</f>
        <v>62.666666666666664</v>
      </c>
    </row>
    <row r="190" spans="1:10" ht="29.25" customHeight="1">
      <c r="A190" s="925"/>
      <c r="B190" s="926"/>
      <c r="C190" s="390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87:B187"/>
    <mergeCell ref="A188:B188"/>
    <mergeCell ref="A189:B189"/>
    <mergeCell ref="A190:B190"/>
    <mergeCell ref="A141:C141"/>
    <mergeCell ref="A142:C142"/>
    <mergeCell ref="A160:J160"/>
    <mergeCell ref="A166:B166"/>
    <mergeCell ref="A167:B167"/>
    <mergeCell ref="A184:B184"/>
    <mergeCell ref="A185:B185"/>
    <mergeCell ref="A150:C150"/>
    <mergeCell ref="A151:C151"/>
    <mergeCell ref="A152:C152"/>
    <mergeCell ref="A154:J154"/>
    <mergeCell ref="A155:C155"/>
    <mergeCell ref="A156:C156"/>
    <mergeCell ref="A153:B153"/>
    <mergeCell ref="A145:C145"/>
    <mergeCell ref="A146:C146"/>
    <mergeCell ref="A147:C147"/>
    <mergeCell ref="A148:C148"/>
    <mergeCell ref="A149:C149"/>
    <mergeCell ref="A186:B186"/>
    <mergeCell ref="A183:B183"/>
    <mergeCell ref="A181:B181"/>
    <mergeCell ref="A182:B182"/>
    <mergeCell ref="A179:B179"/>
    <mergeCell ref="A180:B180"/>
    <mergeCell ref="A175:C175"/>
    <mergeCell ref="A168:B168"/>
    <mergeCell ref="A171:J171"/>
    <mergeCell ref="A172:B172"/>
    <mergeCell ref="A173:B173"/>
    <mergeCell ref="A174:B174"/>
    <mergeCell ref="A176:B176"/>
    <mergeCell ref="A177:B177"/>
    <mergeCell ref="A178:B178"/>
    <mergeCell ref="A157:C157"/>
    <mergeCell ref="A158:C158"/>
    <mergeCell ref="A159:C159"/>
    <mergeCell ref="A75:C75"/>
    <mergeCell ref="A76:C76"/>
    <mergeCell ref="A77:C77"/>
    <mergeCell ref="A79:C79"/>
    <mergeCell ref="A80:C80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9:B109"/>
    <mergeCell ref="A122:C122"/>
    <mergeCell ref="A123:C123"/>
    <mergeCell ref="A124:C124"/>
    <mergeCell ref="A125:B125"/>
    <mergeCell ref="A126:J126"/>
    <mergeCell ref="A33:C33"/>
    <mergeCell ref="A61:C61"/>
    <mergeCell ref="A62:C62"/>
    <mergeCell ref="A63:C63"/>
    <mergeCell ref="A143:C143"/>
    <mergeCell ref="A144:C144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35:B135"/>
    <mergeCell ref="A71:C71"/>
    <mergeCell ref="A114:C114"/>
    <mergeCell ref="A115:C115"/>
    <mergeCell ref="A116:C116"/>
    <mergeCell ref="A119:C119"/>
    <mergeCell ref="A120:C120"/>
    <mergeCell ref="A100:C100"/>
    <mergeCell ref="A101:C101"/>
    <mergeCell ref="A103:C103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27:B127"/>
    <mergeCell ref="A128:C128"/>
    <mergeCell ref="A64:C64"/>
    <mergeCell ref="A65:C65"/>
    <mergeCell ref="A104:C104"/>
    <mergeCell ref="A105:C105"/>
    <mergeCell ref="A72:B72"/>
    <mergeCell ref="A78:C78"/>
    <mergeCell ref="A97:C97"/>
    <mergeCell ref="A98:C98"/>
    <mergeCell ref="A99:C99"/>
    <mergeCell ref="A81:C81"/>
    <mergeCell ref="A102:C102"/>
    <mergeCell ref="A95:C95"/>
    <mergeCell ref="A96:C96"/>
    <mergeCell ref="A93:C93"/>
    <mergeCell ref="A94:C94"/>
    <mergeCell ref="A73:C73"/>
    <mergeCell ref="A74:C74"/>
    <mergeCell ref="A121:C121"/>
  </mergeCells>
  <pageMargins left="0.22" right="0.17" top="0.14000000000000001" bottom="0.2" header="0.2" footer="0.2"/>
  <pageSetup paperSize="5" scale="2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R270"/>
  <sheetViews>
    <sheetView view="pageBreakPreview" zoomScale="55" zoomScaleNormal="55" zoomScaleSheetLayoutView="55" workbookViewId="0">
      <selection activeCell="F19" sqref="F19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67" t="s">
        <v>115</v>
      </c>
      <c r="B1" s="868"/>
      <c r="C1" s="868"/>
      <c r="D1" s="868"/>
      <c r="E1" s="868"/>
      <c r="F1" s="868"/>
      <c r="G1" s="868"/>
      <c r="H1" s="868"/>
      <c r="I1" s="868"/>
      <c r="J1" s="869"/>
    </row>
    <row r="2" spans="1:15" s="57" customFormat="1" ht="23.25">
      <c r="A2" s="191" t="s">
        <v>354</v>
      </c>
      <c r="B2" s="262">
        <v>44905</v>
      </c>
      <c r="C2" s="348" t="s">
        <v>67</v>
      </c>
      <c r="D2" s="218">
        <v>0.91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25</v>
      </c>
      <c r="E3" s="876" t="s">
        <v>119</v>
      </c>
      <c r="F3" s="877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0" t="s">
        <v>128</v>
      </c>
      <c r="B6" s="871"/>
      <c r="C6" s="87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'9'!F7</f>
        <v>480243.19</v>
      </c>
      <c r="F7" s="95">
        <v>502807.19</v>
      </c>
      <c r="G7" s="112">
        <f>F7-E7</f>
        <v>22564</v>
      </c>
      <c r="H7" s="99">
        <f>G7+'9'!H7</f>
        <v>229124.64</v>
      </c>
      <c r="I7" s="113">
        <f>'1'!I7</f>
        <v>12000</v>
      </c>
      <c r="J7" s="175">
        <f>H7/DAY(B2)</f>
        <v>22912.464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'9'!F8</f>
        <v>658942.55000000005</v>
      </c>
      <c r="F8" s="114">
        <v>681573.35</v>
      </c>
      <c r="G8" s="115">
        <f>F8-E8</f>
        <v>22630.79999999993</v>
      </c>
      <c r="H8" s="99">
        <f>G8+'9'!H8</f>
        <v>230312.34999999998</v>
      </c>
      <c r="I8" s="116"/>
      <c r="J8" s="175">
        <f>H8/DAY(B2)</f>
        <v>23031.234999999997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'9'!F9</f>
        <v>4172093.5</v>
      </c>
      <c r="F9" s="468">
        <v>4178571.1</v>
      </c>
      <c r="G9" s="112">
        <f>F9-E9</f>
        <v>6477.6000000000931</v>
      </c>
      <c r="H9" s="99">
        <f>G9+'9'!H9</f>
        <v>64400.800000000279</v>
      </c>
      <c r="I9" s="124">
        <f>I7-J7</f>
        <v>-10912.464</v>
      </c>
      <c r="J9" s="175">
        <f>H9/DAY(B2)</f>
        <v>6440.0800000000281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'9'!F10</f>
        <v>3832525.1</v>
      </c>
      <c r="F10" s="117">
        <v>3847989.1</v>
      </c>
      <c r="G10" s="112">
        <f t="shared" ref="G10:G12" si="0">F10-E10</f>
        <v>15464</v>
      </c>
      <c r="H10" s="99">
        <f>G10+'9'!H10</f>
        <v>158510</v>
      </c>
      <c r="I10" s="282"/>
      <c r="J10" s="175">
        <f>H10/DAY(B2)</f>
        <v>15851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'9'!F11</f>
        <v>38120</v>
      </c>
      <c r="F11" s="95">
        <v>38120</v>
      </c>
      <c r="G11" s="112">
        <f t="shared" si="0"/>
        <v>0</v>
      </c>
      <c r="H11" s="99">
        <f>G11+'9'!H11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'9'!F12</f>
        <v>40390</v>
      </c>
      <c r="F12" s="117">
        <v>40390</v>
      </c>
      <c r="G12" s="112">
        <f t="shared" si="0"/>
        <v>0</v>
      </c>
      <c r="H12" s="99">
        <f>G12+'9'!H12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21941.600000000093</v>
      </c>
      <c r="H13" s="99">
        <f>G13+'9'!H13</f>
        <v>227139.5</v>
      </c>
      <c r="I13" s="120">
        <f>G7-G13</f>
        <v>622.39999999990687</v>
      </c>
      <c r="J13" s="175">
        <f>H13/DAY(B2)</f>
        <v>22713.95</v>
      </c>
      <c r="K13" s="79"/>
      <c r="L13" s="66"/>
      <c r="N13" s="87"/>
      <c r="O13" s="71"/>
    </row>
    <row r="14" spans="1:15" ht="26.25">
      <c r="A14" s="873" t="s">
        <v>137</v>
      </c>
      <c r="B14" s="874"/>
      <c r="C14" s="87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'9'!F15</f>
        <v>2228829</v>
      </c>
      <c r="F15" s="468">
        <v>2229896.4500000002</v>
      </c>
      <c r="G15" s="112">
        <f>(F15-E15)</f>
        <v>1067.4500000001863</v>
      </c>
      <c r="H15" s="99">
        <f>G15+'9'!H15</f>
        <v>10955.450000000186</v>
      </c>
      <c r="I15" s="113">
        <f>'1'!I15</f>
        <v>800</v>
      </c>
      <c r="J15" s="175">
        <f>H15/DAY(B2)</f>
        <v>1095.5450000000187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-295.54500000001872</v>
      </c>
      <c r="J16" s="176"/>
      <c r="K16" s="79"/>
      <c r="L16" s="66"/>
      <c r="N16" s="87"/>
      <c r="O16" s="71"/>
    </row>
    <row r="17" spans="1:15" ht="26.25">
      <c r="A17" s="873" t="s">
        <v>140</v>
      </c>
      <c r="B17" s="874"/>
      <c r="C17" s="87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64" t="s">
        <v>141</v>
      </c>
      <c r="B18" s="865"/>
      <c r="C18" s="866"/>
      <c r="D18" s="151" t="s">
        <v>142</v>
      </c>
      <c r="E18" s="95">
        <f>'9'!F18</f>
        <v>28</v>
      </c>
      <c r="F18" s="164">
        <v>26</v>
      </c>
      <c r="G18" s="119">
        <f>F18*10</f>
        <v>260</v>
      </c>
      <c r="H18" s="99">
        <f>G18+'9'!H18</f>
        <v>2560</v>
      </c>
      <c r="I18" s="113">
        <f>'1'!I18</f>
        <v>65</v>
      </c>
      <c r="J18" s="175">
        <f>H18/DAY(B2)</f>
        <v>256</v>
      </c>
      <c r="K18" s="79"/>
      <c r="L18" s="66"/>
      <c r="N18" s="87"/>
      <c r="O18" s="71"/>
    </row>
    <row r="19" spans="1:15" ht="25.5">
      <c r="A19" s="864" t="s">
        <v>69</v>
      </c>
      <c r="B19" s="865"/>
      <c r="C19" s="866"/>
      <c r="D19" s="151" t="s">
        <v>142</v>
      </c>
      <c r="E19" s="95">
        <f>'9'!F19</f>
        <v>168443</v>
      </c>
      <c r="F19" s="122">
        <v>168508</v>
      </c>
      <c r="G19" s="112">
        <f t="shared" ref="G19" si="1">F19-E19</f>
        <v>65</v>
      </c>
      <c r="H19" s="99">
        <f>G19+'9'!H19</f>
        <v>548</v>
      </c>
      <c r="I19" s="335"/>
      <c r="J19" s="175">
        <f>H19/DAY(B2)</f>
        <v>54.8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325</v>
      </c>
      <c r="H20" s="99">
        <f>G20+'9'!H20</f>
        <v>3108</v>
      </c>
      <c r="I20" s="336">
        <f>I18-J20</f>
        <v>-245.8</v>
      </c>
      <c r="J20" s="175">
        <f>H20/DAY(B2)</f>
        <v>310.8</v>
      </c>
      <c r="K20" s="79"/>
      <c r="L20" s="66"/>
      <c r="N20" s="87"/>
      <c r="O20" s="71"/>
    </row>
    <row r="21" spans="1:15" ht="26.25">
      <c r="A21" s="873" t="s">
        <v>144</v>
      </c>
      <c r="B21" s="874"/>
      <c r="C21" s="87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'9'!F22</f>
        <v>2970</v>
      </c>
      <c r="F22" s="122">
        <v>2970</v>
      </c>
      <c r="G22" s="119">
        <f t="shared" ref="G22" si="2">(F22-E22)</f>
        <v>0</v>
      </c>
      <c r="H22" s="99">
        <f>G22+'9'!H22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'9'!F23</f>
        <v>2000</v>
      </c>
      <c r="F23" s="122">
        <v>2000</v>
      </c>
      <c r="G23" s="119">
        <v>0</v>
      </c>
      <c r="H23" s="99">
        <f>G23+'9'!H23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'9'!F24</f>
        <v>4970</v>
      </c>
      <c r="F24" s="128">
        <v>4970</v>
      </c>
      <c r="G24" s="119">
        <v>0</v>
      </c>
      <c r="H24" s="99">
        <f>G24+'9'!H24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78" t="s">
        <v>149</v>
      </c>
      <c r="B25" s="879"/>
      <c r="C25" s="88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G26+'9'!H26</f>
        <v>0</v>
      </c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22630.79999999993</v>
      </c>
      <c r="F27" s="136">
        <v>9</v>
      </c>
      <c r="G27" s="137">
        <f>E27*F27</f>
        <v>203677.19999999937</v>
      </c>
      <c r="H27" s="99">
        <f>G27+'9'!H27</f>
        <v>2095401.9499999997</v>
      </c>
      <c r="I27" s="138"/>
      <c r="J27" s="175">
        <f>H27/DAY(B2)</f>
        <v>209540.19499999998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1067.4500000001863</v>
      </c>
      <c r="F28" s="136">
        <v>70</v>
      </c>
      <c r="G28" s="137">
        <f>E28*F28</f>
        <v>74721.500000013039</v>
      </c>
      <c r="H28" s="99">
        <f>G28+'9'!H28</f>
        <v>777393.2500000135</v>
      </c>
      <c r="I28" s="140"/>
      <c r="J28" s="175">
        <f>H28/DAY(B2)</f>
        <v>77739.32500000135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65</v>
      </c>
      <c r="F30" s="136">
        <v>151</v>
      </c>
      <c r="G30" s="137">
        <f>E30*F30</f>
        <v>9815</v>
      </c>
      <c r="H30" s="99">
        <f>G30+'9'!H30</f>
        <v>82748</v>
      </c>
      <c r="I30" s="140"/>
      <c r="J30" s="175">
        <f>H30/DAY(B2)</f>
        <v>8274.7999999999993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G31+'9'!H31</f>
        <v>204800</v>
      </c>
      <c r="I31" s="140"/>
      <c r="J31" s="175">
        <f>H31/DAY(B2)</f>
        <v>20480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309013.70000001241</v>
      </c>
      <c r="H32" s="99">
        <f>G32+'9'!H32</f>
        <v>3160343.2000000132</v>
      </c>
      <c r="I32" s="144"/>
      <c r="J32" s="175">
        <f>H32/DAY(B2)</f>
        <v>316034.32000000135</v>
      </c>
      <c r="K32" s="63"/>
      <c r="L32" s="89"/>
      <c r="N32" s="87"/>
      <c r="O32" s="71"/>
    </row>
    <row r="33" spans="1:15" ht="25.5" customHeight="1">
      <c r="A33" s="881" t="s">
        <v>331</v>
      </c>
      <c r="B33" s="882"/>
      <c r="C33" s="88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'9'!F35</f>
        <v>394579.55</v>
      </c>
      <c r="F35" s="145">
        <v>397300.35</v>
      </c>
      <c r="G35" s="112">
        <f t="shared" ref="G35:G46" si="3">F35-E35</f>
        <v>2720.7999999999884</v>
      </c>
      <c r="H35" s="99">
        <f>G35+'9'!H35</f>
        <v>28203.440000000002</v>
      </c>
      <c r="I35" s="95"/>
      <c r="J35" s="175">
        <f>H35/DAY(B2)</f>
        <v>2820.3440000000001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'9'!F36</f>
        <v>332030.63</v>
      </c>
      <c r="F36" s="145">
        <v>333123.21000000002</v>
      </c>
      <c r="G36" s="112">
        <f t="shared" si="3"/>
        <v>1092.5800000000163</v>
      </c>
      <c r="H36" s="99">
        <f>G36+'9'!H36</f>
        <v>10906.100000000035</v>
      </c>
      <c r="I36" s="95"/>
      <c r="J36" s="175">
        <f>H36/DAY(B2)</f>
        <v>1090.6100000000035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'9'!F37</f>
        <v>322998.69</v>
      </c>
      <c r="F37" s="145">
        <v>322998.69</v>
      </c>
      <c r="G37" s="112">
        <f t="shared" si="3"/>
        <v>0</v>
      </c>
      <c r="H37" s="99">
        <f>G37+'9'!H37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'9'!F38</f>
        <v>757711.59</v>
      </c>
      <c r="F38" s="108">
        <v>760297.59</v>
      </c>
      <c r="G38" s="112">
        <f t="shared" si="3"/>
        <v>2586</v>
      </c>
      <c r="H38" s="99">
        <f>G38+'9'!H38</f>
        <v>24445.199999999953</v>
      </c>
      <c r="I38" s="95"/>
      <c r="J38" s="175">
        <f>H38/DAY(B2)</f>
        <v>2444.5199999999954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'9'!F39</f>
        <v>591584.18999999994</v>
      </c>
      <c r="F39" s="145">
        <v>591584.18999999994</v>
      </c>
      <c r="G39" s="112">
        <f t="shared" si="3"/>
        <v>0</v>
      </c>
      <c r="H39" s="99">
        <f>G39+'9'!H39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'9'!F40</f>
        <v>200531.37</v>
      </c>
      <c r="F40" s="145">
        <v>200962.19</v>
      </c>
      <c r="G40" s="112">
        <f t="shared" si="3"/>
        <v>430.82000000000698</v>
      </c>
      <c r="H40" s="99">
        <f>G40+'9'!H40</f>
        <v>4232.2200000000012</v>
      </c>
      <c r="I40" s="95"/>
      <c r="J40" s="175">
        <f>H40/DAY(B2)</f>
        <v>423.22200000000009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'9'!F41</f>
        <v>419197.47</v>
      </c>
      <c r="F41" s="145">
        <v>419197.47</v>
      </c>
      <c r="G41" s="112">
        <f t="shared" si="3"/>
        <v>0</v>
      </c>
      <c r="H41" s="99">
        <f>G41+'9'!H41</f>
        <v>29.879999999946449</v>
      </c>
      <c r="I41" s="95"/>
      <c r="J41" s="175">
        <f>H41/DAY(B2)</f>
        <v>2.9879999999946447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'9'!F42</f>
        <v>871891.03</v>
      </c>
      <c r="F42" s="145">
        <v>871891.03</v>
      </c>
      <c r="G42" s="112">
        <f t="shared" si="3"/>
        <v>0</v>
      </c>
      <c r="H42" s="99">
        <f>G42+'9'!H42</f>
        <v>20.160000000032596</v>
      </c>
      <c r="I42" s="95"/>
      <c r="J42" s="175">
        <f>H42/DAY(B2)</f>
        <v>2.0160000000032596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'9'!F43</f>
        <v>407028</v>
      </c>
      <c r="F43" s="145">
        <v>407028</v>
      </c>
      <c r="G43" s="112">
        <f t="shared" si="3"/>
        <v>0</v>
      </c>
      <c r="H43" s="99">
        <f>G43+'9'!H43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'9'!F44</f>
        <v>0</v>
      </c>
      <c r="F44" s="145">
        <v>0</v>
      </c>
      <c r="G44" s="112">
        <f t="shared" si="3"/>
        <v>0</v>
      </c>
      <c r="H44" s="99">
        <f>G44+'9'!H44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'9'!F45</f>
        <v>0</v>
      </c>
      <c r="F45" s="145">
        <v>0</v>
      </c>
      <c r="G45" s="112">
        <f t="shared" si="3"/>
        <v>0</v>
      </c>
      <c r="H45" s="99">
        <f>G45+'9'!H45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'9'!F46</f>
        <v>0</v>
      </c>
      <c r="F46" s="145">
        <v>0</v>
      </c>
      <c r="G46" s="112">
        <f t="shared" si="3"/>
        <v>0</v>
      </c>
      <c r="H46" s="99">
        <f>G46+'9'!H46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6830.2000000000116</v>
      </c>
      <c r="H47" s="99">
        <f>G47+'9'!H47</f>
        <v>67836.999999999971</v>
      </c>
      <c r="I47" s="95"/>
      <c r="J47" s="175">
        <f>H47/DAY(B2)</f>
        <v>6783.6999999999971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'9'!F49</f>
        <v>797222.63</v>
      </c>
      <c r="F49" s="145">
        <v>797680.23</v>
      </c>
      <c r="G49" s="112">
        <f t="shared" ref="G49:G58" si="4">F49-E49</f>
        <v>457.59999999997672</v>
      </c>
      <c r="H49" s="99">
        <f>G49+'9'!H49</f>
        <v>4057.2800000000279</v>
      </c>
      <c r="I49" s="95"/>
      <c r="J49" s="175">
        <f>H49/DAY(B2)</f>
        <v>405.72800000000279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'9'!F50</f>
        <v>470699.47</v>
      </c>
      <c r="F50" s="145">
        <v>472418.23</v>
      </c>
      <c r="G50" s="112">
        <f t="shared" si="4"/>
        <v>1718.7600000000093</v>
      </c>
      <c r="H50" s="99">
        <f>G50+'9'!H50</f>
        <v>15749.159999999974</v>
      </c>
      <c r="I50" s="95"/>
      <c r="J50" s="175">
        <f>H50/DAY(B2)</f>
        <v>1574.9159999999974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'9'!F51</f>
        <v>145002.51</v>
      </c>
      <c r="F51" s="145">
        <v>146102.42000000001</v>
      </c>
      <c r="G51" s="112">
        <f t="shared" si="4"/>
        <v>1099.9100000000035</v>
      </c>
      <c r="H51" s="99">
        <f>G51+'9'!H51</f>
        <v>10857.870000000024</v>
      </c>
      <c r="I51" s="95"/>
      <c r="J51" s="175">
        <f>H51/DAY(B2)</f>
        <v>1085.7870000000025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'9'!F52</f>
        <v>9.76</v>
      </c>
      <c r="F52" s="145">
        <v>9.76</v>
      </c>
      <c r="G52" s="112">
        <f t="shared" si="4"/>
        <v>0</v>
      </c>
      <c r="H52" s="99">
        <f>G52+'9'!H52</f>
        <v>-0.24000000000000021</v>
      </c>
      <c r="I52" s="95"/>
      <c r="J52" s="175">
        <f>H52/DAY(B2)</f>
        <v>-2.4000000000000021E-2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'9'!F53</f>
        <v>583496.94999999995</v>
      </c>
      <c r="F53" s="145">
        <v>587582.23</v>
      </c>
      <c r="G53" s="112">
        <f t="shared" si="4"/>
        <v>4085.2800000000279</v>
      </c>
      <c r="H53" s="99">
        <f>G53+'9'!H53</f>
        <v>41040.959999999963</v>
      </c>
      <c r="I53" s="95"/>
      <c r="J53" s="175">
        <f>H53/DAY(B2)</f>
        <v>4104.0959999999959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'9'!F54</f>
        <v>109132.52</v>
      </c>
      <c r="F54" s="145">
        <v>109302.2</v>
      </c>
      <c r="G54" s="112">
        <f t="shared" si="4"/>
        <v>169.67999999999302</v>
      </c>
      <c r="H54" s="99">
        <f>G54+'9'!H54</f>
        <v>1639.0399999999936</v>
      </c>
      <c r="I54" s="95"/>
      <c r="J54" s="175">
        <f>H54/DAY(B2)</f>
        <v>163.90399999999937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'9'!F55</f>
        <v>571421.55000000005</v>
      </c>
      <c r="F55" s="422">
        <v>571421.55000000005</v>
      </c>
      <c r="G55" s="112">
        <f t="shared" si="4"/>
        <v>0</v>
      </c>
      <c r="H55" s="99">
        <f>G55+'9'!H55</f>
        <v>9936.8800000000047</v>
      </c>
      <c r="I55" s="95"/>
      <c r="J55" s="175">
        <f>H55/DAY(B2)</f>
        <v>993.68800000000044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'9'!F56</f>
        <v>292199.25</v>
      </c>
      <c r="F56" s="422">
        <v>295415.39</v>
      </c>
      <c r="G56" s="112">
        <f t="shared" si="4"/>
        <v>3216.140000000014</v>
      </c>
      <c r="H56" s="99">
        <f>G56+'9'!H56</f>
        <v>27300.380000000005</v>
      </c>
      <c r="I56" s="95"/>
      <c r="J56" s="175">
        <f>H56/DAY(B2)</f>
        <v>2730.0380000000005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'9'!F57</f>
        <v>590668.51</v>
      </c>
      <c r="F57" s="422">
        <v>593229.31000000006</v>
      </c>
      <c r="G57" s="112">
        <f t="shared" si="4"/>
        <v>2560.8000000000466</v>
      </c>
      <c r="H57" s="99">
        <f>G57+'9'!H57</f>
        <v>24650.840000000084</v>
      </c>
      <c r="I57" s="95"/>
      <c r="J57" s="175">
        <f>H57/DAY(B2)</f>
        <v>2465.0840000000085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'9'!F58</f>
        <v>80856.05</v>
      </c>
      <c r="F58" s="422">
        <v>81075.289999999994</v>
      </c>
      <c r="G58" s="112">
        <f t="shared" si="4"/>
        <v>219.23999999999069</v>
      </c>
      <c r="H58" s="99">
        <f>G58+'9'!H58</f>
        <v>2359.5999999999913</v>
      </c>
      <c r="I58" s="95"/>
      <c r="J58" s="175">
        <f>H58/DAY(B2)</f>
        <v>235.95999999999913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13527.410000000062</v>
      </c>
      <c r="H59" s="99">
        <f>G59+'9'!H59</f>
        <v>137591.77000000008</v>
      </c>
      <c r="I59" s="95">
        <f>G7-G60</f>
        <v>2206.3899999999267</v>
      </c>
      <c r="J59" s="175">
        <f>H59/DAY(B2)</f>
        <v>13759.177000000007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20357.610000000073</v>
      </c>
      <c r="H60" s="99">
        <f>G60+'9'!H60</f>
        <v>205428.77000000008</v>
      </c>
      <c r="I60" s="95">
        <f>G13-G60</f>
        <v>1583.9900000000198</v>
      </c>
      <c r="J60" s="175">
        <f>H60/DAY(B2)</f>
        <v>20542.877000000008</v>
      </c>
      <c r="K60" s="79"/>
      <c r="L60" s="66"/>
      <c r="N60" s="87"/>
      <c r="O60" s="71"/>
    </row>
    <row r="61" spans="1:15" s="68" customFormat="1" ht="26.25">
      <c r="A61" s="883" t="s">
        <v>332</v>
      </c>
      <c r="B61" s="884"/>
      <c r="C61" s="88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64" t="s">
        <v>198</v>
      </c>
      <c r="B62" s="865"/>
      <c r="C62" s="866"/>
      <c r="D62" s="151" t="s">
        <v>142</v>
      </c>
      <c r="E62" s="95">
        <f>'9'!F62</f>
        <v>309355</v>
      </c>
      <c r="F62" s="122">
        <v>309498</v>
      </c>
      <c r="G62" s="112">
        <f t="shared" ref="G62:G63" si="5">F62-E62</f>
        <v>143</v>
      </c>
      <c r="H62" s="99">
        <f>G62+'9'!H62</f>
        <v>1184</v>
      </c>
      <c r="I62" s="118"/>
      <c r="J62" s="175">
        <f>H62/DAY(B2)</f>
        <v>118.4</v>
      </c>
      <c r="K62" s="80"/>
      <c r="L62" s="66"/>
      <c r="N62" s="87"/>
      <c r="O62" s="71"/>
    </row>
    <row r="63" spans="1:15" ht="25.5">
      <c r="A63" s="864" t="s">
        <v>199</v>
      </c>
      <c r="B63" s="865"/>
      <c r="C63" s="866"/>
      <c r="D63" s="151" t="s">
        <v>142</v>
      </c>
      <c r="E63" s="95">
        <f>'9'!F63</f>
        <v>247492</v>
      </c>
      <c r="F63" s="164">
        <v>247594</v>
      </c>
      <c r="G63" s="112">
        <f t="shared" si="5"/>
        <v>102</v>
      </c>
      <c r="H63" s="99">
        <f>G63+'9'!H63</f>
        <v>665</v>
      </c>
      <c r="I63" s="118"/>
      <c r="J63" s="175">
        <f>H63/DAY(B2)</f>
        <v>66.5</v>
      </c>
      <c r="K63" s="69"/>
      <c r="L63" s="66"/>
      <c r="N63" s="87"/>
      <c r="O63" s="71"/>
    </row>
    <row r="64" spans="1:15" ht="26.25">
      <c r="A64" s="861" t="s">
        <v>200</v>
      </c>
      <c r="B64" s="862"/>
      <c r="C64" s="863"/>
      <c r="D64" s="151"/>
      <c r="E64" s="95">
        <f>'9'!F64</f>
        <v>0</v>
      </c>
      <c r="F64" s="122"/>
      <c r="G64" s="112">
        <f>G62+G63</f>
        <v>245</v>
      </c>
      <c r="H64" s="99">
        <f>G64+'9'!H64</f>
        <v>1849</v>
      </c>
      <c r="I64" s="118"/>
      <c r="J64" s="175">
        <f>H64/DAY(B2)</f>
        <v>184.9</v>
      </c>
      <c r="K64" s="69"/>
      <c r="L64" s="66"/>
      <c r="N64" s="87"/>
      <c r="O64" s="71"/>
    </row>
    <row r="65" spans="1:15" ht="25.5">
      <c r="A65" s="864" t="s">
        <v>201</v>
      </c>
      <c r="B65" s="865"/>
      <c r="C65" s="866"/>
      <c r="D65" s="151" t="s">
        <v>142</v>
      </c>
      <c r="E65" s="95">
        <f>'9'!F65</f>
        <v>469089</v>
      </c>
      <c r="F65" s="122">
        <v>469241</v>
      </c>
      <c r="G65" s="112">
        <f t="shared" ref="G65:G70" si="6">F65-E65</f>
        <v>152</v>
      </c>
      <c r="H65" s="99">
        <f>G65+'9'!H65</f>
        <v>1340</v>
      </c>
      <c r="I65" s="118"/>
      <c r="J65" s="175">
        <f>H65/DAY(B2)</f>
        <v>134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'9'!F66</f>
        <v>113285</v>
      </c>
      <c r="F66" s="122">
        <v>113294</v>
      </c>
      <c r="G66" s="112">
        <f t="shared" si="6"/>
        <v>9</v>
      </c>
      <c r="H66" s="99">
        <f>G66+'9'!H66</f>
        <v>55547</v>
      </c>
      <c r="I66" s="118"/>
      <c r="J66" s="175">
        <f>H66/DAY(B2)</f>
        <v>5554.7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'9'!F67</f>
        <v>116031</v>
      </c>
      <c r="F67" s="122">
        <v>116061</v>
      </c>
      <c r="G67" s="112">
        <f t="shared" si="6"/>
        <v>30</v>
      </c>
      <c r="H67" s="99">
        <f>G67+'9'!H67</f>
        <v>206</v>
      </c>
      <c r="I67" s="118"/>
      <c r="J67" s="175">
        <f>H67/DAY(B2)</f>
        <v>20.6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'9'!F68</f>
        <v>168761</v>
      </c>
      <c r="F68" s="122">
        <v>168802</v>
      </c>
      <c r="G68" s="112">
        <f t="shared" si="6"/>
        <v>41</v>
      </c>
      <c r="H68" s="99">
        <f>G68+'9'!H68</f>
        <v>295</v>
      </c>
      <c r="I68" s="118"/>
      <c r="J68" s="175">
        <f>H68/DAY(B2)</f>
        <v>29.5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'9'!F69</f>
        <v>12844</v>
      </c>
      <c r="F69" s="122">
        <v>12850</v>
      </c>
      <c r="G69" s="112">
        <f t="shared" si="6"/>
        <v>6</v>
      </c>
      <c r="H69" s="99">
        <f>G69+'9'!H69</f>
        <v>40</v>
      </c>
      <c r="I69" s="118"/>
      <c r="J69" s="175">
        <f>H69/DAY(B2)</f>
        <v>4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'9'!F70</f>
        <v>10843</v>
      </c>
      <c r="F70" s="122">
        <v>10851</v>
      </c>
      <c r="G70" s="112">
        <f t="shared" si="6"/>
        <v>8</v>
      </c>
      <c r="H70" s="99">
        <f>G70+'9'!H70</f>
        <v>72</v>
      </c>
      <c r="I70" s="118"/>
      <c r="J70" s="175">
        <f>H70/DAY(B2)</f>
        <v>7.2</v>
      </c>
      <c r="K70" s="69"/>
      <c r="L70" s="66"/>
      <c r="N70" s="87"/>
      <c r="O70" s="71"/>
    </row>
    <row r="71" spans="1:15" ht="26.25">
      <c r="A71" s="861" t="s">
        <v>208</v>
      </c>
      <c r="B71" s="862"/>
      <c r="C71" s="863"/>
      <c r="D71" s="152"/>
      <c r="E71" s="152"/>
      <c r="F71" s="152"/>
      <c r="G71" s="153">
        <f>SUM(G65:G70)</f>
        <v>246</v>
      </c>
      <c r="H71" s="99">
        <f>G71+'9'!H71</f>
        <v>57500</v>
      </c>
      <c r="I71" s="154"/>
      <c r="J71" s="175">
        <f>H71/DAY(B2)</f>
        <v>5750</v>
      </c>
      <c r="K71" s="69"/>
      <c r="L71" s="66"/>
      <c r="N71" s="87"/>
      <c r="O71" s="71"/>
    </row>
    <row r="72" spans="1:15" s="88" customFormat="1" ht="25.5">
      <c r="A72" s="904"/>
      <c r="B72" s="89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09" t="s">
        <v>333</v>
      </c>
      <c r="B73" s="910"/>
      <c r="C73" s="91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64" t="s">
        <v>220</v>
      </c>
      <c r="B74" s="865"/>
      <c r="C74" s="866"/>
      <c r="D74" s="151" t="s">
        <v>139</v>
      </c>
      <c r="E74" s="95">
        <f>'9'!F74</f>
        <v>996024</v>
      </c>
      <c r="F74" s="117">
        <v>996296.74</v>
      </c>
      <c r="G74" s="112">
        <f t="shared" ref="G74:G78" si="7">F74-E74</f>
        <v>272.73999999999069</v>
      </c>
      <c r="H74" s="99">
        <f>G74+'9'!H74</f>
        <v>2937.7099999999627</v>
      </c>
      <c r="I74" s="154"/>
      <c r="J74" s="175">
        <f>H74/DAY(B2)</f>
        <v>293.77099999999626</v>
      </c>
      <c r="K74" s="69"/>
      <c r="L74" s="66"/>
      <c r="N74" s="87"/>
      <c r="O74" s="71"/>
    </row>
    <row r="75" spans="1:15" ht="25.5">
      <c r="A75" s="864" t="s">
        <v>221</v>
      </c>
      <c r="B75" s="865"/>
      <c r="C75" s="866"/>
      <c r="D75" s="151" t="s">
        <v>139</v>
      </c>
      <c r="E75" s="95">
        <f>'9'!F75</f>
        <v>73586.8</v>
      </c>
      <c r="F75" s="123">
        <v>73586.8</v>
      </c>
      <c r="G75" s="112">
        <f t="shared" si="7"/>
        <v>0</v>
      </c>
      <c r="H75" s="99">
        <f>G75+'9'!H75</f>
        <v>0.80000000000291038</v>
      </c>
      <c r="I75" s="154"/>
      <c r="J75" s="175">
        <f>H75/DAY(B2)</f>
        <v>8.0000000000291033E-2</v>
      </c>
      <c r="K75" s="69"/>
      <c r="L75" s="66"/>
      <c r="N75" s="87"/>
      <c r="O75" s="71"/>
    </row>
    <row r="76" spans="1:15" ht="25.5">
      <c r="A76" s="905" t="s">
        <v>222</v>
      </c>
      <c r="B76" s="891"/>
      <c r="C76" s="892"/>
      <c r="D76" s="151" t="s">
        <v>139</v>
      </c>
      <c r="E76" s="95">
        <f>'9'!F76</f>
        <v>204925.07</v>
      </c>
      <c r="F76" s="123">
        <v>205048</v>
      </c>
      <c r="G76" s="112">
        <f t="shared" si="7"/>
        <v>122.92999999999302</v>
      </c>
      <c r="H76" s="99">
        <f>G76+'9'!H76</f>
        <v>1386</v>
      </c>
      <c r="I76" s="154"/>
      <c r="J76" s="175">
        <f>H76/DAY(B2)</f>
        <v>138.6</v>
      </c>
      <c r="K76" s="69"/>
      <c r="L76" s="66"/>
      <c r="N76" s="87"/>
      <c r="O76" s="71"/>
    </row>
    <row r="77" spans="1:15" ht="25.5">
      <c r="A77" s="905" t="s">
        <v>223</v>
      </c>
      <c r="B77" s="891"/>
      <c r="C77" s="892"/>
      <c r="D77" s="151" t="s">
        <v>139</v>
      </c>
      <c r="E77" s="95">
        <f>'9'!F77</f>
        <v>57011</v>
      </c>
      <c r="F77" s="123">
        <v>57065</v>
      </c>
      <c r="G77" s="112">
        <f t="shared" si="7"/>
        <v>54</v>
      </c>
      <c r="H77" s="99">
        <f>G77+'9'!H77</f>
        <v>543</v>
      </c>
      <c r="I77" s="154"/>
      <c r="J77" s="175">
        <f>H77/DAY(B2)</f>
        <v>54.3</v>
      </c>
      <c r="K77" s="69"/>
      <c r="L77" s="66"/>
      <c r="N77" s="87"/>
      <c r="O77" s="71"/>
    </row>
    <row r="78" spans="1:15" ht="25.5">
      <c r="A78" s="905" t="s">
        <v>224</v>
      </c>
      <c r="B78" s="891"/>
      <c r="C78" s="892"/>
      <c r="D78" s="151" t="s">
        <v>139</v>
      </c>
      <c r="E78" s="95">
        <f>'9'!F78</f>
        <v>9563.4</v>
      </c>
      <c r="F78" s="123">
        <v>9563</v>
      </c>
      <c r="G78" s="112">
        <f t="shared" si="7"/>
        <v>-0.3999999999996362</v>
      </c>
      <c r="H78" s="99">
        <f>G78+'9'!H78</f>
        <v>-0.3999999999996362</v>
      </c>
      <c r="I78" s="118"/>
      <c r="J78" s="175">
        <f>H78/DAY(B2)</f>
        <v>-3.999999999996362E-2</v>
      </c>
      <c r="K78" s="69"/>
      <c r="L78" s="66"/>
      <c r="N78" s="87"/>
      <c r="O78" s="71"/>
    </row>
    <row r="79" spans="1:15" s="57" customFormat="1" ht="25.5">
      <c r="A79" s="905" t="s">
        <v>225</v>
      </c>
      <c r="B79" s="891"/>
      <c r="C79" s="892"/>
      <c r="D79" s="151"/>
      <c r="E79" s="95">
        <f>'9'!F79</f>
        <v>0</v>
      </c>
      <c r="F79" s="117"/>
      <c r="G79" s="112">
        <f>G15-SUM(G74:G78)</f>
        <v>618.1800000002022</v>
      </c>
      <c r="H79" s="99">
        <f>G79+'9'!H79</f>
        <v>6088.3400000002202</v>
      </c>
      <c r="I79" s="118"/>
      <c r="J79" s="175"/>
      <c r="K79" s="59"/>
      <c r="L79" s="58"/>
      <c r="N79" s="87"/>
      <c r="O79" s="71"/>
    </row>
    <row r="80" spans="1:15" s="57" customFormat="1" ht="26.25">
      <c r="A80" s="861" t="s">
        <v>329</v>
      </c>
      <c r="B80" s="862"/>
      <c r="C80" s="863"/>
      <c r="D80" s="151"/>
      <c r="E80" s="117"/>
      <c r="F80" s="117"/>
      <c r="G80" s="112">
        <f>SUM(G74:G79)</f>
        <v>1067.4500000001863</v>
      </c>
      <c r="H80" s="99"/>
      <c r="I80" s="118"/>
      <c r="J80" s="175"/>
      <c r="K80" s="59"/>
      <c r="L80" s="58"/>
      <c r="N80" s="87"/>
      <c r="O80" s="71"/>
    </row>
    <row r="81" spans="1:15" ht="25.5">
      <c r="A81" s="897" t="s">
        <v>226</v>
      </c>
      <c r="B81" s="898"/>
      <c r="C81" s="89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'9'!F82</f>
        <v>0</v>
      </c>
      <c r="F82" s="122">
        <v>0</v>
      </c>
      <c r="G82" s="112">
        <f t="shared" ref="G82:G92" si="8">F82-E82</f>
        <v>0</v>
      </c>
      <c r="H82" s="99">
        <f>G82+'9'!H82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'9'!F83</f>
        <v>0</v>
      </c>
      <c r="F83" s="122">
        <v>0</v>
      </c>
      <c r="G83" s="112">
        <f t="shared" si="8"/>
        <v>0</v>
      </c>
      <c r="H83" s="99">
        <f>G83+'9'!H83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'9'!F84</f>
        <v>43540.35</v>
      </c>
      <c r="F84" s="164">
        <v>43540</v>
      </c>
      <c r="G84" s="112">
        <f t="shared" si="8"/>
        <v>-0.34999999999854481</v>
      </c>
      <c r="H84" s="99">
        <f>G84+'9'!H84</f>
        <v>-0.20999999999912689</v>
      </c>
      <c r="I84" s="545"/>
      <c r="J84" s="175">
        <f>H84/DAY(B2)</f>
        <v>-2.0999999999912689E-2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'9'!F85</f>
        <v>5684.2</v>
      </c>
      <c r="F85" s="164">
        <v>5684</v>
      </c>
      <c r="G85" s="112">
        <f t="shared" si="8"/>
        <v>-0.1999999999998181</v>
      </c>
      <c r="H85" s="99">
        <f>G85+'9'!H85</f>
        <v>0</v>
      </c>
      <c r="I85" s="545"/>
      <c r="J85" s="175">
        <f>H85/DAY(B2)</f>
        <v>0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'9'!F86</f>
        <v>46801.14</v>
      </c>
      <c r="F86" s="164">
        <v>46801</v>
      </c>
      <c r="G86" s="112">
        <f t="shared" si="8"/>
        <v>-0.13999999999941792</v>
      </c>
      <c r="H86" s="99">
        <f>G86+'9'!H86</f>
        <v>67</v>
      </c>
      <c r="I86" s="545"/>
      <c r="J86" s="175">
        <f>H86/DAY(B2)</f>
        <v>6.7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'9'!F87</f>
        <v>36716.39</v>
      </c>
      <c r="F87" s="164">
        <v>36740</v>
      </c>
      <c r="G87" s="112">
        <f t="shared" si="8"/>
        <v>23.610000000000582</v>
      </c>
      <c r="H87" s="99">
        <f>G87+'9'!H87</f>
        <v>189.79000000000087</v>
      </c>
      <c r="I87" s="545">
        <f>G84+G85+G86+G87</f>
        <v>22.920000000002801</v>
      </c>
      <c r="J87" s="175">
        <f>H87/DAY(B2)</f>
        <v>18.979000000000088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'9'!F88</f>
        <v>24511.8</v>
      </c>
      <c r="F88" s="164">
        <v>24511.8</v>
      </c>
      <c r="G88" s="112">
        <f t="shared" si="8"/>
        <v>0</v>
      </c>
      <c r="H88" s="99">
        <f>G88+'9'!H88</f>
        <v>0</v>
      </c>
      <c r="I88" s="545"/>
      <c r="J88" s="175">
        <f>H88/DAY(B2)</f>
        <v>0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'9'!F89</f>
        <v>28591.31</v>
      </c>
      <c r="F89" s="164">
        <v>28601.19</v>
      </c>
      <c r="G89" s="112">
        <f t="shared" si="8"/>
        <v>9.8799999999973807</v>
      </c>
      <c r="H89" s="99">
        <f>G89+'9'!H89</f>
        <v>99.489999999997963</v>
      </c>
      <c r="I89" s="545">
        <f>G88+G89</f>
        <v>9.8799999999973807</v>
      </c>
      <c r="J89" s="175">
        <f>H89/DAY(B2)</f>
        <v>9.9489999999997956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'9'!F90</f>
        <v>73969.960000000006</v>
      </c>
      <c r="F90" s="164">
        <v>73980</v>
      </c>
      <c r="G90" s="112">
        <f t="shared" si="8"/>
        <v>10.039999999993597</v>
      </c>
      <c r="H90" s="99">
        <f>G90+'9'!H90</f>
        <v>119.39999999999418</v>
      </c>
      <c r="I90" s="545">
        <f>G90</f>
        <v>10.039999999993597</v>
      </c>
      <c r="J90" s="175">
        <f>H90/DAY(B2)</f>
        <v>11.939999999999419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'9'!F91</f>
        <v>5419.87</v>
      </c>
      <c r="F91" s="122">
        <v>5431.14</v>
      </c>
      <c r="G91" s="112">
        <f t="shared" si="8"/>
        <v>11.270000000000437</v>
      </c>
      <c r="H91" s="99">
        <f>G91+'9'!H91</f>
        <v>78.369999999999891</v>
      </c>
      <c r="I91" s="546"/>
      <c r="J91" s="175">
        <f>H91/DAY(B2)</f>
        <v>7.8369999999999891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'9'!F92</f>
        <v>7030.88</v>
      </c>
      <c r="F92" s="122">
        <v>7030.88</v>
      </c>
      <c r="G92" s="112">
        <f t="shared" si="8"/>
        <v>0</v>
      </c>
      <c r="H92" s="99">
        <f>G92+'9'!H92</f>
        <v>30.880000000000109</v>
      </c>
      <c r="I92" s="547">
        <f>G91+G92</f>
        <v>11.270000000000437</v>
      </c>
      <c r="J92" s="175">
        <f>H92/DAY(B2)</f>
        <v>3.0880000000000107</v>
      </c>
      <c r="O92" s="71"/>
    </row>
    <row r="93" spans="1:15" ht="26.25">
      <c r="A93" s="906" t="s">
        <v>239</v>
      </c>
      <c r="B93" s="907"/>
      <c r="C93" s="90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64" t="s">
        <v>240</v>
      </c>
      <c r="B94" s="865"/>
      <c r="C94" s="866"/>
      <c r="D94" s="151" t="s">
        <v>130</v>
      </c>
      <c r="E94" s="151"/>
      <c r="F94" s="151"/>
      <c r="G94" s="99">
        <f>G35+G43+G49+G57</f>
        <v>5739.2000000000116</v>
      </c>
      <c r="H94" s="99">
        <f>G94+'9'!H94</f>
        <v>56911.560000000114</v>
      </c>
      <c r="I94" s="118"/>
      <c r="J94" s="175">
        <f>H94/DAY(B2)</f>
        <v>5691.1560000000118</v>
      </c>
      <c r="K94" s="69"/>
      <c r="L94" s="66"/>
      <c r="O94" s="71"/>
    </row>
    <row r="95" spans="1:15" ht="25.5">
      <c r="A95" s="864" t="s">
        <v>241</v>
      </c>
      <c r="B95" s="865"/>
      <c r="C95" s="866"/>
      <c r="D95" s="151" t="s">
        <v>23</v>
      </c>
      <c r="E95" s="146"/>
      <c r="F95" s="146"/>
      <c r="G95" s="166">
        <f>G94/G7</f>
        <v>0.25435206523666071</v>
      </c>
      <c r="H95" s="99">
        <f>G95+'9'!H95</f>
        <v>2.4825402034757142</v>
      </c>
      <c r="I95" s="167"/>
      <c r="J95" s="175">
        <f>H95/DAY(B2)</f>
        <v>0.24825402034757144</v>
      </c>
      <c r="K95" s="69"/>
      <c r="L95" s="66"/>
      <c r="O95" s="71"/>
    </row>
    <row r="96" spans="1:15" ht="25.5">
      <c r="A96" s="864" t="s">
        <v>242</v>
      </c>
      <c r="B96" s="865"/>
      <c r="C96" s="866"/>
      <c r="D96" s="151" t="s">
        <v>130</v>
      </c>
      <c r="E96" s="95"/>
      <c r="F96" s="95"/>
      <c r="G96" s="99">
        <f>G41+G42+G55+G56</f>
        <v>3216.140000000014</v>
      </c>
      <c r="H96" s="99">
        <f>G96+'9'!H96</f>
        <v>37287.299999999988</v>
      </c>
      <c r="I96" s="118"/>
      <c r="J96" s="175">
        <f>H96/DAY(B2)</f>
        <v>3728.7299999999987</v>
      </c>
      <c r="K96" s="69"/>
      <c r="L96" s="66"/>
      <c r="O96" s="71"/>
    </row>
    <row r="97" spans="1:15" ht="25.5">
      <c r="A97" s="864" t="s">
        <v>243</v>
      </c>
      <c r="B97" s="865"/>
      <c r="C97" s="866"/>
      <c r="D97" s="151" t="s">
        <v>23</v>
      </c>
      <c r="E97" s="95"/>
      <c r="F97" s="95"/>
      <c r="G97" s="166">
        <f>G96/G7</f>
        <v>0.14253412515511496</v>
      </c>
      <c r="H97" s="99">
        <f>G97+'9'!H97</f>
        <v>1.6251869749499437</v>
      </c>
      <c r="I97" s="167"/>
      <c r="J97" s="175">
        <f>H97/DAY(B2)</f>
        <v>0.16251869749499437</v>
      </c>
      <c r="K97" s="69"/>
      <c r="L97" s="66"/>
      <c r="O97" s="71"/>
    </row>
    <row r="98" spans="1:15" ht="25.5">
      <c r="A98" s="864" t="s">
        <v>244</v>
      </c>
      <c r="B98" s="865"/>
      <c r="C98" s="866"/>
      <c r="D98" s="151" t="s">
        <v>130</v>
      </c>
      <c r="E98" s="95"/>
      <c r="F98" s="95"/>
      <c r="G98" s="99">
        <f>G39+G53</f>
        <v>4085.2800000000279</v>
      </c>
      <c r="H98" s="99">
        <f>G98+'9'!H98</f>
        <v>41040.959999999963</v>
      </c>
      <c r="I98" s="168"/>
      <c r="J98" s="175">
        <f>H98/DAY(B2)</f>
        <v>4104.0959999999959</v>
      </c>
      <c r="K98" s="69"/>
      <c r="L98" s="66"/>
      <c r="O98" s="71"/>
    </row>
    <row r="99" spans="1:15" ht="25.5">
      <c r="A99" s="864" t="s">
        <v>245</v>
      </c>
      <c r="B99" s="865"/>
      <c r="C99" s="866"/>
      <c r="D99" s="151" t="s">
        <v>23</v>
      </c>
      <c r="E99" s="95"/>
      <c r="F99" s="95"/>
      <c r="G99" s="166">
        <f>G98/G7</f>
        <v>0.18105300478638664</v>
      </c>
      <c r="H99" s="99">
        <f>G99+'9'!H99</f>
        <v>1.7926549676794274</v>
      </c>
      <c r="I99" s="168"/>
      <c r="J99" s="175">
        <f>H99/DAY(B2)</f>
        <v>0.17926549676794273</v>
      </c>
      <c r="O99" s="71"/>
    </row>
    <row r="100" spans="1:15" ht="26.25">
      <c r="A100" s="864" t="s">
        <v>246</v>
      </c>
      <c r="B100" s="865"/>
      <c r="C100" s="866"/>
      <c r="D100" s="151" t="s">
        <v>180</v>
      </c>
      <c r="E100" s="95"/>
      <c r="F100" s="95"/>
      <c r="G100" s="99">
        <f>G38+G52</f>
        <v>2586</v>
      </c>
      <c r="H100" s="99">
        <f>G100+'9'!H100</f>
        <v>24444.959999999955</v>
      </c>
      <c r="I100" s="118"/>
      <c r="J100" s="175">
        <f>H100/DAY(B2)</f>
        <v>2444.4959999999955</v>
      </c>
      <c r="K100" s="70"/>
      <c r="O100" s="71"/>
    </row>
    <row r="101" spans="1:15" ht="25.5">
      <c r="A101" s="864" t="s">
        <v>247</v>
      </c>
      <c r="B101" s="865"/>
      <c r="C101" s="866"/>
      <c r="D101" s="151" t="s">
        <v>23</v>
      </c>
      <c r="E101" s="95"/>
      <c r="F101" s="95"/>
      <c r="G101" s="166">
        <f>G100/G7</f>
        <v>0.11460733912426875</v>
      </c>
      <c r="H101" s="99">
        <f>G101+'9'!H101</f>
        <v>1.0675833042811436</v>
      </c>
      <c r="I101" s="168"/>
      <c r="J101" s="175">
        <f>H101/DAY(B2)</f>
        <v>0.10675833042811436</v>
      </c>
      <c r="O101" s="71"/>
    </row>
    <row r="102" spans="1:15" ht="25.5">
      <c r="A102" s="864" t="s">
        <v>248</v>
      </c>
      <c r="B102" s="865"/>
      <c r="C102" s="866"/>
      <c r="D102" s="151" t="s">
        <v>180</v>
      </c>
      <c r="E102" s="95"/>
      <c r="F102" s="95"/>
      <c r="G102" s="99">
        <f>G36+G50</f>
        <v>2811.3400000000256</v>
      </c>
      <c r="H102" s="99">
        <f>G102+'9'!H102</f>
        <v>26655.260000000009</v>
      </c>
      <c r="I102" s="168"/>
      <c r="J102" s="175">
        <f>H102/DAY(B2)</f>
        <v>2665.5260000000007</v>
      </c>
      <c r="O102" s="71"/>
    </row>
    <row r="103" spans="1:15" ht="25.5">
      <c r="A103" s="864" t="s">
        <v>249</v>
      </c>
      <c r="B103" s="865"/>
      <c r="C103" s="866"/>
      <c r="D103" s="151" t="s">
        <v>23</v>
      </c>
      <c r="E103" s="95"/>
      <c r="F103" s="95"/>
      <c r="G103" s="166">
        <f>G102/G7</f>
        <v>0.12459404360929027</v>
      </c>
      <c r="H103" s="99">
        <f>G103+'9'!H103</f>
        <v>1.1630356175321275</v>
      </c>
      <c r="I103" s="118"/>
      <c r="J103" s="175">
        <f>H103/DAY(B2)</f>
        <v>0.11630356175321274</v>
      </c>
      <c r="O103" s="71"/>
    </row>
    <row r="104" spans="1:15" ht="25.5">
      <c r="A104" s="864" t="s">
        <v>250</v>
      </c>
      <c r="B104" s="865"/>
      <c r="C104" s="866"/>
      <c r="D104" s="151" t="s">
        <v>180</v>
      </c>
      <c r="E104" s="95"/>
      <c r="F104" s="95"/>
      <c r="G104" s="99">
        <f>G37+G51</f>
        <v>1099.9100000000035</v>
      </c>
      <c r="H104" s="99">
        <f>G104+'9'!H104</f>
        <v>10857.870000000024</v>
      </c>
      <c r="I104" s="118"/>
      <c r="J104" s="175">
        <f>H104/DAY(B2)</f>
        <v>1085.7870000000025</v>
      </c>
      <c r="O104" s="71"/>
    </row>
    <row r="105" spans="1:15" ht="26.25" thickBot="1">
      <c r="A105" s="901" t="s">
        <v>251</v>
      </c>
      <c r="B105" s="902"/>
      <c r="C105" s="903"/>
      <c r="D105" s="231" t="s">
        <v>23</v>
      </c>
      <c r="E105" s="185"/>
      <c r="F105" s="185"/>
      <c r="G105" s="186">
        <f>G104/G7</f>
        <v>4.8746232937422598E-2</v>
      </c>
      <c r="H105" s="99">
        <f>G105+'9'!H105</f>
        <v>0.47392348832563319</v>
      </c>
      <c r="I105" s="187"/>
      <c r="J105" s="188">
        <f>H105/DAY(B2)</f>
        <v>4.7392348832563318E-2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15" t="s">
        <v>324</v>
      </c>
      <c r="B108" s="915"/>
      <c r="C108" s="915"/>
      <c r="D108" s="915"/>
      <c r="E108" s="915"/>
      <c r="F108" s="915"/>
      <c r="G108" s="915"/>
      <c r="H108" s="915"/>
      <c r="I108" s="915"/>
      <c r="J108" s="915"/>
    </row>
    <row r="109" spans="1:15" ht="26.25">
      <c r="A109" s="900"/>
      <c r="B109" s="900"/>
    </row>
    <row r="110" spans="1:15" ht="26.25">
      <c r="A110" s="916" t="s">
        <v>165</v>
      </c>
      <c r="B110" s="917"/>
      <c r="C110" s="917"/>
      <c r="D110" s="917"/>
      <c r="E110" s="917"/>
      <c r="F110" s="917"/>
      <c r="G110" s="917"/>
      <c r="H110" s="917"/>
      <c r="I110" s="917"/>
      <c r="J110" s="918"/>
    </row>
    <row r="111" spans="1:15" ht="25.5">
      <c r="A111" s="919"/>
      <c r="B111" s="920"/>
      <c r="C111" s="921"/>
      <c r="D111" s="165"/>
      <c r="E111" s="165"/>
      <c r="F111" s="165"/>
      <c r="G111" s="165"/>
      <c r="H111" s="156"/>
      <c r="I111" s="165"/>
      <c r="J111" s="327"/>
    </row>
    <row r="112" spans="1:15" ht="25.5">
      <c r="A112" s="894" t="s">
        <v>252</v>
      </c>
      <c r="B112" s="895"/>
      <c r="C112" s="896"/>
      <c r="D112" s="146" t="s">
        <v>183</v>
      </c>
      <c r="E112" s="95">
        <f>'9'!F112</f>
        <v>16163.68</v>
      </c>
      <c r="F112" s="237">
        <v>16224.83</v>
      </c>
      <c r="G112" s="112">
        <f t="shared" ref="G112:G123" si="9">F112-E112</f>
        <v>61.149999999999636</v>
      </c>
      <c r="H112" s="99">
        <f>G112+'9'!H112</f>
        <v>611.03000000000065</v>
      </c>
      <c r="I112" s="165"/>
      <c r="J112" s="328">
        <f>H112/DAY(B2)</f>
        <v>61.103000000000065</v>
      </c>
    </row>
    <row r="113" spans="1:18" ht="29.25" customHeight="1">
      <c r="A113" s="894" t="s">
        <v>253</v>
      </c>
      <c r="B113" s="895"/>
      <c r="C113" s="896"/>
      <c r="D113" s="146" t="s">
        <v>183</v>
      </c>
      <c r="E113" s="95">
        <f>'9'!F113</f>
        <v>33749.43</v>
      </c>
      <c r="F113" s="237">
        <v>33900.03</v>
      </c>
      <c r="G113" s="112">
        <f t="shared" si="9"/>
        <v>150.59999999999854</v>
      </c>
      <c r="H113" s="99">
        <f>G113+'9'!H113</f>
        <v>1449.3600000000006</v>
      </c>
      <c r="I113" s="165"/>
      <c r="J113" s="328">
        <f>H113/DAY(B2)</f>
        <v>144.93600000000006</v>
      </c>
    </row>
    <row r="114" spans="1:18" ht="29.25" customHeight="1">
      <c r="A114" s="894" t="s">
        <v>254</v>
      </c>
      <c r="B114" s="895"/>
      <c r="C114" s="896"/>
      <c r="D114" s="146" t="s">
        <v>183</v>
      </c>
      <c r="E114" s="95">
        <f>'9'!F114</f>
        <v>49873.31</v>
      </c>
      <c r="F114" s="237">
        <v>50076.75</v>
      </c>
      <c r="G114" s="112">
        <f t="shared" si="9"/>
        <v>203.44000000000233</v>
      </c>
      <c r="H114" s="99">
        <f>G114+'9'!H114</f>
        <v>2110.4499999999971</v>
      </c>
      <c r="I114" s="165"/>
      <c r="J114" s="328">
        <f>H114/DAY(B2)</f>
        <v>211.0449999999997</v>
      </c>
    </row>
    <row r="115" spans="1:18" ht="29.25" customHeight="1">
      <c r="A115" s="894" t="s">
        <v>255</v>
      </c>
      <c r="B115" s="895"/>
      <c r="C115" s="896"/>
      <c r="D115" s="146" t="s">
        <v>183</v>
      </c>
      <c r="E115" s="95">
        <f>'9'!F115</f>
        <v>31754.37</v>
      </c>
      <c r="F115" s="237">
        <v>31914.63</v>
      </c>
      <c r="G115" s="112">
        <f t="shared" si="9"/>
        <v>160.26000000000204</v>
      </c>
      <c r="H115" s="99">
        <f>G115+'9'!H115</f>
        <v>1478.2299999999996</v>
      </c>
      <c r="I115" s="165"/>
      <c r="J115" s="328">
        <f>H115/DAY(B2)</f>
        <v>147.82299999999995</v>
      </c>
    </row>
    <row r="116" spans="1:18" ht="29.25" customHeight="1">
      <c r="A116" s="912" t="s">
        <v>96</v>
      </c>
      <c r="B116" s="913"/>
      <c r="C116" s="914"/>
      <c r="D116" s="146" t="s">
        <v>183</v>
      </c>
      <c r="E116" s="95">
        <f>'9'!F116</f>
        <v>126457.18</v>
      </c>
      <c r="F116" s="237">
        <v>126864</v>
      </c>
      <c r="G116" s="112">
        <f t="shared" si="9"/>
        <v>406.82000000000698</v>
      </c>
      <c r="H116" s="99">
        <f>G116+'9'!H116</f>
        <v>4003.8000000000029</v>
      </c>
      <c r="I116" s="165"/>
      <c r="J116" s="328">
        <f>H116/DAY(B2)</f>
        <v>400.38000000000028</v>
      </c>
      <c r="Q116" s="894" t="s">
        <v>311</v>
      </c>
      <c r="R116" s="896"/>
    </row>
    <row r="117" spans="1:18" ht="29.25" customHeight="1">
      <c r="A117" s="912" t="s">
        <v>184</v>
      </c>
      <c r="B117" s="913"/>
      <c r="C117" s="914"/>
      <c r="D117" s="146" t="s">
        <v>183</v>
      </c>
      <c r="E117" s="95">
        <f>'9'!F117</f>
        <v>76353.649999999994</v>
      </c>
      <c r="F117" s="237">
        <v>76610.25</v>
      </c>
      <c r="G117" s="112">
        <f t="shared" si="9"/>
        <v>256.60000000000582</v>
      </c>
      <c r="H117" s="99">
        <f>G117+'9'!H117</f>
        <v>2629.0500000000029</v>
      </c>
      <c r="I117" s="165"/>
      <c r="J117" s="328">
        <f>H117/DAY(B2)</f>
        <v>262.90500000000031</v>
      </c>
      <c r="Q117" s="894" t="s">
        <v>312</v>
      </c>
      <c r="R117" s="896"/>
    </row>
    <row r="118" spans="1:18" ht="25.5">
      <c r="A118" s="889" t="s">
        <v>97</v>
      </c>
      <c r="B118" s="889"/>
      <c r="C118" s="889"/>
      <c r="D118" s="151" t="s">
        <v>183</v>
      </c>
      <c r="E118" s="95">
        <f>'9'!F118</f>
        <v>144454.88</v>
      </c>
      <c r="F118" s="237">
        <v>145094</v>
      </c>
      <c r="G118" s="112">
        <f t="shared" si="9"/>
        <v>639.11999999999534</v>
      </c>
      <c r="H118" s="99">
        <f>G118+'9'!H118</f>
        <v>6281.5499999999884</v>
      </c>
      <c r="I118" s="165"/>
      <c r="J118" s="328">
        <f>H118/DAY(B2)</f>
        <v>628.15499999999884</v>
      </c>
      <c r="Q118" s="894" t="s">
        <v>311</v>
      </c>
      <c r="R118" s="896"/>
    </row>
    <row r="119" spans="1:18" ht="25.5">
      <c r="A119" s="889" t="s">
        <v>98</v>
      </c>
      <c r="B119" s="889"/>
      <c r="C119" s="889"/>
      <c r="D119" s="151" t="s">
        <v>183</v>
      </c>
      <c r="E119" s="95">
        <f>'9'!F119</f>
        <v>43460.57</v>
      </c>
      <c r="F119" s="237">
        <v>43472</v>
      </c>
      <c r="G119" s="112">
        <f t="shared" si="9"/>
        <v>11.430000000000291</v>
      </c>
      <c r="H119" s="99">
        <f>G119+'9'!H119</f>
        <v>118.30000000000291</v>
      </c>
      <c r="I119" s="165"/>
      <c r="J119" s="328">
        <f>H119/DAY(B2)</f>
        <v>11.830000000000291</v>
      </c>
    </row>
    <row r="120" spans="1:18" ht="25.5">
      <c r="A120" s="889" t="s">
        <v>99</v>
      </c>
      <c r="B120" s="889"/>
      <c r="C120" s="889"/>
      <c r="D120" s="151" t="s">
        <v>183</v>
      </c>
      <c r="E120" s="95">
        <f>'9'!F120</f>
        <v>99417.11</v>
      </c>
      <c r="F120" s="237">
        <v>99840</v>
      </c>
      <c r="G120" s="112">
        <f t="shared" si="9"/>
        <v>422.88999999999942</v>
      </c>
      <c r="H120" s="99">
        <f>G120+'9'!H120</f>
        <v>4132.3999999999942</v>
      </c>
      <c r="I120" s="165"/>
      <c r="J120" s="328">
        <f>H120/DAY(B2)</f>
        <v>413.23999999999944</v>
      </c>
    </row>
    <row r="121" spans="1:18" ht="25.5">
      <c r="A121" s="889" t="s">
        <v>100</v>
      </c>
      <c r="B121" s="889"/>
      <c r="C121" s="889"/>
      <c r="D121" s="151" t="s">
        <v>183</v>
      </c>
      <c r="E121" s="95">
        <f>'9'!F121</f>
        <v>111622.63</v>
      </c>
      <c r="F121" s="237">
        <v>112041</v>
      </c>
      <c r="G121" s="112">
        <f t="shared" si="9"/>
        <v>418.36999999999534</v>
      </c>
      <c r="H121" s="99">
        <f>G121+'9'!H121</f>
        <v>4211.9499999999971</v>
      </c>
      <c r="I121" s="165"/>
      <c r="J121" s="328">
        <f>H121/DAY(B2)</f>
        <v>421.19499999999971</v>
      </c>
    </row>
    <row r="122" spans="1:18" ht="25.5">
      <c r="A122" s="889" t="s">
        <v>101</v>
      </c>
      <c r="B122" s="889"/>
      <c r="C122" s="889"/>
      <c r="D122" s="151" t="s">
        <v>183</v>
      </c>
      <c r="E122" s="95">
        <f>'9'!F122</f>
        <v>74176.95</v>
      </c>
      <c r="F122" s="237">
        <v>74486</v>
      </c>
      <c r="G122" s="112">
        <f t="shared" si="9"/>
        <v>309.05000000000291</v>
      </c>
      <c r="H122" s="99">
        <f>G122+'9'!H122</f>
        <v>3448.1000000000058</v>
      </c>
      <c r="I122" s="165"/>
      <c r="J122" s="328">
        <f>H122/DAY(B2)</f>
        <v>344.81000000000057</v>
      </c>
    </row>
    <row r="123" spans="1:18" ht="25.5">
      <c r="A123" s="889" t="s">
        <v>102</v>
      </c>
      <c r="B123" s="889"/>
      <c r="C123" s="889"/>
      <c r="D123" s="151" t="s">
        <v>183</v>
      </c>
      <c r="E123" s="95">
        <f>'9'!F123</f>
        <v>71181.87</v>
      </c>
      <c r="F123" s="237">
        <v>71500.44</v>
      </c>
      <c r="G123" s="112">
        <f t="shared" si="9"/>
        <v>318.57000000000698</v>
      </c>
      <c r="H123" s="99">
        <f>G123+'9'!H123</f>
        <v>3143.1399999999994</v>
      </c>
      <c r="I123" s="165"/>
      <c r="J123" s="328">
        <f>H123/DAY(B2)</f>
        <v>314.31399999999996</v>
      </c>
    </row>
    <row r="124" spans="1:18" ht="29.25" customHeight="1">
      <c r="A124" s="919"/>
      <c r="B124" s="920"/>
      <c r="C124" s="921"/>
      <c r="D124" s="165"/>
      <c r="E124" s="95">
        <f>'9'!F124</f>
        <v>0</v>
      </c>
      <c r="F124" s="165"/>
      <c r="G124" s="327"/>
      <c r="H124" s="99">
        <f>G124+'9'!H124</f>
        <v>0</v>
      </c>
      <c r="I124" s="165"/>
      <c r="J124" s="327"/>
    </row>
    <row r="125" spans="1:18" ht="25.5">
      <c r="A125" s="853" t="s">
        <v>196</v>
      </c>
      <c r="B125" s="854"/>
      <c r="C125" s="245"/>
      <c r="D125" s="307"/>
      <c r="E125" s="308"/>
      <c r="F125" s="308"/>
      <c r="G125" s="309">
        <f>SUM(G112:G124)</f>
        <v>3358.3000000000156</v>
      </c>
      <c r="H125" s="156"/>
      <c r="I125" s="327">
        <f>G125-(G39+G53)</f>
        <v>-726.9800000000123</v>
      </c>
      <c r="J125" s="327"/>
    </row>
    <row r="126" spans="1:18" ht="25.5">
      <c r="A126" s="922" t="s">
        <v>317</v>
      </c>
      <c r="B126" s="922"/>
      <c r="C126" s="922"/>
      <c r="D126" s="922"/>
      <c r="E126" s="922"/>
      <c r="F126" s="922"/>
      <c r="G126" s="922"/>
      <c r="H126" s="922"/>
      <c r="I126" s="922"/>
      <c r="J126" s="922"/>
    </row>
    <row r="127" spans="1:18" ht="25.5">
      <c r="A127" s="923"/>
      <c r="B127" s="923"/>
      <c r="C127" s="245"/>
      <c r="D127" s="307"/>
      <c r="E127" s="308"/>
      <c r="F127" s="308"/>
      <c r="G127" s="309"/>
      <c r="H127" s="99">
        <f>G127+'9'!H127</f>
        <v>0</v>
      </c>
      <c r="I127" s="165"/>
      <c r="J127" s="328">
        <f>H127/DAY(B2)</f>
        <v>0</v>
      </c>
    </row>
    <row r="128" spans="1:18" ht="29.25" customHeight="1">
      <c r="A128" s="894" t="s">
        <v>318</v>
      </c>
      <c r="B128" s="895"/>
      <c r="C128" s="896"/>
      <c r="D128" s="151" t="s">
        <v>183</v>
      </c>
      <c r="E128" s="95">
        <f>'9'!F128</f>
        <v>182820.17</v>
      </c>
      <c r="F128" s="155">
        <v>183225</v>
      </c>
      <c r="G128" s="112">
        <f t="shared" ref="G128:G134" si="10">F128-E128</f>
        <v>404.82999999998719</v>
      </c>
      <c r="H128" s="99">
        <f>G128+'9'!H128</f>
        <v>3813.1499999999942</v>
      </c>
      <c r="I128" s="165"/>
      <c r="J128" s="328">
        <f>H128/DAY(B2)</f>
        <v>381.31499999999943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'9'!F129</f>
        <v>97772.14</v>
      </c>
      <c r="F129" s="155">
        <v>97930</v>
      </c>
      <c r="G129" s="112">
        <f t="shared" si="10"/>
        <v>157.86000000000058</v>
      </c>
      <c r="H129" s="99">
        <f>G129+'9'!H129</f>
        <v>1900.5</v>
      </c>
      <c r="I129" s="165"/>
      <c r="J129" s="328">
        <f>H129/DAY(B2)</f>
        <v>190.05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'9'!F130</f>
        <v>253139.73</v>
      </c>
      <c r="F130" s="157">
        <v>253796</v>
      </c>
      <c r="G130" s="112">
        <f t="shared" si="10"/>
        <v>656.26999999998952</v>
      </c>
      <c r="H130" s="99">
        <f>G130+'9'!H130</f>
        <v>6956.25</v>
      </c>
      <c r="I130" s="165"/>
      <c r="J130" s="328">
        <f>H130/DAY(B2)</f>
        <v>695.625</v>
      </c>
      <c r="N130" s="240"/>
      <c r="O130" s="241"/>
    </row>
    <row r="131" spans="1:15" ht="25.5">
      <c r="A131" s="894" t="s">
        <v>321</v>
      </c>
      <c r="B131" s="895"/>
      <c r="C131" s="896"/>
      <c r="D131" s="151" t="s">
        <v>183</v>
      </c>
      <c r="E131" s="95">
        <f>'9'!F131</f>
        <v>75778.55</v>
      </c>
      <c r="F131" s="155">
        <v>76028</v>
      </c>
      <c r="G131" s="112">
        <f t="shared" si="10"/>
        <v>249.44999999999709</v>
      </c>
      <c r="H131" s="99">
        <f>G131+'9'!H131</f>
        <v>2517.3999999999942</v>
      </c>
      <c r="I131" s="165"/>
      <c r="J131" s="328">
        <f>H131/DAY(B2)</f>
        <v>251.73999999999941</v>
      </c>
      <c r="N131" s="240"/>
      <c r="O131" s="241"/>
    </row>
    <row r="132" spans="1:15" ht="25.5">
      <c r="A132" s="894" t="s">
        <v>322</v>
      </c>
      <c r="B132" s="895"/>
      <c r="C132" s="896"/>
      <c r="D132" s="151" t="s">
        <v>183</v>
      </c>
      <c r="E132" s="95">
        <f>'9'!F132</f>
        <v>146985</v>
      </c>
      <c r="F132" s="155">
        <v>146985</v>
      </c>
      <c r="G132" s="112">
        <f t="shared" si="10"/>
        <v>0</v>
      </c>
      <c r="H132" s="99">
        <f>G132+'9'!H132</f>
        <v>0</v>
      </c>
      <c r="I132" s="165"/>
      <c r="J132" s="328">
        <f>H132/DAY(B2)</f>
        <v>0</v>
      </c>
    </row>
    <row r="133" spans="1:15" ht="25.5">
      <c r="A133" s="894" t="s">
        <v>323</v>
      </c>
      <c r="B133" s="895"/>
      <c r="C133" s="896"/>
      <c r="D133" s="151" t="s">
        <v>183</v>
      </c>
      <c r="E133" s="95">
        <f>'9'!F133</f>
        <v>916944</v>
      </c>
      <c r="F133" s="155">
        <v>917584</v>
      </c>
      <c r="G133" s="112">
        <f t="shared" si="10"/>
        <v>640</v>
      </c>
      <c r="H133" s="99">
        <f>G133+'9'!H133</f>
        <v>7340</v>
      </c>
      <c r="I133" s="165"/>
      <c r="J133" s="328">
        <f>H133/DAY(B2)</f>
        <v>734</v>
      </c>
    </row>
    <row r="134" spans="1:15" ht="25.5">
      <c r="A134" s="894" t="s">
        <v>340</v>
      </c>
      <c r="B134" s="895"/>
      <c r="C134" s="896"/>
      <c r="D134" s="151" t="s">
        <v>183</v>
      </c>
      <c r="E134" s="95">
        <f>'9'!F134</f>
        <v>80684.77</v>
      </c>
      <c r="F134" s="157">
        <v>80905.77</v>
      </c>
      <c r="G134" s="112">
        <f t="shared" si="10"/>
        <v>221</v>
      </c>
      <c r="H134" s="99">
        <f>G134+'9'!H134</f>
        <v>2146.1699999999983</v>
      </c>
      <c r="I134" s="165"/>
      <c r="J134" s="328">
        <f>H134/DAY(B2)</f>
        <v>214.61699999999982</v>
      </c>
    </row>
    <row r="135" spans="1:15" ht="25.5">
      <c r="A135" s="853" t="s">
        <v>196</v>
      </c>
      <c r="B135" s="854"/>
      <c r="C135" s="331"/>
      <c r="D135" s="151"/>
      <c r="E135" s="95"/>
      <c r="F135" s="165"/>
      <c r="G135" s="112">
        <f>SUM(G128:G134)</f>
        <v>2329.4099999999744</v>
      </c>
      <c r="H135" s="99">
        <f>G135+'9'!H135</f>
        <v>24673.469999999987</v>
      </c>
      <c r="I135" s="327">
        <f>G135-(G35+G49)</f>
        <v>-848.98999999999069</v>
      </c>
      <c r="J135" s="328">
        <f>H135/DAY(B2)</f>
        <v>2467.3469999999988</v>
      </c>
    </row>
    <row r="136" spans="1:15" ht="27.75">
      <c r="A136" s="924" t="s">
        <v>325</v>
      </c>
      <c r="B136" s="924"/>
      <c r="C136" s="924"/>
      <c r="D136" s="924"/>
      <c r="E136" s="924"/>
      <c r="F136" s="924"/>
      <c r="G136" s="924"/>
      <c r="H136" s="924"/>
      <c r="I136" s="924"/>
      <c r="J136" s="92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9" t="s">
        <v>185</v>
      </c>
      <c r="B138" s="889"/>
      <c r="C138" s="889"/>
      <c r="D138" s="151" t="s">
        <v>183</v>
      </c>
      <c r="E138" s="95">
        <f>'9'!F138</f>
        <v>906725</v>
      </c>
      <c r="F138" s="147">
        <v>906845</v>
      </c>
      <c r="G138" s="112">
        <f t="shared" ref="G138:G152" si="11">F138-E138</f>
        <v>120</v>
      </c>
      <c r="H138" s="99">
        <f>G138+'9'!H138</f>
        <v>1186</v>
      </c>
      <c r="I138" s="118"/>
      <c r="J138" s="328">
        <f>H138/DAY(B2)</f>
        <v>118.6</v>
      </c>
    </row>
    <row r="139" spans="1:15" ht="25.5">
      <c r="A139" s="889" t="s">
        <v>186</v>
      </c>
      <c r="B139" s="889"/>
      <c r="C139" s="889"/>
      <c r="D139" s="151" t="s">
        <v>183</v>
      </c>
      <c r="E139" s="95">
        <f>'9'!F139</f>
        <v>928772</v>
      </c>
      <c r="F139" s="148">
        <v>928925</v>
      </c>
      <c r="G139" s="112">
        <f t="shared" si="11"/>
        <v>153</v>
      </c>
      <c r="H139" s="99">
        <f>G139+'9'!H139</f>
        <v>1644</v>
      </c>
      <c r="I139" s="118"/>
      <c r="J139" s="328">
        <f>H139/DAY(B2)</f>
        <v>164.4</v>
      </c>
    </row>
    <row r="140" spans="1:15" ht="25.5">
      <c r="A140" s="889" t="s">
        <v>187</v>
      </c>
      <c r="B140" s="889"/>
      <c r="C140" s="889"/>
      <c r="D140" s="151" t="s">
        <v>183</v>
      </c>
      <c r="E140" s="95">
        <f>'9'!F140</f>
        <v>3538.81</v>
      </c>
      <c r="F140" s="149">
        <v>3566</v>
      </c>
      <c r="G140" s="112">
        <f t="shared" si="11"/>
        <v>27.190000000000055</v>
      </c>
      <c r="H140" s="99">
        <f>G140+'9'!H140</f>
        <v>234.90000000000009</v>
      </c>
      <c r="I140" s="118"/>
      <c r="J140" s="328">
        <f>H140/DAY(B2)</f>
        <v>23.490000000000009</v>
      </c>
    </row>
    <row r="141" spans="1:15" ht="25.5">
      <c r="A141" s="893" t="s">
        <v>188</v>
      </c>
      <c r="B141" s="893"/>
      <c r="C141" s="893"/>
      <c r="D141" s="151" t="s">
        <v>183</v>
      </c>
      <c r="E141" s="95">
        <f>'9'!F141</f>
        <v>119671.32</v>
      </c>
      <c r="F141" s="149">
        <v>119891</v>
      </c>
      <c r="G141" s="112">
        <f t="shared" si="11"/>
        <v>219.67999999999302</v>
      </c>
      <c r="H141" s="99">
        <f>G141+'9'!H141</f>
        <v>2333.0200000000041</v>
      </c>
      <c r="I141" s="118"/>
      <c r="J141" s="328">
        <f>H141/DAY(B2)</f>
        <v>233.30200000000042</v>
      </c>
    </row>
    <row r="142" spans="1:15" ht="25.5">
      <c r="A142" s="893" t="s">
        <v>189</v>
      </c>
      <c r="B142" s="893"/>
      <c r="C142" s="893"/>
      <c r="D142" s="151" t="s">
        <v>183</v>
      </c>
      <c r="E142" s="95">
        <f>'9'!F142</f>
        <v>48320.07</v>
      </c>
      <c r="F142" s="148">
        <v>48452</v>
      </c>
      <c r="G142" s="112">
        <f t="shared" si="11"/>
        <v>131.93000000000029</v>
      </c>
      <c r="H142" s="99">
        <f>G142+'9'!H142</f>
        <v>947.5</v>
      </c>
      <c r="I142" s="140"/>
      <c r="J142" s="328">
        <f>H142/DAY(B2)</f>
        <v>94.75</v>
      </c>
    </row>
    <row r="143" spans="1:15" ht="25.5">
      <c r="A143" s="889" t="s">
        <v>91</v>
      </c>
      <c r="B143" s="889"/>
      <c r="C143" s="889"/>
      <c r="D143" s="151" t="s">
        <v>183</v>
      </c>
      <c r="E143" s="95">
        <f>'9'!F143</f>
        <v>12697.35</v>
      </c>
      <c r="F143" s="149">
        <v>12733</v>
      </c>
      <c r="G143" s="112">
        <f t="shared" si="11"/>
        <v>35.649999999999636</v>
      </c>
      <c r="H143" s="99">
        <f>G143+'9'!H143</f>
        <v>317.60000000000036</v>
      </c>
      <c r="I143" s="140"/>
      <c r="J143" s="328">
        <f>H143/DAY(B2)</f>
        <v>31.760000000000037</v>
      </c>
      <c r="O143" s="148">
        <v>582206</v>
      </c>
    </row>
    <row r="144" spans="1:15" ht="25.5">
      <c r="A144" s="893" t="s">
        <v>90</v>
      </c>
      <c r="B144" s="893"/>
      <c r="C144" s="893"/>
      <c r="D144" s="151" t="s">
        <v>183</v>
      </c>
      <c r="E144" s="95">
        <f>'9'!F144</f>
        <v>950286</v>
      </c>
      <c r="F144" s="149">
        <v>950506</v>
      </c>
      <c r="G144" s="112">
        <f t="shared" si="11"/>
        <v>220</v>
      </c>
      <c r="H144" s="99">
        <f>G144+'9'!H144</f>
        <v>2308</v>
      </c>
      <c r="I144" s="140"/>
      <c r="J144" s="328">
        <f>H144/DAY(B2)</f>
        <v>230.8</v>
      </c>
    </row>
    <row r="145" spans="1:15" ht="25.5">
      <c r="A145" s="889" t="s">
        <v>190</v>
      </c>
      <c r="B145" s="889"/>
      <c r="C145" s="889"/>
      <c r="D145" s="152" t="s">
        <v>183</v>
      </c>
      <c r="E145" s="95">
        <f>'9'!F145</f>
        <v>23915.07</v>
      </c>
      <c r="F145" s="149">
        <v>24029</v>
      </c>
      <c r="G145" s="112">
        <f t="shared" si="11"/>
        <v>113.93000000000029</v>
      </c>
      <c r="H145" s="99">
        <f>G145+'9'!H145</f>
        <v>1432.9000000000015</v>
      </c>
      <c r="I145" s="140"/>
      <c r="J145" s="328">
        <f>H145/DAY(B2)</f>
        <v>143.29000000000013</v>
      </c>
    </row>
    <row r="146" spans="1:15" ht="25.5">
      <c r="A146" s="890" t="s">
        <v>191</v>
      </c>
      <c r="B146" s="891"/>
      <c r="C146" s="892"/>
      <c r="D146" s="152" t="s">
        <v>183</v>
      </c>
      <c r="E146" s="95">
        <f>'9'!F146</f>
        <v>786977</v>
      </c>
      <c r="F146" s="148">
        <v>787034</v>
      </c>
      <c r="G146" s="112">
        <f t="shared" si="11"/>
        <v>57</v>
      </c>
      <c r="H146" s="99">
        <f>G146+'9'!H146</f>
        <v>366</v>
      </c>
      <c r="I146" s="140"/>
      <c r="J146" s="328">
        <f>H146/DAY(B2)</f>
        <v>36.6</v>
      </c>
    </row>
    <row r="147" spans="1:15" ht="25.5">
      <c r="A147" s="893" t="s">
        <v>192</v>
      </c>
      <c r="B147" s="893"/>
      <c r="C147" s="893"/>
      <c r="D147" s="152" t="s">
        <v>183</v>
      </c>
      <c r="E147" s="95">
        <f>'9'!F147</f>
        <v>751529.92</v>
      </c>
      <c r="F147" s="148">
        <v>752003</v>
      </c>
      <c r="G147" s="112">
        <f t="shared" si="11"/>
        <v>473.07999999995809</v>
      </c>
      <c r="H147" s="99">
        <f>G147+'9'!H147</f>
        <v>4448.8399999999674</v>
      </c>
      <c r="I147" s="140"/>
      <c r="J147" s="328">
        <f>H147/DAY(B2)</f>
        <v>444.88399999999672</v>
      </c>
    </row>
    <row r="148" spans="1:15" ht="25.5">
      <c r="A148" s="886" t="s">
        <v>193</v>
      </c>
      <c r="B148" s="887"/>
      <c r="C148" s="888"/>
      <c r="D148" s="123" t="s">
        <v>130</v>
      </c>
      <c r="E148" s="95">
        <f>'9'!F148</f>
        <v>788053</v>
      </c>
      <c r="F148" s="150">
        <v>788451</v>
      </c>
      <c r="G148" s="112">
        <f t="shared" si="11"/>
        <v>398</v>
      </c>
      <c r="H148" s="99">
        <f>G148+'9'!H148</f>
        <v>3806</v>
      </c>
      <c r="I148" s="124"/>
      <c r="J148" s="328">
        <f>H148/DAY(B2)</f>
        <v>380.6</v>
      </c>
    </row>
    <row r="149" spans="1:15" ht="25.5">
      <c r="A149" s="886" t="s">
        <v>336</v>
      </c>
      <c r="B149" s="887"/>
      <c r="C149" s="888"/>
      <c r="D149" s="227" t="s">
        <v>130</v>
      </c>
      <c r="E149" s="95">
        <f>'9'!F149</f>
        <v>189572.87</v>
      </c>
      <c r="F149" s="146">
        <v>190127</v>
      </c>
      <c r="G149" s="112">
        <f t="shared" si="11"/>
        <v>554.13000000000466</v>
      </c>
      <c r="H149" s="99">
        <f>G149+'9'!H149</f>
        <v>4830.109999999986</v>
      </c>
      <c r="I149" s="119"/>
      <c r="J149" s="328">
        <f>H149/DAY(B2)</f>
        <v>483.0109999999986</v>
      </c>
    </row>
    <row r="150" spans="1:15" ht="25.5">
      <c r="A150" s="886" t="s">
        <v>337</v>
      </c>
      <c r="B150" s="887"/>
      <c r="C150" s="888"/>
      <c r="D150" s="117" t="s">
        <v>130</v>
      </c>
      <c r="E150" s="95">
        <f>'9'!F150</f>
        <v>79742.75</v>
      </c>
      <c r="F150" s="233">
        <v>79993.47</v>
      </c>
      <c r="G150" s="112">
        <f t="shared" si="11"/>
        <v>250.72000000000116</v>
      </c>
      <c r="H150" s="99">
        <f>G150+'9'!H150</f>
        <v>2327.1699999999983</v>
      </c>
      <c r="I150" s="119"/>
      <c r="J150" s="328">
        <f>H150/DAY(B2)</f>
        <v>232.71699999999981</v>
      </c>
    </row>
    <row r="151" spans="1:15" ht="25.5">
      <c r="A151" s="886" t="s">
        <v>338</v>
      </c>
      <c r="B151" s="887"/>
      <c r="C151" s="888"/>
      <c r="D151" s="117" t="s">
        <v>130</v>
      </c>
      <c r="E151" s="95">
        <f>'9'!F151</f>
        <v>160480</v>
      </c>
      <c r="F151" s="233">
        <v>160762</v>
      </c>
      <c r="G151" s="112">
        <f t="shared" si="11"/>
        <v>282</v>
      </c>
      <c r="H151" s="99">
        <f>G151+'9'!H151</f>
        <v>2452</v>
      </c>
      <c r="I151" s="119"/>
      <c r="J151" s="328">
        <f>H151/DAY(B2)</f>
        <v>245.2</v>
      </c>
    </row>
    <row r="152" spans="1:15" ht="25.5">
      <c r="A152" s="886" t="s">
        <v>339</v>
      </c>
      <c r="B152" s="887"/>
      <c r="C152" s="888"/>
      <c r="D152" s="117" t="s">
        <v>130</v>
      </c>
      <c r="E152" s="95">
        <f>'9'!F152</f>
        <v>39849.1</v>
      </c>
      <c r="F152" s="233">
        <v>40003</v>
      </c>
      <c r="G152" s="112">
        <f t="shared" si="11"/>
        <v>153.90000000000146</v>
      </c>
      <c r="H152" s="99">
        <f>G152+'9'!H152</f>
        <v>1387.0999999999985</v>
      </c>
      <c r="I152" s="119"/>
      <c r="J152" s="328">
        <f>H152/DAY(B2)</f>
        <v>138.70999999999987</v>
      </c>
    </row>
    <row r="153" spans="1:15" ht="25.5">
      <c r="A153" s="853" t="s">
        <v>196</v>
      </c>
      <c r="B153" s="854"/>
      <c r="C153" s="365"/>
      <c r="D153" s="358"/>
      <c r="E153" s="360"/>
      <c r="F153" s="361"/>
      <c r="G153" s="362">
        <f>SUM(G138:G152)</f>
        <v>3190.2099999999587</v>
      </c>
      <c r="H153" s="363"/>
      <c r="I153" s="119">
        <f>G153-(G38+G52)</f>
        <v>604.20999999995865</v>
      </c>
      <c r="J153" s="366"/>
    </row>
    <row r="154" spans="1:15" ht="27.75">
      <c r="A154" s="924" t="s">
        <v>344</v>
      </c>
      <c r="B154" s="924"/>
      <c r="C154" s="924"/>
      <c r="D154" s="924"/>
      <c r="E154" s="924"/>
      <c r="F154" s="924"/>
      <c r="G154" s="924"/>
      <c r="H154" s="924"/>
      <c r="I154" s="924"/>
      <c r="J154" s="924"/>
    </row>
    <row r="155" spans="1:15" ht="27.75">
      <c r="A155" s="893" t="s">
        <v>345</v>
      </c>
      <c r="B155" s="893"/>
      <c r="C155" s="893"/>
      <c r="D155" s="117" t="s">
        <v>130</v>
      </c>
      <c r="E155" s="95">
        <f>'9'!F155</f>
        <v>225635</v>
      </c>
      <c r="F155" s="374">
        <v>226242</v>
      </c>
      <c r="G155" s="112">
        <f t="shared" ref="G155:G158" si="12">F155-E155</f>
        <v>607</v>
      </c>
      <c r="H155" s="99">
        <f>G155+'9'!H155</f>
        <v>6254.2999999999884</v>
      </c>
      <c r="I155" s="364"/>
      <c r="J155" s="328">
        <f>H155/DAY(B2)</f>
        <v>625.42999999999881</v>
      </c>
      <c r="O155" s="65">
        <v>678.99000000000524</v>
      </c>
    </row>
    <row r="156" spans="1:15" ht="25.5">
      <c r="A156" s="893" t="s">
        <v>346</v>
      </c>
      <c r="B156" s="893"/>
      <c r="C156" s="893"/>
      <c r="D156" s="117" t="s">
        <v>130</v>
      </c>
      <c r="E156" s="95">
        <f>'9'!F156</f>
        <v>27396</v>
      </c>
      <c r="F156" s="155">
        <v>27490.799999999999</v>
      </c>
      <c r="G156" s="112">
        <f t="shared" si="12"/>
        <v>94.799999999999272</v>
      </c>
      <c r="H156" s="99">
        <f>G156+'9'!H156</f>
        <v>960.59999999999854</v>
      </c>
      <c r="I156" s="165"/>
      <c r="J156" s="328">
        <f>H156/DAY(B2)</f>
        <v>96.05999999999986</v>
      </c>
      <c r="O156" s="65">
        <v>50.350000000000364</v>
      </c>
    </row>
    <row r="157" spans="1:15" ht="25.5">
      <c r="A157" s="886" t="s">
        <v>360</v>
      </c>
      <c r="B157" s="887"/>
      <c r="C157" s="888"/>
      <c r="D157" s="117" t="s">
        <v>130</v>
      </c>
      <c r="E157" s="95">
        <f>'9'!F157</f>
        <v>37559</v>
      </c>
      <c r="F157" s="155">
        <v>37559</v>
      </c>
      <c r="G157" s="112">
        <f t="shared" si="12"/>
        <v>0</v>
      </c>
      <c r="H157" s="99">
        <f>G157+'9'!H157</f>
        <v>0</v>
      </c>
      <c r="I157" s="165"/>
      <c r="J157" s="328">
        <f>H157/DAY(B2)</f>
        <v>0</v>
      </c>
      <c r="O157" s="65">
        <v>101.82999999999993</v>
      </c>
    </row>
    <row r="158" spans="1:15" ht="25.5">
      <c r="A158" s="886" t="s">
        <v>361</v>
      </c>
      <c r="B158" s="887"/>
      <c r="C158" s="888"/>
      <c r="D158" s="117" t="s">
        <v>130</v>
      </c>
      <c r="E158" s="95">
        <f>'9'!F158</f>
        <v>1689</v>
      </c>
      <c r="F158" s="155">
        <v>1695</v>
      </c>
      <c r="G158" s="112">
        <f t="shared" si="12"/>
        <v>6</v>
      </c>
      <c r="H158" s="99">
        <f>G158+'9'!H158</f>
        <v>133.65000000000009</v>
      </c>
      <c r="I158" s="165"/>
      <c r="J158" s="328">
        <f>H158/DAY(B2)</f>
        <v>13.365000000000009</v>
      </c>
    </row>
    <row r="159" spans="1:15" ht="25.5">
      <c r="A159" s="942"/>
      <c r="B159" s="943"/>
      <c r="C159" s="944"/>
      <c r="D159" s="117"/>
      <c r="E159" s="95"/>
      <c r="F159" s="155"/>
      <c r="G159" s="112"/>
      <c r="H159" s="99"/>
      <c r="I159" s="165"/>
      <c r="J159" s="328"/>
    </row>
    <row r="160" spans="1:15" ht="27.75">
      <c r="A160" s="924" t="s">
        <v>326</v>
      </c>
      <c r="B160" s="924"/>
      <c r="C160" s="924"/>
      <c r="D160" s="924"/>
      <c r="E160" s="924"/>
      <c r="F160" s="924"/>
      <c r="G160" s="924"/>
      <c r="H160" s="924"/>
      <c r="I160" s="924"/>
      <c r="J160" s="924"/>
    </row>
    <row r="161" spans="1:10" ht="26.25">
      <c r="A161" s="242" t="s">
        <v>92</v>
      </c>
      <c r="B161" s="243"/>
      <c r="C161" s="243"/>
      <c r="D161" s="244" t="s">
        <v>180</v>
      </c>
      <c r="E161" s="95">
        <f>'9'!F161</f>
        <v>504801.96</v>
      </c>
      <c r="F161" s="235">
        <v>504936</v>
      </c>
      <c r="G161" s="238">
        <f t="shared" ref="G161:G165" si="13">F161-E161</f>
        <v>134.03999999997905</v>
      </c>
      <c r="H161" s="99">
        <f>G161+'9'!H161</f>
        <v>1564.8400000000256</v>
      </c>
      <c r="I161" s="236"/>
      <c r="J161" s="239">
        <f>H161/DAY(B2)</f>
        <v>156.48400000000257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'9'!F162</f>
        <v>100029</v>
      </c>
      <c r="F162" s="235">
        <v>100049</v>
      </c>
      <c r="G162" s="238">
        <f t="shared" si="13"/>
        <v>20</v>
      </c>
      <c r="H162" s="99">
        <f>G162+'9'!H162</f>
        <v>395.39999999999418</v>
      </c>
      <c r="I162" s="236"/>
      <c r="J162" s="239">
        <f>H162/DAY(B2)</f>
        <v>39.539999999999417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'9'!F163</f>
        <v>0</v>
      </c>
      <c r="F163" s="235">
        <v>0</v>
      </c>
      <c r="G163" s="238">
        <f t="shared" si="13"/>
        <v>0</v>
      </c>
      <c r="H163" s="99">
        <f>G163+'9'!H163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'9'!F164</f>
        <v>7077</v>
      </c>
      <c r="F164" s="235">
        <v>7082</v>
      </c>
      <c r="G164" s="238">
        <f t="shared" si="13"/>
        <v>5</v>
      </c>
      <c r="H164" s="99">
        <f>G164+'9'!H164</f>
        <v>91.800000000000182</v>
      </c>
      <c r="I164" s="236"/>
      <c r="J164" s="239">
        <f>H164/DAY(B2)</f>
        <v>9.1800000000000175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'9'!F165</f>
        <v>32640</v>
      </c>
      <c r="F165" s="235">
        <v>32644.2</v>
      </c>
      <c r="G165" s="238">
        <f t="shared" si="13"/>
        <v>4.2000000000007276</v>
      </c>
      <c r="H165" s="99">
        <f>G165+'9'!H165</f>
        <v>70.100000000002183</v>
      </c>
      <c r="I165" s="236"/>
      <c r="J165" s="239">
        <f>H165/DAY(B2)</f>
        <v>7.0100000000002183</v>
      </c>
    </row>
    <row r="166" spans="1:10" ht="26.25">
      <c r="A166" s="923"/>
      <c r="B166" s="923"/>
      <c r="C166" s="246"/>
      <c r="D166" s="244" t="s">
        <v>180</v>
      </c>
      <c r="E166" s="95">
        <f>'9'!F166</f>
        <v>0</v>
      </c>
      <c r="F166" s="165"/>
      <c r="G166" s="165"/>
      <c r="H166" s="99">
        <f>G166+'9'!H166</f>
        <v>0</v>
      </c>
      <c r="I166" s="165"/>
      <c r="J166" s="239">
        <f>H166/DAY(B2)</f>
        <v>0</v>
      </c>
    </row>
    <row r="167" spans="1:10" ht="26.25">
      <c r="A167" s="923"/>
      <c r="B167" s="923"/>
      <c r="C167" s="246"/>
      <c r="D167" s="244" t="s">
        <v>180</v>
      </c>
      <c r="E167" s="95">
        <f>'9'!F167</f>
        <v>0</v>
      </c>
      <c r="F167" s="165"/>
      <c r="G167" s="165"/>
      <c r="H167" s="99">
        <f>G167+'9'!H167</f>
        <v>0</v>
      </c>
      <c r="I167" s="165"/>
      <c r="J167" s="239">
        <f>H167/DAY(B2)</f>
        <v>0</v>
      </c>
    </row>
    <row r="168" spans="1:10" ht="26.25">
      <c r="A168" s="923"/>
      <c r="B168" s="923"/>
      <c r="C168" s="246"/>
      <c r="D168" s="244" t="s">
        <v>180</v>
      </c>
      <c r="E168" s="95">
        <f>'9'!F168</f>
        <v>0</v>
      </c>
      <c r="F168" s="165"/>
      <c r="G168" s="165"/>
      <c r="H168" s="99">
        <f>G168+'9'!H168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33" t="s">
        <v>330</v>
      </c>
      <c r="B171" s="934"/>
      <c r="C171" s="934"/>
      <c r="D171" s="934"/>
      <c r="E171" s="934"/>
      <c r="F171" s="934"/>
      <c r="G171" s="934"/>
      <c r="H171" s="934"/>
      <c r="I171" s="934"/>
      <c r="J171" s="935"/>
    </row>
    <row r="172" spans="1:10" ht="25.5">
      <c r="A172" s="929"/>
      <c r="B172" s="930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41" t="s">
        <v>209</v>
      </c>
      <c r="B173" s="843"/>
      <c r="C173" s="333"/>
      <c r="D173" s="228" t="s">
        <v>142</v>
      </c>
      <c r="E173" s="95">
        <f>'9'!F173</f>
        <v>8596</v>
      </c>
      <c r="F173" s="155">
        <v>8600</v>
      </c>
      <c r="G173" s="155">
        <f>F173-E173</f>
        <v>4</v>
      </c>
      <c r="H173" s="99">
        <f>G173+'9'!H173</f>
        <v>16</v>
      </c>
      <c r="I173" s="155"/>
      <c r="J173" s="178">
        <f>H173/DAY(B2)</f>
        <v>1.6</v>
      </c>
    </row>
    <row r="174" spans="1:10" ht="34.5" customHeight="1">
      <c r="A174" s="841" t="s">
        <v>75</v>
      </c>
      <c r="B174" s="843"/>
      <c r="C174" s="333"/>
      <c r="D174" s="228" t="s">
        <v>142</v>
      </c>
      <c r="E174" s="95">
        <f>'9'!F174</f>
        <v>42773</v>
      </c>
      <c r="F174" s="157">
        <v>42785</v>
      </c>
      <c r="G174" s="155">
        <f t="shared" ref="G174:G175" si="14">F174-E174</f>
        <v>12</v>
      </c>
      <c r="H174" s="99">
        <f>G174+'9'!H174</f>
        <v>116</v>
      </c>
      <c r="I174" s="155"/>
      <c r="J174" s="178">
        <f>H174/DAY(B2)</f>
        <v>11.6</v>
      </c>
    </row>
    <row r="175" spans="1:10" ht="31.5" customHeight="1">
      <c r="A175" s="841" t="s">
        <v>76</v>
      </c>
      <c r="B175" s="842"/>
      <c r="C175" s="843"/>
      <c r="D175" s="228" t="s">
        <v>142</v>
      </c>
      <c r="E175" s="95">
        <f>'9'!F175</f>
        <v>25510</v>
      </c>
      <c r="F175" s="155">
        <v>25522</v>
      </c>
      <c r="G175" s="155">
        <f t="shared" si="14"/>
        <v>12</v>
      </c>
      <c r="H175" s="99">
        <f>G175+'9'!H175</f>
        <v>129</v>
      </c>
      <c r="I175" s="155"/>
      <c r="J175" s="178">
        <f>H175/DAY(B2)</f>
        <v>12.9</v>
      </c>
    </row>
    <row r="176" spans="1:10" ht="21.75" customHeight="1">
      <c r="A176" s="853" t="s">
        <v>196</v>
      </c>
      <c r="B176" s="854"/>
      <c r="C176" s="333"/>
      <c r="D176" s="228"/>
      <c r="E176" s="95"/>
      <c r="F176" s="155"/>
      <c r="G176" s="155">
        <f>SUM(G173:G175)</f>
        <v>28</v>
      </c>
      <c r="H176" s="99">
        <f>G176+'9'!H176</f>
        <v>261</v>
      </c>
      <c r="I176" s="155"/>
      <c r="J176" s="178">
        <f>H176/DAY(B2)</f>
        <v>26.1</v>
      </c>
    </row>
    <row r="177" spans="1:10" ht="27.75" customHeight="1">
      <c r="A177" s="841" t="s">
        <v>77</v>
      </c>
      <c r="B177" s="843"/>
      <c r="C177" s="333"/>
      <c r="D177" s="228" t="s">
        <v>142</v>
      </c>
      <c r="E177" s="95"/>
      <c r="F177" s="155"/>
      <c r="G177" s="155"/>
      <c r="H177" s="99">
        <f>G177+'9'!H177</f>
        <v>0</v>
      </c>
      <c r="I177" s="155"/>
      <c r="J177" s="178">
        <f>H177/DAY(B2)</f>
        <v>0</v>
      </c>
    </row>
    <row r="178" spans="1:10" ht="21.75" customHeight="1">
      <c r="A178" s="841" t="s">
        <v>210</v>
      </c>
      <c r="B178" s="843"/>
      <c r="C178" s="333"/>
      <c r="D178" s="228" t="s">
        <v>142</v>
      </c>
      <c r="E178" s="95">
        <f>'9'!F178</f>
        <v>104188</v>
      </c>
      <c r="F178" s="155">
        <v>104340</v>
      </c>
      <c r="G178" s="155">
        <f>F178-E178</f>
        <v>152</v>
      </c>
      <c r="H178" s="99">
        <f>G178+'9'!H178</f>
        <v>697</v>
      </c>
      <c r="I178" s="155"/>
      <c r="J178" s="178">
        <f>H178/DAY(B2)</f>
        <v>69.7</v>
      </c>
    </row>
    <row r="179" spans="1:10" ht="27.75" customHeight="1">
      <c r="A179" s="841" t="s">
        <v>211</v>
      </c>
      <c r="B179" s="843"/>
      <c r="C179" s="333"/>
      <c r="D179" s="228" t="s">
        <v>142</v>
      </c>
      <c r="E179" s="95">
        <f>'9'!F179</f>
        <v>37501</v>
      </c>
      <c r="F179" s="155">
        <v>37501</v>
      </c>
      <c r="G179" s="155">
        <f t="shared" ref="G179:G180" si="15">F179-E179</f>
        <v>0</v>
      </c>
      <c r="H179" s="99">
        <f>G179+'9'!H179</f>
        <v>0</v>
      </c>
      <c r="I179" s="155"/>
      <c r="J179" s="178">
        <f>H179/DAY(B2)</f>
        <v>0</v>
      </c>
    </row>
    <row r="180" spans="1:10" ht="25.5">
      <c r="A180" s="841" t="s">
        <v>212</v>
      </c>
      <c r="B180" s="843"/>
      <c r="C180" s="333"/>
      <c r="D180" s="228" t="s">
        <v>142</v>
      </c>
      <c r="E180" s="95">
        <f>'9'!F180</f>
        <v>7439</v>
      </c>
      <c r="F180" s="155">
        <v>7439</v>
      </c>
      <c r="G180" s="155">
        <f t="shared" si="15"/>
        <v>0</v>
      </c>
      <c r="H180" s="99">
        <f>G180+'9'!H180</f>
        <v>19</v>
      </c>
      <c r="I180" s="155"/>
      <c r="J180" s="178">
        <f>H180/DAY(B2)</f>
        <v>1.9</v>
      </c>
    </row>
    <row r="181" spans="1:10" ht="25.5">
      <c r="A181" s="927" t="s">
        <v>108</v>
      </c>
      <c r="B181" s="928"/>
      <c r="C181" s="333"/>
      <c r="D181" s="228"/>
      <c r="E181" s="95"/>
      <c r="F181" s="155"/>
      <c r="G181" s="155">
        <f>SUM(G178:G180)</f>
        <v>152</v>
      </c>
      <c r="H181" s="99">
        <f>G181+'9'!H181</f>
        <v>716</v>
      </c>
      <c r="I181" s="155"/>
      <c r="J181" s="178">
        <f>H181/DAY(B2)</f>
        <v>71.599999999999994</v>
      </c>
    </row>
    <row r="182" spans="1:10" ht="25.5">
      <c r="A182" s="841" t="s">
        <v>213</v>
      </c>
      <c r="B182" s="843"/>
      <c r="C182" s="333"/>
      <c r="D182" s="228"/>
      <c r="E182" s="95"/>
      <c r="F182" s="155"/>
      <c r="G182" s="155"/>
      <c r="H182" s="99">
        <f>G182+'9'!H182</f>
        <v>0</v>
      </c>
      <c r="I182" s="155"/>
      <c r="J182" s="178">
        <f>H182/DAY(B2)</f>
        <v>0</v>
      </c>
    </row>
    <row r="183" spans="1:10" ht="25.5">
      <c r="A183" s="841" t="s">
        <v>214</v>
      </c>
      <c r="B183" s="843"/>
      <c r="C183" s="334"/>
      <c r="D183" s="228" t="s">
        <v>142</v>
      </c>
      <c r="E183" s="95">
        <f>'9'!F183</f>
        <v>18213</v>
      </c>
      <c r="F183" s="157">
        <v>18221</v>
      </c>
      <c r="G183" s="157">
        <f>F183-E183</f>
        <v>8</v>
      </c>
      <c r="H183" s="99">
        <f>G183+'9'!H183</f>
        <v>53</v>
      </c>
      <c r="I183" s="155"/>
      <c r="J183" s="178">
        <f>H183/DAY(B2)</f>
        <v>5.3</v>
      </c>
    </row>
    <row r="184" spans="1:10" ht="25.5">
      <c r="A184" s="841" t="s">
        <v>215</v>
      </c>
      <c r="B184" s="843"/>
      <c r="C184" s="334"/>
      <c r="D184" s="228" t="s">
        <v>142</v>
      </c>
      <c r="E184" s="95">
        <f>'9'!F184</f>
        <v>12815</v>
      </c>
      <c r="F184" s="157">
        <v>12825</v>
      </c>
      <c r="G184" s="157">
        <f t="shared" ref="G184:G185" si="16">F184-E184</f>
        <v>10</v>
      </c>
      <c r="H184" s="99">
        <f>G184+'9'!H184</f>
        <v>75</v>
      </c>
      <c r="I184" s="155"/>
      <c r="J184" s="178">
        <f>H184/DAY(B2)</f>
        <v>7.5</v>
      </c>
    </row>
    <row r="185" spans="1:10" ht="37.5" customHeight="1">
      <c r="A185" s="841" t="s">
        <v>216</v>
      </c>
      <c r="B185" s="843"/>
      <c r="C185" s="334"/>
      <c r="D185" s="228" t="s">
        <v>142</v>
      </c>
      <c r="E185" s="95">
        <f>'9'!F185</f>
        <v>0</v>
      </c>
      <c r="F185" s="157">
        <v>0</v>
      </c>
      <c r="G185" s="157">
        <f t="shared" si="16"/>
        <v>0</v>
      </c>
      <c r="H185" s="99">
        <f>G185+'9'!H185</f>
        <v>0</v>
      </c>
      <c r="I185" s="155"/>
      <c r="J185" s="178">
        <f>H185/DAY(B2)</f>
        <v>0</v>
      </c>
    </row>
    <row r="186" spans="1:10" ht="26.25" customHeight="1">
      <c r="A186" s="853" t="s">
        <v>196</v>
      </c>
      <c r="B186" s="854"/>
      <c r="C186" s="334"/>
      <c r="D186" s="229"/>
      <c r="E186" s="95"/>
      <c r="F186" s="157"/>
      <c r="G186" s="157">
        <f>SUM(G183:G185)</f>
        <v>18</v>
      </c>
      <c r="H186" s="99">
        <f>G186+'9'!H186</f>
        <v>128</v>
      </c>
      <c r="I186" s="157"/>
      <c r="J186" s="178">
        <f>H186/DAY(B2)</f>
        <v>12.8</v>
      </c>
    </row>
    <row r="187" spans="1:10" ht="21.75" customHeight="1">
      <c r="A187" s="931" t="s">
        <v>217</v>
      </c>
      <c r="B187" s="932"/>
      <c r="C187" s="333"/>
      <c r="D187" s="230" t="s">
        <v>142</v>
      </c>
      <c r="E187" s="95"/>
      <c r="F187" s="159"/>
      <c r="G187" s="423">
        <f>G62+G19</f>
        <v>208</v>
      </c>
      <c r="H187" s="99">
        <f>G187+'9'!H187</f>
        <v>1732</v>
      </c>
      <c r="I187" s="158"/>
      <c r="J187" s="179">
        <f>H187/DAY(B2)</f>
        <v>173.2</v>
      </c>
    </row>
    <row r="188" spans="1:10" ht="21.75" customHeight="1">
      <c r="A188" s="931" t="s">
        <v>218</v>
      </c>
      <c r="B188" s="932"/>
      <c r="C188" s="333"/>
      <c r="D188" s="230" t="s">
        <v>142</v>
      </c>
      <c r="E188" s="95"/>
      <c r="F188" s="159"/>
      <c r="G188" s="423">
        <f>G65+G66+G67+G69+G70</f>
        <v>205</v>
      </c>
      <c r="H188" s="99">
        <f>G188+'9'!H188</f>
        <v>57205</v>
      </c>
      <c r="I188" s="158"/>
      <c r="J188" s="179">
        <f>H188/DAY(B2)</f>
        <v>5720.5</v>
      </c>
    </row>
    <row r="189" spans="1:10" ht="21.75" customHeight="1">
      <c r="A189" s="931" t="s">
        <v>219</v>
      </c>
      <c r="B189" s="932"/>
      <c r="C189" s="333"/>
      <c r="D189" s="230" t="s">
        <v>142</v>
      </c>
      <c r="E189" s="95"/>
      <c r="F189" s="157"/>
      <c r="G189" s="420">
        <f>G181</f>
        <v>152</v>
      </c>
      <c r="H189" s="99">
        <f>G189+'9'!H189</f>
        <v>716</v>
      </c>
      <c r="I189" s="158"/>
      <c r="J189" s="179">
        <f>H189/DAY(B2)</f>
        <v>71.599999999999994</v>
      </c>
    </row>
    <row r="190" spans="1:10" ht="27" customHeight="1">
      <c r="A190" s="925"/>
      <c r="B190" s="926"/>
      <c r="C190" s="390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1.75" customHeight="1"/>
    <row r="192" spans="1:10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36.75" customHeight="1"/>
    <row r="203" ht="26.25"/>
    <row r="204" ht="26.25"/>
    <row r="205" ht="26.25"/>
    <row r="206" ht="26.25"/>
    <row r="207" ht="26.25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8:C158"/>
    <mergeCell ref="A159:C159"/>
    <mergeCell ref="A189:B189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3:B183"/>
    <mergeCell ref="A181:B181"/>
    <mergeCell ref="A182:B182"/>
    <mergeCell ref="A175:C175"/>
    <mergeCell ref="A168:B168"/>
    <mergeCell ref="A171:J171"/>
    <mergeCell ref="A172:B172"/>
    <mergeCell ref="A173:B173"/>
    <mergeCell ref="A174:B174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Q118:R118"/>
    <mergeCell ref="A119:C119"/>
    <mergeCell ref="A120:C120"/>
    <mergeCell ref="A121:C121"/>
    <mergeCell ref="A115:C115"/>
    <mergeCell ref="A116:C116"/>
    <mergeCell ref="Q116:R116"/>
    <mergeCell ref="A117:C117"/>
    <mergeCell ref="Q117:R117"/>
    <mergeCell ref="A94:C94"/>
    <mergeCell ref="A95:C95"/>
    <mergeCell ref="A96:C96"/>
    <mergeCell ref="A97:C97"/>
    <mergeCell ref="A98:C98"/>
    <mergeCell ref="A99:C99"/>
    <mergeCell ref="A100:C100"/>
    <mergeCell ref="A101:C101"/>
    <mergeCell ref="A118:C118"/>
    <mergeCell ref="A110:J110"/>
    <mergeCell ref="A111:C111"/>
    <mergeCell ref="A112:C112"/>
    <mergeCell ref="A113:C113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93:C93"/>
    <mergeCell ref="A33:C33"/>
    <mergeCell ref="A61:C61"/>
    <mergeCell ref="A62:C62"/>
    <mergeCell ref="A63:C63"/>
    <mergeCell ref="A71:C71"/>
    <mergeCell ref="A76:C76"/>
    <mergeCell ref="A77:C77"/>
    <mergeCell ref="A79:C79"/>
    <mergeCell ref="A80:C80"/>
    <mergeCell ref="A64:C64"/>
    <mergeCell ref="A65:C65"/>
    <mergeCell ref="A135:B135"/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81:C81"/>
    <mergeCell ref="A78:C78"/>
    <mergeCell ref="A73:C73"/>
    <mergeCell ref="A74:C74"/>
    <mergeCell ref="A75:C75"/>
    <mergeCell ref="A72:B72"/>
    <mergeCell ref="A114:C114"/>
    <mergeCell ref="A102:C102"/>
    <mergeCell ref="A123:C123"/>
    <mergeCell ref="A103:C103"/>
    <mergeCell ref="A104:C104"/>
    <mergeCell ref="A109:B109"/>
    <mergeCell ref="A105:C105"/>
    <mergeCell ref="A108:J108"/>
  </mergeCells>
  <pageMargins left="0.22" right="0.17" top="0.14000000000000001" bottom="0.2" header="0.2" footer="0.2"/>
  <pageSetup paperSize="5" scale="2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R190"/>
  <sheetViews>
    <sheetView zoomScale="55" zoomScaleNormal="55" workbookViewId="0">
      <selection activeCell="F19" sqref="F19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0.75" customHeight="1">
      <c r="A1" s="867" t="s">
        <v>115</v>
      </c>
      <c r="B1" s="868"/>
      <c r="C1" s="868"/>
      <c r="D1" s="868"/>
      <c r="E1" s="868"/>
      <c r="F1" s="868"/>
      <c r="G1" s="868"/>
      <c r="H1" s="868"/>
      <c r="I1" s="868"/>
      <c r="J1" s="869"/>
    </row>
    <row r="2" spans="1:16" s="57" customFormat="1" ht="30.75" customHeight="1">
      <c r="A2" s="191" t="s">
        <v>354</v>
      </c>
      <c r="B2" s="262">
        <v>44906</v>
      </c>
      <c r="C2" s="348" t="s">
        <v>67</v>
      </c>
      <c r="D2" s="218">
        <v>0.5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30.75" customHeight="1">
      <c r="A3" s="189"/>
      <c r="B3" s="221"/>
      <c r="C3" s="348" t="s">
        <v>118</v>
      </c>
      <c r="D3" s="219">
        <v>31</v>
      </c>
      <c r="E3" s="876" t="s">
        <v>119</v>
      </c>
      <c r="F3" s="877"/>
      <c r="G3" s="101"/>
      <c r="H3" s="102"/>
      <c r="I3" s="102"/>
      <c r="J3" s="222"/>
      <c r="K3" s="61"/>
      <c r="L3" s="58"/>
    </row>
    <row r="4" spans="1:16" s="57" customFormat="1" ht="30.75" customHeight="1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6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30.75" customHeight="1">
      <c r="A6" s="870" t="s">
        <v>128</v>
      </c>
      <c r="B6" s="871"/>
      <c r="C6" s="872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.75" customHeight="1" thickBot="1">
      <c r="A7" s="194" t="s">
        <v>129</v>
      </c>
      <c r="B7" s="195"/>
      <c r="C7" s="195"/>
      <c r="D7" s="151" t="s">
        <v>130</v>
      </c>
      <c r="E7" s="95">
        <f>'10'!F7</f>
        <v>502807.19</v>
      </c>
      <c r="F7" s="95">
        <v>524541.15</v>
      </c>
      <c r="G7" s="112">
        <f>F7-E7</f>
        <v>21733.960000000021</v>
      </c>
      <c r="H7" s="99">
        <f>G7+'10'!H7</f>
        <v>250858.60000000003</v>
      </c>
      <c r="I7" s="113">
        <f>'1'!I7</f>
        <v>12000</v>
      </c>
      <c r="J7" s="175">
        <f>H7/DAY(B2)</f>
        <v>22805.327272727274</v>
      </c>
      <c r="K7" s="172">
        <v>1375467</v>
      </c>
      <c r="L7" s="66"/>
      <c r="N7" s="87"/>
      <c r="O7" s="71"/>
    </row>
    <row r="8" spans="1:16" ht="30.75" customHeight="1" thickBot="1">
      <c r="A8" s="196" t="s">
        <v>131</v>
      </c>
      <c r="B8" s="197"/>
      <c r="C8" s="198"/>
      <c r="D8" s="224" t="s">
        <v>24</v>
      </c>
      <c r="E8" s="95">
        <f>'10'!F8</f>
        <v>681573.35</v>
      </c>
      <c r="F8" s="114">
        <v>703370.39</v>
      </c>
      <c r="G8" s="115">
        <f>F8-E8</f>
        <v>21797.040000000037</v>
      </c>
      <c r="H8" s="99">
        <f>G8+'10'!H8</f>
        <v>252109.39</v>
      </c>
      <c r="I8" s="116"/>
      <c r="J8" s="175">
        <f>H8/DAY(B2)</f>
        <v>22919.035454545457</v>
      </c>
      <c r="K8" s="172">
        <v>1715917</v>
      </c>
      <c r="L8" s="76">
        <v>1728480</v>
      </c>
      <c r="M8" s="87">
        <f>L8-K8</f>
        <v>12563</v>
      </c>
      <c r="N8" s="87"/>
      <c r="O8" s="71">
        <f>4500/60</f>
        <v>75</v>
      </c>
      <c r="P8" s="65">
        <f>O8*12</f>
        <v>900</v>
      </c>
    </row>
    <row r="9" spans="1:16" ht="30.75" customHeight="1">
      <c r="A9" s="199" t="s">
        <v>132</v>
      </c>
      <c r="B9" s="200"/>
      <c r="C9" s="200"/>
      <c r="D9" s="151" t="s">
        <v>130</v>
      </c>
      <c r="E9" s="95">
        <f>'10'!F9</f>
        <v>4178571.1</v>
      </c>
      <c r="F9" s="468">
        <v>4185046.3</v>
      </c>
      <c r="G9" s="112">
        <f>F9-E9</f>
        <v>6475.1999999997206</v>
      </c>
      <c r="H9" s="99">
        <f>G9+'10'!H9</f>
        <v>70876</v>
      </c>
      <c r="I9" s="124">
        <f>I7-J7</f>
        <v>-10805.327272727274</v>
      </c>
      <c r="J9" s="175">
        <f>H9/DAY(B2)</f>
        <v>6443.272727272727</v>
      </c>
      <c r="K9" s="79">
        <f>K8-100</f>
        <v>1715817</v>
      </c>
      <c r="L9" s="66"/>
      <c r="N9" s="87"/>
      <c r="O9" s="71"/>
    </row>
    <row r="10" spans="1:16" ht="30.75" customHeight="1">
      <c r="A10" s="194" t="s">
        <v>133</v>
      </c>
      <c r="B10" s="195"/>
      <c r="C10" s="195"/>
      <c r="D10" s="151" t="s">
        <v>130</v>
      </c>
      <c r="E10" s="95">
        <f>'10'!F10</f>
        <v>3847989.1</v>
      </c>
      <c r="F10" s="353">
        <v>3862455.9</v>
      </c>
      <c r="G10" s="112">
        <f t="shared" ref="G10:G12" si="0">F10-E10</f>
        <v>14466.799999999814</v>
      </c>
      <c r="H10" s="99">
        <f>G10+'10'!H10</f>
        <v>172976.79999999981</v>
      </c>
      <c r="I10" s="282"/>
      <c r="J10" s="175">
        <f>H10/DAY(B2)</f>
        <v>15725.163636363619</v>
      </c>
      <c r="K10" s="79"/>
      <c r="L10" s="66"/>
      <c r="N10" s="87"/>
      <c r="O10" s="71"/>
    </row>
    <row r="11" spans="1:16" ht="30.75" customHeight="1">
      <c r="A11" s="194" t="s">
        <v>134</v>
      </c>
      <c r="B11" s="195"/>
      <c r="C11" s="195"/>
      <c r="D11" s="151" t="s">
        <v>130</v>
      </c>
      <c r="E11" s="95">
        <f>'10'!F11</f>
        <v>38120</v>
      </c>
      <c r="F11" s="95">
        <v>38120</v>
      </c>
      <c r="G11" s="112">
        <f t="shared" si="0"/>
        <v>0</v>
      </c>
      <c r="H11" s="99">
        <f>G11+'10'!H11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30.75" customHeight="1">
      <c r="A12" s="194" t="s">
        <v>135</v>
      </c>
      <c r="B12" s="195"/>
      <c r="C12" s="195"/>
      <c r="D12" s="151" t="s">
        <v>130</v>
      </c>
      <c r="E12" s="95">
        <f>'10'!F12</f>
        <v>40390</v>
      </c>
      <c r="F12" s="117">
        <v>40390</v>
      </c>
      <c r="G12" s="112">
        <f t="shared" si="0"/>
        <v>0</v>
      </c>
      <c r="H12" s="99">
        <f>G12+'10'!H12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20941.999999999534</v>
      </c>
      <c r="H13" s="99">
        <f>G13+'10'!H13</f>
        <v>248081.49999999953</v>
      </c>
      <c r="I13" s="120">
        <f>G7-G13</f>
        <v>791.96000000048662</v>
      </c>
      <c r="J13" s="175">
        <f>H13/DAY(B2)</f>
        <v>22552.863636363592</v>
      </c>
      <c r="K13" s="79"/>
      <c r="L13" s="66"/>
      <c r="N13" s="87"/>
      <c r="O13" s="71"/>
    </row>
    <row r="14" spans="1:16" ht="30.75" customHeight="1">
      <c r="A14" s="873" t="s">
        <v>137</v>
      </c>
      <c r="B14" s="874"/>
      <c r="C14" s="87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30.75" customHeight="1">
      <c r="A15" s="345" t="s">
        <v>138</v>
      </c>
      <c r="B15" s="205"/>
      <c r="C15" s="205"/>
      <c r="D15" s="151" t="s">
        <v>139</v>
      </c>
      <c r="E15" s="95">
        <f>'10'!F15</f>
        <v>2229896.4500000002</v>
      </c>
      <c r="F15" s="468">
        <v>2231018</v>
      </c>
      <c r="G15" s="112">
        <f>(F15-E15)</f>
        <v>1121.5499999998137</v>
      </c>
      <c r="H15" s="99">
        <f>G15+'10'!H15</f>
        <v>12077</v>
      </c>
      <c r="I15" s="113">
        <f>'1'!I15</f>
        <v>800</v>
      </c>
      <c r="J15" s="175">
        <f>H15/DAY(B2)</f>
        <v>1097.909090909091</v>
      </c>
      <c r="K15" s="79"/>
      <c r="L15" s="66"/>
      <c r="N15" s="87"/>
      <c r="O15" s="71"/>
    </row>
    <row r="16" spans="1:16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-297.90909090909099</v>
      </c>
      <c r="J16" s="176"/>
      <c r="K16" s="79"/>
      <c r="L16" s="66"/>
      <c r="N16" s="87"/>
      <c r="O16" s="71"/>
    </row>
    <row r="17" spans="1:15" ht="30.75" customHeight="1">
      <c r="A17" s="873" t="s">
        <v>140</v>
      </c>
      <c r="B17" s="874"/>
      <c r="C17" s="87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864" t="s">
        <v>141</v>
      </c>
      <c r="B18" s="865"/>
      <c r="C18" s="866"/>
      <c r="D18" s="151" t="s">
        <v>142</v>
      </c>
      <c r="E18" s="95">
        <f>'10'!F18</f>
        <v>26</v>
      </c>
      <c r="F18" s="122">
        <v>25</v>
      </c>
      <c r="G18" s="119">
        <f>F18*10</f>
        <v>250</v>
      </c>
      <c r="H18" s="99">
        <f>G18+'10'!H18</f>
        <v>2810</v>
      </c>
      <c r="I18" s="113">
        <f>'1'!I18</f>
        <v>65</v>
      </c>
      <c r="J18" s="175">
        <f>H18/DAY(B2)</f>
        <v>255.45454545454547</v>
      </c>
      <c r="K18" s="79"/>
      <c r="L18" s="66"/>
      <c r="N18" s="87"/>
      <c r="O18" s="71"/>
    </row>
    <row r="19" spans="1:15" ht="30.75" customHeight="1">
      <c r="A19" s="864" t="s">
        <v>69</v>
      </c>
      <c r="B19" s="865"/>
      <c r="C19" s="866"/>
      <c r="D19" s="151" t="s">
        <v>142</v>
      </c>
      <c r="E19" s="95">
        <f>'10'!F19</f>
        <v>168508</v>
      </c>
      <c r="F19" s="122">
        <v>168554</v>
      </c>
      <c r="G19" s="112">
        <f t="shared" ref="G19" si="1">F19-E19</f>
        <v>46</v>
      </c>
      <c r="H19" s="99">
        <f>G19+'10'!H19</f>
        <v>594</v>
      </c>
      <c r="I19" s="335"/>
      <c r="J19" s="175">
        <f>H19/DAY(B2)</f>
        <v>54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296</v>
      </c>
      <c r="H20" s="99">
        <f>G20+'10'!H20</f>
        <v>3404</v>
      </c>
      <c r="I20" s="336">
        <f>I18-J20</f>
        <v>-244.45454545454544</v>
      </c>
      <c r="J20" s="175">
        <f>H20/DAY(B2)</f>
        <v>309.45454545454544</v>
      </c>
      <c r="K20" s="79"/>
      <c r="L20" s="66"/>
      <c r="N20" s="87"/>
      <c r="O20" s="71"/>
    </row>
    <row r="21" spans="1:15" ht="30.75" customHeight="1">
      <c r="A21" s="873" t="s">
        <v>144</v>
      </c>
      <c r="B21" s="874"/>
      <c r="C21" s="87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'10'!F22</f>
        <v>2970</v>
      </c>
      <c r="F22" s="122">
        <v>2970</v>
      </c>
      <c r="G22" s="119">
        <f t="shared" ref="G22" si="2">(F22-E22)</f>
        <v>0</v>
      </c>
      <c r="H22" s="99">
        <f>G22+'10'!H22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'10'!F23</f>
        <v>2000</v>
      </c>
      <c r="F23" s="122">
        <v>2000</v>
      </c>
      <c r="G23" s="119">
        <v>0</v>
      </c>
      <c r="H23" s="99">
        <f>G23+'10'!H23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f>'10'!F24</f>
        <v>4970</v>
      </c>
      <c r="F24" s="128">
        <v>4970</v>
      </c>
      <c r="G24" s="119">
        <v>0</v>
      </c>
      <c r="H24" s="99">
        <f>G24+'10'!H24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878" t="s">
        <v>149</v>
      </c>
      <c r="B25" s="879"/>
      <c r="C25" s="88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21797.040000000037</v>
      </c>
      <c r="F27" s="136">
        <v>9</v>
      </c>
      <c r="G27" s="137">
        <f>E27*F27</f>
        <v>196173.36000000034</v>
      </c>
      <c r="H27" s="99">
        <f>G27+'10'!H27</f>
        <v>2291575.31</v>
      </c>
      <c r="I27" s="138"/>
      <c r="J27" s="175">
        <f>H27/DAY(B2)</f>
        <v>208325.0281818182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1121.5499999998137</v>
      </c>
      <c r="F28" s="136">
        <v>70</v>
      </c>
      <c r="G28" s="137">
        <f>E28*F28</f>
        <v>78508.499999986961</v>
      </c>
      <c r="H28" s="99">
        <f>G28+'10'!H28</f>
        <v>855901.75000000047</v>
      </c>
      <c r="I28" s="140"/>
      <c r="J28" s="175">
        <f>H28/DAY(B2)</f>
        <v>77809.250000000044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46</v>
      </c>
      <c r="F30" s="136">
        <v>151</v>
      </c>
      <c r="G30" s="137">
        <f>E30*F30</f>
        <v>6946</v>
      </c>
      <c r="H30" s="99">
        <f>G30+'10'!H30</f>
        <v>89694</v>
      </c>
      <c r="I30" s="140"/>
      <c r="J30" s="175">
        <f>H30/DAY(B2)</f>
        <v>8154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250</v>
      </c>
      <c r="F31" s="136">
        <v>80</v>
      </c>
      <c r="G31" s="137">
        <f>E31*F31</f>
        <v>20000</v>
      </c>
      <c r="H31" s="99">
        <f>G31+'10'!H31</f>
        <v>224800</v>
      </c>
      <c r="I31" s="140"/>
      <c r="J31" s="175">
        <f>H31/DAY(B2)</f>
        <v>20436.363636363636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301627.8599999873</v>
      </c>
      <c r="H32" s="99">
        <f>G32+'10'!H32</f>
        <v>3461971.0600000005</v>
      </c>
      <c r="I32" s="144"/>
      <c r="J32" s="175">
        <f>H32/DAY(B2)</f>
        <v>314724.64181818184</v>
      </c>
      <c r="K32" s="63"/>
      <c r="L32" s="89"/>
      <c r="N32" s="87"/>
      <c r="O32" s="71"/>
    </row>
    <row r="33" spans="1:15" ht="30.75" customHeight="1">
      <c r="A33" s="881" t="s">
        <v>331</v>
      </c>
      <c r="B33" s="882"/>
      <c r="C33" s="88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'10'!F35</f>
        <v>397300.35</v>
      </c>
      <c r="F35" s="145">
        <v>400039.95</v>
      </c>
      <c r="G35" s="112">
        <f t="shared" ref="G35:G46" si="3">F35-E35</f>
        <v>2739.6000000000349</v>
      </c>
      <c r="H35" s="99">
        <f>G35+'10'!H35</f>
        <v>30943.040000000037</v>
      </c>
      <c r="I35" s="95"/>
      <c r="J35" s="175">
        <f>H35/DAY(B2)</f>
        <v>2813.0036363636395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'10'!F36</f>
        <v>333123.21000000002</v>
      </c>
      <c r="F36" s="145">
        <v>334256.84999999998</v>
      </c>
      <c r="G36" s="112">
        <f t="shared" si="3"/>
        <v>1133.6399999999558</v>
      </c>
      <c r="H36" s="99">
        <f>G36+'10'!H36</f>
        <v>12039.739999999991</v>
      </c>
      <c r="I36" s="95"/>
      <c r="J36" s="175">
        <f>H36/DAY(B2)</f>
        <v>1094.5218181818173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'10'!F37</f>
        <v>322998.69</v>
      </c>
      <c r="F37" s="145">
        <v>322998.69</v>
      </c>
      <c r="G37" s="112">
        <f t="shared" si="3"/>
        <v>0</v>
      </c>
      <c r="H37" s="99">
        <f>G37+'10'!H37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'10'!F38</f>
        <v>760297.59</v>
      </c>
      <c r="F38" s="108">
        <v>762805.32</v>
      </c>
      <c r="G38" s="112">
        <f t="shared" si="3"/>
        <v>2507.7299999999814</v>
      </c>
      <c r="H38" s="99">
        <f>G38+'10'!H38</f>
        <v>26952.929999999935</v>
      </c>
      <c r="I38" s="95"/>
      <c r="J38" s="175">
        <f>H38/DAY(B2)</f>
        <v>2450.2663636363577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'10'!F39</f>
        <v>591584.18999999994</v>
      </c>
      <c r="F39" s="145">
        <v>591584.18999999994</v>
      </c>
      <c r="G39" s="112">
        <f t="shared" si="3"/>
        <v>0</v>
      </c>
      <c r="H39" s="99">
        <f>G39+'10'!H39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'10'!F40</f>
        <v>200962.19</v>
      </c>
      <c r="F40" s="145">
        <v>201353.17</v>
      </c>
      <c r="G40" s="112">
        <f t="shared" si="3"/>
        <v>390.98000000001048</v>
      </c>
      <c r="H40" s="99">
        <f>G40+'10'!H40</f>
        <v>4623.2000000000116</v>
      </c>
      <c r="I40" s="95"/>
      <c r="J40" s="175">
        <f>H40/DAY(B2)</f>
        <v>420.29090909091013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'10'!F41</f>
        <v>419197.47</v>
      </c>
      <c r="F41" s="145">
        <v>419197.47</v>
      </c>
      <c r="G41" s="112">
        <f t="shared" si="3"/>
        <v>0</v>
      </c>
      <c r="H41" s="99">
        <f>G41+'10'!H41</f>
        <v>29.879999999946449</v>
      </c>
      <c r="I41" s="95"/>
      <c r="J41" s="175">
        <f>H41/DAY(B2)</f>
        <v>2.7163636363587682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'10'!F42</f>
        <v>871891.03</v>
      </c>
      <c r="F42" s="145">
        <v>871891.03</v>
      </c>
      <c r="G42" s="112">
        <f t="shared" si="3"/>
        <v>0</v>
      </c>
      <c r="H42" s="99">
        <f>G42+'10'!H42</f>
        <v>20.160000000032596</v>
      </c>
      <c r="I42" s="95"/>
      <c r="J42" s="175">
        <f>H42/DAY(B2)</f>
        <v>1.8327272727302359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'10'!F43</f>
        <v>407028</v>
      </c>
      <c r="F43" s="422">
        <v>407028</v>
      </c>
      <c r="G43" s="112">
        <f t="shared" si="3"/>
        <v>0</v>
      </c>
      <c r="H43" s="99">
        <f>G43+'10'!H43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'10'!F44</f>
        <v>0</v>
      </c>
      <c r="F44" s="145">
        <v>0</v>
      </c>
      <c r="G44" s="112">
        <f t="shared" si="3"/>
        <v>0</v>
      </c>
      <c r="H44" s="99">
        <f>G44+'10'!H44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'10'!F45</f>
        <v>0</v>
      </c>
      <c r="F45" s="145">
        <v>0</v>
      </c>
      <c r="G45" s="112">
        <f t="shared" si="3"/>
        <v>0</v>
      </c>
      <c r="H45" s="99">
        <f>G45+'10'!H45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'10'!F46</f>
        <v>0</v>
      </c>
      <c r="F46" s="145">
        <v>0</v>
      </c>
      <c r="G46" s="112">
        <f t="shared" si="3"/>
        <v>0</v>
      </c>
      <c r="H46" s="99">
        <f>G46+'10'!H46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6771.9499999999825</v>
      </c>
      <c r="H47" s="99">
        <f>G47+'10'!H47</f>
        <v>74608.949999999953</v>
      </c>
      <c r="I47" s="95"/>
      <c r="J47" s="175">
        <f>H47/DAY(B2)</f>
        <v>6782.6318181818142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'10'!F49</f>
        <v>797680.23</v>
      </c>
      <c r="F49" s="145">
        <v>798126.55</v>
      </c>
      <c r="G49" s="112">
        <f t="shared" ref="G49:G58" si="4">F49-E49</f>
        <v>446.32000000006519</v>
      </c>
      <c r="H49" s="99">
        <f>G49+'10'!H49</f>
        <v>4503.6000000000931</v>
      </c>
      <c r="I49" s="95"/>
      <c r="J49" s="175">
        <f>H49/DAY(B2)</f>
        <v>409.41818181819031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'10'!F50</f>
        <v>472418.23</v>
      </c>
      <c r="F50" s="145">
        <v>473842.43</v>
      </c>
      <c r="G50" s="112">
        <f t="shared" si="4"/>
        <v>1424.2000000000116</v>
      </c>
      <c r="H50" s="99">
        <f>G50+'10'!H50</f>
        <v>17173.359999999986</v>
      </c>
      <c r="I50" s="95"/>
      <c r="J50" s="175">
        <f>H50/DAY(B2)</f>
        <v>1561.2145454545441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'10'!F51</f>
        <v>146102.42000000001</v>
      </c>
      <c r="F51" s="145">
        <v>147134.34</v>
      </c>
      <c r="G51" s="112">
        <f t="shared" si="4"/>
        <v>1031.9199999999837</v>
      </c>
      <c r="H51" s="99">
        <f>G51+'10'!H51</f>
        <v>11889.790000000008</v>
      </c>
      <c r="I51" s="95"/>
      <c r="J51" s="175">
        <f>H51/DAY(B2)</f>
        <v>1080.8900000000008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'10'!F52</f>
        <v>9.76</v>
      </c>
      <c r="F52" s="145">
        <v>9.76</v>
      </c>
      <c r="G52" s="112">
        <f t="shared" si="4"/>
        <v>0</v>
      </c>
      <c r="H52" s="99">
        <f>G52+'10'!H52</f>
        <v>-0.24000000000000021</v>
      </c>
      <c r="I52" s="95"/>
      <c r="J52" s="175">
        <f>H52/DAY(B2)</f>
        <v>-2.1818181818181837E-2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'10'!F53</f>
        <v>587582.23</v>
      </c>
      <c r="F53" s="145">
        <v>591479.99</v>
      </c>
      <c r="G53" s="112">
        <f t="shared" si="4"/>
        <v>3897.7600000000093</v>
      </c>
      <c r="H53" s="99">
        <f>G53+'10'!H53</f>
        <v>44938.719999999972</v>
      </c>
      <c r="I53" s="95"/>
      <c r="J53" s="175">
        <f>H53/DAY(B2)</f>
        <v>4085.3381818181792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'10'!F54</f>
        <v>109302.2</v>
      </c>
      <c r="F54" s="145">
        <v>109471.66</v>
      </c>
      <c r="G54" s="112">
        <f t="shared" si="4"/>
        <v>169.4600000000064</v>
      </c>
      <c r="H54" s="99">
        <f>G54+'10'!H54</f>
        <v>1808.5</v>
      </c>
      <c r="I54" s="95"/>
      <c r="J54" s="175">
        <f>H54/DAY(B2)</f>
        <v>164.40909090909091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'10'!F55</f>
        <v>571421.55000000005</v>
      </c>
      <c r="F55" s="145">
        <v>571421.55000000005</v>
      </c>
      <c r="G55" s="112">
        <f t="shared" si="4"/>
        <v>0</v>
      </c>
      <c r="H55" s="99">
        <f>G55+'10'!H55</f>
        <v>9936.8800000000047</v>
      </c>
      <c r="I55" s="95"/>
      <c r="J55" s="175">
        <f>H55/DAY(B2)</f>
        <v>903.35272727272775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'10'!F56</f>
        <v>295415.39</v>
      </c>
      <c r="F56" s="422">
        <v>298458.05</v>
      </c>
      <c r="G56" s="112">
        <f t="shared" si="4"/>
        <v>3042.6599999999744</v>
      </c>
      <c r="H56" s="99">
        <f>G56+'10'!H56</f>
        <v>30343.039999999979</v>
      </c>
      <c r="I56" s="95"/>
      <c r="J56" s="175">
        <f>H56/DAY(B2)</f>
        <v>2758.45818181818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'10'!F57</f>
        <v>593229.31000000006</v>
      </c>
      <c r="F57" s="145">
        <v>595601.94999999995</v>
      </c>
      <c r="G57" s="112">
        <f t="shared" si="4"/>
        <v>2372.6399999998976</v>
      </c>
      <c r="H57" s="99">
        <f>G57+'10'!H57</f>
        <v>27023.479999999981</v>
      </c>
      <c r="I57" s="95"/>
      <c r="J57" s="175">
        <f>H57/DAY(B2)</f>
        <v>2456.6799999999985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'10'!F58</f>
        <v>81075.289999999994</v>
      </c>
      <c r="F58" s="145">
        <v>81310.820000000007</v>
      </c>
      <c r="G58" s="112">
        <f t="shared" si="4"/>
        <v>235.53000000001339</v>
      </c>
      <c r="H58" s="99">
        <f>G58+'10'!H58</f>
        <v>2595.1300000000047</v>
      </c>
      <c r="I58" s="95"/>
      <c r="J58" s="175">
        <f>H58/DAY(B2)</f>
        <v>235.9209090909095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12620.489999999962</v>
      </c>
      <c r="H59" s="99">
        <f>G59+'10'!H59</f>
        <v>150212.26000000004</v>
      </c>
      <c r="I59" s="95">
        <f>G7-G60</f>
        <v>2341.5200000000768</v>
      </c>
      <c r="J59" s="175">
        <f>H59/DAY(B2)</f>
        <v>13655.660000000003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19392.439999999944</v>
      </c>
      <c r="H60" s="99">
        <f>G60+'10'!H60</f>
        <v>224821.21000000002</v>
      </c>
      <c r="I60" s="95">
        <f>G13-G60</f>
        <v>1549.5599999995902</v>
      </c>
      <c r="J60" s="175">
        <f>H60/DAY(B2)</f>
        <v>20438.29181818182</v>
      </c>
      <c r="K60" s="79"/>
      <c r="L60" s="66"/>
      <c r="N60" s="87"/>
      <c r="O60" s="71"/>
    </row>
    <row r="61" spans="1:15" s="68" customFormat="1" ht="30.75" customHeight="1">
      <c r="A61" s="883" t="s">
        <v>332</v>
      </c>
      <c r="B61" s="884"/>
      <c r="C61" s="88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>
      <c r="A62" s="864" t="s">
        <v>198</v>
      </c>
      <c r="B62" s="865"/>
      <c r="C62" s="866"/>
      <c r="D62" s="151" t="s">
        <v>142</v>
      </c>
      <c r="E62" s="95">
        <f>'10'!F62</f>
        <v>309498</v>
      </c>
      <c r="F62" s="122">
        <v>309619</v>
      </c>
      <c r="G62" s="112">
        <f t="shared" ref="G62:G63" si="5">F62-E62</f>
        <v>121</v>
      </c>
      <c r="H62" s="99">
        <f>G62+'10'!H62</f>
        <v>1305</v>
      </c>
      <c r="I62" s="118"/>
      <c r="J62" s="175">
        <f>H62/DAY(B2)</f>
        <v>118.63636363636364</v>
      </c>
      <c r="K62" s="80"/>
      <c r="L62" s="66"/>
      <c r="N62" s="87"/>
      <c r="O62" s="71"/>
    </row>
    <row r="63" spans="1:15" ht="30.75" customHeight="1">
      <c r="A63" s="864" t="s">
        <v>199</v>
      </c>
      <c r="B63" s="865"/>
      <c r="C63" s="866"/>
      <c r="D63" s="151" t="s">
        <v>142</v>
      </c>
      <c r="E63" s="95">
        <f>'10'!F63</f>
        <v>247594</v>
      </c>
      <c r="F63" s="150">
        <v>247645</v>
      </c>
      <c r="G63" s="112">
        <f t="shared" si="5"/>
        <v>51</v>
      </c>
      <c r="H63" s="99">
        <f>G63+'10'!H63</f>
        <v>716</v>
      </c>
      <c r="I63" s="118"/>
      <c r="J63" s="175">
        <f>H63/DAY(B2)</f>
        <v>65.090909090909093</v>
      </c>
      <c r="K63" s="69"/>
      <c r="L63" s="66"/>
      <c r="N63" s="87"/>
      <c r="O63" s="71"/>
    </row>
    <row r="64" spans="1:15" ht="30.75" customHeight="1">
      <c r="A64" s="861" t="s">
        <v>200</v>
      </c>
      <c r="B64" s="862"/>
      <c r="C64" s="863"/>
      <c r="D64" s="151"/>
      <c r="E64" s="95">
        <f>'10'!F64</f>
        <v>0</v>
      </c>
      <c r="F64" s="122"/>
      <c r="G64" s="112">
        <f>G62+G63</f>
        <v>172</v>
      </c>
      <c r="H64" s="99">
        <f>G64+'10'!H64</f>
        <v>2021</v>
      </c>
      <c r="I64" s="118"/>
      <c r="J64" s="175">
        <f>H64/DAY(B2)</f>
        <v>183.72727272727272</v>
      </c>
      <c r="K64" s="69"/>
      <c r="L64" s="66"/>
      <c r="N64" s="87"/>
      <c r="O64" s="71"/>
    </row>
    <row r="65" spans="1:15" ht="30.75" customHeight="1">
      <c r="A65" s="864" t="s">
        <v>201</v>
      </c>
      <c r="B65" s="865"/>
      <c r="C65" s="866"/>
      <c r="D65" s="151" t="s">
        <v>142</v>
      </c>
      <c r="E65" s="95">
        <f>'10'!F65</f>
        <v>469241</v>
      </c>
      <c r="F65" s="122">
        <v>469372</v>
      </c>
      <c r="G65" s="112">
        <f t="shared" ref="G65:G70" si="6">F65-E65</f>
        <v>131</v>
      </c>
      <c r="H65" s="99">
        <f>G65+'10'!H65</f>
        <v>1471</v>
      </c>
      <c r="I65" s="118"/>
      <c r="J65" s="175">
        <f>H65/DAY(B2)</f>
        <v>133.72727272727272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'10'!F66</f>
        <v>113294</v>
      </c>
      <c r="F66" s="122">
        <v>113305</v>
      </c>
      <c r="G66" s="112">
        <f t="shared" si="6"/>
        <v>11</v>
      </c>
      <c r="H66" s="99">
        <f>G66+'10'!H66</f>
        <v>55558</v>
      </c>
      <c r="I66" s="118"/>
      <c r="J66" s="175">
        <f>H66/DAY(B2)</f>
        <v>5050.727272727273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'10'!F67</f>
        <v>116061</v>
      </c>
      <c r="F67" s="122">
        <v>116079</v>
      </c>
      <c r="G67" s="112">
        <f t="shared" si="6"/>
        <v>18</v>
      </c>
      <c r="H67" s="99">
        <f>G67+'10'!H67</f>
        <v>224</v>
      </c>
      <c r="I67" s="118"/>
      <c r="J67" s="175">
        <f>H67/DAY(B2)</f>
        <v>20.363636363636363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'10'!F68</f>
        <v>168802</v>
      </c>
      <c r="F68" s="122">
        <v>168824</v>
      </c>
      <c r="G68" s="112">
        <f t="shared" si="6"/>
        <v>22</v>
      </c>
      <c r="H68" s="99">
        <f>G68+'10'!H68</f>
        <v>317</v>
      </c>
      <c r="I68" s="118"/>
      <c r="J68" s="175">
        <f>H68/DAY(B2)</f>
        <v>28.818181818181817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'10'!F69</f>
        <v>12850</v>
      </c>
      <c r="F69" s="122">
        <v>12856</v>
      </c>
      <c r="G69" s="112">
        <f t="shared" si="6"/>
        <v>6</v>
      </c>
      <c r="H69" s="99">
        <f>G69+'10'!H69</f>
        <v>46</v>
      </c>
      <c r="I69" s="118"/>
      <c r="J69" s="175">
        <f>H69/DAY(B2)</f>
        <v>4.1818181818181817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'10'!F70</f>
        <v>10851</v>
      </c>
      <c r="F70" s="122">
        <v>10857</v>
      </c>
      <c r="G70" s="112">
        <f t="shared" si="6"/>
        <v>6</v>
      </c>
      <c r="H70" s="99">
        <f>G70+'10'!H70</f>
        <v>78</v>
      </c>
      <c r="I70" s="118"/>
      <c r="J70" s="175">
        <f>H70/DAY(B2)</f>
        <v>7.0909090909090908</v>
      </c>
      <c r="K70" s="69"/>
      <c r="L70" s="66"/>
      <c r="N70" s="87"/>
      <c r="O70" s="71"/>
    </row>
    <row r="71" spans="1:15" ht="30.75" customHeight="1">
      <c r="A71" s="861" t="s">
        <v>208</v>
      </c>
      <c r="B71" s="862"/>
      <c r="C71" s="863"/>
      <c r="D71" s="152"/>
      <c r="E71" s="152"/>
      <c r="F71" s="152"/>
      <c r="G71" s="153">
        <f>SUM(G65:G70)</f>
        <v>194</v>
      </c>
      <c r="H71" s="99">
        <f>G71+'10'!H71</f>
        <v>57694</v>
      </c>
      <c r="I71" s="154"/>
      <c r="J71" s="175">
        <f>H71/DAY(B2)</f>
        <v>5244.909090909091</v>
      </c>
      <c r="K71" s="69"/>
      <c r="L71" s="66"/>
      <c r="N71" s="87"/>
      <c r="O71" s="71"/>
    </row>
    <row r="72" spans="1:15" s="88" customFormat="1" ht="30.75" customHeight="1">
      <c r="A72" s="904"/>
      <c r="B72" s="89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909" t="s">
        <v>333</v>
      </c>
      <c r="B73" s="910"/>
      <c r="C73" s="91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864" t="s">
        <v>220</v>
      </c>
      <c r="B74" s="865"/>
      <c r="C74" s="866"/>
      <c r="D74" s="151" t="s">
        <v>139</v>
      </c>
      <c r="E74" s="95">
        <f>'10'!F74</f>
        <v>996296.74</v>
      </c>
      <c r="F74" s="117">
        <v>996562.1</v>
      </c>
      <c r="G74" s="112">
        <f>F74-E74</f>
        <v>265.35999999998603</v>
      </c>
      <c r="H74" s="99">
        <f>G74+'10'!H74</f>
        <v>3203.0699999999488</v>
      </c>
      <c r="I74" s="154"/>
      <c r="J74" s="175">
        <f>H74/DAY(B2)</f>
        <v>291.18818181817716</v>
      </c>
      <c r="K74" s="69"/>
      <c r="L74" s="66"/>
      <c r="N74" s="87"/>
      <c r="O74" s="71"/>
    </row>
    <row r="75" spans="1:15" ht="30.75" customHeight="1">
      <c r="A75" s="864" t="s">
        <v>221</v>
      </c>
      <c r="B75" s="865"/>
      <c r="C75" s="866"/>
      <c r="D75" s="151" t="s">
        <v>139</v>
      </c>
      <c r="E75" s="95">
        <f>'10'!F75</f>
        <v>73586.8</v>
      </c>
      <c r="F75" s="123">
        <v>73586.8</v>
      </c>
      <c r="G75" s="112">
        <f t="shared" ref="G75:G78" si="7">F75-E75</f>
        <v>0</v>
      </c>
      <c r="H75" s="99">
        <f>G75+'10'!H75</f>
        <v>0.80000000000291038</v>
      </c>
      <c r="I75" s="154"/>
      <c r="J75" s="175">
        <f>H75/DAY(B2)</f>
        <v>7.2727272727537304E-2</v>
      </c>
      <c r="K75" s="69"/>
      <c r="L75" s="66"/>
      <c r="N75" s="87"/>
      <c r="O75" s="71"/>
    </row>
    <row r="76" spans="1:15" ht="30.75" customHeight="1">
      <c r="A76" s="905" t="s">
        <v>222</v>
      </c>
      <c r="B76" s="891"/>
      <c r="C76" s="892"/>
      <c r="D76" s="151" t="s">
        <v>139</v>
      </c>
      <c r="E76" s="95">
        <f>'10'!F76</f>
        <v>205048</v>
      </c>
      <c r="F76" s="123">
        <v>205166.34</v>
      </c>
      <c r="G76" s="112">
        <f t="shared" si="7"/>
        <v>118.33999999999651</v>
      </c>
      <c r="H76" s="99">
        <f>G76+'10'!H76</f>
        <v>1504.3399999999965</v>
      </c>
      <c r="I76" s="154"/>
      <c r="J76" s="175">
        <f>H76/DAY(B2)</f>
        <v>136.7581818181815</v>
      </c>
      <c r="K76" s="69"/>
      <c r="L76" s="66"/>
      <c r="N76" s="87"/>
      <c r="O76" s="71"/>
    </row>
    <row r="77" spans="1:15" ht="30.75" customHeight="1">
      <c r="A77" s="905" t="s">
        <v>223</v>
      </c>
      <c r="B77" s="891"/>
      <c r="C77" s="892"/>
      <c r="D77" s="151" t="s">
        <v>139</v>
      </c>
      <c r="E77" s="95">
        <f>'10'!F77</f>
        <v>57065</v>
      </c>
      <c r="F77" s="123">
        <v>57127.199999999997</v>
      </c>
      <c r="G77" s="112">
        <f t="shared" si="7"/>
        <v>62.19999999999709</v>
      </c>
      <c r="H77" s="99">
        <f>G77+'10'!H77</f>
        <v>605.19999999999709</v>
      </c>
      <c r="I77" s="154"/>
      <c r="J77" s="175">
        <f>H77/DAY(B2)</f>
        <v>55.018181818181553</v>
      </c>
      <c r="K77" s="69"/>
      <c r="L77" s="66"/>
      <c r="N77" s="87"/>
      <c r="O77" s="71"/>
    </row>
    <row r="78" spans="1:15" ht="30.75" customHeight="1">
      <c r="A78" s="905" t="s">
        <v>224</v>
      </c>
      <c r="B78" s="891"/>
      <c r="C78" s="892"/>
      <c r="D78" s="151" t="s">
        <v>139</v>
      </c>
      <c r="E78" s="95">
        <f>'10'!F78</f>
        <v>9563</v>
      </c>
      <c r="F78" s="123">
        <v>9563</v>
      </c>
      <c r="G78" s="112">
        <f t="shared" si="7"/>
        <v>0</v>
      </c>
      <c r="H78" s="99">
        <f>G78+'10'!H78</f>
        <v>-0.3999999999996362</v>
      </c>
      <c r="I78" s="118"/>
      <c r="J78" s="175">
        <f>H78/DAY(B2)</f>
        <v>-3.6363636363603291E-2</v>
      </c>
      <c r="K78" s="69"/>
      <c r="L78" s="66"/>
      <c r="N78" s="87"/>
      <c r="O78" s="71"/>
    </row>
    <row r="79" spans="1:15" s="57" customFormat="1" ht="30.75" customHeight="1">
      <c r="A79" s="905" t="s">
        <v>225</v>
      </c>
      <c r="B79" s="891"/>
      <c r="C79" s="892"/>
      <c r="D79" s="151"/>
      <c r="E79" s="95">
        <f>'10'!F79</f>
        <v>0</v>
      </c>
      <c r="F79" s="117"/>
      <c r="G79" s="112">
        <f>G15-SUM(G74:G78)</f>
        <v>675.64999999983411</v>
      </c>
      <c r="H79" s="99">
        <f>G79+'10'!H79</f>
        <v>6763.9900000000544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861" t="s">
        <v>329</v>
      </c>
      <c r="B80" s="862"/>
      <c r="C80" s="863"/>
      <c r="D80" s="151"/>
      <c r="E80" s="117"/>
      <c r="F80" s="117"/>
      <c r="G80" s="112">
        <f>SUM(G74:G79)</f>
        <v>1121.5499999998137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897" t="s">
        <v>226</v>
      </c>
      <c r="B81" s="898"/>
      <c r="C81" s="899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'10'!F82</f>
        <v>0</v>
      </c>
      <c r="F82" s="122">
        <v>0</v>
      </c>
      <c r="G82" s="112">
        <f t="shared" ref="G82:G92" si="8">F82-E82</f>
        <v>0</v>
      </c>
      <c r="H82" s="99">
        <f>G82+'10'!H82</f>
        <v>0</v>
      </c>
      <c r="I82" s="545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'10'!F83</f>
        <v>0</v>
      </c>
      <c r="F83" s="122">
        <v>0</v>
      </c>
      <c r="G83" s="112">
        <f t="shared" si="8"/>
        <v>0</v>
      </c>
      <c r="H83" s="99">
        <f>G83+'10'!H83</f>
        <v>0</v>
      </c>
      <c r="I83" s="545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'10'!F84</f>
        <v>43540</v>
      </c>
      <c r="F84" s="164">
        <v>43540</v>
      </c>
      <c r="G84" s="112">
        <f t="shared" si="8"/>
        <v>0</v>
      </c>
      <c r="H84" s="99">
        <f>G84+'10'!H84</f>
        <v>-0.20999999999912689</v>
      </c>
      <c r="I84" s="545"/>
      <c r="J84" s="175">
        <f>H84/DAY(B2)</f>
        <v>-1.9090909090829718E-2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95">
        <f>'10'!F85</f>
        <v>5684</v>
      </c>
      <c r="F85" s="164">
        <v>5684</v>
      </c>
      <c r="G85" s="112">
        <f t="shared" si="8"/>
        <v>0</v>
      </c>
      <c r="H85" s="99">
        <f>G85+'10'!H85</f>
        <v>0</v>
      </c>
      <c r="I85" s="545"/>
      <c r="J85" s="175">
        <f>H85/DAY(B2)</f>
        <v>0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'10'!F86</f>
        <v>46801</v>
      </c>
      <c r="F86" s="164">
        <v>46801</v>
      </c>
      <c r="G86" s="112">
        <f t="shared" si="8"/>
        <v>0</v>
      </c>
      <c r="H86" s="99">
        <f>G86+'10'!H86</f>
        <v>67</v>
      </c>
      <c r="I86" s="545"/>
      <c r="J86" s="175">
        <f>H86/DAY(B2)</f>
        <v>6.0909090909090908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'10'!F87</f>
        <v>36740</v>
      </c>
      <c r="F87" s="164">
        <v>36764.269999999997</v>
      </c>
      <c r="G87" s="112">
        <f t="shared" si="8"/>
        <v>24.269999999996799</v>
      </c>
      <c r="H87" s="99">
        <f>G87+'10'!H87</f>
        <v>214.05999999999767</v>
      </c>
      <c r="I87" s="545">
        <f>G84+G85+G86+G87</f>
        <v>24.269999999996799</v>
      </c>
      <c r="J87" s="175">
        <f>H87/DAY(B2)</f>
        <v>19.459999999999788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'10'!F88</f>
        <v>24511.8</v>
      </c>
      <c r="F88" s="164">
        <v>24511.8</v>
      </c>
      <c r="G88" s="112">
        <f t="shared" si="8"/>
        <v>0</v>
      </c>
      <c r="H88" s="99">
        <f>G88+'10'!H88</f>
        <v>0</v>
      </c>
      <c r="I88" s="545"/>
      <c r="J88" s="175">
        <f>H88/DAY(B2)</f>
        <v>0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'10'!F89</f>
        <v>28601.19</v>
      </c>
      <c r="F89" s="164">
        <v>28612.54</v>
      </c>
      <c r="G89" s="112">
        <f t="shared" si="8"/>
        <v>11.350000000002183</v>
      </c>
      <c r="H89" s="99">
        <f>G89+'10'!H89</f>
        <v>110.84000000000015</v>
      </c>
      <c r="I89" s="545">
        <f>G88+G89</f>
        <v>11.350000000002183</v>
      </c>
      <c r="J89" s="175">
        <f>H89/DAY(B2)</f>
        <v>10.07636363636365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'10'!F90</f>
        <v>73980</v>
      </c>
      <c r="F90" s="164">
        <v>73992.11</v>
      </c>
      <c r="G90" s="112">
        <f t="shared" si="8"/>
        <v>12.110000000000582</v>
      </c>
      <c r="H90" s="99">
        <f>G90+'10'!H90</f>
        <v>131.50999999999476</v>
      </c>
      <c r="I90" s="545">
        <f>G90</f>
        <v>12.110000000000582</v>
      </c>
      <c r="J90" s="175">
        <f>H90/DAY(B2)</f>
        <v>11.955454545454069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'10'!F91</f>
        <v>5431.14</v>
      </c>
      <c r="F91" s="122">
        <v>5441.23</v>
      </c>
      <c r="G91" s="112">
        <f t="shared" si="8"/>
        <v>10.089999999999236</v>
      </c>
      <c r="H91" s="99">
        <f>G91+'10'!H91</f>
        <v>88.459999999999127</v>
      </c>
      <c r="I91" s="546"/>
      <c r="J91" s="175">
        <f>H91/DAY(B2)</f>
        <v>8.0418181818181029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'10'!F92</f>
        <v>7030.88</v>
      </c>
      <c r="F92" s="122">
        <v>7031.67</v>
      </c>
      <c r="G92" s="112">
        <f t="shared" si="8"/>
        <v>0.78999999999996362</v>
      </c>
      <c r="H92" s="99">
        <f>G92+'10'!H92</f>
        <v>31.670000000000073</v>
      </c>
      <c r="I92" s="547">
        <f>G91+G92</f>
        <v>10.8799999999992</v>
      </c>
      <c r="J92" s="175">
        <f>H92/DAY(B2)</f>
        <v>2.8790909090909156</v>
      </c>
      <c r="O92" s="71"/>
    </row>
    <row r="93" spans="1:15" ht="30.75" customHeight="1">
      <c r="A93" s="906" t="s">
        <v>239</v>
      </c>
      <c r="B93" s="907"/>
      <c r="C93" s="90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864" t="s">
        <v>240</v>
      </c>
      <c r="B94" s="865"/>
      <c r="C94" s="866"/>
      <c r="D94" s="151" t="s">
        <v>130</v>
      </c>
      <c r="E94" s="151"/>
      <c r="F94" s="151"/>
      <c r="G94" s="99">
        <f>G35+G43+G49+G57</f>
        <v>5558.5599999999977</v>
      </c>
      <c r="H94" s="99">
        <f>G94+'10'!H94</f>
        <v>62470.120000000112</v>
      </c>
      <c r="I94" s="118"/>
      <c r="J94" s="175">
        <f>H94/DAY(B2)</f>
        <v>5679.1018181818281</v>
      </c>
      <c r="K94" s="69"/>
      <c r="L94" s="66"/>
      <c r="O94" s="71"/>
    </row>
    <row r="95" spans="1:15" ht="30.75" customHeight="1">
      <c r="A95" s="864" t="s">
        <v>241</v>
      </c>
      <c r="B95" s="865"/>
      <c r="C95" s="866"/>
      <c r="D95" s="151" t="s">
        <v>23</v>
      </c>
      <c r="E95" s="146"/>
      <c r="F95" s="146"/>
      <c r="G95" s="166">
        <f>G94/G7</f>
        <v>0.25575458867136924</v>
      </c>
      <c r="H95" s="99">
        <f>G95+'10'!H95</f>
        <v>2.7382947921470837</v>
      </c>
      <c r="I95" s="167"/>
      <c r="J95" s="175">
        <f>H95/DAY(B2)</f>
        <v>0.24893589019518944</v>
      </c>
      <c r="K95" s="69"/>
      <c r="L95" s="66"/>
      <c r="O95" s="71"/>
    </row>
    <row r="96" spans="1:15" ht="30.75" customHeight="1">
      <c r="A96" s="864" t="s">
        <v>242</v>
      </c>
      <c r="B96" s="865"/>
      <c r="C96" s="866"/>
      <c r="D96" s="151" t="s">
        <v>130</v>
      </c>
      <c r="E96" s="95"/>
      <c r="F96" s="95"/>
      <c r="G96" s="99">
        <f>G41+G42+G55+G56</f>
        <v>3042.6599999999744</v>
      </c>
      <c r="H96" s="99">
        <f>G96+'10'!H96</f>
        <v>40329.959999999963</v>
      </c>
      <c r="I96" s="118"/>
      <c r="J96" s="175">
        <f>H96/DAY(B2)</f>
        <v>3666.3599999999965</v>
      </c>
      <c r="K96" s="69"/>
      <c r="L96" s="66"/>
      <c r="O96" s="71"/>
    </row>
    <row r="97" spans="1:15" ht="30.75" customHeight="1">
      <c r="A97" s="864" t="s">
        <v>243</v>
      </c>
      <c r="B97" s="865"/>
      <c r="C97" s="866"/>
      <c r="D97" s="151" t="s">
        <v>23</v>
      </c>
      <c r="E97" s="95"/>
      <c r="F97" s="95"/>
      <c r="G97" s="166">
        <f>G96/G7</f>
        <v>0.13999565656695656</v>
      </c>
      <c r="H97" s="99">
        <f>G97+'10'!H97</f>
        <v>1.7651826315169004</v>
      </c>
      <c r="I97" s="167"/>
      <c r="J97" s="175">
        <f>H97/DAY(B2)</f>
        <v>0.1604711483197182</v>
      </c>
      <c r="K97" s="69"/>
      <c r="L97" s="66"/>
      <c r="O97" s="71"/>
    </row>
    <row r="98" spans="1:15" ht="30.75" customHeight="1">
      <c r="A98" s="864" t="s">
        <v>244</v>
      </c>
      <c r="B98" s="865"/>
      <c r="C98" s="866"/>
      <c r="D98" s="151" t="s">
        <v>130</v>
      </c>
      <c r="E98" s="95"/>
      <c r="F98" s="95"/>
      <c r="G98" s="99">
        <f>G39+G53</f>
        <v>3897.7600000000093</v>
      </c>
      <c r="H98" s="99">
        <f>G98+'10'!H98</f>
        <v>44938.719999999972</v>
      </c>
      <c r="I98" s="168"/>
      <c r="J98" s="175">
        <f>H98/DAY(B2)</f>
        <v>4085.3381818181792</v>
      </c>
      <c r="K98" s="69"/>
      <c r="L98" s="66"/>
      <c r="O98" s="71"/>
    </row>
    <row r="99" spans="1:15" ht="30.75" customHeight="1">
      <c r="A99" s="864" t="s">
        <v>245</v>
      </c>
      <c r="B99" s="865"/>
      <c r="C99" s="866"/>
      <c r="D99" s="151" t="s">
        <v>23</v>
      </c>
      <c r="E99" s="95"/>
      <c r="F99" s="95"/>
      <c r="G99" s="166">
        <f>G98/G7</f>
        <v>0.17933961413382585</v>
      </c>
      <c r="H99" s="99">
        <f>G99+'10'!H99</f>
        <v>1.9719945818132534</v>
      </c>
      <c r="I99" s="168"/>
      <c r="J99" s="175">
        <f>H99/DAY(B2)</f>
        <v>0.17927223471029577</v>
      </c>
      <c r="O99" s="71"/>
    </row>
    <row r="100" spans="1:15" ht="30.75" customHeight="1">
      <c r="A100" s="864" t="s">
        <v>246</v>
      </c>
      <c r="B100" s="865"/>
      <c r="C100" s="866"/>
      <c r="D100" s="151" t="s">
        <v>180</v>
      </c>
      <c r="E100" s="95"/>
      <c r="F100" s="95"/>
      <c r="G100" s="99">
        <f>G38+G52</f>
        <v>2507.7299999999814</v>
      </c>
      <c r="H100" s="99">
        <f>G100+'10'!H100</f>
        <v>26952.689999999937</v>
      </c>
      <c r="I100" s="118"/>
      <c r="J100" s="175">
        <f>H100/DAY(B2)</f>
        <v>2450.2445454545395</v>
      </c>
      <c r="K100" s="70"/>
      <c r="O100" s="71"/>
    </row>
    <row r="101" spans="1:15" ht="30.75" customHeight="1">
      <c r="A101" s="864" t="s">
        <v>247</v>
      </c>
      <c r="B101" s="865"/>
      <c r="C101" s="866"/>
      <c r="D101" s="151" t="s">
        <v>23</v>
      </c>
      <c r="E101" s="95"/>
      <c r="F101" s="95"/>
      <c r="G101" s="166">
        <f>G100/G7</f>
        <v>0.11538302269811755</v>
      </c>
      <c r="H101" s="99">
        <f>G101+'10'!H101</f>
        <v>1.1829663269792612</v>
      </c>
      <c r="I101" s="168"/>
      <c r="J101" s="175">
        <f>H101/DAY(B2)</f>
        <v>0.10754239336175102</v>
      </c>
      <c r="O101" s="71"/>
    </row>
    <row r="102" spans="1:15" ht="30.75" customHeight="1">
      <c r="A102" s="864" t="s">
        <v>248</v>
      </c>
      <c r="B102" s="865"/>
      <c r="C102" s="866"/>
      <c r="D102" s="151" t="s">
        <v>180</v>
      </c>
      <c r="E102" s="95"/>
      <c r="F102" s="95"/>
      <c r="G102" s="99">
        <f>G36+G50</f>
        <v>2557.8399999999674</v>
      </c>
      <c r="H102" s="99">
        <f>G102+'10'!H102</f>
        <v>29213.099999999977</v>
      </c>
      <c r="I102" s="168"/>
      <c r="J102" s="175">
        <f>H102/DAY(B2)</f>
        <v>2655.7363636363616</v>
      </c>
      <c r="O102" s="71"/>
    </row>
    <row r="103" spans="1:15" ht="30.75" customHeight="1">
      <c r="A103" s="864" t="s">
        <v>249</v>
      </c>
      <c r="B103" s="865"/>
      <c r="C103" s="866"/>
      <c r="D103" s="151" t="s">
        <v>23</v>
      </c>
      <c r="E103" s="95"/>
      <c r="F103" s="95"/>
      <c r="G103" s="166">
        <f>G102/G7</f>
        <v>0.11768863106401065</v>
      </c>
      <c r="H103" s="99">
        <f>G103+'10'!H103</f>
        <v>1.2807242485961381</v>
      </c>
      <c r="I103" s="118"/>
      <c r="J103" s="175">
        <f>H103/DAY(B2)</f>
        <v>0.11642947714510346</v>
      </c>
      <c r="O103" s="71"/>
    </row>
    <row r="104" spans="1:15" ht="30.75" customHeight="1">
      <c r="A104" s="864" t="s">
        <v>250</v>
      </c>
      <c r="B104" s="865"/>
      <c r="C104" s="866"/>
      <c r="D104" s="151" t="s">
        <v>180</v>
      </c>
      <c r="E104" s="95"/>
      <c r="F104" s="95"/>
      <c r="G104" s="99">
        <f>G37+G51</f>
        <v>1031.9199999999837</v>
      </c>
      <c r="H104" s="99">
        <f>G104+'10'!H104</f>
        <v>11889.790000000008</v>
      </c>
      <c r="I104" s="118"/>
      <c r="J104" s="175">
        <f>H104/DAY(B2)</f>
        <v>1080.8900000000008</v>
      </c>
      <c r="O104" s="71"/>
    </row>
    <row r="105" spans="1:15" ht="30.75" customHeight="1" thickBot="1">
      <c r="A105" s="901" t="s">
        <v>251</v>
      </c>
      <c r="B105" s="902"/>
      <c r="C105" s="903"/>
      <c r="D105" s="231" t="s">
        <v>23</v>
      </c>
      <c r="E105" s="185"/>
      <c r="F105" s="185"/>
      <c r="G105" s="186">
        <f>G104/G7</f>
        <v>4.7479612551048343E-2</v>
      </c>
      <c r="H105" s="99">
        <f>G105+'10'!H105</f>
        <v>0.52140310087668151</v>
      </c>
      <c r="I105" s="187"/>
      <c r="J105" s="188">
        <f>H105/DAY(B2)</f>
        <v>4.7400281897880141E-2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915" t="s">
        <v>324</v>
      </c>
      <c r="B108" s="915"/>
      <c r="C108" s="915"/>
      <c r="D108" s="915"/>
      <c r="E108" s="915"/>
      <c r="F108" s="915"/>
      <c r="G108" s="915"/>
      <c r="H108" s="915"/>
      <c r="I108" s="915"/>
      <c r="J108" s="915"/>
    </row>
    <row r="109" spans="1:15" ht="30.75" customHeight="1">
      <c r="A109" s="900"/>
      <c r="B109" s="900"/>
    </row>
    <row r="110" spans="1:15" ht="30.75" customHeight="1">
      <c r="A110" s="916" t="s">
        <v>165</v>
      </c>
      <c r="B110" s="917"/>
      <c r="C110" s="917"/>
      <c r="D110" s="917"/>
      <c r="E110" s="917"/>
      <c r="F110" s="917"/>
      <c r="G110" s="917"/>
      <c r="H110" s="917"/>
      <c r="I110" s="917"/>
      <c r="J110" s="918"/>
    </row>
    <row r="111" spans="1:15" ht="30.75" customHeight="1">
      <c r="A111" s="919"/>
      <c r="B111" s="920"/>
      <c r="C111" s="921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894" t="s">
        <v>252</v>
      </c>
      <c r="B112" s="895"/>
      <c r="C112" s="896"/>
      <c r="D112" s="146" t="s">
        <v>183</v>
      </c>
      <c r="E112" s="95">
        <f>'10'!F112</f>
        <v>16224.83</v>
      </c>
      <c r="F112" s="237">
        <v>16285.33</v>
      </c>
      <c r="G112" s="112">
        <f t="shared" ref="G112:G123" si="9">F112-E112</f>
        <v>60.5</v>
      </c>
      <c r="H112" s="99">
        <f>G112+'10'!H112</f>
        <v>671.53000000000065</v>
      </c>
      <c r="I112" s="165"/>
      <c r="J112" s="328">
        <f>H112/DAY(B2)</f>
        <v>61.048181818181881</v>
      </c>
    </row>
    <row r="113" spans="1:18" ht="30.75" customHeight="1">
      <c r="A113" s="894" t="s">
        <v>253</v>
      </c>
      <c r="B113" s="895"/>
      <c r="C113" s="896"/>
      <c r="D113" s="146" t="s">
        <v>183</v>
      </c>
      <c r="E113" s="95">
        <f>'10'!F113</f>
        <v>33900.03</v>
      </c>
      <c r="F113" s="237">
        <v>34036.269999999997</v>
      </c>
      <c r="G113" s="112">
        <f t="shared" si="9"/>
        <v>136.23999999999796</v>
      </c>
      <c r="H113" s="99">
        <f>G113+'10'!H113</f>
        <v>1585.5999999999985</v>
      </c>
      <c r="I113" s="165"/>
      <c r="J113" s="328">
        <f>H113/DAY(B2)</f>
        <v>144.14545454545441</v>
      </c>
    </row>
    <row r="114" spans="1:18" ht="30.75" customHeight="1">
      <c r="A114" s="894" t="s">
        <v>254</v>
      </c>
      <c r="B114" s="895"/>
      <c r="C114" s="896"/>
      <c r="D114" s="146" t="s">
        <v>183</v>
      </c>
      <c r="E114" s="95">
        <f>'10'!F114</f>
        <v>50076.75</v>
      </c>
      <c r="F114" s="237">
        <v>50274.65</v>
      </c>
      <c r="G114" s="112">
        <f t="shared" si="9"/>
        <v>197.90000000000146</v>
      </c>
      <c r="H114" s="99">
        <f>G114+'10'!H114</f>
        <v>2308.3499999999985</v>
      </c>
      <c r="I114" s="165"/>
      <c r="J114" s="328">
        <f>H114/DAY(B2)</f>
        <v>209.84999999999988</v>
      </c>
    </row>
    <row r="115" spans="1:18" ht="30.75" customHeight="1">
      <c r="A115" s="894" t="s">
        <v>255</v>
      </c>
      <c r="B115" s="895"/>
      <c r="C115" s="896"/>
      <c r="D115" s="146" t="s">
        <v>183</v>
      </c>
      <c r="E115" s="95">
        <f>'10'!F115</f>
        <v>31914.63</v>
      </c>
      <c r="F115" s="237">
        <v>32067.200000000001</v>
      </c>
      <c r="G115" s="112">
        <f t="shared" si="9"/>
        <v>152.56999999999971</v>
      </c>
      <c r="H115" s="99">
        <f>G115+'10'!H115</f>
        <v>1630.7999999999993</v>
      </c>
      <c r="I115" s="165"/>
      <c r="J115" s="328">
        <f>H115/DAY(B2)</f>
        <v>148.25454545454539</v>
      </c>
    </row>
    <row r="116" spans="1:18" ht="30.75" customHeight="1">
      <c r="A116" s="912" t="s">
        <v>96</v>
      </c>
      <c r="B116" s="913"/>
      <c r="C116" s="914"/>
      <c r="D116" s="146" t="s">
        <v>183</v>
      </c>
      <c r="E116" s="95">
        <f>'10'!F116</f>
        <v>126864</v>
      </c>
      <c r="F116" s="237">
        <v>127240.61</v>
      </c>
      <c r="G116" s="112">
        <f t="shared" si="9"/>
        <v>376.61000000000058</v>
      </c>
      <c r="H116" s="99">
        <f>G116+'10'!H116</f>
        <v>4380.4100000000035</v>
      </c>
      <c r="I116" s="165"/>
      <c r="J116" s="328">
        <f>H116/DAY(B2)</f>
        <v>398.21909090909122</v>
      </c>
      <c r="Q116" s="894" t="s">
        <v>311</v>
      </c>
      <c r="R116" s="896"/>
    </row>
    <row r="117" spans="1:18" ht="30.75" customHeight="1">
      <c r="A117" s="912" t="s">
        <v>184</v>
      </c>
      <c r="B117" s="913"/>
      <c r="C117" s="914"/>
      <c r="D117" s="146" t="s">
        <v>183</v>
      </c>
      <c r="E117" s="95">
        <f>'10'!F117</f>
        <v>76610.25</v>
      </c>
      <c r="F117" s="237">
        <v>76861.87</v>
      </c>
      <c r="G117" s="112">
        <f t="shared" si="9"/>
        <v>251.61999999999534</v>
      </c>
      <c r="H117" s="99">
        <f>G117+'10'!H117</f>
        <v>2880.6699999999983</v>
      </c>
      <c r="I117" s="165"/>
      <c r="J117" s="328">
        <f>H117/DAY(B2)</f>
        <v>261.87909090909073</v>
      </c>
      <c r="Q117" s="894" t="s">
        <v>312</v>
      </c>
      <c r="R117" s="896"/>
    </row>
    <row r="118" spans="1:18" ht="30.75" customHeight="1">
      <c r="A118" s="889" t="s">
        <v>97</v>
      </c>
      <c r="B118" s="889"/>
      <c r="C118" s="889"/>
      <c r="D118" s="151" t="s">
        <v>183</v>
      </c>
      <c r="E118" s="95">
        <f>'10'!F118</f>
        <v>145094</v>
      </c>
      <c r="F118" s="416">
        <v>145696.46</v>
      </c>
      <c r="G118" s="112">
        <f t="shared" si="9"/>
        <v>602.45999999999185</v>
      </c>
      <c r="H118" s="99">
        <f>G118+'10'!H118</f>
        <v>6884.0099999999802</v>
      </c>
      <c r="I118" s="165"/>
      <c r="J118" s="328">
        <f>H118/DAY(B2)</f>
        <v>625.81909090908914</v>
      </c>
      <c r="Q118" s="894" t="s">
        <v>311</v>
      </c>
      <c r="R118" s="896"/>
    </row>
    <row r="119" spans="1:18" ht="30.75" customHeight="1">
      <c r="A119" s="889" t="s">
        <v>98</v>
      </c>
      <c r="B119" s="889"/>
      <c r="C119" s="889"/>
      <c r="D119" s="151" t="s">
        <v>183</v>
      </c>
      <c r="E119" s="95">
        <f>'10'!F119</f>
        <v>43472</v>
      </c>
      <c r="F119" s="237">
        <v>43482.79</v>
      </c>
      <c r="G119" s="112">
        <f t="shared" si="9"/>
        <v>10.790000000000873</v>
      </c>
      <c r="H119" s="99">
        <f>G119+'10'!H119</f>
        <v>129.09000000000378</v>
      </c>
      <c r="I119" s="165"/>
      <c r="J119" s="328">
        <f>H119/DAY(B2)</f>
        <v>11.735454545454889</v>
      </c>
    </row>
    <row r="120" spans="1:18" ht="30.75" customHeight="1">
      <c r="A120" s="889" t="s">
        <v>99</v>
      </c>
      <c r="B120" s="889"/>
      <c r="C120" s="889"/>
      <c r="D120" s="151" t="s">
        <v>183</v>
      </c>
      <c r="E120" s="95">
        <f>'10'!F120</f>
        <v>99840</v>
      </c>
      <c r="F120" s="237">
        <v>100237.33</v>
      </c>
      <c r="G120" s="112">
        <f t="shared" si="9"/>
        <v>397.33000000000175</v>
      </c>
      <c r="H120" s="99">
        <f>G120+'10'!H120</f>
        <v>4529.7299999999959</v>
      </c>
      <c r="I120" s="165"/>
      <c r="J120" s="328">
        <f>H120/DAY(B2)</f>
        <v>411.79363636363598</v>
      </c>
    </row>
    <row r="121" spans="1:18" ht="30.75" customHeight="1">
      <c r="A121" s="889" t="s">
        <v>100</v>
      </c>
      <c r="B121" s="889"/>
      <c r="C121" s="889"/>
      <c r="D121" s="151" t="s">
        <v>183</v>
      </c>
      <c r="E121" s="95">
        <f>'10'!F121</f>
        <v>112041</v>
      </c>
      <c r="F121" s="237">
        <v>112459.7</v>
      </c>
      <c r="G121" s="112">
        <f t="shared" si="9"/>
        <v>418.69999999999709</v>
      </c>
      <c r="H121" s="99">
        <f>G121+'10'!H121</f>
        <v>4630.6499999999942</v>
      </c>
      <c r="I121" s="165"/>
      <c r="J121" s="328">
        <f>H121/DAY(B2)</f>
        <v>420.96818181818128</v>
      </c>
    </row>
    <row r="122" spans="1:18" ht="30.75" customHeight="1">
      <c r="A122" s="889" t="s">
        <v>101</v>
      </c>
      <c r="B122" s="889"/>
      <c r="C122" s="889"/>
      <c r="D122" s="151" t="s">
        <v>183</v>
      </c>
      <c r="E122" s="95">
        <f>'10'!F122</f>
        <v>74486</v>
      </c>
      <c r="F122" s="237">
        <v>74799.31</v>
      </c>
      <c r="G122" s="112">
        <f t="shared" si="9"/>
        <v>313.30999999999767</v>
      </c>
      <c r="H122" s="99">
        <f>G122+'10'!H122</f>
        <v>3761.4100000000035</v>
      </c>
      <c r="I122" s="165"/>
      <c r="J122" s="328">
        <f>H122/DAY(B2)</f>
        <v>341.94636363636397</v>
      </c>
    </row>
    <row r="123" spans="1:18" ht="30.75" customHeight="1">
      <c r="A123" s="889" t="s">
        <v>102</v>
      </c>
      <c r="B123" s="889"/>
      <c r="C123" s="889"/>
      <c r="D123" s="151" t="s">
        <v>183</v>
      </c>
      <c r="E123" s="95">
        <f>'10'!F123</f>
        <v>71500.44</v>
      </c>
      <c r="F123" s="237">
        <v>71767.87</v>
      </c>
      <c r="G123" s="112">
        <f t="shared" si="9"/>
        <v>267.42999999999302</v>
      </c>
      <c r="H123" s="99">
        <f>G123+'10'!H123</f>
        <v>3410.5699999999924</v>
      </c>
      <c r="I123" s="165"/>
      <c r="J123" s="328">
        <f>H123/DAY(B2)</f>
        <v>310.05181818181751</v>
      </c>
    </row>
    <row r="124" spans="1:18" ht="30.75" customHeight="1">
      <c r="A124" s="919"/>
      <c r="B124" s="920"/>
      <c r="C124" s="921"/>
      <c r="D124" s="165"/>
      <c r="E124" s="165"/>
      <c r="F124" s="165"/>
      <c r="G124" s="327"/>
      <c r="H124" s="156"/>
      <c r="I124" s="165"/>
      <c r="J124" s="327"/>
    </row>
    <row r="125" spans="1:18" ht="30.75" customHeight="1">
      <c r="A125" s="853" t="s">
        <v>196</v>
      </c>
      <c r="B125" s="854"/>
      <c r="C125" s="245"/>
      <c r="D125" s="307"/>
      <c r="E125" s="308"/>
      <c r="F125" s="308"/>
      <c r="G125" s="309">
        <f>SUM(G112:G124)</f>
        <v>3185.4599999999773</v>
      </c>
      <c r="H125" s="156"/>
      <c r="I125" s="327">
        <f>G125-(G39+G53)</f>
        <v>-712.30000000003201</v>
      </c>
      <c r="J125" s="327"/>
    </row>
    <row r="126" spans="1:18" ht="30.75" customHeight="1">
      <c r="A126" s="922" t="s">
        <v>317</v>
      </c>
      <c r="B126" s="922"/>
      <c r="C126" s="922"/>
      <c r="D126" s="922"/>
      <c r="E126" s="922"/>
      <c r="F126" s="922"/>
      <c r="G126" s="922"/>
      <c r="H126" s="922"/>
      <c r="I126" s="922"/>
      <c r="J126" s="922"/>
    </row>
    <row r="127" spans="1:18" ht="30.75" customHeight="1">
      <c r="A127" s="923"/>
      <c r="B127" s="923"/>
      <c r="C127" s="245"/>
      <c r="D127" s="307"/>
      <c r="E127" s="308"/>
      <c r="F127" s="308"/>
      <c r="G127" s="309"/>
      <c r="H127" s="99">
        <f>G127+'10'!H127</f>
        <v>0</v>
      </c>
      <c r="I127" s="165"/>
      <c r="J127" s="328">
        <f>H127/DAY(B2)</f>
        <v>0</v>
      </c>
    </row>
    <row r="128" spans="1:18" ht="30.75" customHeight="1">
      <c r="A128" s="894" t="s">
        <v>318</v>
      </c>
      <c r="B128" s="895"/>
      <c r="C128" s="896"/>
      <c r="D128" s="151" t="s">
        <v>183</v>
      </c>
      <c r="E128" s="95">
        <f>'10'!F128</f>
        <v>183225</v>
      </c>
      <c r="F128" s="157">
        <v>183615.27</v>
      </c>
      <c r="G128" s="112">
        <f t="shared" ref="G128:G134" si="10">F128-E128</f>
        <v>390.26999999998952</v>
      </c>
      <c r="H128" s="99">
        <f>G128+'10'!H128</f>
        <v>4203.4199999999837</v>
      </c>
      <c r="I128" s="165"/>
      <c r="J128" s="328">
        <f>H128/DAY(B2)</f>
        <v>382.12909090908943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'10'!F129</f>
        <v>97930</v>
      </c>
      <c r="F129" s="157">
        <v>98077.22</v>
      </c>
      <c r="G129" s="112">
        <f t="shared" si="10"/>
        <v>147.22000000000116</v>
      </c>
      <c r="H129" s="99">
        <f>G129+'10'!H129</f>
        <v>2047.7200000000012</v>
      </c>
      <c r="I129" s="165"/>
      <c r="J129" s="328">
        <f>H129/DAY(B2)</f>
        <v>186.15636363636375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'10'!F130</f>
        <v>253796</v>
      </c>
      <c r="F130" s="157">
        <v>254453.85</v>
      </c>
      <c r="G130" s="112">
        <f t="shared" si="10"/>
        <v>657.85000000000582</v>
      </c>
      <c r="H130" s="99">
        <f>G130+'10'!H130</f>
        <v>7614.1000000000058</v>
      </c>
      <c r="I130" s="165"/>
      <c r="J130" s="328">
        <f>H130/DAY(B2)</f>
        <v>692.1909090909096</v>
      </c>
      <c r="N130" s="240"/>
      <c r="O130" s="241"/>
    </row>
    <row r="131" spans="1:15" ht="30.75" customHeight="1">
      <c r="A131" s="894" t="s">
        <v>321</v>
      </c>
      <c r="B131" s="895"/>
      <c r="C131" s="896"/>
      <c r="D131" s="151" t="s">
        <v>183</v>
      </c>
      <c r="E131" s="95">
        <f>'10'!F131</f>
        <v>76028</v>
      </c>
      <c r="F131" s="157">
        <v>76277</v>
      </c>
      <c r="G131" s="112">
        <f t="shared" si="10"/>
        <v>249</v>
      </c>
      <c r="H131" s="99">
        <f>G131+'10'!H131</f>
        <v>2766.3999999999942</v>
      </c>
      <c r="I131" s="165"/>
      <c r="J131" s="328">
        <f>H131/DAY(B2)</f>
        <v>251.49090909090856</v>
      </c>
      <c r="N131" s="240"/>
      <c r="O131" s="241"/>
    </row>
    <row r="132" spans="1:15" ht="30.75" customHeight="1">
      <c r="A132" s="894" t="s">
        <v>322</v>
      </c>
      <c r="B132" s="895"/>
      <c r="C132" s="896"/>
      <c r="D132" s="151" t="s">
        <v>183</v>
      </c>
      <c r="E132" s="95">
        <f>'10'!F132</f>
        <v>146985</v>
      </c>
      <c r="F132" s="157">
        <v>146985</v>
      </c>
      <c r="G132" s="112">
        <f t="shared" si="10"/>
        <v>0</v>
      </c>
      <c r="H132" s="99">
        <f>G132+'10'!H132</f>
        <v>0</v>
      </c>
      <c r="I132" s="165"/>
      <c r="J132" s="328">
        <f>H132/DAY(B2)</f>
        <v>0</v>
      </c>
    </row>
    <row r="133" spans="1:15" ht="30.75" customHeight="1">
      <c r="A133" s="894" t="s">
        <v>359</v>
      </c>
      <c r="B133" s="895"/>
      <c r="C133" s="896"/>
      <c r="D133" s="151" t="s">
        <v>183</v>
      </c>
      <c r="E133" s="95">
        <f>'10'!F133</f>
        <v>917584</v>
      </c>
      <c r="F133" s="157">
        <v>918334</v>
      </c>
      <c r="G133" s="112">
        <f t="shared" si="10"/>
        <v>750</v>
      </c>
      <c r="H133" s="99">
        <f>G133+'10'!H133</f>
        <v>8090</v>
      </c>
      <c r="I133" s="165"/>
      <c r="J133" s="328">
        <f>H133/DAY(B2)</f>
        <v>735.4545454545455</v>
      </c>
    </row>
    <row r="134" spans="1:15" ht="30.75" customHeight="1">
      <c r="A134" s="894" t="s">
        <v>340</v>
      </c>
      <c r="B134" s="895"/>
      <c r="C134" s="896"/>
      <c r="D134" s="151" t="s">
        <v>183</v>
      </c>
      <c r="E134" s="95">
        <f>'10'!F134</f>
        <v>80905.77</v>
      </c>
      <c r="F134" s="157">
        <v>81121.5</v>
      </c>
      <c r="G134" s="112">
        <f t="shared" si="10"/>
        <v>215.72999999999593</v>
      </c>
      <c r="H134" s="99">
        <f>G134+'10'!H134</f>
        <v>2361.8999999999942</v>
      </c>
      <c r="I134" s="165"/>
      <c r="J134" s="328">
        <f>H134/DAY(B2)</f>
        <v>214.71818181818128</v>
      </c>
    </row>
    <row r="135" spans="1:15" ht="30.75" customHeight="1">
      <c r="A135" s="853" t="s">
        <v>196</v>
      </c>
      <c r="B135" s="854"/>
      <c r="C135" s="331"/>
      <c r="D135" s="151"/>
      <c r="E135" s="95"/>
      <c r="F135" s="165"/>
      <c r="G135" s="112">
        <f>SUM(G128:G134)</f>
        <v>2410.0699999999924</v>
      </c>
      <c r="H135" s="99">
        <f>G135+'10'!H135</f>
        <v>27083.539999999979</v>
      </c>
      <c r="I135" s="327">
        <f>G135-(G35+G49)</f>
        <v>-775.85000000010768</v>
      </c>
      <c r="J135" s="328">
        <f>H135/DAY(B2)</f>
        <v>2462.1399999999981</v>
      </c>
    </row>
    <row r="136" spans="1:15" ht="30.75" customHeight="1">
      <c r="A136" s="924" t="s">
        <v>325</v>
      </c>
      <c r="B136" s="924"/>
      <c r="C136" s="924"/>
      <c r="D136" s="924"/>
      <c r="E136" s="924"/>
      <c r="F136" s="924"/>
      <c r="G136" s="924"/>
      <c r="H136" s="924"/>
      <c r="I136" s="924"/>
      <c r="J136" s="924"/>
    </row>
    <row r="137" spans="1:15" ht="30.75" customHeight="1">
      <c r="A137" s="245"/>
      <c r="B137" s="246"/>
      <c r="C137" s="246"/>
      <c r="D137" s="165"/>
      <c r="E137" s="165"/>
      <c r="F137" s="165" t="s">
        <v>356</v>
      </c>
      <c r="G137" s="165"/>
      <c r="H137" s="156"/>
      <c r="I137" s="165"/>
      <c r="J137" s="327"/>
    </row>
    <row r="138" spans="1:15" ht="30.75" customHeight="1">
      <c r="A138" s="889" t="s">
        <v>185</v>
      </c>
      <c r="B138" s="889"/>
      <c r="C138" s="889"/>
      <c r="D138" s="151" t="s">
        <v>183</v>
      </c>
      <c r="E138" s="95">
        <f>'10'!F138</f>
        <v>906845</v>
      </c>
      <c r="F138" s="147">
        <v>906957</v>
      </c>
      <c r="G138" s="112">
        <f t="shared" ref="G138:G152" si="11">F138-E138</f>
        <v>112</v>
      </c>
      <c r="H138" s="99">
        <f>G138+'10'!H138</f>
        <v>1298</v>
      </c>
      <c r="I138" s="118"/>
      <c r="J138" s="328">
        <f>H138/DAY(B2)</f>
        <v>118</v>
      </c>
    </row>
    <row r="139" spans="1:15" ht="30.75" customHeight="1">
      <c r="A139" s="889" t="s">
        <v>186</v>
      </c>
      <c r="B139" s="889"/>
      <c r="C139" s="889"/>
      <c r="D139" s="151" t="s">
        <v>183</v>
      </c>
      <c r="E139" s="95">
        <f>'10'!F139</f>
        <v>928925</v>
      </c>
      <c r="F139" s="148">
        <v>929107</v>
      </c>
      <c r="G139" s="112">
        <f t="shared" si="11"/>
        <v>182</v>
      </c>
      <c r="H139" s="99">
        <f>G139+'10'!H139</f>
        <v>1826</v>
      </c>
      <c r="I139" s="118"/>
      <c r="J139" s="328">
        <f>H139/DAY(B2)</f>
        <v>166</v>
      </c>
    </row>
    <row r="140" spans="1:15" ht="30.75" customHeight="1">
      <c r="A140" s="889" t="s">
        <v>187</v>
      </c>
      <c r="B140" s="889"/>
      <c r="C140" s="889"/>
      <c r="D140" s="151" t="s">
        <v>183</v>
      </c>
      <c r="E140" s="95">
        <f>'10'!F140</f>
        <v>3566</v>
      </c>
      <c r="F140" s="149">
        <v>3588.52</v>
      </c>
      <c r="G140" s="112">
        <f t="shared" si="11"/>
        <v>22.519999999999982</v>
      </c>
      <c r="H140" s="99">
        <f>G140+'10'!H140</f>
        <v>257.42000000000007</v>
      </c>
      <c r="I140" s="118"/>
      <c r="J140" s="328">
        <f>H140/DAY(B2)</f>
        <v>23.401818181818189</v>
      </c>
    </row>
    <row r="141" spans="1:15" ht="30.75" customHeight="1">
      <c r="A141" s="893" t="s">
        <v>188</v>
      </c>
      <c r="B141" s="893"/>
      <c r="C141" s="893"/>
      <c r="D141" s="151" t="s">
        <v>183</v>
      </c>
      <c r="E141" s="95">
        <f>'10'!F141</f>
        <v>119891</v>
      </c>
      <c r="F141" s="149">
        <v>120126</v>
      </c>
      <c r="G141" s="112">
        <f t="shared" si="11"/>
        <v>235</v>
      </c>
      <c r="H141" s="99">
        <f>G141+'10'!H141</f>
        <v>2568.0200000000041</v>
      </c>
      <c r="I141" s="118"/>
      <c r="J141" s="328">
        <f>H141/DAY(B2)</f>
        <v>233.45636363636402</v>
      </c>
    </row>
    <row r="142" spans="1:15" ht="30.75" customHeight="1">
      <c r="A142" s="893" t="s">
        <v>189</v>
      </c>
      <c r="B142" s="893"/>
      <c r="C142" s="893"/>
      <c r="D142" s="151" t="s">
        <v>183</v>
      </c>
      <c r="E142" s="95">
        <f>'10'!F142</f>
        <v>48452</v>
      </c>
      <c r="F142" s="148">
        <v>48565</v>
      </c>
      <c r="G142" s="112">
        <f t="shared" si="11"/>
        <v>113</v>
      </c>
      <c r="H142" s="99">
        <f>G142+'10'!H142</f>
        <v>1060.5</v>
      </c>
      <c r="I142" s="140"/>
      <c r="J142" s="328">
        <f>H142/DAY(B2)</f>
        <v>96.409090909090907</v>
      </c>
    </row>
    <row r="143" spans="1:15" ht="30.75" customHeight="1">
      <c r="A143" s="889" t="s">
        <v>91</v>
      </c>
      <c r="B143" s="889"/>
      <c r="C143" s="889"/>
      <c r="D143" s="151" t="s">
        <v>183</v>
      </c>
      <c r="E143" s="95">
        <f>'10'!F143</f>
        <v>12733</v>
      </c>
      <c r="F143" s="149">
        <v>12766.38</v>
      </c>
      <c r="G143" s="112">
        <f t="shared" si="11"/>
        <v>33.3799999999992</v>
      </c>
      <c r="H143" s="99">
        <f>G143+'10'!H143</f>
        <v>350.97999999999956</v>
      </c>
      <c r="I143" s="140"/>
      <c r="J143" s="328">
        <f>H143/DAY(B2)</f>
        <v>31.907272727272687</v>
      </c>
    </row>
    <row r="144" spans="1:15" ht="30.75" customHeight="1">
      <c r="A144" s="893" t="s">
        <v>90</v>
      </c>
      <c r="B144" s="893"/>
      <c r="C144" s="893"/>
      <c r="D144" s="151" t="s">
        <v>183</v>
      </c>
      <c r="E144" s="95">
        <f>'10'!F144</f>
        <v>950506</v>
      </c>
      <c r="F144" s="149">
        <v>950732</v>
      </c>
      <c r="G144" s="112">
        <f t="shared" si="11"/>
        <v>226</v>
      </c>
      <c r="H144" s="99">
        <f>G144+'10'!H144</f>
        <v>2534</v>
      </c>
      <c r="I144" s="140"/>
      <c r="J144" s="328">
        <f>H144/DAY(B2)</f>
        <v>230.36363636363637</v>
      </c>
    </row>
    <row r="145" spans="1:10" ht="30.75" customHeight="1">
      <c r="A145" s="889" t="s">
        <v>190</v>
      </c>
      <c r="B145" s="889"/>
      <c r="C145" s="889"/>
      <c r="D145" s="152" t="s">
        <v>183</v>
      </c>
      <c r="E145" s="95">
        <f>'10'!F145</f>
        <v>24029</v>
      </c>
      <c r="F145" s="149">
        <v>24142</v>
      </c>
      <c r="G145" s="112">
        <f t="shared" si="11"/>
        <v>113</v>
      </c>
      <c r="H145" s="99">
        <f>G145+'10'!H145</f>
        <v>1545.9000000000015</v>
      </c>
      <c r="I145" s="140"/>
      <c r="J145" s="328">
        <f>H145/DAY(B2)</f>
        <v>140.53636363636377</v>
      </c>
    </row>
    <row r="146" spans="1:10" ht="30.75" customHeight="1">
      <c r="A146" s="890" t="s">
        <v>191</v>
      </c>
      <c r="B146" s="891"/>
      <c r="C146" s="892"/>
      <c r="D146" s="152" t="s">
        <v>183</v>
      </c>
      <c r="E146" s="95">
        <f>'10'!F146</f>
        <v>787034</v>
      </c>
      <c r="F146" s="148">
        <v>787090</v>
      </c>
      <c r="G146" s="112">
        <f t="shared" si="11"/>
        <v>56</v>
      </c>
      <c r="H146" s="99">
        <f>G146+'10'!H146</f>
        <v>422</v>
      </c>
      <c r="I146" s="140"/>
      <c r="J146" s="328">
        <f>H146/DAY(B2)</f>
        <v>38.363636363636367</v>
      </c>
    </row>
    <row r="147" spans="1:10" ht="30.75" customHeight="1">
      <c r="A147" s="893" t="s">
        <v>192</v>
      </c>
      <c r="B147" s="893"/>
      <c r="C147" s="893"/>
      <c r="D147" s="152" t="s">
        <v>183</v>
      </c>
      <c r="E147" s="95">
        <f>'10'!F147</f>
        <v>752003</v>
      </c>
      <c r="F147" s="148">
        <v>752399</v>
      </c>
      <c r="G147" s="112">
        <f t="shared" si="11"/>
        <v>396</v>
      </c>
      <c r="H147" s="99">
        <f>G147+'10'!H147</f>
        <v>4844.8399999999674</v>
      </c>
      <c r="I147" s="140"/>
      <c r="J147" s="328">
        <f>H147/DAY(B2)</f>
        <v>440.43999999999704</v>
      </c>
    </row>
    <row r="148" spans="1:10" ht="30.75" customHeight="1">
      <c r="A148" s="886" t="s">
        <v>193</v>
      </c>
      <c r="B148" s="887"/>
      <c r="C148" s="888"/>
      <c r="D148" s="123" t="s">
        <v>130</v>
      </c>
      <c r="E148" s="95">
        <f>'10'!F148</f>
        <v>788451</v>
      </c>
      <c r="F148" s="150">
        <v>788897</v>
      </c>
      <c r="G148" s="112">
        <f t="shared" si="11"/>
        <v>446</v>
      </c>
      <c r="H148" s="99">
        <f>G148+'10'!H148</f>
        <v>4252</v>
      </c>
      <c r="I148" s="124"/>
      <c r="J148" s="328">
        <f>H148/DAY(B2)</f>
        <v>386.54545454545456</v>
      </c>
    </row>
    <row r="149" spans="1:10" ht="30.75" customHeight="1">
      <c r="A149" s="886" t="s">
        <v>336</v>
      </c>
      <c r="B149" s="887"/>
      <c r="C149" s="888"/>
      <c r="D149" s="227" t="s">
        <v>130</v>
      </c>
      <c r="E149" s="95">
        <f>'10'!F149</f>
        <v>190127</v>
      </c>
      <c r="F149" s="146">
        <v>190619</v>
      </c>
      <c r="G149" s="112">
        <f t="shared" si="11"/>
        <v>492</v>
      </c>
      <c r="H149" s="99">
        <f>G149+'10'!H149</f>
        <v>5322.109999999986</v>
      </c>
      <c r="I149" s="119"/>
      <c r="J149" s="328">
        <f>H149/DAY(B2)</f>
        <v>483.82818181818055</v>
      </c>
    </row>
    <row r="150" spans="1:10" ht="30.75" customHeight="1">
      <c r="A150" s="886" t="s">
        <v>337</v>
      </c>
      <c r="B150" s="887"/>
      <c r="C150" s="888"/>
      <c r="D150" s="117" t="s">
        <v>130</v>
      </c>
      <c r="E150" s="95">
        <f>'10'!F150</f>
        <v>79993.47</v>
      </c>
      <c r="F150" s="233">
        <v>80224</v>
      </c>
      <c r="G150" s="112">
        <f t="shared" si="11"/>
        <v>230.52999999999884</v>
      </c>
      <c r="H150" s="99">
        <f>G150+'10'!H150</f>
        <v>2557.6999999999971</v>
      </c>
      <c r="I150" s="119"/>
      <c r="J150" s="328">
        <f>H150/DAY(B2)</f>
        <v>232.51818181818155</v>
      </c>
    </row>
    <row r="151" spans="1:10" ht="30.75" customHeight="1">
      <c r="A151" s="886" t="s">
        <v>338</v>
      </c>
      <c r="B151" s="887"/>
      <c r="C151" s="888"/>
      <c r="D151" s="117" t="s">
        <v>130</v>
      </c>
      <c r="E151" s="95">
        <f>'10'!F151</f>
        <v>160762</v>
      </c>
      <c r="F151" s="233">
        <v>161045</v>
      </c>
      <c r="G151" s="112">
        <f t="shared" si="11"/>
        <v>283</v>
      </c>
      <c r="H151" s="99">
        <f>G151+'10'!H151</f>
        <v>2735</v>
      </c>
      <c r="I151" s="119"/>
      <c r="J151" s="328">
        <f>H151/DAY(B2)</f>
        <v>248.63636363636363</v>
      </c>
    </row>
    <row r="152" spans="1:10" ht="30.75" customHeight="1">
      <c r="A152" s="886" t="s">
        <v>339</v>
      </c>
      <c r="B152" s="887"/>
      <c r="C152" s="888"/>
      <c r="D152" s="117" t="s">
        <v>130</v>
      </c>
      <c r="E152" s="95">
        <f>'10'!F152</f>
        <v>40003</v>
      </c>
      <c r="F152" s="233">
        <v>40142</v>
      </c>
      <c r="G152" s="112">
        <f t="shared" si="11"/>
        <v>139</v>
      </c>
      <c r="H152" s="99">
        <f>G152+'10'!H152</f>
        <v>1526.0999999999985</v>
      </c>
      <c r="I152" s="119"/>
      <c r="J152" s="328">
        <f>H152/DAY(B2)</f>
        <v>138.73636363636351</v>
      </c>
    </row>
    <row r="153" spans="1:10" ht="30.75" customHeight="1">
      <c r="A153" s="853" t="s">
        <v>196</v>
      </c>
      <c r="B153" s="854"/>
      <c r="C153" s="365"/>
      <c r="D153" s="358"/>
      <c r="E153" s="360"/>
      <c r="F153" s="361"/>
      <c r="G153" s="362">
        <f>SUM(G138:G152)</f>
        <v>3079.429999999998</v>
      </c>
      <c r="H153" s="363"/>
      <c r="I153" s="119">
        <f>G153-(G38+G52)</f>
        <v>571.70000000001664</v>
      </c>
      <c r="J153" s="366"/>
    </row>
    <row r="154" spans="1:10" ht="30.75" customHeight="1">
      <c r="A154" s="924" t="s">
        <v>344</v>
      </c>
      <c r="B154" s="924"/>
      <c r="C154" s="924"/>
      <c r="D154" s="924"/>
      <c r="E154" s="924"/>
      <c r="F154" s="924"/>
      <c r="G154" s="924"/>
      <c r="H154" s="924"/>
      <c r="I154" s="924"/>
      <c r="J154" s="924"/>
    </row>
    <row r="155" spans="1:10" ht="30.75" customHeight="1">
      <c r="A155" s="893" t="s">
        <v>345</v>
      </c>
      <c r="B155" s="893"/>
      <c r="C155" s="893"/>
      <c r="D155" s="117" t="s">
        <v>130</v>
      </c>
      <c r="E155" s="95">
        <f>'10'!F155</f>
        <v>226242</v>
      </c>
      <c r="F155" s="157">
        <v>226821</v>
      </c>
      <c r="G155" s="112">
        <f t="shared" ref="G155:G159" si="12">F155-E155</f>
        <v>579</v>
      </c>
      <c r="H155" s="99">
        <f>G155+'10'!H155</f>
        <v>6833.2999999999884</v>
      </c>
      <c r="I155" s="364"/>
      <c r="J155" s="328">
        <f>H155/DAY(B2)</f>
        <v>621.20909090908981</v>
      </c>
    </row>
    <row r="156" spans="1:10" ht="30.75" customHeight="1">
      <c r="A156" s="893" t="s">
        <v>347</v>
      </c>
      <c r="B156" s="893"/>
      <c r="C156" s="893"/>
      <c r="D156" s="117" t="s">
        <v>130</v>
      </c>
      <c r="E156" s="95">
        <f>'10'!F156</f>
        <v>27490.799999999999</v>
      </c>
      <c r="F156" s="155">
        <v>27584</v>
      </c>
      <c r="G156" s="112">
        <f t="shared" si="12"/>
        <v>93.200000000000728</v>
      </c>
      <c r="H156" s="99">
        <f>G156+'10'!H156</f>
        <v>1053.7999999999993</v>
      </c>
      <c r="I156" s="165"/>
      <c r="J156" s="328">
        <f>H156/DAY(B2)</f>
        <v>95.79999999999994</v>
      </c>
    </row>
    <row r="157" spans="1:10" ht="30.75" customHeight="1">
      <c r="A157" s="886" t="s">
        <v>360</v>
      </c>
      <c r="B157" s="887"/>
      <c r="C157" s="888"/>
      <c r="D157" s="117" t="s">
        <v>130</v>
      </c>
      <c r="E157" s="95">
        <f>'10'!F157</f>
        <v>37559</v>
      </c>
      <c r="F157" s="155">
        <v>37559</v>
      </c>
      <c r="G157" s="112">
        <f t="shared" si="12"/>
        <v>0</v>
      </c>
      <c r="H157" s="99">
        <f>G157+'10'!H157</f>
        <v>0</v>
      </c>
      <c r="I157" s="165"/>
      <c r="J157" s="328">
        <f>H157/DAY(B2)</f>
        <v>0</v>
      </c>
    </row>
    <row r="158" spans="1:10" ht="30.75" customHeight="1">
      <c r="A158" s="886" t="s">
        <v>361</v>
      </c>
      <c r="B158" s="887"/>
      <c r="C158" s="888"/>
      <c r="D158" s="117" t="s">
        <v>130</v>
      </c>
      <c r="E158" s="95">
        <f>'10'!F158</f>
        <v>1695</v>
      </c>
      <c r="F158" s="155">
        <v>1706.72</v>
      </c>
      <c r="G158" s="112">
        <f t="shared" si="12"/>
        <v>11.720000000000027</v>
      </c>
      <c r="H158" s="99">
        <f>G158+'10'!H158</f>
        <v>145.37000000000012</v>
      </c>
      <c r="I158" s="165"/>
      <c r="J158" s="328">
        <f>H158/DAY(B2)</f>
        <v>13.215454545454556</v>
      </c>
    </row>
    <row r="159" spans="1:10" ht="30.75" customHeight="1">
      <c r="A159" s="942"/>
      <c r="B159" s="943"/>
      <c r="C159" s="944"/>
      <c r="D159" s="117"/>
      <c r="E159" s="95"/>
      <c r="F159" s="155"/>
      <c r="G159" s="112">
        <f t="shared" si="12"/>
        <v>0</v>
      </c>
      <c r="H159" s="99">
        <f>G159+'10'!H159</f>
        <v>0</v>
      </c>
      <c r="I159" s="165"/>
      <c r="J159" s="328">
        <f>H159/DAY(B2)</f>
        <v>0</v>
      </c>
    </row>
    <row r="160" spans="1:10" ht="30.75" customHeight="1">
      <c r="A160" s="924" t="s">
        <v>326</v>
      </c>
      <c r="B160" s="924"/>
      <c r="C160" s="924"/>
      <c r="D160" s="924"/>
      <c r="E160" s="924"/>
      <c r="F160" s="924"/>
      <c r="G160" s="924"/>
      <c r="H160" s="924"/>
      <c r="I160" s="924"/>
      <c r="J160" s="924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'10'!F161</f>
        <v>504936</v>
      </c>
      <c r="F161" s="235">
        <v>505006</v>
      </c>
      <c r="G161" s="238">
        <f>F161-E161</f>
        <v>70</v>
      </c>
      <c r="H161" s="99">
        <f>G161+'10'!H161</f>
        <v>1634.8400000000256</v>
      </c>
      <c r="I161" s="236"/>
      <c r="J161" s="239">
        <f>H161/DAY(B2)</f>
        <v>148.62181818182052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'10'!F162</f>
        <v>100049</v>
      </c>
      <c r="F162" s="235">
        <v>100067.8</v>
      </c>
      <c r="G162" s="238">
        <f t="shared" ref="G162:G165" si="13">F162-E162</f>
        <v>18.80000000000291</v>
      </c>
      <c r="H162" s="99">
        <f>G162+'10'!H162</f>
        <v>414.19999999999709</v>
      </c>
      <c r="I162" s="236"/>
      <c r="J162" s="239">
        <f>H162/DAY(B2)</f>
        <v>37.654545454545193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'10'!F163</f>
        <v>0</v>
      </c>
      <c r="F163" s="235">
        <v>0</v>
      </c>
      <c r="G163" s="238">
        <f t="shared" si="13"/>
        <v>0</v>
      </c>
      <c r="H163" s="99">
        <f>G163+'10'!H163</f>
        <v>0</v>
      </c>
      <c r="I163" s="236"/>
      <c r="J163" s="239">
        <f>H163/DAY(B2)</f>
        <v>0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'10'!F164</f>
        <v>7082</v>
      </c>
      <c r="F164" s="235">
        <v>7087</v>
      </c>
      <c r="G164" s="238">
        <f t="shared" si="13"/>
        <v>5</v>
      </c>
      <c r="H164" s="99">
        <f>G164+'10'!H164</f>
        <v>96.800000000000182</v>
      </c>
      <c r="I164" s="236"/>
      <c r="J164" s="239">
        <f>H164/DAY(B2)</f>
        <v>8.8000000000000167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'10'!F165</f>
        <v>32644.2</v>
      </c>
      <c r="F165" s="235">
        <v>32646</v>
      </c>
      <c r="G165" s="238">
        <f t="shared" si="13"/>
        <v>1.7999999999992724</v>
      </c>
      <c r="H165" s="99">
        <f>G165+'10'!H165</f>
        <v>71.900000000001455</v>
      </c>
      <c r="I165" s="236"/>
      <c r="J165" s="239">
        <f>H165/DAY(B2)</f>
        <v>6.5363636363637685</v>
      </c>
    </row>
    <row r="166" spans="1:10" ht="30.75" customHeight="1">
      <c r="A166" s="923"/>
      <c r="B166" s="923"/>
      <c r="C166" s="246"/>
      <c r="D166" s="244" t="s">
        <v>180</v>
      </c>
      <c r="E166" s="95">
        <f>'10'!F166</f>
        <v>0</v>
      </c>
      <c r="F166" s="165" t="s">
        <v>207</v>
      </c>
      <c r="G166" s="165"/>
      <c r="H166" s="99">
        <f>G166+'10'!H166</f>
        <v>0</v>
      </c>
      <c r="I166" s="165"/>
      <c r="J166" s="239">
        <f>H166/DAY(B2)</f>
        <v>0</v>
      </c>
    </row>
    <row r="167" spans="1:10" ht="30.75" customHeight="1">
      <c r="A167" s="923"/>
      <c r="B167" s="923"/>
      <c r="C167" s="246"/>
      <c r="D167" s="244" t="s">
        <v>180</v>
      </c>
      <c r="E167" s="95">
        <f>'10'!F167</f>
        <v>0</v>
      </c>
      <c r="F167" s="165"/>
      <c r="G167" s="165"/>
      <c r="H167" s="99">
        <f>G167+'10'!H167</f>
        <v>0</v>
      </c>
      <c r="I167" s="165"/>
      <c r="J167" s="239">
        <f>H167/DAY(B2)</f>
        <v>0</v>
      </c>
    </row>
    <row r="168" spans="1:10" ht="30.75" customHeight="1">
      <c r="A168" s="923"/>
      <c r="B168" s="923"/>
      <c r="C168" s="246"/>
      <c r="D168" s="244" t="s">
        <v>180</v>
      </c>
      <c r="E168" s="95">
        <f>'10'!F168</f>
        <v>0</v>
      </c>
      <c r="F168" s="165"/>
      <c r="G168" s="165"/>
      <c r="H168" s="99">
        <f>G168+'10'!H168</f>
        <v>0</v>
      </c>
      <c r="I168" s="165"/>
      <c r="J168" s="239">
        <f>H168/DAY(B2)</f>
        <v>0</v>
      </c>
    </row>
    <row r="171" spans="1:10" ht="30.75" customHeight="1">
      <c r="A171" s="933" t="s">
        <v>330</v>
      </c>
      <c r="B171" s="934"/>
      <c r="C171" s="934"/>
      <c r="D171" s="934"/>
      <c r="E171" s="934"/>
      <c r="F171" s="934"/>
      <c r="G171" s="934"/>
      <c r="H171" s="934"/>
      <c r="I171" s="934"/>
      <c r="J171" s="935"/>
    </row>
    <row r="172" spans="1:10" ht="30.75" customHeight="1">
      <c r="A172" s="929"/>
      <c r="B172" s="930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841" t="s">
        <v>209</v>
      </c>
      <c r="B173" s="843"/>
      <c r="C173" s="333"/>
      <c r="D173" s="228" t="s">
        <v>142</v>
      </c>
      <c r="E173" s="95">
        <f>'10'!F173</f>
        <v>8600</v>
      </c>
      <c r="F173" s="157">
        <v>8600</v>
      </c>
      <c r="G173" s="155">
        <f>F173-E173</f>
        <v>0</v>
      </c>
      <c r="H173" s="99">
        <f>G173+'10'!H173</f>
        <v>16</v>
      </c>
      <c r="I173" s="155"/>
      <c r="J173" s="178">
        <f>H173/DAY(B2)</f>
        <v>1.4545454545454546</v>
      </c>
    </row>
    <row r="174" spans="1:10" ht="30.75" customHeight="1">
      <c r="A174" s="841" t="s">
        <v>75</v>
      </c>
      <c r="B174" s="843"/>
      <c r="C174" s="333"/>
      <c r="D174" s="228" t="s">
        <v>142</v>
      </c>
      <c r="E174" s="95">
        <f>'10'!F174</f>
        <v>42785</v>
      </c>
      <c r="F174" s="157">
        <v>42798</v>
      </c>
      <c r="G174" s="155">
        <f t="shared" ref="G174:G175" si="14">F174-E174</f>
        <v>13</v>
      </c>
      <c r="H174" s="99">
        <f>G174+'10'!H174</f>
        <v>129</v>
      </c>
      <c r="I174" s="155"/>
      <c r="J174" s="178">
        <f>H174/DAY(B2)</f>
        <v>11.727272727272727</v>
      </c>
    </row>
    <row r="175" spans="1:10" ht="30.75" customHeight="1">
      <c r="A175" s="841" t="s">
        <v>76</v>
      </c>
      <c r="B175" s="842"/>
      <c r="C175" s="843"/>
      <c r="D175" s="228" t="s">
        <v>142</v>
      </c>
      <c r="E175" s="95">
        <f>'10'!F175</f>
        <v>25522</v>
      </c>
      <c r="F175" s="155">
        <v>25535</v>
      </c>
      <c r="G175" s="155">
        <f t="shared" si="14"/>
        <v>13</v>
      </c>
      <c r="H175" s="99">
        <f>G175+'10'!H175</f>
        <v>142</v>
      </c>
      <c r="I175" s="155"/>
      <c r="J175" s="178">
        <f>H175/DAY(B2)</f>
        <v>12.909090909090908</v>
      </c>
    </row>
    <row r="176" spans="1:10" ht="30.75" customHeight="1">
      <c r="A176" s="853" t="s">
        <v>196</v>
      </c>
      <c r="B176" s="854"/>
      <c r="C176" s="400"/>
      <c r="D176" s="228" t="s">
        <v>142</v>
      </c>
      <c r="E176" s="95"/>
      <c r="F176" s="155"/>
      <c r="G176" s="155">
        <f>SUM(G173:G175)</f>
        <v>26</v>
      </c>
      <c r="H176" s="99">
        <f>G176+'10'!H176</f>
        <v>287</v>
      </c>
      <c r="I176" s="155"/>
      <c r="J176" s="178">
        <f>H176/DAY(B2)</f>
        <v>26.09090909090909</v>
      </c>
    </row>
    <row r="177" spans="1:10" ht="30.75" customHeight="1">
      <c r="A177" s="841" t="s">
        <v>77</v>
      </c>
      <c r="B177" s="843"/>
      <c r="C177" s="333"/>
      <c r="D177" s="228" t="s">
        <v>142</v>
      </c>
      <c r="E177" s="95"/>
      <c r="F177" s="155"/>
      <c r="G177" s="155"/>
      <c r="H177" s="99">
        <f>G177+'10'!H177</f>
        <v>0</v>
      </c>
      <c r="I177" s="155"/>
      <c r="J177" s="178">
        <f>H177/DAY(B2)</f>
        <v>0</v>
      </c>
    </row>
    <row r="178" spans="1:10" ht="30.75" customHeight="1">
      <c r="A178" s="841" t="s">
        <v>210</v>
      </c>
      <c r="B178" s="843"/>
      <c r="C178" s="333"/>
      <c r="D178" s="228" t="s">
        <v>142</v>
      </c>
      <c r="E178" s="95">
        <f>'10'!F178</f>
        <v>104340</v>
      </c>
      <c r="F178" s="155">
        <v>104480</v>
      </c>
      <c r="G178" s="155">
        <f>F178-E178</f>
        <v>140</v>
      </c>
      <c r="H178" s="99">
        <f>G178+'10'!H178</f>
        <v>837</v>
      </c>
      <c r="I178" s="155"/>
      <c r="J178" s="178">
        <f>H178/DAY(B2)</f>
        <v>76.090909090909093</v>
      </c>
    </row>
    <row r="179" spans="1:10" ht="30.75" customHeight="1">
      <c r="A179" s="841" t="s">
        <v>211</v>
      </c>
      <c r="B179" s="843"/>
      <c r="C179" s="333"/>
      <c r="D179" s="228" t="s">
        <v>142</v>
      </c>
      <c r="E179" s="95">
        <f>'10'!F179</f>
        <v>37501</v>
      </c>
      <c r="F179" s="155">
        <v>37501</v>
      </c>
      <c r="G179" s="155">
        <f t="shared" ref="G179:G180" si="15">F179-E179</f>
        <v>0</v>
      </c>
      <c r="H179" s="99">
        <f>G179+'10'!H179</f>
        <v>0</v>
      </c>
      <c r="I179" s="155"/>
      <c r="J179" s="178">
        <f>H179/DAY(B2)</f>
        <v>0</v>
      </c>
    </row>
    <row r="180" spans="1:10" ht="30.75" customHeight="1">
      <c r="A180" s="841" t="s">
        <v>212</v>
      </c>
      <c r="B180" s="843"/>
      <c r="C180" s="333"/>
      <c r="D180" s="228" t="s">
        <v>142</v>
      </c>
      <c r="E180" s="95">
        <f>'10'!F180</f>
        <v>7439</v>
      </c>
      <c r="F180" s="155">
        <v>7439</v>
      </c>
      <c r="G180" s="155">
        <f t="shared" si="15"/>
        <v>0</v>
      </c>
      <c r="H180" s="99">
        <f>G180+'10'!H180</f>
        <v>19</v>
      </c>
      <c r="I180" s="155"/>
      <c r="J180" s="178">
        <f>H180/DAY(B2)</f>
        <v>1.7272727272727273</v>
      </c>
    </row>
    <row r="181" spans="1:10" ht="30.75" customHeight="1">
      <c r="A181" s="927" t="s">
        <v>108</v>
      </c>
      <c r="B181" s="928"/>
      <c r="C181" s="400"/>
      <c r="D181" s="228" t="s">
        <v>142</v>
      </c>
      <c r="E181" s="95"/>
      <c r="F181" s="155"/>
      <c r="G181" s="155">
        <f>SUM(G178:G180)</f>
        <v>140</v>
      </c>
      <c r="H181" s="99">
        <f>G181+'10'!H181</f>
        <v>856</v>
      </c>
      <c r="I181" s="155"/>
      <c r="J181" s="178">
        <f>H181/DAY(B2)</f>
        <v>77.818181818181813</v>
      </c>
    </row>
    <row r="182" spans="1:10" ht="30.75" customHeight="1">
      <c r="A182" s="841" t="s">
        <v>213</v>
      </c>
      <c r="B182" s="843"/>
      <c r="C182" s="333"/>
      <c r="D182" s="228" t="s">
        <v>142</v>
      </c>
      <c r="E182" s="95"/>
      <c r="F182" s="155"/>
      <c r="G182" s="155"/>
      <c r="H182" s="99">
        <f>G182+'10'!H182</f>
        <v>0</v>
      </c>
      <c r="I182" s="155"/>
      <c r="J182" s="178">
        <f>H182/DAY(B2)</f>
        <v>0</v>
      </c>
    </row>
    <row r="183" spans="1:10" ht="30.75" customHeight="1">
      <c r="A183" s="841" t="s">
        <v>214</v>
      </c>
      <c r="B183" s="843"/>
      <c r="C183" s="334"/>
      <c r="D183" s="228" t="s">
        <v>142</v>
      </c>
      <c r="E183" s="95">
        <f>'10'!F183</f>
        <v>18221</v>
      </c>
      <c r="F183" s="157">
        <v>18229</v>
      </c>
      <c r="G183" s="157">
        <f>F183-E183</f>
        <v>8</v>
      </c>
      <c r="H183" s="99">
        <f>G183+'10'!H183</f>
        <v>61</v>
      </c>
      <c r="I183" s="155"/>
      <c r="J183" s="178">
        <f>H183/DAY(B2)</f>
        <v>5.5454545454545459</v>
      </c>
    </row>
    <row r="184" spans="1:10" ht="30.75" customHeight="1">
      <c r="A184" s="841" t="s">
        <v>215</v>
      </c>
      <c r="B184" s="843"/>
      <c r="C184" s="334"/>
      <c r="D184" s="228" t="s">
        <v>142</v>
      </c>
      <c r="E184" s="95">
        <f>'10'!F184</f>
        <v>12825</v>
      </c>
      <c r="F184" s="157">
        <v>12833</v>
      </c>
      <c r="G184" s="157">
        <f t="shared" ref="G184:G185" si="16">F184-E184</f>
        <v>8</v>
      </c>
      <c r="H184" s="99">
        <f>G184+'10'!H184</f>
        <v>83</v>
      </c>
      <c r="I184" s="155"/>
      <c r="J184" s="178">
        <f>H184/DAY(B2)</f>
        <v>7.5454545454545459</v>
      </c>
    </row>
    <row r="185" spans="1:10" ht="30.75" customHeight="1">
      <c r="A185" s="841" t="s">
        <v>216</v>
      </c>
      <c r="B185" s="843"/>
      <c r="C185" s="334"/>
      <c r="D185" s="228" t="s">
        <v>142</v>
      </c>
      <c r="E185" s="95">
        <f>'10'!F185</f>
        <v>0</v>
      </c>
      <c r="F185" s="157">
        <v>0</v>
      </c>
      <c r="G185" s="157">
        <f t="shared" si="16"/>
        <v>0</v>
      </c>
      <c r="H185" s="99">
        <f>G185+'10'!H185</f>
        <v>0</v>
      </c>
      <c r="I185" s="155"/>
      <c r="J185" s="178">
        <f>H185/DAY(B2)</f>
        <v>0</v>
      </c>
    </row>
    <row r="186" spans="1:10" ht="30.75" customHeight="1">
      <c r="A186" s="853" t="s">
        <v>196</v>
      </c>
      <c r="B186" s="854"/>
      <c r="C186" s="399"/>
      <c r="D186" s="228" t="s">
        <v>142</v>
      </c>
      <c r="E186" s="95"/>
      <c r="F186" s="157"/>
      <c r="G186" s="157">
        <f>SUM(G183:G185)</f>
        <v>16</v>
      </c>
      <c r="H186" s="99">
        <f>G186+'10'!H186</f>
        <v>144</v>
      </c>
      <c r="I186" s="157"/>
      <c r="J186" s="178">
        <f>H186/DAY(B2)</f>
        <v>13.090909090909092</v>
      </c>
    </row>
    <row r="187" spans="1:10" ht="30.75" customHeight="1">
      <c r="A187" s="931" t="s">
        <v>217</v>
      </c>
      <c r="B187" s="932"/>
      <c r="C187" s="333"/>
      <c r="D187" s="230" t="s">
        <v>142</v>
      </c>
      <c r="E187" s="95"/>
      <c r="F187" s="159"/>
      <c r="G187" s="377">
        <f>G62+G19</f>
        <v>167</v>
      </c>
      <c r="H187" s="99">
        <f>G187+'10'!H187</f>
        <v>1899</v>
      </c>
      <c r="I187" s="158"/>
      <c r="J187" s="179">
        <f>H187/DAY(B2)</f>
        <v>172.63636363636363</v>
      </c>
    </row>
    <row r="188" spans="1:10" ht="30.75" customHeight="1">
      <c r="A188" s="931" t="s">
        <v>218</v>
      </c>
      <c r="B188" s="932"/>
      <c r="C188" s="333"/>
      <c r="D188" s="230" t="s">
        <v>142</v>
      </c>
      <c r="E188" s="95"/>
      <c r="F188" s="159"/>
      <c r="G188" s="377">
        <f>G65+G66+G67+G69+G70</f>
        <v>172</v>
      </c>
      <c r="H188" s="99">
        <f>G188+'10'!H188</f>
        <v>57377</v>
      </c>
      <c r="I188" s="158"/>
      <c r="J188" s="179">
        <f>H188/DAY(B2)</f>
        <v>5216.090909090909</v>
      </c>
    </row>
    <row r="189" spans="1:10" ht="30.75" customHeight="1">
      <c r="A189" s="931" t="s">
        <v>219</v>
      </c>
      <c r="B189" s="932"/>
      <c r="C189" s="333"/>
      <c r="D189" s="230" t="s">
        <v>142</v>
      </c>
      <c r="E189" s="95"/>
      <c r="F189" s="157"/>
      <c r="G189" s="376">
        <f>G181</f>
        <v>140</v>
      </c>
      <c r="H189" s="99">
        <f>G189+'10'!H189</f>
        <v>856</v>
      </c>
      <c r="I189" s="158"/>
      <c r="J189" s="179">
        <f>H189/DAY(B2)</f>
        <v>77.818181818181813</v>
      </c>
    </row>
    <row r="190" spans="1:10" ht="30.75" customHeight="1">
      <c r="A190" s="925"/>
      <c r="B190" s="926"/>
      <c r="C190" s="398"/>
      <c r="D190" s="395"/>
      <c r="E190" s="395" t="s">
        <v>207</v>
      </c>
      <c r="F190" s="395"/>
      <c r="G190" s="395"/>
      <c r="H190" s="396"/>
      <c r="I190" s="395"/>
      <c r="J190" s="397"/>
    </row>
  </sheetData>
  <mergeCells count="115">
    <mergeCell ref="A186:B186"/>
    <mergeCell ref="A187:B187"/>
    <mergeCell ref="A188:B188"/>
    <mergeCell ref="A189:B189"/>
    <mergeCell ref="A190:B190"/>
    <mergeCell ref="A172:B172"/>
    <mergeCell ref="A173:B173"/>
    <mergeCell ref="A174:B174"/>
    <mergeCell ref="A176:B176"/>
    <mergeCell ref="A177:B177"/>
    <mergeCell ref="A184:B184"/>
    <mergeCell ref="A185:B185"/>
    <mergeCell ref="A160:J160"/>
    <mergeCell ref="A166:B166"/>
    <mergeCell ref="A167:B167"/>
    <mergeCell ref="A168:B168"/>
    <mergeCell ref="A171:J171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2:C132"/>
    <mergeCell ref="A133:C133"/>
    <mergeCell ref="A134:C134"/>
    <mergeCell ref="A136:J136"/>
    <mergeCell ref="A125:B125"/>
    <mergeCell ref="A126:J126"/>
    <mergeCell ref="A127:B127"/>
    <mergeCell ref="A128:C128"/>
    <mergeCell ref="A131:C131"/>
    <mergeCell ref="A135:B135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71:C71"/>
    <mergeCell ref="A72:B72"/>
    <mergeCell ref="A181:B181"/>
    <mergeCell ref="A183:B183"/>
    <mergeCell ref="A175:C175"/>
    <mergeCell ref="A182:B182"/>
    <mergeCell ref="A178:B178"/>
    <mergeCell ref="A179:B179"/>
    <mergeCell ref="A180:B180"/>
    <mergeCell ref="A109:B109"/>
    <mergeCell ref="A102:C102"/>
    <mergeCell ref="A115:C115"/>
    <mergeCell ref="A116:C116"/>
    <mergeCell ref="A119:C119"/>
    <mergeCell ref="A120:C120"/>
    <mergeCell ref="A121:C121"/>
    <mergeCell ref="A122:C122"/>
    <mergeCell ref="A123:C123"/>
    <mergeCell ref="A148:C148"/>
    <mergeCell ref="A149:C149"/>
    <mergeCell ref="A147:C147"/>
    <mergeCell ref="A101:C101"/>
    <mergeCell ref="A103:C103"/>
    <mergeCell ref="A104:C104"/>
    <mergeCell ref="A124:C124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05:C105"/>
    <mergeCell ref="A108:J108"/>
    <mergeCell ref="A78:C78"/>
    <mergeCell ref="A97:C97"/>
    <mergeCell ref="A98:C98"/>
    <mergeCell ref="A99:C99"/>
    <mergeCell ref="A100:C100"/>
    <mergeCell ref="A64:C64"/>
    <mergeCell ref="A65:C6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61:C61"/>
    <mergeCell ref="A62:C62"/>
    <mergeCell ref="A63:C63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R190"/>
  <sheetViews>
    <sheetView view="pageBreakPreview" zoomScale="55" zoomScaleNormal="75" zoomScaleSheetLayoutView="55" workbookViewId="0">
      <selection activeCell="F18" sqref="F18"/>
    </sheetView>
  </sheetViews>
  <sheetFormatPr defaultColWidth="22.33203125" defaultRowHeight="32.2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2.25" customHeight="1">
      <c r="A1" s="867" t="s">
        <v>115</v>
      </c>
      <c r="B1" s="868"/>
      <c r="C1" s="868"/>
      <c r="D1" s="868"/>
      <c r="E1" s="868"/>
      <c r="F1" s="868"/>
      <c r="G1" s="868"/>
      <c r="H1" s="868"/>
      <c r="I1" s="868"/>
      <c r="J1" s="869"/>
    </row>
    <row r="2" spans="1:15" s="57" customFormat="1" ht="32.25" customHeight="1">
      <c r="A2" s="191" t="s">
        <v>373</v>
      </c>
      <c r="B2" s="262">
        <v>44907</v>
      </c>
      <c r="C2" s="348" t="s">
        <v>67</v>
      </c>
      <c r="D2" s="218">
        <v>0.49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2.25" customHeight="1">
      <c r="A3" s="189"/>
      <c r="B3" s="221"/>
      <c r="C3" s="348" t="s">
        <v>118</v>
      </c>
      <c r="D3" s="219">
        <v>33</v>
      </c>
      <c r="E3" s="876" t="s">
        <v>119</v>
      </c>
      <c r="F3" s="877"/>
      <c r="G3" s="101"/>
      <c r="H3" s="102"/>
      <c r="I3" s="102"/>
      <c r="J3" s="222"/>
      <c r="K3" s="61"/>
      <c r="L3" s="58"/>
    </row>
    <row r="4" spans="1:15" s="57" customFormat="1" ht="32.25" customHeight="1">
      <c r="A4" s="192"/>
      <c r="B4" s="223"/>
      <c r="C4" s="348" t="s">
        <v>120</v>
      </c>
      <c r="D4" s="218">
        <v>0.81</v>
      </c>
      <c r="E4" s="103"/>
      <c r="F4" s="103"/>
      <c r="G4" s="103"/>
      <c r="H4" s="103"/>
      <c r="I4" s="104"/>
      <c r="J4" s="222"/>
      <c r="K4" s="62"/>
      <c r="L4" s="58"/>
    </row>
    <row r="5" spans="1:15" ht="32.2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2.25" customHeight="1">
      <c r="A6" s="870" t="s">
        <v>128</v>
      </c>
      <c r="B6" s="871"/>
      <c r="C6" s="87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2.25" customHeight="1" thickBot="1">
      <c r="A7" s="194" t="s">
        <v>129</v>
      </c>
      <c r="B7" s="195"/>
      <c r="C7" s="195"/>
      <c r="D7" s="151" t="s">
        <v>130</v>
      </c>
      <c r="E7" s="95">
        <f>'11'!F7</f>
        <v>524541.15</v>
      </c>
      <c r="F7" s="95">
        <v>547020</v>
      </c>
      <c r="G7" s="112">
        <f>F7-E7</f>
        <v>22478.849999999977</v>
      </c>
      <c r="H7" s="99">
        <f>G7+'11'!H7</f>
        <v>273337.45</v>
      </c>
      <c r="I7" s="113">
        <f>'1'!I7</f>
        <v>12000</v>
      </c>
      <c r="J7" s="175">
        <f>H7/DAY(B2)</f>
        <v>22778.120833333334</v>
      </c>
      <c r="K7" s="172">
        <v>1375467</v>
      </c>
      <c r="L7" s="66"/>
      <c r="N7" s="87"/>
      <c r="O7" s="71"/>
    </row>
    <row r="8" spans="1:15" ht="32.25" customHeight="1" thickBot="1">
      <c r="A8" s="196" t="s">
        <v>131</v>
      </c>
      <c r="B8" s="197"/>
      <c r="C8" s="198"/>
      <c r="D8" s="224" t="s">
        <v>24</v>
      </c>
      <c r="E8" s="95">
        <f>'11'!F8</f>
        <v>703370.39</v>
      </c>
      <c r="F8" s="114">
        <v>725796</v>
      </c>
      <c r="G8" s="115">
        <f>F8-E8</f>
        <v>22425.609999999986</v>
      </c>
      <c r="H8" s="99">
        <f>G8+'11'!H8</f>
        <v>274535</v>
      </c>
      <c r="I8" s="116"/>
      <c r="J8" s="175">
        <f>H8/DAY(B2)</f>
        <v>22877.916666666668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2.25" customHeight="1">
      <c r="A9" s="199" t="s">
        <v>132</v>
      </c>
      <c r="B9" s="200"/>
      <c r="C9" s="200"/>
      <c r="D9" s="151" t="s">
        <v>130</v>
      </c>
      <c r="E9" s="95">
        <f>'11'!F9</f>
        <v>4185046.3</v>
      </c>
      <c r="F9" s="468">
        <v>4191625</v>
      </c>
      <c r="G9" s="112">
        <f>F9-E9</f>
        <v>6578.7000000001863</v>
      </c>
      <c r="H9" s="99">
        <f>G9+'11'!H9</f>
        <v>77454.700000000186</v>
      </c>
      <c r="I9" s="124">
        <f>I7-J7</f>
        <v>-10778.120833333334</v>
      </c>
      <c r="J9" s="175">
        <f>H9/DAY(B2)</f>
        <v>6454.5583333333489</v>
      </c>
      <c r="K9" s="79">
        <f>K8-100</f>
        <v>1715817</v>
      </c>
      <c r="L9" s="66"/>
      <c r="N9" s="87"/>
      <c r="O9" s="71">
        <f>G9-G10</f>
        <v>-9006.3999999999069</v>
      </c>
    </row>
    <row r="10" spans="1:15" ht="32.25" customHeight="1">
      <c r="A10" s="194" t="s">
        <v>133</v>
      </c>
      <c r="B10" s="195"/>
      <c r="C10" s="195"/>
      <c r="D10" s="151" t="s">
        <v>130</v>
      </c>
      <c r="E10" s="95">
        <f>'11'!F10</f>
        <v>3862455.9</v>
      </c>
      <c r="F10" s="353">
        <v>3878041</v>
      </c>
      <c r="G10" s="112">
        <f t="shared" ref="G10:G12" si="0">F10-E10</f>
        <v>15585.100000000093</v>
      </c>
      <c r="H10" s="99">
        <f>G10+'11'!H10</f>
        <v>188561.89999999991</v>
      </c>
      <c r="I10" s="282"/>
      <c r="J10" s="175">
        <f>H10/DAY(B2)</f>
        <v>15713.49166666666</v>
      </c>
      <c r="K10" s="79"/>
      <c r="L10" s="66"/>
      <c r="N10" s="87"/>
      <c r="O10" s="71"/>
    </row>
    <row r="11" spans="1:15" ht="32.25" customHeight="1">
      <c r="A11" s="194" t="s">
        <v>134</v>
      </c>
      <c r="B11" s="195"/>
      <c r="C11" s="195"/>
      <c r="D11" s="151" t="s">
        <v>130</v>
      </c>
      <c r="E11" s="95">
        <f>'11'!F11</f>
        <v>38120</v>
      </c>
      <c r="F11" s="95">
        <v>38120</v>
      </c>
      <c r="G11" s="112">
        <f t="shared" si="0"/>
        <v>0</v>
      </c>
      <c r="H11" s="99">
        <f>G11+'11'!H11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2.25" customHeight="1">
      <c r="A12" s="194" t="s">
        <v>135</v>
      </c>
      <c r="B12" s="195"/>
      <c r="C12" s="195"/>
      <c r="D12" s="151" t="s">
        <v>130</v>
      </c>
      <c r="E12" s="95">
        <f>'11'!F12</f>
        <v>40390</v>
      </c>
      <c r="F12" s="117">
        <v>40390</v>
      </c>
      <c r="G12" s="112">
        <f t="shared" si="0"/>
        <v>0</v>
      </c>
      <c r="H12" s="99">
        <f>G12+'11'!H12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2.2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22163.800000000279</v>
      </c>
      <c r="H13" s="99">
        <f>G13+'11'!H13</f>
        <v>270245.29999999981</v>
      </c>
      <c r="I13" s="120">
        <f>G7-G13</f>
        <v>315.04999999969732</v>
      </c>
      <c r="J13" s="175">
        <f>H13/DAY(B2)</f>
        <v>22520.441666666651</v>
      </c>
      <c r="K13" s="79"/>
      <c r="L13" s="66"/>
      <c r="N13" s="87"/>
      <c r="O13" s="71"/>
    </row>
    <row r="14" spans="1:15" ht="32.25" customHeight="1">
      <c r="A14" s="873" t="s">
        <v>137</v>
      </c>
      <c r="B14" s="874"/>
      <c r="C14" s="87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2.25" customHeight="1">
      <c r="A15" s="345" t="s">
        <v>138</v>
      </c>
      <c r="B15" s="205"/>
      <c r="C15" s="205"/>
      <c r="D15" s="151" t="s">
        <v>139</v>
      </c>
      <c r="E15" s="95">
        <f>'11'!F15</f>
        <v>2231018</v>
      </c>
      <c r="F15" s="468">
        <f>E15+1100</f>
        <v>2232118</v>
      </c>
      <c r="G15" s="112">
        <f>(F15-E15)</f>
        <v>1100</v>
      </c>
      <c r="H15" s="99">
        <f>G15+'11'!H15</f>
        <v>13177</v>
      </c>
      <c r="I15" s="113">
        <f>'1'!I15</f>
        <v>800</v>
      </c>
      <c r="J15" s="175">
        <f>H15/DAY(B2)</f>
        <v>1098.0833333333333</v>
      </c>
      <c r="K15" s="79"/>
      <c r="L15" s="66"/>
      <c r="N15" s="87"/>
      <c r="O15" s="71"/>
    </row>
    <row r="16" spans="1:15" ht="32.2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-298.08333333333326</v>
      </c>
      <c r="J16" s="176"/>
      <c r="K16" s="79"/>
      <c r="L16" s="66"/>
      <c r="N16" s="87"/>
      <c r="O16" s="71"/>
    </row>
    <row r="17" spans="1:15" ht="32.25" customHeight="1">
      <c r="A17" s="873" t="s">
        <v>140</v>
      </c>
      <c r="B17" s="874"/>
      <c r="C17" s="87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2.25" customHeight="1">
      <c r="A18" s="864" t="s">
        <v>141</v>
      </c>
      <c r="B18" s="865"/>
      <c r="C18" s="866"/>
      <c r="D18" s="151" t="s">
        <v>142</v>
      </c>
      <c r="E18" s="95">
        <f>'11'!F18</f>
        <v>25</v>
      </c>
      <c r="F18" s="122">
        <v>35</v>
      </c>
      <c r="G18" s="119">
        <f>F18*10</f>
        <v>350</v>
      </c>
      <c r="H18" s="99">
        <f>G18+'11'!H18</f>
        <v>3160</v>
      </c>
      <c r="I18" s="113">
        <f>'1'!I18</f>
        <v>65</v>
      </c>
      <c r="J18" s="175">
        <f>H18/DAY(B2)</f>
        <v>263.33333333333331</v>
      </c>
      <c r="K18" s="79"/>
      <c r="L18" s="66"/>
      <c r="N18" s="87"/>
      <c r="O18" s="71"/>
    </row>
    <row r="19" spans="1:15" ht="32.25" customHeight="1">
      <c r="A19" s="864" t="s">
        <v>69</v>
      </c>
      <c r="B19" s="865"/>
      <c r="C19" s="866"/>
      <c r="D19" s="151" t="s">
        <v>142</v>
      </c>
      <c r="E19" s="95">
        <f>'11'!F19</f>
        <v>168554</v>
      </c>
      <c r="F19" s="122">
        <v>168615</v>
      </c>
      <c r="G19" s="112">
        <f t="shared" ref="G19" si="1">F19-E19</f>
        <v>61</v>
      </c>
      <c r="H19" s="99">
        <f>G19+'11'!H19</f>
        <v>655</v>
      </c>
      <c r="I19" s="335"/>
      <c r="J19" s="175">
        <f>H19/DAY(B2)</f>
        <v>54.583333333333336</v>
      </c>
      <c r="K19" s="79"/>
      <c r="L19" s="66"/>
      <c r="N19" s="87"/>
      <c r="O19" s="71"/>
    </row>
    <row r="20" spans="1:15" ht="32.25" customHeight="1">
      <c r="A20" s="201" t="s">
        <v>143</v>
      </c>
      <c r="B20" s="202"/>
      <c r="C20" s="202"/>
      <c r="D20" s="126"/>
      <c r="E20" s="126"/>
      <c r="F20" s="126"/>
      <c r="G20" s="127">
        <f>G18+G19</f>
        <v>411</v>
      </c>
      <c r="H20" s="99">
        <f>G20+'11'!H20</f>
        <v>3815</v>
      </c>
      <c r="I20" s="336">
        <f>I18-J20</f>
        <v>-252.91666666666669</v>
      </c>
      <c r="J20" s="175">
        <f>H20/DAY(B2)</f>
        <v>317.91666666666669</v>
      </c>
      <c r="K20" s="79"/>
      <c r="L20" s="66"/>
      <c r="N20" s="87"/>
      <c r="O20" s="71"/>
    </row>
    <row r="21" spans="1:15" ht="32.25" customHeight="1">
      <c r="A21" s="873" t="s">
        <v>144</v>
      </c>
      <c r="B21" s="874"/>
      <c r="C21" s="87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2.25" customHeight="1">
      <c r="A22" s="345" t="s">
        <v>145</v>
      </c>
      <c r="B22" s="205"/>
      <c r="C22" s="205"/>
      <c r="D22" s="151" t="s">
        <v>146</v>
      </c>
      <c r="E22" s="95">
        <f>'11'!F22</f>
        <v>2970</v>
      </c>
      <c r="F22" s="122">
        <v>2970</v>
      </c>
      <c r="G22" s="119">
        <f t="shared" ref="G22" si="2">(F22-E22)</f>
        <v>0</v>
      </c>
      <c r="H22" s="99">
        <f>G22+'11'!H22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2.25" customHeight="1">
      <c r="A23" s="345" t="s">
        <v>147</v>
      </c>
      <c r="B23" s="205"/>
      <c r="C23" s="205"/>
      <c r="D23" s="151" t="s">
        <v>146</v>
      </c>
      <c r="E23" s="95">
        <f>'11'!F23</f>
        <v>2000</v>
      </c>
      <c r="F23" s="122">
        <v>2000</v>
      </c>
      <c r="G23" s="119">
        <v>0</v>
      </c>
      <c r="H23" s="99">
        <f>G23+'11'!H23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2.25" customHeight="1">
      <c r="A24" s="206" t="s">
        <v>148</v>
      </c>
      <c r="B24" s="207"/>
      <c r="C24" s="207"/>
      <c r="D24" s="146" t="s">
        <v>146</v>
      </c>
      <c r="E24" s="95">
        <f>'11'!F24</f>
        <v>4970</v>
      </c>
      <c r="F24" s="128">
        <v>4970</v>
      </c>
      <c r="G24" s="119">
        <v>0</v>
      </c>
      <c r="H24" s="99">
        <f>G24+'11'!H24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2.25" customHeight="1">
      <c r="A25" s="878" t="s">
        <v>149</v>
      </c>
      <c r="B25" s="879"/>
      <c r="C25" s="88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2.2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2.25" customHeight="1">
      <c r="A27" s="208" t="s">
        <v>5</v>
      </c>
      <c r="B27" s="209"/>
      <c r="C27" s="210"/>
      <c r="D27" s="226" t="s">
        <v>24</v>
      </c>
      <c r="E27" s="135">
        <f>G8</f>
        <v>22425.609999999986</v>
      </c>
      <c r="F27" s="136">
        <v>9</v>
      </c>
      <c r="G27" s="137">
        <f>E27*F27</f>
        <v>201830.48999999987</v>
      </c>
      <c r="H27" s="99">
        <f>G27+'11'!H27</f>
        <v>2493405.7999999998</v>
      </c>
      <c r="I27" s="138"/>
      <c r="J27" s="175">
        <f>H27/DAY(B2)</f>
        <v>207783.81666666665</v>
      </c>
      <c r="K27" s="63"/>
      <c r="L27" s="89"/>
      <c r="N27" s="87"/>
      <c r="O27" s="71"/>
    </row>
    <row r="28" spans="1:15" s="88" customFormat="1" ht="32.25" customHeight="1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70</v>
      </c>
      <c r="G28" s="137">
        <f>E28*F28</f>
        <v>77000</v>
      </c>
      <c r="H28" s="99">
        <f>G28+'11'!H28</f>
        <v>932901.75000000047</v>
      </c>
      <c r="I28" s="140"/>
      <c r="J28" s="175">
        <f>H28/DAY(B2)</f>
        <v>77741.812500000044</v>
      </c>
      <c r="K28" s="63"/>
      <c r="L28" s="89"/>
      <c r="N28" s="87"/>
      <c r="O28" s="71"/>
    </row>
    <row r="29" spans="1:15" s="88" customFormat="1" ht="32.2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2.25" customHeight="1">
      <c r="A30" s="208" t="s">
        <v>156</v>
      </c>
      <c r="B30" s="209"/>
      <c r="C30" s="210"/>
      <c r="D30" s="226" t="s">
        <v>157</v>
      </c>
      <c r="E30" s="141">
        <f>G19</f>
        <v>61</v>
      </c>
      <c r="F30" s="136">
        <v>151</v>
      </c>
      <c r="G30" s="137">
        <f>E30*F30</f>
        <v>9211</v>
      </c>
      <c r="H30" s="99">
        <f>G30+'11'!H30</f>
        <v>98905</v>
      </c>
      <c r="I30" s="140"/>
      <c r="J30" s="175">
        <f>H30/DAY(B2)</f>
        <v>8242.0833333333339</v>
      </c>
      <c r="K30" s="63"/>
      <c r="L30" s="89"/>
      <c r="N30" s="87"/>
      <c r="O30" s="71"/>
    </row>
    <row r="31" spans="1:15" s="88" customFormat="1" ht="32.25" customHeight="1">
      <c r="A31" s="208" t="s">
        <v>158</v>
      </c>
      <c r="B31" s="209"/>
      <c r="C31" s="210"/>
      <c r="D31" s="226" t="s">
        <v>142</v>
      </c>
      <c r="E31" s="141">
        <f>G18</f>
        <v>350</v>
      </c>
      <c r="F31" s="136">
        <v>80</v>
      </c>
      <c r="G31" s="137">
        <f>E31*F31</f>
        <v>28000</v>
      </c>
      <c r="H31" s="99">
        <f>G31+'11'!H31</f>
        <v>252800</v>
      </c>
      <c r="I31" s="140"/>
      <c r="J31" s="175">
        <f>H31/DAY(B2)</f>
        <v>21066.666666666668</v>
      </c>
      <c r="K31" s="63"/>
      <c r="L31" s="89"/>
      <c r="N31" s="87"/>
      <c r="O31" s="71"/>
    </row>
    <row r="32" spans="1:15" s="88" customFormat="1" ht="32.2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316041.48999999987</v>
      </c>
      <c r="H32" s="99">
        <f>G32+'11'!H32</f>
        <v>3778012.5500000003</v>
      </c>
      <c r="I32" s="144"/>
      <c r="J32" s="175">
        <f>H32/DAY(B2)</f>
        <v>314834.37916666671</v>
      </c>
      <c r="K32" s="63"/>
      <c r="L32" s="89"/>
      <c r="N32" s="87"/>
      <c r="O32" s="71"/>
    </row>
    <row r="33" spans="1:15" ht="32.25" customHeight="1">
      <c r="A33" s="881" t="s">
        <v>331</v>
      </c>
      <c r="B33" s="882"/>
      <c r="C33" s="88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2.2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2.25" customHeight="1">
      <c r="A35" s="194" t="s">
        <v>161</v>
      </c>
      <c r="B35" s="195"/>
      <c r="C35" s="195"/>
      <c r="D35" s="151" t="s">
        <v>130</v>
      </c>
      <c r="E35" s="95">
        <f>'11'!F35</f>
        <v>400039.95</v>
      </c>
      <c r="F35" s="145">
        <v>403009</v>
      </c>
      <c r="G35" s="112">
        <f t="shared" ref="G35:G46" si="3">F35-E35</f>
        <v>2969.0499999999884</v>
      </c>
      <c r="H35" s="99">
        <f>G35+'11'!H35</f>
        <v>33912.090000000026</v>
      </c>
      <c r="I35" s="95"/>
      <c r="J35" s="175">
        <f>H35/DAY(B2)</f>
        <v>2826.007500000002</v>
      </c>
      <c r="K35" s="79"/>
      <c r="L35" s="66"/>
      <c r="N35" s="87"/>
      <c r="O35" s="71"/>
    </row>
    <row r="36" spans="1:15" ht="32.25" customHeight="1">
      <c r="A36" s="194" t="s">
        <v>162</v>
      </c>
      <c r="B36" s="195"/>
      <c r="C36" s="195"/>
      <c r="D36" s="151" t="s">
        <v>130</v>
      </c>
      <c r="E36" s="95">
        <f>'11'!F36</f>
        <v>334256.84999999998</v>
      </c>
      <c r="F36" s="145">
        <v>335369</v>
      </c>
      <c r="G36" s="112">
        <f t="shared" si="3"/>
        <v>1112.1500000000233</v>
      </c>
      <c r="H36" s="99">
        <f>G36+'11'!H36</f>
        <v>13151.890000000014</v>
      </c>
      <c r="I36" s="95"/>
      <c r="J36" s="175">
        <f>H36/DAY(B2)</f>
        <v>1095.9908333333344</v>
      </c>
      <c r="K36" s="79"/>
      <c r="L36" s="66"/>
      <c r="N36" s="87"/>
      <c r="O36" s="344"/>
    </row>
    <row r="37" spans="1:15" ht="32.25" customHeight="1">
      <c r="A37" s="194" t="s">
        <v>163</v>
      </c>
      <c r="B37" s="195"/>
      <c r="C37" s="195"/>
      <c r="D37" s="151" t="s">
        <v>130</v>
      </c>
      <c r="E37" s="95">
        <f>'11'!F37</f>
        <v>322998.69</v>
      </c>
      <c r="F37" s="418">
        <v>322998.69</v>
      </c>
      <c r="G37" s="112">
        <f t="shared" si="3"/>
        <v>0</v>
      </c>
      <c r="H37" s="99">
        <f>G37+'11'!H37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32.25" customHeight="1">
      <c r="A38" s="194" t="s">
        <v>164</v>
      </c>
      <c r="B38" s="195"/>
      <c r="C38" s="195"/>
      <c r="D38" s="151" t="s">
        <v>130</v>
      </c>
      <c r="E38" s="95">
        <f>'11'!F38</f>
        <v>762805.32</v>
      </c>
      <c r="F38" s="108">
        <v>765235</v>
      </c>
      <c r="G38" s="112">
        <f t="shared" si="3"/>
        <v>2429.6800000000512</v>
      </c>
      <c r="H38" s="99">
        <f>G38+'11'!H38</f>
        <v>29382.609999999986</v>
      </c>
      <c r="I38" s="95"/>
      <c r="J38" s="175">
        <f>H38/DAY(B2)</f>
        <v>2448.5508333333323</v>
      </c>
      <c r="K38" s="79"/>
      <c r="L38" s="66"/>
      <c r="N38" s="87"/>
      <c r="O38" s="71"/>
    </row>
    <row r="39" spans="1:15" ht="32.25" customHeight="1">
      <c r="A39" s="194" t="s">
        <v>165</v>
      </c>
      <c r="B39" s="195"/>
      <c r="C39" s="195"/>
      <c r="D39" s="151" t="s">
        <v>130</v>
      </c>
      <c r="E39" s="95">
        <f>'11'!F39</f>
        <v>591584.18999999994</v>
      </c>
      <c r="F39" s="145">
        <v>591584</v>
      </c>
      <c r="G39" s="112">
        <f t="shared" si="3"/>
        <v>-0.18999999994412065</v>
      </c>
      <c r="H39" s="99">
        <f>G39+'11'!H39</f>
        <v>-0.18999999994412065</v>
      </c>
      <c r="I39" s="95"/>
      <c r="J39" s="175">
        <f>H39/DAY(B2)</f>
        <v>-1.5833333328676719E-2</v>
      </c>
      <c r="K39" s="79"/>
      <c r="L39" s="66"/>
      <c r="N39" s="87"/>
      <c r="O39" s="71"/>
    </row>
    <row r="40" spans="1:15" ht="32.25" customHeight="1">
      <c r="A40" s="215" t="s">
        <v>166</v>
      </c>
      <c r="B40" s="216"/>
      <c r="C40" s="216"/>
      <c r="D40" s="151" t="s">
        <v>130</v>
      </c>
      <c r="E40" s="95">
        <f>'11'!F40</f>
        <v>201353.17</v>
      </c>
      <c r="F40" s="145">
        <v>201749</v>
      </c>
      <c r="G40" s="112">
        <f t="shared" si="3"/>
        <v>395.82999999998719</v>
      </c>
      <c r="H40" s="99">
        <f>G40+'11'!H40</f>
        <v>5019.0299999999988</v>
      </c>
      <c r="I40" s="95"/>
      <c r="J40" s="175">
        <f>H40/DAY(B2)</f>
        <v>418.25249999999988</v>
      </c>
      <c r="K40" s="80"/>
      <c r="L40" s="66"/>
      <c r="N40" s="87"/>
      <c r="O40" s="71"/>
    </row>
    <row r="41" spans="1:15" ht="32.25" customHeight="1">
      <c r="A41" s="194" t="s">
        <v>167</v>
      </c>
      <c r="B41" s="195"/>
      <c r="C41" s="195"/>
      <c r="D41" s="151" t="s">
        <v>130</v>
      </c>
      <c r="E41" s="95">
        <f>'11'!F41</f>
        <v>419197.47</v>
      </c>
      <c r="F41" s="145">
        <v>419197</v>
      </c>
      <c r="G41" s="112">
        <f t="shared" si="3"/>
        <v>-0.46999999997206032</v>
      </c>
      <c r="H41" s="99">
        <f>G41+'11'!H41</f>
        <v>29.409999999974389</v>
      </c>
      <c r="I41" s="95"/>
      <c r="J41" s="175">
        <f>H41/DAY(B2)</f>
        <v>2.4508333333311989</v>
      </c>
      <c r="K41" s="79"/>
      <c r="L41" s="66"/>
      <c r="N41" s="87"/>
      <c r="O41" s="71"/>
    </row>
    <row r="42" spans="1:15" ht="32.25" customHeight="1">
      <c r="A42" s="194" t="s">
        <v>168</v>
      </c>
      <c r="B42" s="195"/>
      <c r="C42" s="195"/>
      <c r="D42" s="151" t="s">
        <v>130</v>
      </c>
      <c r="E42" s="95">
        <f>'11'!F42</f>
        <v>871891.03</v>
      </c>
      <c r="F42" s="145">
        <v>871891</v>
      </c>
      <c r="G42" s="112">
        <f t="shared" si="3"/>
        <v>-3.0000000027939677E-2</v>
      </c>
      <c r="H42" s="99">
        <f>G42+'11'!H42</f>
        <v>20.130000000004657</v>
      </c>
      <c r="I42" s="95"/>
      <c r="J42" s="175">
        <f>H42/DAY(B2)</f>
        <v>1.6775000000003881</v>
      </c>
      <c r="K42" s="79"/>
      <c r="L42" s="66"/>
      <c r="N42" s="87"/>
      <c r="O42" s="71"/>
    </row>
    <row r="43" spans="1:15" ht="32.25" customHeight="1">
      <c r="A43" s="194" t="s">
        <v>169</v>
      </c>
      <c r="B43" s="195"/>
      <c r="C43" s="195"/>
      <c r="D43" s="151" t="s">
        <v>130</v>
      </c>
      <c r="E43" s="95">
        <f>'11'!F43</f>
        <v>407028</v>
      </c>
      <c r="F43" s="418">
        <v>407028</v>
      </c>
      <c r="G43" s="112">
        <f t="shared" si="3"/>
        <v>0</v>
      </c>
      <c r="H43" s="99">
        <f>G43+'11'!H43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32.25" customHeight="1">
      <c r="A44" s="194" t="s">
        <v>170</v>
      </c>
      <c r="B44" s="195"/>
      <c r="C44" s="195"/>
      <c r="D44" s="151" t="s">
        <v>130</v>
      </c>
      <c r="E44" s="95">
        <f>'11'!F44</f>
        <v>0</v>
      </c>
      <c r="F44" s="145">
        <v>0</v>
      </c>
      <c r="G44" s="112">
        <f t="shared" si="3"/>
        <v>0</v>
      </c>
      <c r="H44" s="99">
        <f>G44+'11'!H44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2.25" customHeight="1">
      <c r="A45" s="194" t="s">
        <v>171</v>
      </c>
      <c r="B45" s="195"/>
      <c r="C45" s="195"/>
      <c r="D45" s="151" t="s">
        <v>130</v>
      </c>
      <c r="E45" s="95">
        <f>'11'!F45</f>
        <v>0</v>
      </c>
      <c r="F45" s="145">
        <v>0</v>
      </c>
      <c r="G45" s="112">
        <f t="shared" si="3"/>
        <v>0</v>
      </c>
      <c r="H45" s="99">
        <f>G45+'11'!H45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2.25" customHeight="1">
      <c r="A46" s="194" t="s">
        <v>172</v>
      </c>
      <c r="B46" s="195"/>
      <c r="C46" s="195"/>
      <c r="D46" s="151" t="s">
        <v>130</v>
      </c>
      <c r="E46" s="95">
        <f>'11'!F46</f>
        <v>0</v>
      </c>
      <c r="F46" s="145">
        <v>0</v>
      </c>
      <c r="G46" s="112">
        <f t="shared" si="3"/>
        <v>0</v>
      </c>
      <c r="H46" s="99">
        <f>G46+'11'!H46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2.2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6906.0200000001059</v>
      </c>
      <c r="H47" s="99">
        <f>G47+'11'!H47</f>
        <v>81514.970000000059</v>
      </c>
      <c r="I47" s="95"/>
      <c r="J47" s="175">
        <f>H47/DAY(B2)</f>
        <v>6792.9141666666719</v>
      </c>
      <c r="K47" s="79"/>
      <c r="L47" s="66"/>
      <c r="N47" s="87"/>
      <c r="O47" s="71"/>
    </row>
    <row r="48" spans="1:15" ht="32.2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2.25" customHeight="1">
      <c r="A49" s="194" t="s">
        <v>161</v>
      </c>
      <c r="B49" s="217"/>
      <c r="C49" s="217"/>
      <c r="D49" s="151" t="s">
        <v>130</v>
      </c>
      <c r="E49" s="95">
        <f>'11'!F49</f>
        <v>798126.55</v>
      </c>
      <c r="F49" s="145">
        <v>798582</v>
      </c>
      <c r="G49" s="112">
        <f t="shared" ref="G49:G58" si="4">F49-E49</f>
        <v>455.44999999995343</v>
      </c>
      <c r="H49" s="99">
        <f>G49+'11'!H49</f>
        <v>4959.0500000000466</v>
      </c>
      <c r="I49" s="95"/>
      <c r="J49" s="175">
        <f>H49/DAY(B2)</f>
        <v>413.25416666667053</v>
      </c>
      <c r="K49" s="79"/>
      <c r="L49" s="66"/>
      <c r="N49" s="87"/>
      <c r="O49" s="71"/>
    </row>
    <row r="50" spans="1:15" ht="32.25" customHeight="1">
      <c r="A50" s="194" t="s">
        <v>175</v>
      </c>
      <c r="B50" s="217"/>
      <c r="C50" s="217"/>
      <c r="D50" s="151" t="s">
        <v>130</v>
      </c>
      <c r="E50" s="95">
        <f>'11'!F50</f>
        <v>473842.43</v>
      </c>
      <c r="F50" s="145">
        <v>475223</v>
      </c>
      <c r="G50" s="112">
        <f t="shared" si="4"/>
        <v>1380.570000000007</v>
      </c>
      <c r="H50" s="99">
        <f>G50+'11'!H50</f>
        <v>18553.929999999993</v>
      </c>
      <c r="I50" s="95"/>
      <c r="J50" s="175">
        <f>H50/DAY(B2)</f>
        <v>1546.1608333333327</v>
      </c>
      <c r="K50" s="79"/>
      <c r="L50" s="66"/>
      <c r="N50" s="87"/>
      <c r="O50" s="71"/>
    </row>
    <row r="51" spans="1:15" ht="32.25" customHeight="1">
      <c r="A51" s="194" t="s">
        <v>163</v>
      </c>
      <c r="B51" s="217"/>
      <c r="C51" s="217"/>
      <c r="D51" s="151" t="s">
        <v>130</v>
      </c>
      <c r="E51" s="95">
        <f>'11'!F51</f>
        <v>147134.34</v>
      </c>
      <c r="F51" s="145">
        <v>148183</v>
      </c>
      <c r="G51" s="112">
        <f t="shared" si="4"/>
        <v>1048.6600000000035</v>
      </c>
      <c r="H51" s="99">
        <f>G51+'11'!H51</f>
        <v>12938.450000000012</v>
      </c>
      <c r="I51" s="95"/>
      <c r="J51" s="175">
        <f>H51/DAY(B2)</f>
        <v>1078.2041666666676</v>
      </c>
      <c r="K51" s="79"/>
      <c r="L51" s="66"/>
      <c r="N51" s="87"/>
      <c r="O51" s="71"/>
    </row>
    <row r="52" spans="1:15" ht="32.25" customHeight="1">
      <c r="A52" s="194" t="s">
        <v>176</v>
      </c>
      <c r="B52" s="217"/>
      <c r="C52" s="217"/>
      <c r="D52" s="151" t="s">
        <v>130</v>
      </c>
      <c r="E52" s="95">
        <f>'11'!F52</f>
        <v>9.76</v>
      </c>
      <c r="F52" s="145">
        <v>10</v>
      </c>
      <c r="G52" s="112">
        <f t="shared" si="4"/>
        <v>0.24000000000000021</v>
      </c>
      <c r="H52" s="99">
        <f>G52+'11'!H52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2.25" customHeight="1">
      <c r="A53" s="194" t="s">
        <v>165</v>
      </c>
      <c r="B53" s="217"/>
      <c r="C53" s="217"/>
      <c r="D53" s="151" t="s">
        <v>130</v>
      </c>
      <c r="E53" s="95">
        <f>'11'!F53</f>
        <v>591479.99</v>
      </c>
      <c r="F53" s="145">
        <v>595566</v>
      </c>
      <c r="G53" s="112">
        <f t="shared" si="4"/>
        <v>4086.0100000000093</v>
      </c>
      <c r="H53" s="99">
        <f>G53+'11'!H53</f>
        <v>49024.729999999981</v>
      </c>
      <c r="I53" s="95"/>
      <c r="J53" s="175">
        <f>H53/DAY(B2)</f>
        <v>4085.3941666666651</v>
      </c>
      <c r="K53" s="79"/>
      <c r="L53" s="66"/>
      <c r="N53" s="87"/>
      <c r="O53" s="71"/>
    </row>
    <row r="54" spans="1:15" ht="32.25" customHeight="1">
      <c r="A54" s="194" t="s">
        <v>177</v>
      </c>
      <c r="B54" s="217"/>
      <c r="C54" s="217"/>
      <c r="D54" s="151" t="s">
        <v>130</v>
      </c>
      <c r="E54" s="95">
        <f>'11'!F54</f>
        <v>109471.66</v>
      </c>
      <c r="F54" s="145">
        <v>109640</v>
      </c>
      <c r="G54" s="112">
        <f t="shared" si="4"/>
        <v>168.33999999999651</v>
      </c>
      <c r="H54" s="99">
        <f>G54+'11'!H54</f>
        <v>1976.8399999999965</v>
      </c>
      <c r="I54" s="95"/>
      <c r="J54" s="175">
        <f>H54/DAY(B2)</f>
        <v>164.73666666666637</v>
      </c>
      <c r="K54" s="79"/>
      <c r="L54" s="66"/>
      <c r="N54" s="87"/>
      <c r="O54" s="71"/>
    </row>
    <row r="55" spans="1:15" ht="32.25" customHeight="1">
      <c r="A55" s="194" t="s">
        <v>178</v>
      </c>
      <c r="B55" s="217"/>
      <c r="C55" s="217"/>
      <c r="D55" s="151" t="s">
        <v>130</v>
      </c>
      <c r="E55" s="95">
        <f>'11'!F55</f>
        <v>571421.55000000005</v>
      </c>
      <c r="F55" s="145">
        <v>571421.55000000005</v>
      </c>
      <c r="G55" s="112">
        <f t="shared" si="4"/>
        <v>0</v>
      </c>
      <c r="H55" s="99">
        <f>G55+'11'!H55</f>
        <v>9936.8800000000047</v>
      </c>
      <c r="I55" s="95"/>
      <c r="J55" s="175">
        <f>H55/DAY(B2)</f>
        <v>828.07333333333372</v>
      </c>
      <c r="K55" s="79"/>
      <c r="L55" s="66"/>
      <c r="N55" s="87"/>
      <c r="O55" s="71"/>
    </row>
    <row r="56" spans="1:15" ht="32.25" customHeight="1">
      <c r="A56" s="194" t="s">
        <v>179</v>
      </c>
      <c r="B56" s="217"/>
      <c r="C56" s="217"/>
      <c r="D56" s="151" t="s">
        <v>180</v>
      </c>
      <c r="E56" s="95">
        <f>'11'!F56</f>
        <v>298458.05</v>
      </c>
      <c r="F56" s="145">
        <v>302166</v>
      </c>
      <c r="G56" s="112">
        <f t="shared" si="4"/>
        <v>3707.9500000000116</v>
      </c>
      <c r="H56" s="99">
        <f>G56+'11'!H56</f>
        <v>34050.989999999991</v>
      </c>
      <c r="I56" s="95"/>
      <c r="J56" s="175">
        <f>H56/DAY(B2)</f>
        <v>2837.5824999999991</v>
      </c>
      <c r="K56" s="78"/>
      <c r="L56" s="66"/>
      <c r="N56" s="87"/>
      <c r="O56" s="71"/>
    </row>
    <row r="57" spans="1:15" ht="32.25" customHeight="1">
      <c r="A57" s="194" t="s">
        <v>169</v>
      </c>
      <c r="B57" s="217"/>
      <c r="C57" s="217"/>
      <c r="D57" s="151" t="s">
        <v>130</v>
      </c>
      <c r="E57" s="95">
        <f>'11'!F57</f>
        <v>595601.94999999995</v>
      </c>
      <c r="F57" s="145">
        <v>598007</v>
      </c>
      <c r="G57" s="112">
        <f t="shared" si="4"/>
        <v>2405.0500000000466</v>
      </c>
      <c r="H57" s="99">
        <f>G57+'11'!H57</f>
        <v>29428.530000000028</v>
      </c>
      <c r="I57" s="95"/>
      <c r="J57" s="175">
        <f>H57/DAY(B2)</f>
        <v>2452.3775000000023</v>
      </c>
      <c r="K57" s="79"/>
      <c r="L57" s="66"/>
      <c r="N57" s="87"/>
      <c r="O57" s="71"/>
    </row>
    <row r="58" spans="1:15" ht="32.25" customHeight="1">
      <c r="A58" s="194" t="s">
        <v>181</v>
      </c>
      <c r="B58" s="217"/>
      <c r="C58" s="217"/>
      <c r="D58" s="151" t="s">
        <v>130</v>
      </c>
      <c r="E58" s="95">
        <f>'11'!F58</f>
        <v>81310.820000000007</v>
      </c>
      <c r="F58" s="145">
        <v>81506</v>
      </c>
      <c r="G58" s="112">
        <f t="shared" si="4"/>
        <v>195.17999999999302</v>
      </c>
      <c r="H58" s="99">
        <f>G58+'11'!H58</f>
        <v>2790.3099999999977</v>
      </c>
      <c r="I58" s="95"/>
      <c r="J58" s="175">
        <f>H58/DAY(B2)</f>
        <v>232.52583333333314</v>
      </c>
      <c r="K58" s="79"/>
      <c r="L58" s="66"/>
      <c r="N58" s="87"/>
      <c r="O58" s="71"/>
    </row>
    <row r="59" spans="1:15" ht="32.2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13447.450000000021</v>
      </c>
      <c r="H59" s="99">
        <f>G59+'11'!H59</f>
        <v>163659.71000000005</v>
      </c>
      <c r="I59" s="95">
        <f>G7-G60</f>
        <v>2125.3799999998519</v>
      </c>
      <c r="J59" s="175">
        <f>H59/DAY(B2)</f>
        <v>13638.309166666671</v>
      </c>
      <c r="K59" s="79"/>
      <c r="L59" s="66"/>
      <c r="N59" s="87"/>
      <c r="O59" s="71"/>
    </row>
    <row r="60" spans="1:15" ht="32.25" customHeight="1">
      <c r="A60" s="194"/>
      <c r="B60" s="195"/>
      <c r="C60" s="195"/>
      <c r="D60" s="146" t="s">
        <v>182</v>
      </c>
      <c r="E60" s="146"/>
      <c r="F60" s="146"/>
      <c r="G60" s="119">
        <f>G47+G59</f>
        <v>20353.470000000125</v>
      </c>
      <c r="H60" s="99">
        <f>G60+'11'!H60</f>
        <v>245174.68000000014</v>
      </c>
      <c r="I60" s="95">
        <f>G13-G60</f>
        <v>1810.3300000001545</v>
      </c>
      <c r="J60" s="175">
        <f>H60/DAY(B2)</f>
        <v>20431.223333333346</v>
      </c>
      <c r="K60" s="79"/>
      <c r="L60" s="66"/>
      <c r="N60" s="87"/>
      <c r="O60" s="71"/>
    </row>
    <row r="61" spans="1:15" s="68" customFormat="1" ht="32.25" customHeight="1">
      <c r="A61" s="883" t="s">
        <v>332</v>
      </c>
      <c r="B61" s="884"/>
      <c r="C61" s="88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2.25" customHeight="1">
      <c r="A62" s="864" t="s">
        <v>198</v>
      </c>
      <c r="B62" s="865"/>
      <c r="C62" s="866"/>
      <c r="D62" s="151" t="s">
        <v>142</v>
      </c>
      <c r="E62" s="95">
        <f>'11'!F62</f>
        <v>309619</v>
      </c>
      <c r="F62" s="122">
        <v>309720</v>
      </c>
      <c r="G62" s="112">
        <f t="shared" ref="G62:G63" si="5">F62-E62</f>
        <v>101</v>
      </c>
      <c r="H62" s="99">
        <f>G62+'11'!H62</f>
        <v>1406</v>
      </c>
      <c r="I62" s="118"/>
      <c r="J62" s="175">
        <f>H62/DAY(B2)</f>
        <v>117.16666666666667</v>
      </c>
      <c r="K62" s="80"/>
      <c r="L62" s="66"/>
      <c r="N62" s="87"/>
      <c r="O62" s="71"/>
    </row>
    <row r="63" spans="1:15" ht="32.25" customHeight="1">
      <c r="A63" s="864" t="s">
        <v>199</v>
      </c>
      <c r="B63" s="865"/>
      <c r="C63" s="866"/>
      <c r="D63" s="151" t="s">
        <v>142</v>
      </c>
      <c r="E63" s="95">
        <f>'11'!F63</f>
        <v>247645</v>
      </c>
      <c r="F63" s="122">
        <v>247646</v>
      </c>
      <c r="G63" s="112">
        <f t="shared" si="5"/>
        <v>1</v>
      </c>
      <c r="H63" s="99">
        <f>G63+'11'!H63</f>
        <v>717</v>
      </c>
      <c r="I63" s="118"/>
      <c r="J63" s="175">
        <f>H63/DAY(B2)</f>
        <v>59.75</v>
      </c>
      <c r="K63" s="69"/>
      <c r="L63" s="66"/>
      <c r="N63" s="87"/>
      <c r="O63" s="71"/>
    </row>
    <row r="64" spans="1:15" ht="32.25" customHeight="1">
      <c r="A64" s="861" t="s">
        <v>200</v>
      </c>
      <c r="B64" s="862"/>
      <c r="C64" s="863"/>
      <c r="D64" s="151"/>
      <c r="E64" s="95">
        <f>'11'!F64</f>
        <v>0</v>
      </c>
      <c r="F64" s="122"/>
      <c r="G64" s="112">
        <f>G62+G63</f>
        <v>102</v>
      </c>
      <c r="H64" s="99">
        <f>G64+'11'!H64</f>
        <v>2123</v>
      </c>
      <c r="I64" s="118"/>
      <c r="J64" s="175">
        <f>H64/DAY(B2)</f>
        <v>176.91666666666666</v>
      </c>
      <c r="K64" s="69"/>
      <c r="L64" s="66"/>
      <c r="N64" s="87"/>
      <c r="O64" s="71"/>
    </row>
    <row r="65" spans="1:15" ht="32.25" customHeight="1">
      <c r="A65" s="864" t="s">
        <v>201</v>
      </c>
      <c r="B65" s="865"/>
      <c r="C65" s="866"/>
      <c r="D65" s="151" t="s">
        <v>142</v>
      </c>
      <c r="E65" s="95">
        <f>'11'!F65</f>
        <v>469372</v>
      </c>
      <c r="F65" s="122">
        <v>469495</v>
      </c>
      <c r="G65" s="112">
        <f t="shared" ref="G65:G70" si="6">F65-E65</f>
        <v>123</v>
      </c>
      <c r="H65" s="99">
        <f>G65+'11'!H65</f>
        <v>1594</v>
      </c>
      <c r="I65" s="118"/>
      <c r="J65" s="175">
        <f>H65/DAY(B2)</f>
        <v>132.83333333333334</v>
      </c>
      <c r="K65" s="69"/>
      <c r="L65" s="66"/>
      <c r="N65" s="87"/>
      <c r="O65" s="71"/>
    </row>
    <row r="66" spans="1:15" ht="32.25" customHeight="1">
      <c r="A66" s="345" t="s">
        <v>202</v>
      </c>
      <c r="B66" s="346"/>
      <c r="C66" s="346"/>
      <c r="D66" s="151" t="s">
        <v>142</v>
      </c>
      <c r="E66" s="95">
        <f>'11'!F66</f>
        <v>113305</v>
      </c>
      <c r="F66" s="122">
        <v>113312</v>
      </c>
      <c r="G66" s="112">
        <f t="shared" si="6"/>
        <v>7</v>
      </c>
      <c r="H66" s="99">
        <f>G66+'11'!H66</f>
        <v>55565</v>
      </c>
      <c r="I66" s="118"/>
      <c r="J66" s="175">
        <f>H66/DAY(B2)</f>
        <v>4630.416666666667</v>
      </c>
      <c r="K66" s="78"/>
      <c r="L66" s="66"/>
      <c r="N66" s="87"/>
      <c r="O66" s="71"/>
    </row>
    <row r="67" spans="1:15" ht="32.25" customHeight="1">
      <c r="A67" s="345" t="s">
        <v>203</v>
      </c>
      <c r="B67" s="346"/>
      <c r="C67" s="346"/>
      <c r="D67" s="151" t="s">
        <v>142</v>
      </c>
      <c r="E67" s="95">
        <f>'11'!F67</f>
        <v>116079</v>
      </c>
      <c r="F67" s="122">
        <v>116095</v>
      </c>
      <c r="G67" s="112">
        <f t="shared" si="6"/>
        <v>16</v>
      </c>
      <c r="H67" s="99">
        <f>G67+'11'!H67</f>
        <v>240</v>
      </c>
      <c r="I67" s="118"/>
      <c r="J67" s="175">
        <f>H67/DAY(B2)</f>
        <v>20</v>
      </c>
      <c r="K67" s="81"/>
      <c r="L67" s="66"/>
      <c r="N67" s="87"/>
      <c r="O67" s="71"/>
    </row>
    <row r="68" spans="1:15" ht="32.25" customHeight="1">
      <c r="A68" s="345" t="s">
        <v>204</v>
      </c>
      <c r="B68" s="346"/>
      <c r="C68" s="346"/>
      <c r="D68" s="151" t="s">
        <v>142</v>
      </c>
      <c r="E68" s="95">
        <f>'11'!F68</f>
        <v>168824</v>
      </c>
      <c r="F68" s="122">
        <v>168858</v>
      </c>
      <c r="G68" s="112">
        <f t="shared" si="6"/>
        <v>34</v>
      </c>
      <c r="H68" s="99">
        <f>G68+'11'!H68</f>
        <v>351</v>
      </c>
      <c r="I68" s="118"/>
      <c r="J68" s="175">
        <f>H68/DAY(B2)</f>
        <v>29.25</v>
      </c>
      <c r="K68" s="69"/>
      <c r="L68" s="66"/>
      <c r="N68" s="87"/>
      <c r="O68" s="71"/>
    </row>
    <row r="69" spans="1:15" ht="32.25" customHeight="1">
      <c r="A69" s="345" t="s">
        <v>205</v>
      </c>
      <c r="B69" s="346"/>
      <c r="C69" s="346"/>
      <c r="D69" s="151" t="s">
        <v>142</v>
      </c>
      <c r="E69" s="95">
        <f>'11'!F69</f>
        <v>12856</v>
      </c>
      <c r="F69" s="122">
        <v>12862</v>
      </c>
      <c r="G69" s="112">
        <f t="shared" si="6"/>
        <v>6</v>
      </c>
      <c r="H69" s="99">
        <f>G69+'11'!H69</f>
        <v>52</v>
      </c>
      <c r="I69" s="118"/>
      <c r="J69" s="175">
        <f>H69/DAY(B2)</f>
        <v>4.333333333333333</v>
      </c>
      <c r="K69" s="69"/>
      <c r="L69" s="66"/>
      <c r="N69" s="87"/>
      <c r="O69" s="71"/>
    </row>
    <row r="70" spans="1:15" ht="32.25" customHeight="1">
      <c r="A70" s="345" t="s">
        <v>206</v>
      </c>
      <c r="B70" s="346"/>
      <c r="C70" s="346"/>
      <c r="D70" s="151" t="s">
        <v>142</v>
      </c>
      <c r="E70" s="95">
        <f>'11'!F70</f>
        <v>10857</v>
      </c>
      <c r="F70" s="122">
        <v>10862</v>
      </c>
      <c r="G70" s="112">
        <f t="shared" si="6"/>
        <v>5</v>
      </c>
      <c r="H70" s="99">
        <f>G70+'11'!H70</f>
        <v>83</v>
      </c>
      <c r="I70" s="118"/>
      <c r="J70" s="175">
        <f>H70/DAY(B2)</f>
        <v>6.916666666666667</v>
      </c>
      <c r="K70" s="69"/>
      <c r="L70" s="66"/>
      <c r="N70" s="87"/>
      <c r="O70" s="71"/>
    </row>
    <row r="71" spans="1:15" ht="32.25" customHeight="1">
      <c r="A71" s="861" t="s">
        <v>208</v>
      </c>
      <c r="B71" s="862"/>
      <c r="C71" s="863"/>
      <c r="D71" s="152"/>
      <c r="E71" s="152"/>
      <c r="F71" s="152"/>
      <c r="G71" s="153">
        <f>SUM(G65:G70)</f>
        <v>191</v>
      </c>
      <c r="H71" s="99">
        <f>G71+'11'!H71</f>
        <v>57885</v>
      </c>
      <c r="I71" s="154"/>
      <c r="J71" s="175">
        <f>H71/DAY(B2)</f>
        <v>4823.75</v>
      </c>
      <c r="K71" s="69"/>
      <c r="L71" s="66"/>
      <c r="N71" s="87"/>
      <c r="O71" s="71"/>
    </row>
    <row r="72" spans="1:15" s="88" customFormat="1" ht="32.25" customHeight="1">
      <c r="A72" s="904"/>
      <c r="B72" s="89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2.25" customHeight="1">
      <c r="A73" s="909" t="s">
        <v>333</v>
      </c>
      <c r="B73" s="910"/>
      <c r="C73" s="91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2.25" customHeight="1">
      <c r="A74" s="864" t="s">
        <v>220</v>
      </c>
      <c r="B74" s="865"/>
      <c r="C74" s="866"/>
      <c r="D74" s="151" t="s">
        <v>139</v>
      </c>
      <c r="E74" s="95">
        <f>'11'!F74</f>
        <v>996562.1</v>
      </c>
      <c r="F74" s="117">
        <v>996860</v>
      </c>
      <c r="G74" s="112">
        <f t="shared" ref="G74:G78" si="7">F74-E74</f>
        <v>297.90000000002328</v>
      </c>
      <c r="H74" s="99">
        <f>G74+'11'!H74</f>
        <v>3500.9699999999721</v>
      </c>
      <c r="I74" s="154"/>
      <c r="J74" s="175">
        <f>H74/DAY(B2)</f>
        <v>291.74749999999767</v>
      </c>
      <c r="K74" s="69"/>
      <c r="L74" s="66"/>
      <c r="N74" s="87"/>
      <c r="O74" s="71"/>
    </row>
    <row r="75" spans="1:15" ht="32.25" customHeight="1">
      <c r="A75" s="864" t="s">
        <v>221</v>
      </c>
      <c r="B75" s="865"/>
      <c r="C75" s="866"/>
      <c r="D75" s="151" t="s">
        <v>139</v>
      </c>
      <c r="E75" s="95">
        <f>'11'!F75</f>
        <v>73586.8</v>
      </c>
      <c r="F75" s="123">
        <v>73587</v>
      </c>
      <c r="G75" s="112">
        <f t="shared" si="7"/>
        <v>0.19999999999708962</v>
      </c>
      <c r="H75" s="99">
        <f>G75+'11'!H75</f>
        <v>1</v>
      </c>
      <c r="I75" s="154"/>
      <c r="J75" s="175">
        <f>H75/DAY(B2)</f>
        <v>8.3333333333333329E-2</v>
      </c>
      <c r="K75" s="69"/>
      <c r="L75" s="66"/>
      <c r="N75" s="87"/>
      <c r="O75" s="71"/>
    </row>
    <row r="76" spans="1:15" ht="32.25" customHeight="1">
      <c r="A76" s="905" t="s">
        <v>222</v>
      </c>
      <c r="B76" s="891"/>
      <c r="C76" s="892"/>
      <c r="D76" s="151" t="s">
        <v>139</v>
      </c>
      <c r="E76" s="95">
        <f>'11'!F76</f>
        <v>205166.34</v>
      </c>
      <c r="F76" s="123">
        <v>205291</v>
      </c>
      <c r="G76" s="112">
        <f t="shared" si="7"/>
        <v>124.66000000000349</v>
      </c>
      <c r="H76" s="99">
        <f>G76+'11'!H76</f>
        <v>1629</v>
      </c>
      <c r="I76" s="154"/>
      <c r="J76" s="175">
        <f>H76/DAY(B2)</f>
        <v>135.75</v>
      </c>
      <c r="K76" s="69"/>
      <c r="L76" s="66"/>
      <c r="N76" s="87"/>
      <c r="O76" s="71"/>
    </row>
    <row r="77" spans="1:15" ht="32.25" customHeight="1">
      <c r="A77" s="905" t="s">
        <v>223</v>
      </c>
      <c r="B77" s="891"/>
      <c r="C77" s="892"/>
      <c r="D77" s="151" t="s">
        <v>139</v>
      </c>
      <c r="E77" s="95">
        <f>'11'!F77</f>
        <v>57127.199999999997</v>
      </c>
      <c r="F77" s="123">
        <v>57177</v>
      </c>
      <c r="G77" s="112">
        <f t="shared" si="7"/>
        <v>49.80000000000291</v>
      </c>
      <c r="H77" s="99">
        <f>G77+'11'!H77</f>
        <v>655</v>
      </c>
      <c r="I77" s="154"/>
      <c r="J77" s="175">
        <f>H77/DAY(B2)</f>
        <v>54.583333333333336</v>
      </c>
      <c r="K77" s="69"/>
      <c r="L77" s="66"/>
      <c r="N77" s="87"/>
      <c r="O77" s="71"/>
    </row>
    <row r="78" spans="1:15" ht="32.25" customHeight="1">
      <c r="A78" s="905" t="s">
        <v>224</v>
      </c>
      <c r="B78" s="891"/>
      <c r="C78" s="892"/>
      <c r="D78" s="151" t="s">
        <v>139</v>
      </c>
      <c r="E78" s="95">
        <f>'11'!F78</f>
        <v>9563</v>
      </c>
      <c r="F78" s="123">
        <v>9563</v>
      </c>
      <c r="G78" s="112">
        <f t="shared" si="7"/>
        <v>0</v>
      </c>
      <c r="H78" s="99">
        <f>G78+'11'!H78</f>
        <v>-0.3999999999996362</v>
      </c>
      <c r="I78" s="118"/>
      <c r="J78" s="175">
        <f>H78/DAY(B2)</f>
        <v>-3.3333333333303017E-2</v>
      </c>
      <c r="K78" s="69"/>
      <c r="L78" s="66"/>
      <c r="N78" s="87"/>
      <c r="O78" s="71"/>
    </row>
    <row r="79" spans="1:15" s="57" customFormat="1" ht="32.25" customHeight="1">
      <c r="A79" s="905" t="s">
        <v>225</v>
      </c>
      <c r="B79" s="891"/>
      <c r="C79" s="892"/>
      <c r="D79" s="151"/>
      <c r="E79" s="95">
        <f>'11'!F79</f>
        <v>0</v>
      </c>
      <c r="F79" s="117"/>
      <c r="G79" s="112">
        <f>G15-SUM(G74:G78)</f>
        <v>627.43999999997322</v>
      </c>
      <c r="H79" s="99">
        <f>G79+'11'!H79</f>
        <v>7391.4300000000276</v>
      </c>
      <c r="I79" s="118"/>
      <c r="J79" s="175">
        <f>H79/DAY(B2)</f>
        <v>615.95250000000226</v>
      </c>
      <c r="K79" s="59"/>
      <c r="L79" s="58"/>
      <c r="N79" s="87"/>
      <c r="O79" s="71"/>
    </row>
    <row r="80" spans="1:15" s="57" customFormat="1" ht="32.25" customHeight="1">
      <c r="A80" s="861" t="s">
        <v>329</v>
      </c>
      <c r="B80" s="862"/>
      <c r="C80" s="863"/>
      <c r="D80" s="151"/>
      <c r="E80" s="117"/>
      <c r="F80" s="117"/>
      <c r="G80" s="112">
        <f>SUM(G74:G79)</f>
        <v>1100</v>
      </c>
      <c r="H80" s="99">
        <f>G80+'11'!H80</f>
        <v>1100</v>
      </c>
      <c r="I80" s="118"/>
      <c r="J80" s="175">
        <f>H80/DAY(B2)</f>
        <v>91.666666666666671</v>
      </c>
      <c r="K80" s="59"/>
      <c r="L80" s="58"/>
      <c r="N80" s="87"/>
      <c r="O80" s="71"/>
    </row>
    <row r="81" spans="1:15" ht="32.25" customHeight="1">
      <c r="A81" s="897" t="s">
        <v>226</v>
      </c>
      <c r="B81" s="898"/>
      <c r="C81" s="899"/>
      <c r="D81" s="110"/>
      <c r="E81" s="110"/>
      <c r="F81" s="110"/>
      <c r="G81" s="163"/>
      <c r="H81" s="163"/>
      <c r="I81" s="163"/>
      <c r="J81" s="184"/>
      <c r="O81" s="71"/>
    </row>
    <row r="82" spans="1:15" ht="32.25" customHeight="1">
      <c r="A82" s="345" t="s">
        <v>227</v>
      </c>
      <c r="B82" s="346"/>
      <c r="C82" s="346"/>
      <c r="D82" s="151" t="s">
        <v>228</v>
      </c>
      <c r="E82" s="95">
        <f>'11'!F82</f>
        <v>0</v>
      </c>
      <c r="F82" s="122">
        <v>0</v>
      </c>
      <c r="G82" s="112">
        <f t="shared" ref="G82:G92" si="8">F82-E82</f>
        <v>0</v>
      </c>
      <c r="H82" s="99">
        <f>G82+'11'!H82</f>
        <v>0</v>
      </c>
      <c r="I82" s="545"/>
      <c r="J82" s="175">
        <f>H82/DAY(B2)</f>
        <v>0</v>
      </c>
      <c r="O82" s="71"/>
    </row>
    <row r="83" spans="1:15" ht="32.25" customHeight="1">
      <c r="A83" s="345" t="s">
        <v>229</v>
      </c>
      <c r="B83" s="346"/>
      <c r="C83" s="346"/>
      <c r="D83" s="151" t="s">
        <v>228</v>
      </c>
      <c r="E83" s="95">
        <f>'11'!F83</f>
        <v>0</v>
      </c>
      <c r="F83" s="122">
        <v>0</v>
      </c>
      <c r="G83" s="112">
        <f t="shared" si="8"/>
        <v>0</v>
      </c>
      <c r="H83" s="99">
        <f>G83+'11'!H83</f>
        <v>0</v>
      </c>
      <c r="I83" s="545"/>
      <c r="J83" s="175">
        <f>H83/DAY(B2)</f>
        <v>0</v>
      </c>
      <c r="O83" s="71"/>
    </row>
    <row r="84" spans="1:15" ht="32.25" customHeight="1">
      <c r="A84" s="345" t="s">
        <v>230</v>
      </c>
      <c r="B84" s="346"/>
      <c r="C84" s="346"/>
      <c r="D84" s="151" t="s">
        <v>228</v>
      </c>
      <c r="E84" s="95">
        <f>'11'!F84</f>
        <v>43540</v>
      </c>
      <c r="F84" s="164">
        <v>43540</v>
      </c>
      <c r="G84" s="112">
        <f t="shared" si="8"/>
        <v>0</v>
      </c>
      <c r="H84" s="99">
        <f>G84+'11'!H84</f>
        <v>-0.20999999999912689</v>
      </c>
      <c r="I84" s="545"/>
      <c r="J84" s="175">
        <f>H84/DAY(B2)</f>
        <v>-1.749999999992724E-2</v>
      </c>
      <c r="O84" s="71"/>
    </row>
    <row r="85" spans="1:15" ht="32.25" customHeight="1">
      <c r="A85" s="345" t="s">
        <v>231</v>
      </c>
      <c r="B85" s="346"/>
      <c r="C85" s="346"/>
      <c r="D85" s="151" t="s">
        <v>228</v>
      </c>
      <c r="E85" s="95">
        <f>'11'!F85</f>
        <v>5684</v>
      </c>
      <c r="F85" s="164">
        <v>5684</v>
      </c>
      <c r="G85" s="112">
        <f t="shared" si="8"/>
        <v>0</v>
      </c>
      <c r="H85" s="99">
        <f>G85+'11'!H85</f>
        <v>0</v>
      </c>
      <c r="I85" s="545"/>
      <c r="J85" s="175">
        <f>H85/DAY(B2)</f>
        <v>0</v>
      </c>
      <c r="O85" s="71"/>
    </row>
    <row r="86" spans="1:15" ht="32.25" customHeight="1">
      <c r="A86" s="345" t="s">
        <v>232</v>
      </c>
      <c r="B86" s="346"/>
      <c r="C86" s="346"/>
      <c r="D86" s="151" t="s">
        <v>228</v>
      </c>
      <c r="E86" s="95">
        <f>'11'!F86</f>
        <v>46801</v>
      </c>
      <c r="F86" s="164">
        <v>46801</v>
      </c>
      <c r="G86" s="112">
        <f t="shared" si="8"/>
        <v>0</v>
      </c>
      <c r="H86" s="99">
        <f>G86+'11'!H86</f>
        <v>67</v>
      </c>
      <c r="I86" s="545"/>
      <c r="J86" s="175">
        <f>H86/DAY(B2)</f>
        <v>5.583333333333333</v>
      </c>
      <c r="O86" s="71"/>
    </row>
    <row r="87" spans="1:15" ht="32.25" customHeight="1">
      <c r="A87" s="345" t="s">
        <v>233</v>
      </c>
      <c r="B87" s="346"/>
      <c r="C87" s="346"/>
      <c r="D87" s="151" t="s">
        <v>228</v>
      </c>
      <c r="E87" s="95">
        <f>'11'!F87</f>
        <v>36764.269999999997</v>
      </c>
      <c r="F87" s="164">
        <v>36788.33</v>
      </c>
      <c r="G87" s="112">
        <f t="shared" si="8"/>
        <v>24.060000000004948</v>
      </c>
      <c r="H87" s="99">
        <f>G87+'11'!H87</f>
        <v>238.12000000000262</v>
      </c>
      <c r="I87" s="545">
        <f>G84+G85+G86+G87</f>
        <v>24.060000000004948</v>
      </c>
      <c r="J87" s="175">
        <f>H87/DAY(B2)</f>
        <v>19.84333333333355</v>
      </c>
      <c r="O87" s="71"/>
    </row>
    <row r="88" spans="1:15" ht="32.25" customHeight="1">
      <c r="A88" s="345" t="s">
        <v>234</v>
      </c>
      <c r="B88" s="346"/>
      <c r="C88" s="346"/>
      <c r="D88" s="151" t="s">
        <v>228</v>
      </c>
      <c r="E88" s="95">
        <f>'11'!F88</f>
        <v>24511.8</v>
      </c>
      <c r="F88" s="164">
        <v>24511.8</v>
      </c>
      <c r="G88" s="112">
        <f t="shared" si="8"/>
        <v>0</v>
      </c>
      <c r="H88" s="99">
        <f>G88+'11'!H88</f>
        <v>0</v>
      </c>
      <c r="I88" s="545"/>
      <c r="J88" s="175">
        <f>H88/DAY(B2)</f>
        <v>0</v>
      </c>
      <c r="O88" s="71"/>
    </row>
    <row r="89" spans="1:15" ht="32.25" customHeight="1">
      <c r="A89" s="345" t="s">
        <v>235</v>
      </c>
      <c r="B89" s="346"/>
      <c r="C89" s="346"/>
      <c r="D89" s="151" t="s">
        <v>228</v>
      </c>
      <c r="E89" s="95">
        <f>'11'!F89</f>
        <v>28612.54</v>
      </c>
      <c r="F89" s="164">
        <v>28622.33</v>
      </c>
      <c r="G89" s="112">
        <f t="shared" si="8"/>
        <v>9.7900000000008731</v>
      </c>
      <c r="H89" s="99">
        <f>G89+'11'!H89</f>
        <v>120.63000000000102</v>
      </c>
      <c r="I89" s="545">
        <f>G88+G89</f>
        <v>9.7900000000008731</v>
      </c>
      <c r="J89" s="175">
        <f>H89/DAY(B2)</f>
        <v>10.052500000000085</v>
      </c>
      <c r="O89" s="71"/>
    </row>
    <row r="90" spans="1:15" ht="32.25" customHeight="1">
      <c r="A90" s="345" t="s">
        <v>236</v>
      </c>
      <c r="B90" s="346"/>
      <c r="C90" s="346"/>
      <c r="D90" s="151" t="s">
        <v>228</v>
      </c>
      <c r="E90" s="95">
        <f>'11'!F90</f>
        <v>73992.11</v>
      </c>
      <c r="F90" s="164">
        <v>74002.8</v>
      </c>
      <c r="G90" s="112">
        <f t="shared" si="8"/>
        <v>10.690000000002328</v>
      </c>
      <c r="H90" s="99">
        <f>G90+'11'!H90</f>
        <v>142.19999999999709</v>
      </c>
      <c r="I90" s="545">
        <f>G90</f>
        <v>10.690000000002328</v>
      </c>
      <c r="J90" s="175">
        <f>H90/DAY(B2)</f>
        <v>11.849999999999758</v>
      </c>
      <c r="O90" s="71"/>
    </row>
    <row r="91" spans="1:15" ht="32.25" customHeight="1">
      <c r="A91" s="345" t="s">
        <v>237</v>
      </c>
      <c r="B91" s="346"/>
      <c r="C91" s="346"/>
      <c r="D91" s="151" t="s">
        <v>228</v>
      </c>
      <c r="E91" s="95">
        <f>'11'!F91</f>
        <v>5441.23</v>
      </c>
      <c r="F91" s="122">
        <v>5452.67</v>
      </c>
      <c r="G91" s="112">
        <f t="shared" si="8"/>
        <v>11.440000000000509</v>
      </c>
      <c r="H91" s="99">
        <f>G91+'11'!H91</f>
        <v>99.899999999999636</v>
      </c>
      <c r="I91" s="546"/>
      <c r="J91" s="175">
        <f>H91/DAY(B2)</f>
        <v>8.3249999999999691</v>
      </c>
      <c r="O91" s="71"/>
    </row>
    <row r="92" spans="1:15" ht="32.25" customHeight="1">
      <c r="A92" s="345" t="s">
        <v>238</v>
      </c>
      <c r="B92" s="346"/>
      <c r="C92" s="346"/>
      <c r="D92" s="151" t="s">
        <v>228</v>
      </c>
      <c r="E92" s="95">
        <f>'11'!F92</f>
        <v>7031.67</v>
      </c>
      <c r="F92" s="122">
        <v>7031.67</v>
      </c>
      <c r="G92" s="112">
        <f t="shared" si="8"/>
        <v>0</v>
      </c>
      <c r="H92" s="99">
        <f>G92+'11'!H92</f>
        <v>31.670000000000073</v>
      </c>
      <c r="I92" s="547">
        <f>G91+G92</f>
        <v>11.440000000000509</v>
      </c>
      <c r="J92" s="175">
        <f>H92/DAY(B2)</f>
        <v>2.6391666666666729</v>
      </c>
      <c r="O92" s="71"/>
    </row>
    <row r="93" spans="1:15" ht="32.25" customHeight="1">
      <c r="A93" s="906" t="s">
        <v>239</v>
      </c>
      <c r="B93" s="907"/>
      <c r="C93" s="90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2.25" customHeight="1">
      <c r="A94" s="864" t="s">
        <v>240</v>
      </c>
      <c r="B94" s="865"/>
      <c r="C94" s="866"/>
      <c r="D94" s="151" t="s">
        <v>130</v>
      </c>
      <c r="E94" s="151"/>
      <c r="F94" s="151"/>
      <c r="G94" s="99">
        <f>G35+G43+G49+G57</f>
        <v>5829.5499999999884</v>
      </c>
      <c r="H94" s="99">
        <f>G94+'11'!H94</f>
        <v>68299.6700000001</v>
      </c>
      <c r="I94" s="118"/>
      <c r="J94" s="175">
        <f>H94/DAY(B2)</f>
        <v>5691.639166666675</v>
      </c>
      <c r="K94" s="69"/>
      <c r="L94" s="66"/>
      <c r="O94" s="71"/>
    </row>
    <row r="95" spans="1:15" ht="32.25" customHeight="1">
      <c r="A95" s="864" t="s">
        <v>241</v>
      </c>
      <c r="B95" s="865"/>
      <c r="C95" s="866"/>
      <c r="D95" s="151" t="s">
        <v>23</v>
      </c>
      <c r="E95" s="146"/>
      <c r="F95" s="146"/>
      <c r="G95" s="166">
        <f>G94/G7</f>
        <v>0.2593348859038605</v>
      </c>
      <c r="H95" s="99">
        <f>G95+'11'!H95</f>
        <v>2.9976296780509442</v>
      </c>
      <c r="I95" s="167"/>
      <c r="J95" s="175">
        <f>H95/DAY(B2)</f>
        <v>0.249802473170912</v>
      </c>
      <c r="K95" s="69"/>
      <c r="L95" s="66"/>
      <c r="O95" s="71"/>
    </row>
    <row r="96" spans="1:15" ht="32.25" customHeight="1">
      <c r="A96" s="864" t="s">
        <v>242</v>
      </c>
      <c r="B96" s="865"/>
      <c r="C96" s="866"/>
      <c r="D96" s="151" t="s">
        <v>130</v>
      </c>
      <c r="E96" s="95"/>
      <c r="F96" s="95"/>
      <c r="G96" s="99">
        <f>G41+G42+G55+G56</f>
        <v>3707.4500000000116</v>
      </c>
      <c r="H96" s="99">
        <f>G96+'11'!H96</f>
        <v>44037.409999999974</v>
      </c>
      <c r="I96" s="118"/>
      <c r="J96" s="175">
        <f>H96/DAY(B2)</f>
        <v>3669.7841666666645</v>
      </c>
      <c r="K96" s="69"/>
      <c r="L96" s="66"/>
      <c r="O96" s="71"/>
    </row>
    <row r="97" spans="1:15" ht="32.25" customHeight="1">
      <c r="A97" s="864" t="s">
        <v>243</v>
      </c>
      <c r="B97" s="865"/>
      <c r="C97" s="866"/>
      <c r="D97" s="151" t="s">
        <v>23</v>
      </c>
      <c r="E97" s="95"/>
      <c r="F97" s="95"/>
      <c r="G97" s="166">
        <f>G96/G7</f>
        <v>0.16493059031044807</v>
      </c>
      <c r="H97" s="99">
        <f>G97+'11'!H97</f>
        <v>1.9301132218273485</v>
      </c>
      <c r="I97" s="167"/>
      <c r="J97" s="175">
        <f>H97/DAY(B2)</f>
        <v>0.16084276848561238</v>
      </c>
      <c r="K97" s="69"/>
      <c r="L97" s="66"/>
      <c r="O97" s="71"/>
    </row>
    <row r="98" spans="1:15" ht="32.25" customHeight="1">
      <c r="A98" s="864" t="s">
        <v>244</v>
      </c>
      <c r="B98" s="865"/>
      <c r="C98" s="866"/>
      <c r="D98" s="151" t="s">
        <v>130</v>
      </c>
      <c r="E98" s="95"/>
      <c r="F98" s="95"/>
      <c r="G98" s="99">
        <f>G39+G53</f>
        <v>4085.8200000000652</v>
      </c>
      <c r="H98" s="99">
        <f>G98+'11'!H98</f>
        <v>49024.540000000037</v>
      </c>
      <c r="I98" s="168"/>
      <c r="J98" s="175">
        <f>H98/DAY(B2)</f>
        <v>4085.3783333333363</v>
      </c>
      <c r="K98" s="69"/>
      <c r="L98" s="66"/>
      <c r="O98" s="71"/>
    </row>
    <row r="99" spans="1:15" ht="32.25" customHeight="1">
      <c r="A99" s="864" t="s">
        <v>245</v>
      </c>
      <c r="B99" s="865"/>
      <c r="C99" s="866"/>
      <c r="D99" s="151" t="s">
        <v>23</v>
      </c>
      <c r="E99" s="95"/>
      <c r="F99" s="95"/>
      <c r="G99" s="166">
        <f>G98/G7</f>
        <v>0.18176285708566361</v>
      </c>
      <c r="H99" s="99">
        <f>G99+'11'!H99</f>
        <v>2.1537574388989169</v>
      </c>
      <c r="I99" s="168"/>
      <c r="J99" s="175">
        <f>H99/DAY(B2)</f>
        <v>0.17947978657490973</v>
      </c>
      <c r="O99" s="71"/>
    </row>
    <row r="100" spans="1:15" ht="32.25" customHeight="1">
      <c r="A100" s="864" t="s">
        <v>246</v>
      </c>
      <c r="B100" s="865"/>
      <c r="C100" s="866"/>
      <c r="D100" s="151" t="s">
        <v>180</v>
      </c>
      <c r="E100" s="95"/>
      <c r="F100" s="95"/>
      <c r="G100" s="99">
        <f>G38+G52</f>
        <v>2429.920000000051</v>
      </c>
      <c r="H100" s="99">
        <f>G100+'11'!H100</f>
        <v>29382.609999999986</v>
      </c>
      <c r="I100" s="118"/>
      <c r="J100" s="175">
        <f>H100/DAY(B2)</f>
        <v>2448.5508333333323</v>
      </c>
      <c r="K100" s="70"/>
      <c r="O100" s="71"/>
    </row>
    <row r="101" spans="1:15" ht="32.25" customHeight="1">
      <c r="A101" s="864" t="s">
        <v>247</v>
      </c>
      <c r="B101" s="865"/>
      <c r="C101" s="866"/>
      <c r="D101" s="151" t="s">
        <v>23</v>
      </c>
      <c r="E101" s="95"/>
      <c r="F101" s="95"/>
      <c r="G101" s="166">
        <f>G100/G7</f>
        <v>0.10809805661766743</v>
      </c>
      <c r="H101" s="99">
        <f>G101+'11'!H101</f>
        <v>1.2910643835969287</v>
      </c>
      <c r="I101" s="168"/>
      <c r="J101" s="175">
        <f>H101/DAY(B2)</f>
        <v>0.10758869863307739</v>
      </c>
      <c r="O101" s="71"/>
    </row>
    <row r="102" spans="1:15" ht="32.25" customHeight="1">
      <c r="A102" s="864" t="s">
        <v>248</v>
      </c>
      <c r="B102" s="865"/>
      <c r="C102" s="866"/>
      <c r="D102" s="151" t="s">
        <v>180</v>
      </c>
      <c r="E102" s="95"/>
      <c r="F102" s="95"/>
      <c r="G102" s="99">
        <f>G36+G50</f>
        <v>2492.7200000000303</v>
      </c>
      <c r="H102" s="99">
        <f>G102+'11'!H102</f>
        <v>31705.820000000007</v>
      </c>
      <c r="I102" s="168"/>
      <c r="J102" s="175">
        <f>H102/DAY(B2)</f>
        <v>2642.1516666666671</v>
      </c>
      <c r="O102" s="71"/>
    </row>
    <row r="103" spans="1:15" ht="32.25" customHeight="1">
      <c r="A103" s="864" t="s">
        <v>249</v>
      </c>
      <c r="B103" s="865"/>
      <c r="C103" s="866"/>
      <c r="D103" s="151" t="s">
        <v>23</v>
      </c>
      <c r="E103" s="95"/>
      <c r="F103" s="95"/>
      <c r="G103" s="166">
        <f>G102/G7</f>
        <v>0.11089179384176828</v>
      </c>
      <c r="H103" s="99">
        <f>G103+'11'!H103</f>
        <v>1.3916160424379065</v>
      </c>
      <c r="I103" s="118"/>
      <c r="J103" s="175">
        <f>H103/DAY(B2)</f>
        <v>0.11596800353649221</v>
      </c>
      <c r="O103" s="71"/>
    </row>
    <row r="104" spans="1:15" ht="32.25" customHeight="1">
      <c r="A104" s="864" t="s">
        <v>250</v>
      </c>
      <c r="B104" s="865"/>
      <c r="C104" s="866"/>
      <c r="D104" s="151" t="s">
        <v>180</v>
      </c>
      <c r="E104" s="95"/>
      <c r="F104" s="95"/>
      <c r="G104" s="99">
        <f>G37+G51</f>
        <v>1048.6600000000035</v>
      </c>
      <c r="H104" s="99">
        <f>G104+'11'!H104</f>
        <v>12938.450000000012</v>
      </c>
      <c r="I104" s="118"/>
      <c r="J104" s="175">
        <f>H104/DAY(B2)</f>
        <v>1078.2041666666676</v>
      </c>
      <c r="O104" s="71"/>
    </row>
    <row r="105" spans="1:15" ht="32.25" customHeight="1" thickBot="1">
      <c r="A105" s="901" t="s">
        <v>251</v>
      </c>
      <c r="B105" s="902"/>
      <c r="C105" s="903"/>
      <c r="D105" s="231" t="s">
        <v>23</v>
      </c>
      <c r="E105" s="185"/>
      <c r="F105" s="185"/>
      <c r="G105" s="186">
        <f>G104/G7</f>
        <v>4.6650963016346678E-2</v>
      </c>
      <c r="H105" s="99">
        <f>G105+'11'!H105</f>
        <v>0.56805406389302815</v>
      </c>
      <c r="I105" s="187"/>
      <c r="J105" s="188">
        <f>H105/DAY(B2)</f>
        <v>4.7337838657752346E-2</v>
      </c>
      <c r="O105" s="71"/>
    </row>
    <row r="106" spans="1:15" ht="32.2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2.25" customHeight="1">
      <c r="A108" s="915" t="s">
        <v>324</v>
      </c>
      <c r="B108" s="915"/>
      <c r="C108" s="915"/>
      <c r="D108" s="915"/>
      <c r="E108" s="915"/>
      <c r="F108" s="915"/>
      <c r="G108" s="915"/>
      <c r="H108" s="915"/>
      <c r="I108" s="915"/>
      <c r="J108" s="915"/>
    </row>
    <row r="109" spans="1:15" ht="32.25" customHeight="1">
      <c r="A109" s="900"/>
      <c r="B109" s="900"/>
    </row>
    <row r="110" spans="1:15" ht="32.25" customHeight="1">
      <c r="A110" s="916" t="s">
        <v>165</v>
      </c>
      <c r="B110" s="917"/>
      <c r="C110" s="917"/>
      <c r="D110" s="917"/>
      <c r="E110" s="917"/>
      <c r="F110" s="917"/>
      <c r="G110" s="917"/>
      <c r="H110" s="917"/>
      <c r="I110" s="917"/>
      <c r="J110" s="918"/>
    </row>
    <row r="111" spans="1:15" ht="32.25" customHeight="1">
      <c r="A111" s="919"/>
      <c r="B111" s="920"/>
      <c r="C111" s="921"/>
      <c r="D111" s="165"/>
      <c r="E111" s="165"/>
      <c r="F111" s="165"/>
      <c r="G111" s="165"/>
      <c r="H111" s="156"/>
      <c r="I111" s="165"/>
      <c r="J111" s="327"/>
    </row>
    <row r="112" spans="1:15" ht="32.25" customHeight="1">
      <c r="A112" s="894" t="s">
        <v>252</v>
      </c>
      <c r="B112" s="895"/>
      <c r="C112" s="896"/>
      <c r="D112" s="146" t="s">
        <v>183</v>
      </c>
      <c r="E112" s="95">
        <f>'11'!F112</f>
        <v>16285.33</v>
      </c>
      <c r="F112" s="237">
        <v>16346</v>
      </c>
      <c r="G112" s="112">
        <f t="shared" ref="G112:G123" si="9">F112-E112</f>
        <v>60.670000000000073</v>
      </c>
      <c r="H112" s="99">
        <f>G112+'11'!H112</f>
        <v>732.20000000000073</v>
      </c>
      <c r="I112" s="165"/>
      <c r="J112" s="328">
        <f>H112/DAY(B2)</f>
        <v>61.01666666666673</v>
      </c>
    </row>
    <row r="113" spans="1:18" ht="32.25" customHeight="1">
      <c r="A113" s="894" t="s">
        <v>253</v>
      </c>
      <c r="B113" s="895"/>
      <c r="C113" s="896"/>
      <c r="D113" s="146" t="s">
        <v>183</v>
      </c>
      <c r="E113" s="95">
        <f>'11'!F113</f>
        <v>34036.269999999997</v>
      </c>
      <c r="F113" s="237">
        <v>34184</v>
      </c>
      <c r="G113" s="112">
        <f t="shared" si="9"/>
        <v>147.7300000000032</v>
      </c>
      <c r="H113" s="99">
        <f>G113+'11'!H113</f>
        <v>1733.3300000000017</v>
      </c>
      <c r="I113" s="165"/>
      <c r="J113" s="328">
        <f>H113/DAY(B2)</f>
        <v>144.4441666666668</v>
      </c>
    </row>
    <row r="114" spans="1:18" ht="32.25" customHeight="1">
      <c r="A114" s="894" t="s">
        <v>254</v>
      </c>
      <c r="B114" s="895"/>
      <c r="C114" s="896"/>
      <c r="D114" s="146" t="s">
        <v>183</v>
      </c>
      <c r="E114" s="95">
        <f>'11'!F114</f>
        <v>50274.65</v>
      </c>
      <c r="F114" s="237">
        <v>50476</v>
      </c>
      <c r="G114" s="112">
        <f t="shared" si="9"/>
        <v>201.34999999999854</v>
      </c>
      <c r="H114" s="99">
        <f>G114+'11'!H114</f>
        <v>2509.6999999999971</v>
      </c>
      <c r="I114" s="165"/>
      <c r="J114" s="328">
        <f>H114/DAY(B2)</f>
        <v>209.14166666666642</v>
      </c>
    </row>
    <row r="115" spans="1:18" ht="32.25" customHeight="1">
      <c r="A115" s="894" t="s">
        <v>255</v>
      </c>
      <c r="B115" s="895"/>
      <c r="C115" s="896"/>
      <c r="D115" s="146" t="s">
        <v>183</v>
      </c>
      <c r="E115" s="95">
        <f>'11'!F115</f>
        <v>32067.200000000001</v>
      </c>
      <c r="F115" s="237">
        <v>32240</v>
      </c>
      <c r="G115" s="112">
        <f t="shared" si="9"/>
        <v>172.79999999999927</v>
      </c>
      <c r="H115" s="99">
        <f>G115+'11'!H115</f>
        <v>1803.5999999999985</v>
      </c>
      <c r="I115" s="165"/>
      <c r="J115" s="328">
        <f>H115/DAY(B2)</f>
        <v>150.29999999999987</v>
      </c>
    </row>
    <row r="116" spans="1:18" ht="32.25" customHeight="1">
      <c r="A116" s="912" t="s">
        <v>96</v>
      </c>
      <c r="B116" s="913"/>
      <c r="C116" s="914"/>
      <c r="D116" s="146" t="s">
        <v>183</v>
      </c>
      <c r="E116" s="95">
        <f>'11'!F116</f>
        <v>127240.61</v>
      </c>
      <c r="F116" s="237">
        <v>127582</v>
      </c>
      <c r="G116" s="112">
        <f t="shared" si="9"/>
        <v>341.38999999999942</v>
      </c>
      <c r="H116" s="99">
        <f>G116+'11'!H116</f>
        <v>4721.8000000000029</v>
      </c>
      <c r="I116" s="165"/>
      <c r="J116" s="328">
        <f>H116/DAY(B2)</f>
        <v>393.48333333333358</v>
      </c>
      <c r="Q116" s="894" t="s">
        <v>311</v>
      </c>
      <c r="R116" s="896"/>
    </row>
    <row r="117" spans="1:18" ht="32.25" customHeight="1">
      <c r="A117" s="912" t="s">
        <v>184</v>
      </c>
      <c r="B117" s="913"/>
      <c r="C117" s="914"/>
      <c r="D117" s="146" t="s">
        <v>183</v>
      </c>
      <c r="E117" s="95">
        <f>'11'!F117</f>
        <v>76861.87</v>
      </c>
      <c r="F117" s="237">
        <v>77117</v>
      </c>
      <c r="G117" s="112">
        <f t="shared" si="9"/>
        <v>255.13000000000466</v>
      </c>
      <c r="H117" s="99">
        <f>G117+'11'!H117</f>
        <v>3135.8000000000029</v>
      </c>
      <c r="I117" s="165"/>
      <c r="J117" s="328">
        <f>H117/DAY(B2)</f>
        <v>261.31666666666689</v>
      </c>
      <c r="Q117" s="894" t="s">
        <v>312</v>
      </c>
      <c r="R117" s="896"/>
    </row>
    <row r="118" spans="1:18" ht="32.25" customHeight="1">
      <c r="A118" s="889" t="s">
        <v>97</v>
      </c>
      <c r="B118" s="889"/>
      <c r="C118" s="889"/>
      <c r="D118" s="151" t="s">
        <v>183</v>
      </c>
      <c r="E118" s="95">
        <f>'11'!F118</f>
        <v>145696.46</v>
      </c>
      <c r="F118" s="237">
        <v>146340</v>
      </c>
      <c r="G118" s="112">
        <f t="shared" si="9"/>
        <v>643.54000000000815</v>
      </c>
      <c r="H118" s="99">
        <f>G118+'11'!H118</f>
        <v>7527.5499999999884</v>
      </c>
      <c r="I118" s="165"/>
      <c r="J118" s="328">
        <f>H118/DAY(B2)</f>
        <v>627.29583333333233</v>
      </c>
      <c r="Q118" s="894" t="s">
        <v>311</v>
      </c>
      <c r="R118" s="896"/>
    </row>
    <row r="119" spans="1:18" ht="32.25" customHeight="1">
      <c r="A119" s="889" t="s">
        <v>98</v>
      </c>
      <c r="B119" s="889"/>
      <c r="C119" s="889"/>
      <c r="D119" s="151" t="s">
        <v>183</v>
      </c>
      <c r="E119" s="95">
        <f>'11'!F119</f>
        <v>43482.79</v>
      </c>
      <c r="F119" s="237">
        <v>43494</v>
      </c>
      <c r="G119" s="112">
        <f t="shared" si="9"/>
        <v>11.209999999999127</v>
      </c>
      <c r="H119" s="99">
        <f>G119+'11'!H119</f>
        <v>140.30000000000291</v>
      </c>
      <c r="I119" s="165"/>
      <c r="J119" s="328">
        <f>H119/DAY(B2)</f>
        <v>11.69166666666691</v>
      </c>
    </row>
    <row r="120" spans="1:18" ht="32.25" customHeight="1">
      <c r="A120" s="889" t="s">
        <v>99</v>
      </c>
      <c r="B120" s="889"/>
      <c r="C120" s="889"/>
      <c r="D120" s="151" t="s">
        <v>183</v>
      </c>
      <c r="E120" s="95">
        <f>'11'!F120</f>
        <v>100237.33</v>
      </c>
      <c r="F120" s="237">
        <v>100637</v>
      </c>
      <c r="G120" s="112">
        <f t="shared" si="9"/>
        <v>399.66999999999825</v>
      </c>
      <c r="H120" s="99">
        <f>G120+'11'!H120</f>
        <v>4929.3999999999942</v>
      </c>
      <c r="I120" s="165"/>
      <c r="J120" s="328">
        <f>H120/DAY(B2)</f>
        <v>410.78333333333285</v>
      </c>
    </row>
    <row r="121" spans="1:18" ht="32.25" customHeight="1">
      <c r="A121" s="889" t="s">
        <v>100</v>
      </c>
      <c r="B121" s="889"/>
      <c r="C121" s="889"/>
      <c r="D121" s="151" t="s">
        <v>183</v>
      </c>
      <c r="E121" s="95">
        <f>'11'!F121</f>
        <v>112459.7</v>
      </c>
      <c r="F121" s="237">
        <v>112893</v>
      </c>
      <c r="G121" s="112">
        <f t="shared" si="9"/>
        <v>433.30000000000291</v>
      </c>
      <c r="H121" s="99">
        <f>G121+'11'!H121</f>
        <v>5063.9499999999971</v>
      </c>
      <c r="I121" s="165"/>
      <c r="J121" s="328">
        <f>H121/DAY(B2)</f>
        <v>421.99583333333311</v>
      </c>
    </row>
    <row r="122" spans="1:18" ht="32.25" customHeight="1">
      <c r="A122" s="889" t="s">
        <v>101</v>
      </c>
      <c r="B122" s="889"/>
      <c r="C122" s="889"/>
      <c r="D122" s="151" t="s">
        <v>183</v>
      </c>
      <c r="E122" s="95">
        <f>'11'!F122</f>
        <v>74799.31</v>
      </c>
      <c r="F122" s="237">
        <v>75159</v>
      </c>
      <c r="G122" s="112">
        <f t="shared" si="9"/>
        <v>359.69000000000233</v>
      </c>
      <c r="H122" s="99">
        <f>G122+'11'!H122</f>
        <v>4121.1000000000058</v>
      </c>
      <c r="I122" s="165"/>
      <c r="J122" s="328">
        <f>H122/DAY(B2)</f>
        <v>343.42500000000047</v>
      </c>
    </row>
    <row r="123" spans="1:18" ht="32.25" customHeight="1">
      <c r="A123" s="889" t="s">
        <v>102</v>
      </c>
      <c r="B123" s="889"/>
      <c r="C123" s="889"/>
      <c r="D123" s="151" t="s">
        <v>183</v>
      </c>
      <c r="E123" s="95">
        <f>'11'!F123</f>
        <v>71767.87</v>
      </c>
      <c r="F123" s="237">
        <v>72077</v>
      </c>
      <c r="G123" s="112">
        <f t="shared" si="9"/>
        <v>309.13000000000466</v>
      </c>
      <c r="H123" s="99">
        <f>G123+'11'!H123</f>
        <v>3719.6999999999971</v>
      </c>
      <c r="I123" s="165"/>
      <c r="J123" s="328">
        <f>H123/DAY(B2)</f>
        <v>309.97499999999974</v>
      </c>
    </row>
    <row r="124" spans="1:18" ht="32.25" customHeight="1">
      <c r="A124" s="919"/>
      <c r="B124" s="920"/>
      <c r="C124" s="921"/>
      <c r="D124" s="165"/>
      <c r="E124" s="165"/>
      <c r="F124" s="165"/>
      <c r="G124" s="327"/>
      <c r="H124" s="156"/>
      <c r="I124" s="165"/>
      <c r="J124" s="327"/>
    </row>
    <row r="125" spans="1:18" ht="32.25" customHeight="1">
      <c r="A125" s="853" t="s">
        <v>196</v>
      </c>
      <c r="B125" s="854"/>
      <c r="C125" s="245"/>
      <c r="D125" s="307"/>
      <c r="E125" s="308"/>
      <c r="F125" s="308"/>
      <c r="G125" s="309">
        <f>SUM(G112:G124)</f>
        <v>3335.6100000000206</v>
      </c>
      <c r="H125" s="156"/>
      <c r="I125" s="327" t="s">
        <v>365</v>
      </c>
      <c r="J125" s="327"/>
    </row>
    <row r="126" spans="1:18" ht="32.25" customHeight="1">
      <c r="A126" s="922" t="s">
        <v>317</v>
      </c>
      <c r="B126" s="922"/>
      <c r="C126" s="922"/>
      <c r="D126" s="922"/>
      <c r="E126" s="922"/>
      <c r="F126" s="922"/>
      <c r="G126" s="922"/>
      <c r="H126" s="922"/>
      <c r="I126" s="922"/>
      <c r="J126" s="922"/>
    </row>
    <row r="127" spans="1:18" ht="32.25" customHeight="1">
      <c r="A127" s="923"/>
      <c r="B127" s="923"/>
      <c r="C127" s="245"/>
      <c r="D127" s="307"/>
      <c r="E127" s="308"/>
      <c r="F127" s="308"/>
      <c r="G127" s="309"/>
      <c r="H127" s="99">
        <f>G127+'11'!H127</f>
        <v>0</v>
      </c>
      <c r="I127" s="165"/>
      <c r="J127" s="328">
        <f>H127/DAY(B2)</f>
        <v>0</v>
      </c>
    </row>
    <row r="128" spans="1:18" ht="32.25" customHeight="1">
      <c r="A128" s="894" t="s">
        <v>318</v>
      </c>
      <c r="B128" s="895"/>
      <c r="C128" s="896"/>
      <c r="D128" s="151" t="s">
        <v>183</v>
      </c>
      <c r="E128" s="95">
        <f>'11'!F128</f>
        <v>183615.27</v>
      </c>
      <c r="F128" s="165">
        <v>184018</v>
      </c>
      <c r="G128" s="112">
        <f t="shared" ref="G128:G134" si="10">F128-E128</f>
        <v>402.73000000001048</v>
      </c>
      <c r="H128" s="99">
        <f>G128+'11'!H128</f>
        <v>4606.1499999999942</v>
      </c>
      <c r="I128" s="165"/>
      <c r="J128" s="328">
        <f>H128/DAY(B2)</f>
        <v>383.84583333333285</v>
      </c>
    </row>
    <row r="129" spans="1:15" ht="32.25" customHeight="1">
      <c r="A129" s="329" t="s">
        <v>319</v>
      </c>
      <c r="B129" s="330"/>
      <c r="C129" s="331"/>
      <c r="D129" s="151" t="s">
        <v>183</v>
      </c>
      <c r="E129" s="95">
        <f>'11'!F129</f>
        <v>98077.22</v>
      </c>
      <c r="F129" s="165">
        <v>98223</v>
      </c>
      <c r="G129" s="112">
        <f t="shared" si="10"/>
        <v>145.77999999999884</v>
      </c>
      <c r="H129" s="99">
        <f>G129+'11'!H129</f>
        <v>2193.5</v>
      </c>
      <c r="I129" s="165"/>
      <c r="J129" s="328">
        <f>H129/DAY(B2)</f>
        <v>182.79166666666666</v>
      </c>
      <c r="N129" s="240"/>
      <c r="O129" s="241"/>
    </row>
    <row r="130" spans="1:15" ht="32.25" customHeight="1">
      <c r="A130" s="329" t="s">
        <v>320</v>
      </c>
      <c r="B130" s="330"/>
      <c r="C130" s="331"/>
      <c r="D130" s="151" t="s">
        <v>183</v>
      </c>
      <c r="E130" s="95">
        <f>'11'!F130</f>
        <v>254453.85</v>
      </c>
      <c r="F130" s="165">
        <v>255246</v>
      </c>
      <c r="G130" s="112">
        <f t="shared" si="10"/>
        <v>792.14999999999418</v>
      </c>
      <c r="H130" s="99">
        <f>G130+'11'!H130</f>
        <v>8406.25</v>
      </c>
      <c r="I130" s="165"/>
      <c r="J130" s="328">
        <f>H130/DAY(B2)</f>
        <v>700.52083333333337</v>
      </c>
      <c r="N130" s="240"/>
      <c r="O130" s="241"/>
    </row>
    <row r="131" spans="1:15" ht="32.25" customHeight="1">
      <c r="A131" s="894" t="s">
        <v>321</v>
      </c>
      <c r="B131" s="895"/>
      <c r="C131" s="896"/>
      <c r="D131" s="151" t="s">
        <v>183</v>
      </c>
      <c r="E131" s="95">
        <f>'11'!F131</f>
        <v>76277</v>
      </c>
      <c r="F131" s="165">
        <v>76477</v>
      </c>
      <c r="G131" s="112">
        <f t="shared" si="10"/>
        <v>200</v>
      </c>
      <c r="H131" s="99">
        <f>G131+'11'!H131</f>
        <v>2966.3999999999942</v>
      </c>
      <c r="I131" s="165"/>
      <c r="J131" s="328">
        <f>H131/DAY(B2)</f>
        <v>247.19999999999951</v>
      </c>
      <c r="N131" s="240"/>
      <c r="O131" s="241"/>
    </row>
    <row r="132" spans="1:15" ht="32.25" customHeight="1">
      <c r="A132" s="894" t="s">
        <v>322</v>
      </c>
      <c r="B132" s="895"/>
      <c r="C132" s="896"/>
      <c r="D132" s="151" t="s">
        <v>183</v>
      </c>
      <c r="E132" s="95">
        <f>'11'!F132</f>
        <v>146985</v>
      </c>
      <c r="F132" s="165">
        <v>146985</v>
      </c>
      <c r="G132" s="112">
        <f t="shared" si="10"/>
        <v>0</v>
      </c>
      <c r="H132" s="99">
        <f>G132+'11'!H132</f>
        <v>0</v>
      </c>
      <c r="I132" s="165"/>
      <c r="J132" s="328">
        <f>H132/DAY(B2)</f>
        <v>0</v>
      </c>
    </row>
    <row r="133" spans="1:15" ht="32.25" customHeight="1">
      <c r="A133" s="894" t="s">
        <v>359</v>
      </c>
      <c r="B133" s="895"/>
      <c r="C133" s="896"/>
      <c r="D133" s="151" t="s">
        <v>183</v>
      </c>
      <c r="E133" s="95">
        <f>'11'!F133</f>
        <v>918334</v>
      </c>
      <c r="F133" s="165">
        <v>919054</v>
      </c>
      <c r="G133" s="112">
        <f t="shared" si="10"/>
        <v>720</v>
      </c>
      <c r="H133" s="99">
        <f>G133+'11'!H133</f>
        <v>8810</v>
      </c>
      <c r="I133" s="165"/>
      <c r="J133" s="328">
        <f>H133/DAY(B2)</f>
        <v>734.16666666666663</v>
      </c>
    </row>
    <row r="134" spans="1:15" ht="32.25" customHeight="1">
      <c r="A134" s="894" t="s">
        <v>340</v>
      </c>
      <c r="B134" s="895"/>
      <c r="C134" s="896"/>
      <c r="D134" s="151" t="s">
        <v>183</v>
      </c>
      <c r="E134" s="95">
        <f>'11'!F134</f>
        <v>81121.5</v>
      </c>
      <c r="F134" s="165">
        <v>81335</v>
      </c>
      <c r="G134" s="112">
        <f t="shared" si="10"/>
        <v>213.5</v>
      </c>
      <c r="H134" s="99">
        <f>G134+'11'!H134</f>
        <v>2575.3999999999942</v>
      </c>
      <c r="I134" s="165"/>
      <c r="J134" s="328">
        <f>H134/DAY(B2)</f>
        <v>214.61666666666619</v>
      </c>
    </row>
    <row r="135" spans="1:15" ht="32.25" customHeight="1">
      <c r="A135" s="853" t="s">
        <v>196</v>
      </c>
      <c r="B135" s="854"/>
      <c r="C135" s="331"/>
      <c r="D135" s="151"/>
      <c r="E135" s="95"/>
      <c r="F135" s="165"/>
      <c r="G135" s="112">
        <f>SUM(G128:G134)</f>
        <v>2474.1600000000035</v>
      </c>
      <c r="H135" s="99">
        <f>G135+'10'!H135</f>
        <v>27147.62999999999</v>
      </c>
      <c r="I135" s="327">
        <f>G135-(G35+G49)</f>
        <v>-950.3399999999383</v>
      </c>
      <c r="J135" s="328">
        <f>H135/DAY(B2)</f>
        <v>2262.3024999999993</v>
      </c>
    </row>
    <row r="136" spans="1:15" ht="32.25" customHeight="1">
      <c r="A136" s="924" t="s">
        <v>207</v>
      </c>
      <c r="B136" s="924"/>
      <c r="C136" s="924"/>
      <c r="D136" s="924"/>
      <c r="E136" s="924"/>
      <c r="F136" s="924"/>
      <c r="G136" s="924"/>
      <c r="H136" s="924"/>
      <c r="I136" s="924"/>
      <c r="J136" s="924"/>
    </row>
    <row r="137" spans="1:15" ht="32.2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2.25" customHeight="1">
      <c r="A138" s="889" t="s">
        <v>185</v>
      </c>
      <c r="B138" s="889"/>
      <c r="C138" s="889"/>
      <c r="D138" s="151" t="s">
        <v>183</v>
      </c>
      <c r="E138" s="95">
        <f>'11'!F138</f>
        <v>906957</v>
      </c>
      <c r="F138" s="147">
        <v>907063</v>
      </c>
      <c r="G138" s="112">
        <f t="shared" ref="G138:G152" si="11">F138-E138</f>
        <v>106</v>
      </c>
      <c r="H138" s="99">
        <f>G138+'11'!H138</f>
        <v>1404</v>
      </c>
      <c r="I138" s="118"/>
      <c r="J138" s="328">
        <f>H138/DAY(B2)</f>
        <v>117</v>
      </c>
    </row>
    <row r="139" spans="1:15" ht="32.25" customHeight="1">
      <c r="A139" s="889" t="s">
        <v>186</v>
      </c>
      <c r="B139" s="889"/>
      <c r="C139" s="889"/>
      <c r="D139" s="151" t="s">
        <v>183</v>
      </c>
      <c r="E139" s="95">
        <f>'11'!F139</f>
        <v>929107</v>
      </c>
      <c r="F139" s="148">
        <v>929276</v>
      </c>
      <c r="G139" s="112">
        <f t="shared" si="11"/>
        <v>169</v>
      </c>
      <c r="H139" s="99">
        <f>G139+'11'!H139</f>
        <v>1995</v>
      </c>
      <c r="I139" s="118"/>
      <c r="J139" s="328">
        <f>H139/DAY(B2)</f>
        <v>166.25</v>
      </c>
    </row>
    <row r="140" spans="1:15" ht="32.25" customHeight="1">
      <c r="A140" s="889" t="s">
        <v>187</v>
      </c>
      <c r="B140" s="889"/>
      <c r="C140" s="889"/>
      <c r="D140" s="151" t="s">
        <v>183</v>
      </c>
      <c r="E140" s="95">
        <f>'11'!F140</f>
        <v>3588.52</v>
      </c>
      <c r="F140" s="149">
        <v>3610.12</v>
      </c>
      <c r="G140" s="112">
        <f t="shared" si="11"/>
        <v>21.599999999999909</v>
      </c>
      <c r="H140" s="99">
        <f>G140+'11'!H140</f>
        <v>279.02</v>
      </c>
      <c r="I140" s="118"/>
      <c r="J140" s="328">
        <f>H140/DAY(B2)</f>
        <v>23.251666666666665</v>
      </c>
    </row>
    <row r="141" spans="1:15" ht="32.25" customHeight="1">
      <c r="A141" s="893" t="s">
        <v>188</v>
      </c>
      <c r="B141" s="893"/>
      <c r="C141" s="893"/>
      <c r="D141" s="151" t="s">
        <v>183</v>
      </c>
      <c r="E141" s="95">
        <f>'11'!F141</f>
        <v>120126</v>
      </c>
      <c r="F141" s="149">
        <v>120352</v>
      </c>
      <c r="G141" s="112">
        <f t="shared" si="11"/>
        <v>226</v>
      </c>
      <c r="H141" s="99">
        <f>G141+'11'!H141</f>
        <v>2794.0200000000041</v>
      </c>
      <c r="I141" s="118"/>
      <c r="J141" s="328">
        <f>H141/DAY(B2)</f>
        <v>232.83500000000035</v>
      </c>
    </row>
    <row r="142" spans="1:15" ht="32.25" customHeight="1">
      <c r="A142" s="893" t="s">
        <v>189</v>
      </c>
      <c r="B142" s="893"/>
      <c r="C142" s="893"/>
      <c r="D142" s="151" t="s">
        <v>183</v>
      </c>
      <c r="E142" s="95">
        <f>'11'!F142</f>
        <v>48565</v>
      </c>
      <c r="F142" s="148">
        <v>48657.934999999998</v>
      </c>
      <c r="G142" s="112">
        <f t="shared" si="11"/>
        <v>92.934999999997672</v>
      </c>
      <c r="H142" s="99">
        <f>G142+'11'!H142</f>
        <v>1153.4349999999977</v>
      </c>
      <c r="I142" s="140"/>
      <c r="J142" s="328">
        <f>H142/DAY(B2)</f>
        <v>96.119583333333139</v>
      </c>
    </row>
    <row r="143" spans="1:15" ht="32.25" customHeight="1">
      <c r="A143" s="889" t="s">
        <v>91</v>
      </c>
      <c r="B143" s="889"/>
      <c r="C143" s="889"/>
      <c r="D143" s="151" t="s">
        <v>183</v>
      </c>
      <c r="E143" s="95">
        <f>'11'!F143</f>
        <v>12766.38</v>
      </c>
      <c r="F143" s="149">
        <v>12793</v>
      </c>
      <c r="G143" s="112">
        <f t="shared" si="11"/>
        <v>26.6200000000008</v>
      </c>
      <c r="H143" s="99">
        <f>G143+'11'!H143</f>
        <v>377.60000000000036</v>
      </c>
      <c r="I143" s="140"/>
      <c r="J143" s="328">
        <f>H143/DAY(B2)</f>
        <v>31.466666666666697</v>
      </c>
    </row>
    <row r="144" spans="1:15" ht="32.25" customHeight="1">
      <c r="A144" s="893" t="s">
        <v>90</v>
      </c>
      <c r="B144" s="893"/>
      <c r="C144" s="893"/>
      <c r="D144" s="151" t="s">
        <v>183</v>
      </c>
      <c r="E144" s="95">
        <f>'11'!F144</f>
        <v>950732</v>
      </c>
      <c r="F144" s="149">
        <v>950975</v>
      </c>
      <c r="G144" s="112">
        <f t="shared" si="11"/>
        <v>243</v>
      </c>
      <c r="H144" s="99">
        <f>G144+'11'!H144</f>
        <v>2777</v>
      </c>
      <c r="I144" s="140"/>
      <c r="J144" s="328">
        <f>H144/DAY(B2)</f>
        <v>231.41666666666666</v>
      </c>
    </row>
    <row r="145" spans="1:10" ht="32.25" customHeight="1">
      <c r="A145" s="889" t="s">
        <v>190</v>
      </c>
      <c r="B145" s="889"/>
      <c r="C145" s="889"/>
      <c r="D145" s="152" t="s">
        <v>183</v>
      </c>
      <c r="E145" s="95">
        <f>'11'!F145</f>
        <v>24142</v>
      </c>
      <c r="F145" s="149">
        <v>24262</v>
      </c>
      <c r="G145" s="112">
        <f t="shared" si="11"/>
        <v>120</v>
      </c>
      <c r="H145" s="99">
        <f>G145+'11'!H145</f>
        <v>1665.9000000000015</v>
      </c>
      <c r="I145" s="140"/>
      <c r="J145" s="328">
        <f>H145/DAY(B2)</f>
        <v>138.82500000000013</v>
      </c>
    </row>
    <row r="146" spans="1:10" ht="32.25" customHeight="1">
      <c r="A146" s="890" t="s">
        <v>191</v>
      </c>
      <c r="B146" s="891"/>
      <c r="C146" s="892"/>
      <c r="D146" s="152" t="s">
        <v>183</v>
      </c>
      <c r="E146" s="95">
        <f>'11'!F146</f>
        <v>787090</v>
      </c>
      <c r="F146" s="148">
        <v>787147</v>
      </c>
      <c r="G146" s="112">
        <f t="shared" si="11"/>
        <v>57</v>
      </c>
      <c r="H146" s="99">
        <f>G146+'11'!H146</f>
        <v>479</v>
      </c>
      <c r="I146" s="140"/>
      <c r="J146" s="328">
        <f>H146/DAY(B2)</f>
        <v>39.916666666666664</v>
      </c>
    </row>
    <row r="147" spans="1:10" ht="32.25" customHeight="1">
      <c r="A147" s="893" t="s">
        <v>192</v>
      </c>
      <c r="B147" s="893"/>
      <c r="C147" s="893"/>
      <c r="D147" s="152" t="s">
        <v>183</v>
      </c>
      <c r="E147" s="95">
        <f>'11'!F147</f>
        <v>752399</v>
      </c>
      <c r="F147" s="148">
        <v>752790.96</v>
      </c>
      <c r="G147" s="112">
        <f t="shared" si="11"/>
        <v>391.95999999996275</v>
      </c>
      <c r="H147" s="99">
        <f>G147+'11'!H147</f>
        <v>5236.7999999999302</v>
      </c>
      <c r="I147" s="140"/>
      <c r="J147" s="328">
        <f>H147/DAY(B2)</f>
        <v>436.39999999999418</v>
      </c>
    </row>
    <row r="148" spans="1:10" ht="32.25" customHeight="1">
      <c r="A148" s="886" t="s">
        <v>193</v>
      </c>
      <c r="B148" s="887"/>
      <c r="C148" s="888"/>
      <c r="D148" s="123" t="s">
        <v>130</v>
      </c>
      <c r="E148" s="95">
        <f>'11'!F148</f>
        <v>788897</v>
      </c>
      <c r="F148" s="403">
        <v>789348.88</v>
      </c>
      <c r="G148" s="112">
        <f t="shared" si="11"/>
        <v>451.88000000000466</v>
      </c>
      <c r="H148" s="99">
        <f>G148+'11'!H148</f>
        <v>4703.8800000000047</v>
      </c>
      <c r="I148" s="124"/>
      <c r="J148" s="328">
        <f>H148/DAY(B2)</f>
        <v>391.99000000000041</v>
      </c>
    </row>
    <row r="149" spans="1:10" ht="32.25" customHeight="1">
      <c r="A149" s="886" t="s">
        <v>336</v>
      </c>
      <c r="B149" s="887"/>
      <c r="C149" s="888"/>
      <c r="D149" s="227" t="s">
        <v>130</v>
      </c>
      <c r="E149" s="95">
        <f>'11'!F149</f>
        <v>190619</v>
      </c>
      <c r="F149" s="146">
        <v>191071.55</v>
      </c>
      <c r="G149" s="112">
        <f t="shared" si="11"/>
        <v>452.54999999998836</v>
      </c>
      <c r="H149" s="99">
        <f>G149+'11'!H149</f>
        <v>5774.6599999999744</v>
      </c>
      <c r="I149" s="119"/>
      <c r="J149" s="328">
        <f>H149/DAY(B2)</f>
        <v>481.22166666666453</v>
      </c>
    </row>
    <row r="150" spans="1:10" ht="32.25" customHeight="1">
      <c r="A150" s="886" t="s">
        <v>337</v>
      </c>
      <c r="B150" s="887"/>
      <c r="C150" s="888"/>
      <c r="D150" s="117" t="s">
        <v>130</v>
      </c>
      <c r="E150" s="95">
        <f>'11'!F150</f>
        <v>80224</v>
      </c>
      <c r="F150" s="233">
        <v>81421</v>
      </c>
      <c r="G150" s="112">
        <f t="shared" si="11"/>
        <v>1197</v>
      </c>
      <c r="H150" s="99">
        <f>G150+'11'!H150</f>
        <v>3754.6999999999971</v>
      </c>
      <c r="I150" s="119"/>
      <c r="J150" s="328">
        <f>H150/DAY(B2)</f>
        <v>312.89166666666642</v>
      </c>
    </row>
    <row r="151" spans="1:10" ht="32.25" customHeight="1">
      <c r="A151" s="886" t="s">
        <v>338</v>
      </c>
      <c r="B151" s="887"/>
      <c r="C151" s="888"/>
      <c r="D151" s="117" t="s">
        <v>130</v>
      </c>
      <c r="E151" s="95">
        <f>'11'!F151</f>
        <v>161045</v>
      </c>
      <c r="F151" s="233">
        <v>161295</v>
      </c>
      <c r="G151" s="112">
        <f t="shared" si="11"/>
        <v>250</v>
      </c>
      <c r="H151" s="99">
        <f>G151+'11'!H151</f>
        <v>2985</v>
      </c>
      <c r="I151" s="119"/>
      <c r="J151" s="328">
        <f>H151/DAY(B2)</f>
        <v>248.75</v>
      </c>
    </row>
    <row r="152" spans="1:10" ht="32.25" customHeight="1">
      <c r="A152" s="886" t="s">
        <v>339</v>
      </c>
      <c r="B152" s="887"/>
      <c r="C152" s="888"/>
      <c r="D152" s="117" t="s">
        <v>130</v>
      </c>
      <c r="E152" s="95">
        <f>'11'!F152</f>
        <v>40142</v>
      </c>
      <c r="F152" s="233">
        <v>40280</v>
      </c>
      <c r="G152" s="112">
        <f t="shared" si="11"/>
        <v>138</v>
      </c>
      <c r="H152" s="99">
        <f>G152+'11'!H152</f>
        <v>1664.0999999999985</v>
      </c>
      <c r="I152" s="119"/>
      <c r="J152" s="328">
        <f>H152/DAY(B2)</f>
        <v>138.67499999999987</v>
      </c>
    </row>
    <row r="153" spans="1:10" ht="32.25" customHeight="1">
      <c r="A153" s="853" t="s">
        <v>196</v>
      </c>
      <c r="B153" s="854"/>
      <c r="C153" s="365"/>
      <c r="D153" s="358"/>
      <c r="E153" s="360"/>
      <c r="F153" s="361"/>
      <c r="G153" s="362">
        <f>SUM(G138:G152)</f>
        <v>3943.5449999999541</v>
      </c>
      <c r="H153" s="363"/>
      <c r="I153" s="119">
        <f>G153-(G38+G52)</f>
        <v>1513.6249999999031</v>
      </c>
      <c r="J153" s="366"/>
    </row>
    <row r="154" spans="1:10" ht="32.25" customHeight="1">
      <c r="A154" s="924" t="s">
        <v>344</v>
      </c>
      <c r="B154" s="924"/>
      <c r="C154" s="924"/>
      <c r="D154" s="924"/>
      <c r="E154" s="924"/>
      <c r="F154" s="924"/>
      <c r="G154" s="924"/>
      <c r="H154" s="924"/>
      <c r="I154" s="924"/>
      <c r="J154" s="924"/>
    </row>
    <row r="155" spans="1:10" ht="32.25" customHeight="1">
      <c r="A155" s="893" t="s">
        <v>345</v>
      </c>
      <c r="B155" s="893"/>
      <c r="C155" s="893"/>
      <c r="D155" s="117" t="s">
        <v>130</v>
      </c>
      <c r="E155" s="95">
        <f>'11'!F155</f>
        <v>226821</v>
      </c>
      <c r="F155" s="374">
        <v>227420</v>
      </c>
      <c r="G155" s="112">
        <f t="shared" ref="G155:G158" si="12">F155-E155</f>
        <v>599</v>
      </c>
      <c r="H155" s="99">
        <f>G155+'11'!H155</f>
        <v>7432.2999999999884</v>
      </c>
      <c r="I155" s="364"/>
      <c r="J155" s="328">
        <f>H155/DAY(B2)</f>
        <v>619.35833333333233</v>
      </c>
    </row>
    <row r="156" spans="1:10" ht="32.25" customHeight="1">
      <c r="A156" s="893" t="s">
        <v>347</v>
      </c>
      <c r="B156" s="893"/>
      <c r="C156" s="893"/>
      <c r="D156" s="117" t="s">
        <v>130</v>
      </c>
      <c r="E156" s="95">
        <f>'11'!F156</f>
        <v>27584</v>
      </c>
      <c r="F156" s="155">
        <v>27674</v>
      </c>
      <c r="G156" s="112">
        <f t="shared" si="12"/>
        <v>90</v>
      </c>
      <c r="H156" s="99">
        <f>G156+'11'!H156</f>
        <v>1143.7999999999993</v>
      </c>
      <c r="I156" s="165"/>
      <c r="J156" s="328">
        <f>H156/DAY(B2)</f>
        <v>95.316666666666606</v>
      </c>
    </row>
    <row r="157" spans="1:10" ht="32.25" customHeight="1">
      <c r="A157" s="886" t="s">
        <v>360</v>
      </c>
      <c r="B157" s="887"/>
      <c r="C157" s="888"/>
      <c r="D157" s="117" t="s">
        <v>130</v>
      </c>
      <c r="E157" s="95">
        <f>'11'!F157</f>
        <v>37559</v>
      </c>
      <c r="F157" s="155">
        <v>37559</v>
      </c>
      <c r="G157" s="112">
        <f t="shared" si="12"/>
        <v>0</v>
      </c>
      <c r="H157" s="99">
        <f>G157+'11'!H157</f>
        <v>0</v>
      </c>
      <c r="I157" s="165"/>
      <c r="J157" s="328">
        <f>H157/DAY(B2)</f>
        <v>0</v>
      </c>
    </row>
    <row r="158" spans="1:10" ht="32.25" customHeight="1">
      <c r="A158" s="886" t="s">
        <v>361</v>
      </c>
      <c r="B158" s="887"/>
      <c r="C158" s="888"/>
      <c r="D158" s="117" t="s">
        <v>130</v>
      </c>
      <c r="E158" s="95">
        <f>'11'!F158</f>
        <v>1706.72</v>
      </c>
      <c r="F158" s="155">
        <v>1718</v>
      </c>
      <c r="G158" s="112">
        <f t="shared" si="12"/>
        <v>11.279999999999973</v>
      </c>
      <c r="H158" s="99">
        <f>G158+'11'!H158</f>
        <v>156.65000000000009</v>
      </c>
      <c r="I158" s="165"/>
      <c r="J158" s="328">
        <f>H158/DAY(B2)</f>
        <v>13.054166666666674</v>
      </c>
    </row>
    <row r="159" spans="1:10" ht="32.25" customHeight="1">
      <c r="A159" s="942"/>
      <c r="B159" s="943"/>
      <c r="C159" s="944"/>
      <c r="D159" s="117"/>
      <c r="E159" s="95"/>
      <c r="F159" s="165"/>
      <c r="G159" s="362">
        <f>SUM(G155:G158)</f>
        <v>700.28</v>
      </c>
      <c r="H159" s="99"/>
      <c r="I159" s="165"/>
      <c r="J159" s="328"/>
    </row>
    <row r="160" spans="1:10" ht="32.25" customHeight="1">
      <c r="A160" s="924" t="s">
        <v>326</v>
      </c>
      <c r="B160" s="924"/>
      <c r="C160" s="924"/>
      <c r="D160" s="924"/>
      <c r="E160" s="924"/>
      <c r="F160" s="924"/>
      <c r="G160" s="924"/>
      <c r="H160" s="924"/>
      <c r="I160" s="924"/>
      <c r="J160" s="924"/>
    </row>
    <row r="161" spans="1:10" ht="32.25" customHeight="1">
      <c r="A161" s="242" t="s">
        <v>92</v>
      </c>
      <c r="B161" s="243"/>
      <c r="C161" s="243"/>
      <c r="D161" s="244" t="s">
        <v>180</v>
      </c>
      <c r="E161" s="95">
        <f>'11'!F161</f>
        <v>505006</v>
      </c>
      <c r="F161" s="235">
        <v>505233.4</v>
      </c>
      <c r="G161" s="238">
        <f t="shared" ref="G161:G165" si="13">F161-E161</f>
        <v>227.40000000002328</v>
      </c>
      <c r="H161" s="99">
        <f>G161+'11'!H161</f>
        <v>1862.2400000000489</v>
      </c>
      <c r="I161" s="236"/>
      <c r="J161" s="239">
        <f>H161/DAY(B2)</f>
        <v>155.18666666667073</v>
      </c>
    </row>
    <row r="162" spans="1:10" ht="32.25" customHeight="1">
      <c r="A162" s="242" t="s">
        <v>93</v>
      </c>
      <c r="B162" s="243"/>
      <c r="C162" s="243"/>
      <c r="D162" s="244" t="s">
        <v>180</v>
      </c>
      <c r="E162" s="95">
        <f>'11'!F162</f>
        <v>100067.8</v>
      </c>
      <c r="F162" s="235">
        <v>100109</v>
      </c>
      <c r="G162" s="238">
        <f t="shared" si="13"/>
        <v>41.19999999999709</v>
      </c>
      <c r="H162" s="99">
        <f>G162+'11'!H162</f>
        <v>455.39999999999418</v>
      </c>
      <c r="I162" s="236"/>
      <c r="J162" s="239">
        <f>H162/DAY(B2)</f>
        <v>37.949999999999513</v>
      </c>
    </row>
    <row r="163" spans="1:10" ht="32.25" customHeight="1">
      <c r="A163" s="242" t="s">
        <v>197</v>
      </c>
      <c r="B163" s="243"/>
      <c r="C163" s="243"/>
      <c r="D163" s="244" t="s">
        <v>180</v>
      </c>
      <c r="E163" s="95">
        <f>'11'!F163</f>
        <v>0</v>
      </c>
      <c r="F163" s="235">
        <v>0</v>
      </c>
      <c r="G163" s="238">
        <f t="shared" si="13"/>
        <v>0</v>
      </c>
      <c r="H163" s="99">
        <f>G163+'11'!H163</f>
        <v>0</v>
      </c>
      <c r="I163" s="236"/>
      <c r="J163" s="239">
        <f>H163/DAY(B2)</f>
        <v>0</v>
      </c>
    </row>
    <row r="164" spans="1:10" ht="32.25" customHeight="1">
      <c r="A164" s="242" t="s">
        <v>197</v>
      </c>
      <c r="B164" s="243"/>
      <c r="C164" s="243"/>
      <c r="D164" s="244" t="s">
        <v>180</v>
      </c>
      <c r="E164" s="95">
        <f>'11'!F164</f>
        <v>7087</v>
      </c>
      <c r="F164" s="235">
        <v>7094.5</v>
      </c>
      <c r="G164" s="238">
        <f t="shared" si="13"/>
        <v>7.5</v>
      </c>
      <c r="H164" s="99">
        <f>G164+'11'!H164</f>
        <v>104.30000000000018</v>
      </c>
      <c r="I164" s="236"/>
      <c r="J164" s="239">
        <f>H164/DAY(B2)</f>
        <v>8.6916666666666824</v>
      </c>
    </row>
    <row r="165" spans="1:10" ht="32.25" customHeight="1">
      <c r="A165" s="242" t="s">
        <v>309</v>
      </c>
      <c r="B165" s="243"/>
      <c r="C165" s="243"/>
      <c r="D165" s="244" t="s">
        <v>180</v>
      </c>
      <c r="E165" s="95">
        <f>'11'!F165</f>
        <v>32646</v>
      </c>
      <c r="F165" s="235">
        <v>32655.84</v>
      </c>
      <c r="G165" s="238">
        <f t="shared" si="13"/>
        <v>9.8400000000001455</v>
      </c>
      <c r="H165" s="99">
        <f>G165+'11'!H165</f>
        <v>81.740000000001601</v>
      </c>
      <c r="I165" s="236"/>
      <c r="J165" s="239">
        <f>H165/DAY(B2)</f>
        <v>6.8116666666667998</v>
      </c>
    </row>
    <row r="166" spans="1:10" ht="32.25" customHeight="1">
      <c r="A166" s="923"/>
      <c r="B166" s="923"/>
      <c r="C166" s="246"/>
      <c r="D166" s="244" t="s">
        <v>180</v>
      </c>
      <c r="E166" s="95" t="str">
        <f>'11'!F166</f>
        <v xml:space="preserve"> </v>
      </c>
      <c r="F166" s="165"/>
      <c r="G166" s="165"/>
      <c r="H166" s="99">
        <f>G166+'11'!H166</f>
        <v>0</v>
      </c>
      <c r="I166" s="165"/>
      <c r="J166" s="239">
        <f>H166/DAY(B2)</f>
        <v>0</v>
      </c>
    </row>
    <row r="167" spans="1:10" ht="32.25" customHeight="1">
      <c r="A167" s="923"/>
      <c r="B167" s="923"/>
      <c r="C167" s="246"/>
      <c r="D167" s="244" t="s">
        <v>180</v>
      </c>
      <c r="E167" s="95">
        <f>'11'!F167</f>
        <v>0</v>
      </c>
      <c r="F167" s="165">
        <v>0</v>
      </c>
      <c r="G167" s="165"/>
      <c r="H167" s="99">
        <f>G167+'11'!H167</f>
        <v>0</v>
      </c>
      <c r="I167" s="165"/>
      <c r="J167" s="239">
        <f>H167/DAY(B2)</f>
        <v>0</v>
      </c>
    </row>
    <row r="168" spans="1:10" ht="32.25" customHeight="1">
      <c r="A168" s="923"/>
      <c r="B168" s="923"/>
      <c r="C168" s="246"/>
      <c r="D168" s="244" t="s">
        <v>180</v>
      </c>
      <c r="E168" s="95">
        <f>'11'!F168</f>
        <v>0</v>
      </c>
      <c r="F168" s="165">
        <v>0</v>
      </c>
      <c r="G168" s="165"/>
      <c r="H168" s="99">
        <f>G168+'11'!H168</f>
        <v>0</v>
      </c>
      <c r="I168" s="165"/>
      <c r="J168" s="239">
        <f>H168/DAY(B2)</f>
        <v>0</v>
      </c>
    </row>
    <row r="171" spans="1:10" ht="32.25" customHeight="1">
      <c r="A171" s="933" t="s">
        <v>330</v>
      </c>
      <c r="B171" s="934"/>
      <c r="C171" s="934"/>
      <c r="D171" s="934"/>
      <c r="E171" s="934"/>
      <c r="F171" s="934"/>
      <c r="G171" s="934"/>
      <c r="H171" s="934"/>
      <c r="I171" s="934"/>
      <c r="J171" s="935"/>
    </row>
    <row r="172" spans="1:10" ht="32.25" customHeight="1">
      <c r="A172" s="929"/>
      <c r="B172" s="930"/>
      <c r="C172" s="332"/>
      <c r="D172" s="228"/>
      <c r="E172" s="155"/>
      <c r="F172" s="155"/>
      <c r="G172" s="155"/>
      <c r="H172" s="156"/>
      <c r="I172" s="155"/>
      <c r="J172" s="178"/>
    </row>
    <row r="173" spans="1:10" ht="32.25" customHeight="1">
      <c r="A173" s="841" t="s">
        <v>209</v>
      </c>
      <c r="B173" s="843"/>
      <c r="C173" s="333"/>
      <c r="D173" s="228" t="s">
        <v>142</v>
      </c>
      <c r="E173" s="157">
        <f>'11'!F173</f>
        <v>8600</v>
      </c>
      <c r="F173" s="155">
        <v>8600</v>
      </c>
      <c r="G173" s="155">
        <f>F173-E173</f>
        <v>0</v>
      </c>
      <c r="H173" s="99">
        <f>G173+'11'!H173</f>
        <v>16</v>
      </c>
      <c r="I173" s="155"/>
      <c r="J173" s="178">
        <f>H173/DAY(B2)</f>
        <v>1.3333333333333333</v>
      </c>
    </row>
    <row r="174" spans="1:10" ht="32.25" customHeight="1">
      <c r="A174" s="841" t="s">
        <v>75</v>
      </c>
      <c r="B174" s="843"/>
      <c r="C174" s="333"/>
      <c r="D174" s="228" t="s">
        <v>142</v>
      </c>
      <c r="E174" s="157">
        <f>'11'!F174</f>
        <v>42798</v>
      </c>
      <c r="F174" s="157">
        <v>42809</v>
      </c>
      <c r="G174" s="155">
        <f t="shared" ref="G174:G175" si="14">F174-E174</f>
        <v>11</v>
      </c>
      <c r="H174" s="99">
        <f>G174+'11'!H174</f>
        <v>140</v>
      </c>
      <c r="I174" s="155"/>
      <c r="J174" s="178">
        <f>H174/DAY(B2)</f>
        <v>11.666666666666666</v>
      </c>
    </row>
    <row r="175" spans="1:10" ht="32.25" customHeight="1">
      <c r="A175" s="841" t="s">
        <v>76</v>
      </c>
      <c r="B175" s="842"/>
      <c r="C175" s="843"/>
      <c r="D175" s="228" t="s">
        <v>142</v>
      </c>
      <c r="E175" s="157">
        <f>'11'!F175</f>
        <v>25535</v>
      </c>
      <c r="F175" s="155">
        <v>25547</v>
      </c>
      <c r="G175" s="155">
        <f t="shared" si="14"/>
        <v>12</v>
      </c>
      <c r="H175" s="99">
        <f>G175+'11'!H175</f>
        <v>154</v>
      </c>
      <c r="I175" s="155"/>
      <c r="J175" s="178">
        <f>H175/DAY(B2)</f>
        <v>12.833333333333334</v>
      </c>
    </row>
    <row r="176" spans="1:10" ht="32.25" customHeight="1">
      <c r="A176" s="462" t="s">
        <v>196</v>
      </c>
      <c r="B176" s="463"/>
      <c r="C176" s="400"/>
      <c r="D176" s="228" t="s">
        <v>142</v>
      </c>
      <c r="E176" s="95"/>
      <c r="F176" s="155"/>
      <c r="G176" s="155">
        <f>SUM(G173:G175)</f>
        <v>23</v>
      </c>
      <c r="H176" s="99">
        <f>G176+'11'!H176</f>
        <v>310</v>
      </c>
      <c r="I176" s="155"/>
      <c r="J176" s="178">
        <f>H176/DAY(B2)</f>
        <v>25.833333333333332</v>
      </c>
    </row>
    <row r="177" spans="1:10" ht="32.25" customHeight="1">
      <c r="A177" s="841" t="s">
        <v>77</v>
      </c>
      <c r="B177" s="843"/>
      <c r="C177" s="333"/>
      <c r="D177" s="228" t="s">
        <v>142</v>
      </c>
      <c r="E177" s="95"/>
      <c r="F177" s="155"/>
      <c r="G177" s="155"/>
      <c r="H177" s="99">
        <f>G177+'11'!H177</f>
        <v>0</v>
      </c>
      <c r="I177" s="155"/>
      <c r="J177" s="178">
        <f>H177/DAY(B2)</f>
        <v>0</v>
      </c>
    </row>
    <row r="178" spans="1:10" ht="32.25" customHeight="1">
      <c r="A178" s="841" t="s">
        <v>210</v>
      </c>
      <c r="B178" s="843"/>
      <c r="C178" s="333"/>
      <c r="D178" s="228" t="s">
        <v>142</v>
      </c>
      <c r="E178" s="95">
        <f>'11'!F178</f>
        <v>104480</v>
      </c>
      <c r="F178" s="155">
        <v>104604</v>
      </c>
      <c r="G178" s="155">
        <f>F178-E178</f>
        <v>124</v>
      </c>
      <c r="H178" s="99">
        <f>G178+'11'!H178</f>
        <v>961</v>
      </c>
      <c r="I178" s="155"/>
      <c r="J178" s="178">
        <f>H178/DAY(B2)</f>
        <v>80.083333333333329</v>
      </c>
    </row>
    <row r="179" spans="1:10" ht="32.25" customHeight="1">
      <c r="A179" s="841" t="s">
        <v>211</v>
      </c>
      <c r="B179" s="843"/>
      <c r="C179" s="333"/>
      <c r="D179" s="228" t="s">
        <v>142</v>
      </c>
      <c r="E179" s="95">
        <f>'11'!F179</f>
        <v>37501</v>
      </c>
      <c r="F179" s="155">
        <v>37501</v>
      </c>
      <c r="G179" s="155">
        <f t="shared" ref="G179:G180" si="15">F179-E179</f>
        <v>0</v>
      </c>
      <c r="H179" s="99">
        <f>G179+'11'!H179</f>
        <v>0</v>
      </c>
      <c r="I179" s="155"/>
      <c r="J179" s="178">
        <f>H179/DAY(B2)</f>
        <v>0</v>
      </c>
    </row>
    <row r="180" spans="1:10" ht="32.25" customHeight="1">
      <c r="A180" s="841" t="s">
        <v>212</v>
      </c>
      <c r="B180" s="843"/>
      <c r="C180" s="333"/>
      <c r="D180" s="228" t="s">
        <v>142</v>
      </c>
      <c r="E180" s="95">
        <f>'11'!F180</f>
        <v>7439</v>
      </c>
      <c r="F180" s="155">
        <v>7439</v>
      </c>
      <c r="G180" s="155">
        <f t="shared" si="15"/>
        <v>0</v>
      </c>
      <c r="H180" s="99">
        <f>G180+'11'!H180</f>
        <v>19</v>
      </c>
      <c r="I180" s="155"/>
      <c r="J180" s="178">
        <f>H180/DAY(B2)</f>
        <v>1.5833333333333333</v>
      </c>
    </row>
    <row r="181" spans="1:10" ht="32.25" customHeight="1">
      <c r="A181" s="927" t="s">
        <v>108</v>
      </c>
      <c r="B181" s="928"/>
      <c r="C181" s="400"/>
      <c r="D181" s="228" t="s">
        <v>142</v>
      </c>
      <c r="E181" s="95"/>
      <c r="F181" s="155"/>
      <c r="G181" s="155">
        <f>SUM(G178:G180)</f>
        <v>124</v>
      </c>
      <c r="H181" s="99">
        <f>G181+'11'!H181</f>
        <v>980</v>
      </c>
      <c r="I181" s="155"/>
      <c r="J181" s="178">
        <f>H181/DAY(B2)</f>
        <v>81.666666666666671</v>
      </c>
    </row>
    <row r="182" spans="1:10" ht="32.25" customHeight="1">
      <c r="A182" s="841" t="s">
        <v>213</v>
      </c>
      <c r="B182" s="843"/>
      <c r="C182" s="333"/>
      <c r="D182" s="228" t="s">
        <v>142</v>
      </c>
      <c r="E182" s="95"/>
      <c r="F182" s="155"/>
      <c r="G182" s="155"/>
      <c r="H182" s="99">
        <f>G182+'11'!H182</f>
        <v>0</v>
      </c>
      <c r="I182" s="155"/>
      <c r="J182" s="178">
        <f>H182/DAY(B2)</f>
        <v>0</v>
      </c>
    </row>
    <row r="183" spans="1:10" ht="32.25" customHeight="1">
      <c r="A183" s="841" t="s">
        <v>214</v>
      </c>
      <c r="B183" s="843"/>
      <c r="C183" s="334"/>
      <c r="D183" s="228" t="s">
        <v>142</v>
      </c>
      <c r="E183" s="95">
        <f>'11'!F183</f>
        <v>18229</v>
      </c>
      <c r="F183" s="157">
        <v>18238</v>
      </c>
      <c r="G183" s="157">
        <f>F183-E183</f>
        <v>9</v>
      </c>
      <c r="H183" s="99">
        <f>G183+'11'!H183</f>
        <v>70</v>
      </c>
      <c r="I183" s="155"/>
      <c r="J183" s="178">
        <f>H183/DAY(B2)</f>
        <v>5.833333333333333</v>
      </c>
    </row>
    <row r="184" spans="1:10" ht="32.25" customHeight="1">
      <c r="A184" s="841" t="s">
        <v>215</v>
      </c>
      <c r="B184" s="843"/>
      <c r="C184" s="334"/>
      <c r="D184" s="228" t="s">
        <v>142</v>
      </c>
      <c r="E184" s="95">
        <f>'11'!F184</f>
        <v>12833</v>
      </c>
      <c r="F184" s="157">
        <v>12838</v>
      </c>
      <c r="G184" s="157">
        <f t="shared" ref="G184:G185" si="16">F184-E184</f>
        <v>5</v>
      </c>
      <c r="H184" s="99">
        <f>G184+'11'!H184</f>
        <v>88</v>
      </c>
      <c r="I184" s="155"/>
      <c r="J184" s="178">
        <f>H184/DAY(B2)</f>
        <v>7.333333333333333</v>
      </c>
    </row>
    <row r="185" spans="1:10" ht="32.25" customHeight="1">
      <c r="A185" s="841" t="s">
        <v>216</v>
      </c>
      <c r="B185" s="843"/>
      <c r="C185" s="334"/>
      <c r="D185" s="228" t="s">
        <v>142</v>
      </c>
      <c r="E185" s="95">
        <f>'11'!F185</f>
        <v>0</v>
      </c>
      <c r="F185" s="157">
        <v>0</v>
      </c>
      <c r="G185" s="157">
        <f t="shared" si="16"/>
        <v>0</v>
      </c>
      <c r="H185" s="99">
        <f>G185+'11'!H185</f>
        <v>0</v>
      </c>
      <c r="I185" s="155"/>
      <c r="J185" s="178">
        <f>H185/DAY(B2)</f>
        <v>0</v>
      </c>
    </row>
    <row r="186" spans="1:10" ht="32.25" customHeight="1">
      <c r="A186" s="853" t="s">
        <v>196</v>
      </c>
      <c r="B186" s="854"/>
      <c r="C186" s="399"/>
      <c r="D186" s="228" t="s">
        <v>142</v>
      </c>
      <c r="E186" s="95"/>
      <c r="F186" s="157"/>
      <c r="G186" s="157">
        <f>SUM(G183:G185)</f>
        <v>14</v>
      </c>
      <c r="H186" s="99">
        <f>G186+'11'!H186</f>
        <v>158</v>
      </c>
      <c r="I186" s="157"/>
      <c r="J186" s="178">
        <f>H186/DAY(B2)</f>
        <v>13.166666666666666</v>
      </c>
    </row>
    <row r="187" spans="1:10" ht="32.25" customHeight="1">
      <c r="A187" s="931" t="s">
        <v>217</v>
      </c>
      <c r="B187" s="932"/>
      <c r="C187" s="333"/>
      <c r="D187" s="230" t="s">
        <v>142</v>
      </c>
      <c r="E187" s="95"/>
      <c r="F187" s="159"/>
      <c r="G187" s="377">
        <f>G62+G19</f>
        <v>162</v>
      </c>
      <c r="H187" s="99">
        <f>G187+'11'!H187</f>
        <v>2061</v>
      </c>
      <c r="I187" s="158"/>
      <c r="J187" s="179">
        <f>H187/DAY(B2)</f>
        <v>171.75</v>
      </c>
    </row>
    <row r="188" spans="1:10" ht="32.25" customHeight="1">
      <c r="A188" s="931" t="s">
        <v>218</v>
      </c>
      <c r="B188" s="932"/>
      <c r="C188" s="333"/>
      <c r="D188" s="230" t="s">
        <v>142</v>
      </c>
      <c r="E188" s="95"/>
      <c r="F188" s="159"/>
      <c r="G188" s="377">
        <f>G65+G66+G67+G69+G70</f>
        <v>157</v>
      </c>
      <c r="H188" s="99">
        <f>G188+'11'!H188</f>
        <v>57534</v>
      </c>
      <c r="I188" s="158"/>
      <c r="J188" s="179">
        <f>H188/DAY(B2)</f>
        <v>4794.5</v>
      </c>
    </row>
    <row r="189" spans="1:10" ht="32.25" customHeight="1">
      <c r="A189" s="931" t="s">
        <v>219</v>
      </c>
      <c r="B189" s="932"/>
      <c r="C189" s="333"/>
      <c r="D189" s="230" t="s">
        <v>142</v>
      </c>
      <c r="E189" s="95"/>
      <c r="F189" s="157"/>
      <c r="G189" s="518">
        <f>G181</f>
        <v>124</v>
      </c>
      <c r="H189" s="99">
        <f>G189+'11'!H189</f>
        <v>980</v>
      </c>
      <c r="I189" s="158"/>
      <c r="J189" s="179">
        <f>H189/DAY(B2)</f>
        <v>81.666666666666671</v>
      </c>
    </row>
    <row r="190" spans="1:10" ht="32.25" customHeight="1">
      <c r="A190" s="925"/>
      <c r="B190" s="926"/>
      <c r="C190" s="398"/>
      <c r="D190" s="395"/>
      <c r="E190" s="392"/>
      <c r="F190" s="395"/>
      <c r="G190" s="395"/>
      <c r="H190" s="401"/>
      <c r="I190" s="395"/>
      <c r="J190" s="397"/>
    </row>
  </sheetData>
  <mergeCells count="114"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84:B184"/>
    <mergeCell ref="A185:B185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7:C147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61:C61"/>
    <mergeCell ref="A62:C62"/>
    <mergeCell ref="A63:C63"/>
    <mergeCell ref="A71:C71"/>
    <mergeCell ref="A72:B72"/>
    <mergeCell ref="A181:B181"/>
    <mergeCell ref="A183:B183"/>
    <mergeCell ref="A175:C175"/>
    <mergeCell ref="A182:B182"/>
    <mergeCell ref="A177:B177"/>
    <mergeCell ref="A178:B178"/>
    <mergeCell ref="A179:B179"/>
    <mergeCell ref="A180:B180"/>
    <mergeCell ref="A79:C79"/>
    <mergeCell ref="A80:C80"/>
    <mergeCell ref="A81:C81"/>
    <mergeCell ref="A115:C115"/>
    <mergeCell ref="A116:C116"/>
    <mergeCell ref="A119:C119"/>
    <mergeCell ref="A120:C120"/>
    <mergeCell ref="A121:C121"/>
    <mergeCell ref="A122:C122"/>
    <mergeCell ref="A148:C148"/>
    <mergeCell ref="A149:C149"/>
    <mergeCell ref="A123:C123"/>
    <mergeCell ref="A109:B109"/>
    <mergeCell ref="A93:C93"/>
    <mergeCell ref="A94:C94"/>
    <mergeCell ref="A64:C64"/>
    <mergeCell ref="A65:C65"/>
    <mergeCell ref="A73:C73"/>
    <mergeCell ref="A74:C74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95:C95"/>
    <mergeCell ref="A96:C96"/>
    <mergeCell ref="A102:C102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1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R190"/>
  <sheetViews>
    <sheetView view="pageBreakPreview" topLeftCell="A4" zoomScale="55" zoomScaleSheetLayoutView="55" workbookViewId="0">
      <selection activeCell="H18" sqref="H18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867" t="s">
        <v>115</v>
      </c>
      <c r="B1" s="868"/>
      <c r="C1" s="868"/>
      <c r="D1" s="868"/>
      <c r="E1" s="868"/>
      <c r="F1" s="868"/>
      <c r="G1" s="868"/>
      <c r="H1" s="868"/>
      <c r="I1" s="868"/>
      <c r="J1" s="869"/>
    </row>
    <row r="2" spans="1:15" s="57" customFormat="1" ht="27.75" customHeight="1">
      <c r="A2" s="191" t="s">
        <v>374</v>
      </c>
      <c r="B2" s="262">
        <v>44908</v>
      </c>
      <c r="C2" s="348" t="s">
        <v>67</v>
      </c>
      <c r="D2" s="218">
        <v>0.49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33</v>
      </c>
      <c r="E3" s="876" t="s">
        <v>119</v>
      </c>
      <c r="F3" s="877"/>
      <c r="G3" s="101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0.82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870" t="s">
        <v>128</v>
      </c>
      <c r="B6" s="871"/>
      <c r="C6" s="87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'12'!F7</f>
        <v>547020</v>
      </c>
      <c r="F7" s="95">
        <v>569813</v>
      </c>
      <c r="G7" s="112">
        <f>F7-E7</f>
        <v>22793</v>
      </c>
      <c r="H7" s="99">
        <f>G7+'12'!H7</f>
        <v>296130.45</v>
      </c>
      <c r="I7" s="113">
        <f>'1'!I7</f>
        <v>12000</v>
      </c>
      <c r="J7" s="175">
        <f>H7/DAY(B2)</f>
        <v>22779.265384615384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'12'!F8</f>
        <v>725796</v>
      </c>
      <c r="F8" s="114">
        <v>748843</v>
      </c>
      <c r="G8" s="115">
        <f>F8-E8</f>
        <v>23047</v>
      </c>
      <c r="H8" s="99">
        <f>G8+'12'!H8</f>
        <v>297582</v>
      </c>
      <c r="I8" s="116"/>
      <c r="J8" s="175">
        <f>H8/DAY(B2)</f>
        <v>22890.923076923078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'12'!F9</f>
        <v>4191625</v>
      </c>
      <c r="F9" s="468">
        <v>4198587</v>
      </c>
      <c r="G9" s="112">
        <f>F9-E9</f>
        <v>6962</v>
      </c>
      <c r="H9" s="99">
        <f>G9+'12'!H9</f>
        <v>84416.700000000186</v>
      </c>
      <c r="I9" s="124">
        <f>I7-J7</f>
        <v>-10779.265384615384</v>
      </c>
      <c r="J9" s="175">
        <f>H9/DAY(B2)</f>
        <v>6493.5923076923218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'12'!F10</f>
        <v>3878041</v>
      </c>
      <c r="F10" s="353">
        <v>3892599</v>
      </c>
      <c r="G10" s="112">
        <f t="shared" ref="G10:G12" si="0">F10-E10</f>
        <v>14558</v>
      </c>
      <c r="H10" s="99">
        <f>G10+'12'!H10</f>
        <v>203119.89999999991</v>
      </c>
      <c r="I10" s="282"/>
      <c r="J10" s="175">
        <f>H10/DAY(B2)</f>
        <v>15624.607692307685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'12'!F11</f>
        <v>38120</v>
      </c>
      <c r="F11" s="468">
        <v>38120</v>
      </c>
      <c r="G11" s="112">
        <f t="shared" si="0"/>
        <v>0</v>
      </c>
      <c r="H11" s="99">
        <f>G11+'12'!H11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'12'!F12</f>
        <v>40390</v>
      </c>
      <c r="F12" s="117">
        <v>40390</v>
      </c>
      <c r="G12" s="112">
        <f t="shared" si="0"/>
        <v>0</v>
      </c>
      <c r="H12" s="99">
        <f>G12+'12'!H12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21520</v>
      </c>
      <c r="H13" s="99">
        <f>G13+'12'!H13</f>
        <v>291765.29999999981</v>
      </c>
      <c r="I13" s="120">
        <f>G7-G13</f>
        <v>1273</v>
      </c>
      <c r="J13" s="175">
        <f>H13/DAY(B2)</f>
        <v>22443.484615384601</v>
      </c>
      <c r="K13" s="79"/>
      <c r="L13" s="66"/>
      <c r="N13" s="87"/>
      <c r="O13" s="71"/>
    </row>
    <row r="14" spans="1:15" ht="27.75" customHeight="1">
      <c r="A14" s="873" t="s">
        <v>137</v>
      </c>
      <c r="B14" s="874"/>
      <c r="C14" s="87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68">
        <f>'12'!F15</f>
        <v>2232118</v>
      </c>
      <c r="F15" s="468">
        <v>2233132</v>
      </c>
      <c r="G15" s="112">
        <f>(F15-E15)</f>
        <v>1014</v>
      </c>
      <c r="H15" s="99">
        <f>G15+'12'!H15</f>
        <v>14191</v>
      </c>
      <c r="I15" s="113">
        <f>'1'!I15</f>
        <v>800</v>
      </c>
      <c r="J15" s="175">
        <f>H15/DAY(B2)</f>
        <v>1091.6153846153845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-291.61538461538453</v>
      </c>
      <c r="J16" s="176"/>
      <c r="K16" s="79"/>
      <c r="L16" s="66"/>
      <c r="N16" s="87"/>
      <c r="O16" s="71"/>
    </row>
    <row r="17" spans="1:15" ht="27.75" customHeight="1">
      <c r="A17" s="873" t="s">
        <v>140</v>
      </c>
      <c r="B17" s="874"/>
      <c r="C17" s="87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>
      <c r="A18" s="864" t="s">
        <v>141</v>
      </c>
      <c r="B18" s="865"/>
      <c r="C18" s="866"/>
      <c r="D18" s="151" t="s">
        <v>142</v>
      </c>
      <c r="E18" s="95">
        <f>'12'!F18</f>
        <v>35</v>
      </c>
      <c r="F18" s="122">
        <v>33</v>
      </c>
      <c r="G18" s="119">
        <f>F18*10</f>
        <v>330</v>
      </c>
      <c r="H18" s="99">
        <f>G18+'12'!H18</f>
        <v>3490</v>
      </c>
      <c r="I18" s="113">
        <f>'1'!I18</f>
        <v>65</v>
      </c>
      <c r="J18" s="175">
        <f>H18/DAY(B2)</f>
        <v>268.46153846153845</v>
      </c>
      <c r="K18" s="79"/>
      <c r="L18" s="66"/>
      <c r="N18" s="87"/>
      <c r="O18" s="71"/>
    </row>
    <row r="19" spans="1:15" ht="27.75" customHeight="1">
      <c r="A19" s="864" t="s">
        <v>69</v>
      </c>
      <c r="B19" s="865"/>
      <c r="C19" s="866"/>
      <c r="D19" s="151" t="s">
        <v>142</v>
      </c>
      <c r="E19" s="95">
        <f>'12'!F19</f>
        <v>168615</v>
      </c>
      <c r="F19" s="122">
        <v>168663</v>
      </c>
      <c r="G19" s="112">
        <f t="shared" ref="G19" si="1">F19-E19</f>
        <v>48</v>
      </c>
      <c r="H19" s="99">
        <f>G19+'12'!H19</f>
        <v>703</v>
      </c>
      <c r="I19" s="335"/>
      <c r="J19" s="175">
        <f>H19/DAY(B2)</f>
        <v>54.07692307692308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378</v>
      </c>
      <c r="H20" s="99">
        <f>G20+'12'!H20</f>
        <v>4193</v>
      </c>
      <c r="I20" s="336">
        <f>I18-J20</f>
        <v>-257.53846153846155</v>
      </c>
      <c r="J20" s="175">
        <f>H20/DAY(B2)</f>
        <v>322.53846153846155</v>
      </c>
      <c r="K20" s="79"/>
      <c r="L20" s="66"/>
      <c r="N20" s="87"/>
      <c r="O20" s="71"/>
    </row>
    <row r="21" spans="1:15" ht="27.75" customHeight="1">
      <c r="A21" s="873" t="s">
        <v>144</v>
      </c>
      <c r="B21" s="874"/>
      <c r="C21" s="87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'12'!F22</f>
        <v>2970</v>
      </c>
      <c r="F22" s="122">
        <v>2970</v>
      </c>
      <c r="G22" s="119">
        <f t="shared" ref="G22" si="2">(F22-E22)</f>
        <v>0</v>
      </c>
      <c r="H22" s="99">
        <f>G22+'12'!H22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f>'12'!F23</f>
        <v>2000</v>
      </c>
      <c r="F23" s="122">
        <v>1500</v>
      </c>
      <c r="G23" s="119">
        <v>0</v>
      </c>
      <c r="H23" s="99">
        <f>G23+'12'!H23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'12'!F24</f>
        <v>4970</v>
      </c>
      <c r="F24" s="128">
        <v>4970</v>
      </c>
      <c r="G24" s="119">
        <v>0</v>
      </c>
      <c r="H24" s="99">
        <f>G24+'12'!H24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878" t="s">
        <v>149</v>
      </c>
      <c r="B25" s="879"/>
      <c r="C25" s="88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23047</v>
      </c>
      <c r="F27" s="136">
        <v>9</v>
      </c>
      <c r="G27" s="137">
        <f>E27*F27</f>
        <v>207423</v>
      </c>
      <c r="H27" s="99">
        <f>G27+'12'!H27</f>
        <v>2700828.8</v>
      </c>
      <c r="I27" s="138"/>
      <c r="J27" s="175">
        <f>H27/DAY(B2)</f>
        <v>207756.06153846154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1014</v>
      </c>
      <c r="F28" s="136">
        <v>70</v>
      </c>
      <c r="G28" s="137">
        <f>E28*F28</f>
        <v>70980</v>
      </c>
      <c r="H28" s="99">
        <f>G28+'12'!H28</f>
        <v>1003881.7500000005</v>
      </c>
      <c r="I28" s="140"/>
      <c r="J28" s="175">
        <f>H28/DAY(B2)</f>
        <v>77221.673076923107</v>
      </c>
      <c r="K28" s="63"/>
      <c r="L28" s="89"/>
      <c r="N28" s="87"/>
      <c r="O28" s="71">
        <v>0</v>
      </c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48</v>
      </c>
      <c r="F30" s="136">
        <v>151</v>
      </c>
      <c r="G30" s="137">
        <f>E30*F30</f>
        <v>7248</v>
      </c>
      <c r="H30" s="99">
        <f>G30+'12'!H30</f>
        <v>106153</v>
      </c>
      <c r="I30" s="140"/>
      <c r="J30" s="175">
        <f>H30/DAY(B2)</f>
        <v>8165.6153846153848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330</v>
      </c>
      <c r="F31" s="136">
        <v>80</v>
      </c>
      <c r="G31" s="137">
        <f>E31*F31</f>
        <v>26400</v>
      </c>
      <c r="H31" s="99">
        <f>G31+'12'!H31</f>
        <v>279200</v>
      </c>
      <c r="I31" s="140"/>
      <c r="J31" s="175">
        <f>H31/DAY(B2)</f>
        <v>21476.923076923078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312051</v>
      </c>
      <c r="H32" s="99">
        <f>G32+'12'!H32</f>
        <v>4090063.5500000003</v>
      </c>
      <c r="I32" s="144"/>
      <c r="J32" s="175">
        <f>H32/DAY(B2)</f>
        <v>314620.2730769231</v>
      </c>
      <c r="K32" s="63"/>
      <c r="L32" s="89"/>
      <c r="N32" s="87"/>
      <c r="O32" s="71"/>
    </row>
    <row r="33" spans="1:15" ht="27.75" customHeight="1">
      <c r="A33" s="881" t="s">
        <v>331</v>
      </c>
      <c r="B33" s="882"/>
      <c r="C33" s="88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'12'!F35</f>
        <v>403009</v>
      </c>
      <c r="F35" s="145">
        <v>405720</v>
      </c>
      <c r="G35" s="112">
        <f t="shared" ref="G35:G46" si="3">F35-E35</f>
        <v>2711</v>
      </c>
      <c r="H35" s="99">
        <f>G35+'12'!H35</f>
        <v>36623.090000000026</v>
      </c>
      <c r="I35" s="95"/>
      <c r="J35" s="175">
        <f>H35/DAY(B2)</f>
        <v>2817.1607692307712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'12'!F36</f>
        <v>335369</v>
      </c>
      <c r="F36" s="145">
        <v>336414</v>
      </c>
      <c r="G36" s="112">
        <f t="shared" si="3"/>
        <v>1045</v>
      </c>
      <c r="H36" s="99">
        <f>G36+'12'!H36</f>
        <v>14196.890000000014</v>
      </c>
      <c r="I36" s="95"/>
      <c r="J36" s="175">
        <f>H36/DAY(B2)</f>
        <v>1092.0684615384625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'12'!F37</f>
        <v>322998.69</v>
      </c>
      <c r="F37" s="145">
        <v>322998.69</v>
      </c>
      <c r="G37" s="112">
        <f t="shared" si="3"/>
        <v>0</v>
      </c>
      <c r="H37" s="99">
        <f>G37+'12'!H37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'12'!F38</f>
        <v>765235</v>
      </c>
      <c r="F38" s="108">
        <v>767674</v>
      </c>
      <c r="G38" s="112">
        <f t="shared" si="3"/>
        <v>2439</v>
      </c>
      <c r="H38" s="99">
        <f>G38+'12'!H38</f>
        <v>31821.609999999986</v>
      </c>
      <c r="I38" s="95"/>
      <c r="J38" s="175">
        <f>H38/DAY(B2)</f>
        <v>2447.8161538461527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'12'!F39</f>
        <v>591584</v>
      </c>
      <c r="F39" s="145">
        <v>591584</v>
      </c>
      <c r="G39" s="112">
        <f t="shared" si="3"/>
        <v>0</v>
      </c>
      <c r="H39" s="99">
        <f>G39+'12'!H39</f>
        <v>-0.18999999994412065</v>
      </c>
      <c r="I39" s="95"/>
      <c r="J39" s="175">
        <f>H39/DAY(B2)</f>
        <v>-1.4615384611086203E-2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'12'!F40</f>
        <v>201749</v>
      </c>
      <c r="F40" s="145">
        <v>202104</v>
      </c>
      <c r="G40" s="112">
        <f t="shared" si="3"/>
        <v>355</v>
      </c>
      <c r="H40" s="99">
        <f>G40+'12'!H40</f>
        <v>5374.0299999999988</v>
      </c>
      <c r="I40" s="95"/>
      <c r="J40" s="175">
        <f>H40/DAY(B2)</f>
        <v>413.38692307692298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'12'!F41</f>
        <v>419197</v>
      </c>
      <c r="F41" s="145">
        <v>419197</v>
      </c>
      <c r="G41" s="112">
        <f t="shared" si="3"/>
        <v>0</v>
      </c>
      <c r="H41" s="99">
        <f>G41+'12'!H41</f>
        <v>29.409999999974389</v>
      </c>
      <c r="I41" s="95"/>
      <c r="J41" s="175">
        <f>H41/DAY(B2)</f>
        <v>2.2623076923057224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'12'!F42</f>
        <v>871891</v>
      </c>
      <c r="F42" s="145">
        <v>872591.19</v>
      </c>
      <c r="G42" s="112">
        <f t="shared" si="3"/>
        <v>700.18999999994412</v>
      </c>
      <c r="H42" s="99">
        <f>G42+'12'!H42</f>
        <v>720.31999999994878</v>
      </c>
      <c r="I42" s="95"/>
      <c r="J42" s="175">
        <f>H42/DAY(B2)</f>
        <v>55.409230769226831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'12'!F43</f>
        <v>407028</v>
      </c>
      <c r="F43" s="145">
        <v>407028</v>
      </c>
      <c r="G43" s="112">
        <f t="shared" si="3"/>
        <v>0</v>
      </c>
      <c r="H43" s="99">
        <f>G43+'12'!H43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'12'!F44</f>
        <v>0</v>
      </c>
      <c r="F44" s="145">
        <v>0</v>
      </c>
      <c r="G44" s="112">
        <f t="shared" si="3"/>
        <v>0</v>
      </c>
      <c r="H44" s="99">
        <f>G44+'12'!H44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'12'!F45</f>
        <v>0</v>
      </c>
      <c r="F45" s="145">
        <v>0</v>
      </c>
      <c r="G45" s="112">
        <f t="shared" si="3"/>
        <v>0</v>
      </c>
      <c r="H45" s="99">
        <f>G45+'12'!H45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'12'!F46</f>
        <v>0</v>
      </c>
      <c r="F46" s="145">
        <v>0</v>
      </c>
      <c r="G46" s="112">
        <f t="shared" si="3"/>
        <v>0</v>
      </c>
      <c r="H46" s="99">
        <f>G46+'12'!H46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7250.1899999999441</v>
      </c>
      <c r="H47" s="99">
        <f>G47+'12'!H47</f>
        <v>88765.16</v>
      </c>
      <c r="I47" s="95"/>
      <c r="J47" s="175">
        <f>H47/DAY(B2)</f>
        <v>6828.0892307692311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'12'!F49</f>
        <v>798582</v>
      </c>
      <c r="F49" s="145">
        <v>799026.31</v>
      </c>
      <c r="G49" s="112">
        <f t="shared" ref="G49:G58" si="4">F49-E49</f>
        <v>444.31000000005588</v>
      </c>
      <c r="H49" s="99">
        <f>G49+'12'!H49</f>
        <v>5403.3600000001024</v>
      </c>
      <c r="I49" s="95"/>
      <c r="J49" s="175">
        <f>H49/DAY(B2)</f>
        <v>415.64307692308478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'12'!F50</f>
        <v>475223</v>
      </c>
      <c r="F50" s="145">
        <v>476482</v>
      </c>
      <c r="G50" s="112">
        <f t="shared" si="4"/>
        <v>1259</v>
      </c>
      <c r="H50" s="99">
        <f>G50+'12'!H50</f>
        <v>19812.929999999993</v>
      </c>
      <c r="I50" s="95"/>
      <c r="J50" s="175">
        <f>H50/DAY(B2)</f>
        <v>1524.071538461538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'12'!F51</f>
        <v>148183</v>
      </c>
      <c r="F51" s="145">
        <v>149172</v>
      </c>
      <c r="G51" s="112">
        <f t="shared" si="4"/>
        <v>989</v>
      </c>
      <c r="H51" s="99">
        <f>G51+'12'!H51</f>
        <v>13927.450000000012</v>
      </c>
      <c r="I51" s="95"/>
      <c r="J51" s="175">
        <f>H51/DAY(B2)</f>
        <v>1071.3423076923086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'12'!F52</f>
        <v>10</v>
      </c>
      <c r="F52" s="145">
        <v>10</v>
      </c>
      <c r="G52" s="112">
        <f t="shared" si="4"/>
        <v>0</v>
      </c>
      <c r="H52" s="99">
        <f>G52+'12'!H52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'12'!F53</f>
        <v>595566</v>
      </c>
      <c r="F53" s="145">
        <v>599505</v>
      </c>
      <c r="G53" s="112">
        <f t="shared" si="4"/>
        <v>3939</v>
      </c>
      <c r="H53" s="99">
        <f>G53+'12'!H53</f>
        <v>52963.729999999981</v>
      </c>
      <c r="I53" s="95"/>
      <c r="J53" s="175">
        <f>H53/DAY(B2)</f>
        <v>4074.1330769230754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'12'!F54</f>
        <v>109640</v>
      </c>
      <c r="F54" s="145">
        <v>109808</v>
      </c>
      <c r="G54" s="112">
        <f t="shared" si="4"/>
        <v>168</v>
      </c>
      <c r="H54" s="99">
        <f>G54+'12'!H54</f>
        <v>2144.8399999999965</v>
      </c>
      <c r="I54" s="95"/>
      <c r="J54" s="175">
        <f>H54/DAY(B2)</f>
        <v>164.98769230769204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'12'!F55</f>
        <v>571421.55000000005</v>
      </c>
      <c r="F55" s="145">
        <v>571421.55000000005</v>
      </c>
      <c r="G55" s="112">
        <f t="shared" si="4"/>
        <v>0</v>
      </c>
      <c r="H55" s="99">
        <f>G55+'12'!H55</f>
        <v>9936.8800000000047</v>
      </c>
      <c r="I55" s="95"/>
      <c r="J55" s="175">
        <f>H55/DAY(B2)</f>
        <v>764.37538461538497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'12'!F56</f>
        <v>302166</v>
      </c>
      <c r="F56" s="145">
        <v>305460</v>
      </c>
      <c r="G56" s="112">
        <f t="shared" si="4"/>
        <v>3294</v>
      </c>
      <c r="H56" s="99">
        <f>G56+'12'!H56</f>
        <v>37344.989999999991</v>
      </c>
      <c r="I56" s="95"/>
      <c r="J56" s="175">
        <f>H56/DAY(B2)</f>
        <v>2872.6915384615377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'12'!F57</f>
        <v>598007</v>
      </c>
      <c r="F57" s="145">
        <v>600299.15</v>
      </c>
      <c r="G57" s="112">
        <f t="shared" si="4"/>
        <v>2292.1500000000233</v>
      </c>
      <c r="H57" s="99">
        <f>G57+'12'!H57</f>
        <v>31720.680000000051</v>
      </c>
      <c r="I57" s="95"/>
      <c r="J57" s="175">
        <f>H57/DAY(B2)</f>
        <v>2440.0523076923118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'12'!F58</f>
        <v>81506</v>
      </c>
      <c r="F58" s="145">
        <v>81711.67</v>
      </c>
      <c r="G58" s="112">
        <f t="shared" si="4"/>
        <v>205.66999999999825</v>
      </c>
      <c r="H58" s="99">
        <f>G58+'12'!H58</f>
        <v>2995.9799999999959</v>
      </c>
      <c r="I58" s="95"/>
      <c r="J58" s="175">
        <f>H58/DAY(B2)</f>
        <v>230.4599999999997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12591.130000000077</v>
      </c>
      <c r="H59" s="99">
        <f>G59+'12'!H59</f>
        <v>176250.84000000014</v>
      </c>
      <c r="I59" s="95">
        <f>G7-G60</f>
        <v>2951.6799999999785</v>
      </c>
      <c r="J59" s="175">
        <f>H59/DAY(B2)</f>
        <v>13557.756923076933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19841.320000000022</v>
      </c>
      <c r="H60" s="99">
        <f>G60+'12'!H60</f>
        <v>265016.00000000017</v>
      </c>
      <c r="I60" s="95">
        <f>G13-G60</f>
        <v>1678.6799999999785</v>
      </c>
      <c r="J60" s="175">
        <f>H60/DAY(B2)</f>
        <v>20385.846153846167</v>
      </c>
      <c r="K60" s="79"/>
      <c r="L60" s="66"/>
      <c r="N60" s="87"/>
      <c r="O60" s="71"/>
    </row>
    <row r="61" spans="1:15" s="68" customFormat="1" ht="27.75" customHeight="1">
      <c r="A61" s="883" t="s">
        <v>332</v>
      </c>
      <c r="B61" s="884"/>
      <c r="C61" s="88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>
      <c r="A62" s="864" t="s">
        <v>198</v>
      </c>
      <c r="B62" s="865"/>
      <c r="C62" s="866"/>
      <c r="D62" s="151" t="s">
        <v>142</v>
      </c>
      <c r="E62" s="95">
        <f>'12'!F62</f>
        <v>309720</v>
      </c>
      <c r="F62" s="122">
        <v>309820</v>
      </c>
      <c r="G62" s="112">
        <f t="shared" ref="G62:G63" si="5">F62-E62</f>
        <v>100</v>
      </c>
      <c r="H62" s="99">
        <f>G62+'12'!H62</f>
        <v>1506</v>
      </c>
      <c r="I62" s="118"/>
      <c r="J62" s="175">
        <f>H62/DAY(B2)</f>
        <v>115.84615384615384</v>
      </c>
      <c r="K62" s="80"/>
      <c r="L62" s="66"/>
      <c r="N62" s="87"/>
      <c r="O62" s="71"/>
    </row>
    <row r="63" spans="1:15" ht="27.75" customHeight="1">
      <c r="A63" s="864" t="s">
        <v>199</v>
      </c>
      <c r="B63" s="865"/>
      <c r="C63" s="866"/>
      <c r="D63" s="151" t="s">
        <v>142</v>
      </c>
      <c r="E63" s="95">
        <f>'12'!F63</f>
        <v>247646</v>
      </c>
      <c r="F63" s="122">
        <v>247666</v>
      </c>
      <c r="G63" s="112">
        <f t="shared" si="5"/>
        <v>20</v>
      </c>
      <c r="H63" s="99">
        <f>G63+'12'!H63</f>
        <v>737</v>
      </c>
      <c r="I63" s="118"/>
      <c r="J63" s="175">
        <f>H63/DAY(B2)</f>
        <v>56.692307692307693</v>
      </c>
      <c r="K63" s="69"/>
      <c r="L63" s="66"/>
      <c r="N63" s="87"/>
      <c r="O63" s="71"/>
    </row>
    <row r="64" spans="1:15" ht="27.75" customHeight="1">
      <c r="A64" s="861" t="s">
        <v>200</v>
      </c>
      <c r="B64" s="862"/>
      <c r="C64" s="863"/>
      <c r="D64" s="151"/>
      <c r="E64" s="95">
        <f>'12'!F64</f>
        <v>0</v>
      </c>
      <c r="F64" s="122"/>
      <c r="G64" s="112">
        <f>G62+G63</f>
        <v>120</v>
      </c>
      <c r="H64" s="99">
        <f>G64+'12'!H64</f>
        <v>2243</v>
      </c>
      <c r="I64" s="118"/>
      <c r="J64" s="175">
        <f>H64/DAY(B2)</f>
        <v>172.53846153846155</v>
      </c>
      <c r="K64" s="69"/>
      <c r="L64" s="66"/>
      <c r="N64" s="87"/>
      <c r="O64" s="71"/>
    </row>
    <row r="65" spans="1:15" ht="27.75" customHeight="1">
      <c r="A65" s="864" t="s">
        <v>201</v>
      </c>
      <c r="B65" s="865"/>
      <c r="C65" s="866"/>
      <c r="D65" s="151" t="s">
        <v>142</v>
      </c>
      <c r="E65" s="95">
        <f>'12'!F65</f>
        <v>469495</v>
      </c>
      <c r="F65" s="122">
        <v>469620</v>
      </c>
      <c r="G65" s="112">
        <f t="shared" ref="G65:G70" si="6">F65-E65</f>
        <v>125</v>
      </c>
      <c r="H65" s="99">
        <f>G65+'12'!H65</f>
        <v>1719</v>
      </c>
      <c r="I65" s="118"/>
      <c r="J65" s="175">
        <f>H65/DAY(B2)</f>
        <v>132.23076923076923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'12'!F66</f>
        <v>113312</v>
      </c>
      <c r="F66" s="122">
        <v>113320</v>
      </c>
      <c r="G66" s="112">
        <f t="shared" si="6"/>
        <v>8</v>
      </c>
      <c r="H66" s="99">
        <f>G66+'12'!H66</f>
        <v>55573</v>
      </c>
      <c r="I66" s="118"/>
      <c r="J66" s="175">
        <f>H66/DAY(B2)</f>
        <v>4274.8461538461543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'12'!F67</f>
        <v>116095</v>
      </c>
      <c r="F67" s="122">
        <v>116113</v>
      </c>
      <c r="G67" s="112">
        <f t="shared" si="6"/>
        <v>18</v>
      </c>
      <c r="H67" s="99">
        <f>G67+'12'!H67</f>
        <v>258</v>
      </c>
      <c r="I67" s="118"/>
      <c r="J67" s="175">
        <f>H67/DAY(B2)</f>
        <v>19.846153846153847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'12'!F68</f>
        <v>168858</v>
      </c>
      <c r="F68" s="122">
        <v>168888</v>
      </c>
      <c r="G68" s="112">
        <f t="shared" si="6"/>
        <v>30</v>
      </c>
      <c r="H68" s="99">
        <f>G68+'12'!H68</f>
        <v>381</v>
      </c>
      <c r="I68" s="118"/>
      <c r="J68" s="175">
        <f>H68/DAY(B2)</f>
        <v>29.307692307692307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'12'!F69</f>
        <v>12862</v>
      </c>
      <c r="F69" s="122">
        <v>12867</v>
      </c>
      <c r="G69" s="112">
        <f t="shared" si="6"/>
        <v>5</v>
      </c>
      <c r="H69" s="99">
        <f>G69+'12'!H69</f>
        <v>57</v>
      </c>
      <c r="I69" s="118"/>
      <c r="J69" s="175">
        <f>H69/DAY(B2)</f>
        <v>4.384615384615385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'12'!F70</f>
        <v>10862</v>
      </c>
      <c r="F70" s="122">
        <v>10869</v>
      </c>
      <c r="G70" s="112">
        <f t="shared" si="6"/>
        <v>7</v>
      </c>
      <c r="H70" s="99">
        <f>G70+'12'!H70</f>
        <v>90</v>
      </c>
      <c r="I70" s="118"/>
      <c r="J70" s="175">
        <f>H70/DAY(B2)</f>
        <v>6.9230769230769234</v>
      </c>
      <c r="K70" s="69"/>
      <c r="L70" s="66"/>
      <c r="N70" s="87"/>
      <c r="O70" s="71"/>
    </row>
    <row r="71" spans="1:15" ht="27.75" customHeight="1">
      <c r="A71" s="861" t="s">
        <v>208</v>
      </c>
      <c r="B71" s="862"/>
      <c r="C71" s="863"/>
      <c r="D71" s="152"/>
      <c r="E71" s="152"/>
      <c r="F71" s="152" t="s">
        <v>369</v>
      </c>
      <c r="G71" s="153">
        <f>SUM(G65:G70)</f>
        <v>193</v>
      </c>
      <c r="H71" s="99">
        <f>G71+'12'!H71</f>
        <v>58078</v>
      </c>
      <c r="I71" s="154"/>
      <c r="J71" s="175">
        <f>H71/DAY(B2)</f>
        <v>4467.5384615384619</v>
      </c>
      <c r="K71" s="69"/>
      <c r="L71" s="66"/>
      <c r="N71" s="87"/>
      <c r="O71" s="71"/>
    </row>
    <row r="72" spans="1:15" s="88" customFormat="1" ht="27.75" customHeight="1">
      <c r="A72" s="904"/>
      <c r="B72" s="89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>
      <c r="A73" s="909" t="s">
        <v>333</v>
      </c>
      <c r="B73" s="910"/>
      <c r="C73" s="91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>
      <c r="A74" s="864" t="s">
        <v>220</v>
      </c>
      <c r="B74" s="865"/>
      <c r="C74" s="866"/>
      <c r="D74" s="151" t="s">
        <v>139</v>
      </c>
      <c r="E74" s="95">
        <f>'12'!F74</f>
        <v>996860</v>
      </c>
      <c r="F74" s="117">
        <v>997158</v>
      </c>
      <c r="G74" s="112">
        <f t="shared" ref="G74:G78" si="7">F74-E74</f>
        <v>298</v>
      </c>
      <c r="H74" s="99">
        <f>G74+'12'!H74</f>
        <v>3798.9699999999721</v>
      </c>
      <c r="I74" s="154"/>
      <c r="J74" s="175">
        <f>H74/DAY(B2)</f>
        <v>292.22846153845938</v>
      </c>
      <c r="K74" s="69"/>
      <c r="L74" s="66"/>
      <c r="N74" s="87"/>
      <c r="O74" s="71"/>
    </row>
    <row r="75" spans="1:15" ht="27.75" customHeight="1">
      <c r="A75" s="864" t="s">
        <v>221</v>
      </c>
      <c r="B75" s="865"/>
      <c r="C75" s="866"/>
      <c r="D75" s="151" t="s">
        <v>139</v>
      </c>
      <c r="E75" s="95">
        <f>'12'!F75</f>
        <v>73587</v>
      </c>
      <c r="F75" s="123">
        <v>73586.600000000006</v>
      </c>
      <c r="G75" s="112">
        <f t="shared" si="7"/>
        <v>-0.39999999999417923</v>
      </c>
      <c r="H75" s="99">
        <f>G75+'12'!H75</f>
        <v>0.60000000000582077</v>
      </c>
      <c r="I75" s="154"/>
      <c r="J75" s="175">
        <f>H75/DAY(B2)</f>
        <v>4.6153846154293902E-2</v>
      </c>
      <c r="K75" s="69"/>
      <c r="L75" s="66"/>
      <c r="N75" s="87"/>
      <c r="O75" s="71"/>
    </row>
    <row r="76" spans="1:15" ht="27.75" customHeight="1">
      <c r="A76" s="905" t="s">
        <v>222</v>
      </c>
      <c r="B76" s="891"/>
      <c r="C76" s="892"/>
      <c r="D76" s="151" t="s">
        <v>139</v>
      </c>
      <c r="E76" s="95">
        <f>'12'!F76</f>
        <v>205291</v>
      </c>
      <c r="F76" s="123">
        <v>205402</v>
      </c>
      <c r="G76" s="112">
        <f t="shared" si="7"/>
        <v>111</v>
      </c>
      <c r="H76" s="99">
        <f>G76+'12'!H76</f>
        <v>1740</v>
      </c>
      <c r="I76" s="154"/>
      <c r="J76" s="175">
        <f>H76/DAY(B2)</f>
        <v>133.84615384615384</v>
      </c>
      <c r="K76" s="69"/>
      <c r="L76" s="66"/>
      <c r="N76" s="87"/>
      <c r="O76" s="71"/>
    </row>
    <row r="77" spans="1:15" ht="27.75" customHeight="1">
      <c r="A77" s="905" t="s">
        <v>223</v>
      </c>
      <c r="B77" s="891"/>
      <c r="C77" s="892"/>
      <c r="D77" s="151" t="s">
        <v>139</v>
      </c>
      <c r="E77" s="95">
        <f>'12'!F77</f>
        <v>57177</v>
      </c>
      <c r="F77" s="123">
        <v>57224</v>
      </c>
      <c r="G77" s="112">
        <f t="shared" si="7"/>
        <v>47</v>
      </c>
      <c r="H77" s="99">
        <f>G77+'12'!H77</f>
        <v>702</v>
      </c>
      <c r="I77" s="154"/>
      <c r="J77" s="175">
        <f>H77/DAY(B2)</f>
        <v>54</v>
      </c>
      <c r="K77" s="69"/>
      <c r="L77" s="66"/>
      <c r="N77" s="87"/>
      <c r="O77" s="71"/>
    </row>
    <row r="78" spans="1:15" ht="27.75" customHeight="1">
      <c r="A78" s="905" t="s">
        <v>224</v>
      </c>
      <c r="B78" s="891"/>
      <c r="C78" s="892"/>
      <c r="D78" s="151" t="s">
        <v>139</v>
      </c>
      <c r="E78" s="95">
        <f>'12'!F78</f>
        <v>9563</v>
      </c>
      <c r="F78" s="123">
        <v>9563</v>
      </c>
      <c r="G78" s="112">
        <f t="shared" si="7"/>
        <v>0</v>
      </c>
      <c r="H78" s="99">
        <f>G78+'12'!H78</f>
        <v>-0.3999999999996362</v>
      </c>
      <c r="I78" s="118"/>
      <c r="J78" s="175">
        <f>H78/DAY(B2)</f>
        <v>-3.0769230769202786E-2</v>
      </c>
      <c r="K78" s="69"/>
      <c r="L78" s="66"/>
      <c r="N78" s="87"/>
      <c r="O78" s="71"/>
    </row>
    <row r="79" spans="1:15" s="57" customFormat="1" ht="27.75" customHeight="1">
      <c r="A79" s="905" t="s">
        <v>225</v>
      </c>
      <c r="B79" s="891"/>
      <c r="C79" s="892"/>
      <c r="D79" s="151"/>
      <c r="E79" s="95">
        <f>'12'!F79</f>
        <v>0</v>
      </c>
      <c r="F79" s="117"/>
      <c r="G79" s="112">
        <f>G15-SUM(G74:G78)</f>
        <v>558.39999999999418</v>
      </c>
      <c r="H79" s="99">
        <f>G79+'12'!H79</f>
        <v>7949.8300000000218</v>
      </c>
      <c r="I79" s="118"/>
      <c r="J79" s="175"/>
      <c r="K79" s="59"/>
      <c r="L79" s="58"/>
      <c r="N79" s="87"/>
      <c r="O79" s="71"/>
    </row>
    <row r="80" spans="1:15" s="57" customFormat="1" ht="27.75" customHeight="1">
      <c r="A80" s="861" t="s">
        <v>329</v>
      </c>
      <c r="B80" s="862"/>
      <c r="C80" s="863"/>
      <c r="D80" s="151"/>
      <c r="E80" s="117"/>
      <c r="F80" s="117"/>
      <c r="G80" s="112">
        <f>SUM(G74:G79)</f>
        <v>1014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897" t="s">
        <v>226</v>
      </c>
      <c r="B81" s="898"/>
      <c r="C81" s="899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'12'!F82</f>
        <v>0</v>
      </c>
      <c r="F82" s="122"/>
      <c r="G82" s="112">
        <f t="shared" ref="G82:G92" si="8">F82-E82</f>
        <v>0</v>
      </c>
      <c r="H82" s="99">
        <f>G82+'12'!H82</f>
        <v>0</v>
      </c>
      <c r="I82" s="545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'12'!F83</f>
        <v>0</v>
      </c>
      <c r="F83" s="122"/>
      <c r="G83" s="112">
        <f t="shared" si="8"/>
        <v>0</v>
      </c>
      <c r="H83" s="99">
        <f>G83+'12'!H83</f>
        <v>0</v>
      </c>
      <c r="I83" s="545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'12'!F84</f>
        <v>43540</v>
      </c>
      <c r="F84" s="164">
        <v>43540.35</v>
      </c>
      <c r="G84" s="112">
        <f t="shared" si="8"/>
        <v>0.34999999999854481</v>
      </c>
      <c r="H84" s="99">
        <f>G84+'12'!H84</f>
        <v>0.13999999999941792</v>
      </c>
      <c r="I84" s="545"/>
      <c r="J84" s="175">
        <f>H84/DAY(B2)</f>
        <v>1.0769230769185994E-2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'12'!F85</f>
        <v>5684</v>
      </c>
      <c r="F85" s="164">
        <v>5687.36</v>
      </c>
      <c r="G85" s="112">
        <f t="shared" si="8"/>
        <v>3.3599999999996726</v>
      </c>
      <c r="H85" s="99">
        <f>G85+'12'!H85</f>
        <v>3.3599999999996726</v>
      </c>
      <c r="I85" s="545"/>
      <c r="J85" s="175">
        <f>H85/DAY(B2)</f>
        <v>0.25846153846151326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'12'!F86</f>
        <v>46801</v>
      </c>
      <c r="F86" s="164">
        <v>46801.14</v>
      </c>
      <c r="G86" s="112">
        <f t="shared" si="8"/>
        <v>0.13999999999941792</v>
      </c>
      <c r="H86" s="99">
        <f>G86+'12'!H86</f>
        <v>67.139999999999418</v>
      </c>
      <c r="I86" s="545"/>
      <c r="J86" s="175">
        <f>H86/DAY(B2)</f>
        <v>5.16461538461534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'12'!F87</f>
        <v>36788.33</v>
      </c>
      <c r="F87" s="164">
        <v>36809.29</v>
      </c>
      <c r="G87" s="112">
        <f t="shared" si="8"/>
        <v>20.959999999999127</v>
      </c>
      <c r="H87" s="99">
        <f>G87+'12'!H87</f>
        <v>259.08000000000175</v>
      </c>
      <c r="I87" s="545">
        <f>G84+G85+G86+G87</f>
        <v>24.809999999996762</v>
      </c>
      <c r="J87" s="175">
        <f>H87/DAY(B2)</f>
        <v>19.929230769230905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'12'!F88</f>
        <v>24511.8</v>
      </c>
      <c r="F88" s="164">
        <v>24511.8</v>
      </c>
      <c r="G88" s="112">
        <f t="shared" si="8"/>
        <v>0</v>
      </c>
      <c r="H88" s="99">
        <f>G88+'12'!H88</f>
        <v>0</v>
      </c>
      <c r="I88" s="545"/>
      <c r="J88" s="175">
        <f>H88/DAY(B2)</f>
        <v>0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'12'!F89</f>
        <v>28622.33</v>
      </c>
      <c r="F89" s="164">
        <v>28632</v>
      </c>
      <c r="G89" s="112">
        <f t="shared" si="8"/>
        <v>9.6699999999982538</v>
      </c>
      <c r="H89" s="99">
        <f>G89+'12'!H89</f>
        <v>130.29999999999927</v>
      </c>
      <c r="I89" s="545">
        <f>G88+G89</f>
        <v>9.6699999999982538</v>
      </c>
      <c r="J89" s="175">
        <f>H89/DAY(B2)</f>
        <v>10.023076923076868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'12'!F90</f>
        <v>74002.8</v>
      </c>
      <c r="F90" s="164">
        <v>74014</v>
      </c>
      <c r="G90" s="112">
        <f t="shared" si="8"/>
        <v>11.19999999999709</v>
      </c>
      <c r="H90" s="99">
        <f>G90+'12'!H90</f>
        <v>153.39999999999418</v>
      </c>
      <c r="I90" s="545">
        <f>G90</f>
        <v>11.19999999999709</v>
      </c>
      <c r="J90" s="175">
        <f>H90/DAY(B2)</f>
        <v>11.799999999999553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'12'!F91</f>
        <v>5452.67</v>
      </c>
      <c r="F91" s="122">
        <v>5464.07</v>
      </c>
      <c r="G91" s="112">
        <f t="shared" si="8"/>
        <v>11.399999999999636</v>
      </c>
      <c r="H91" s="99">
        <f>G91+'12'!H91</f>
        <v>111.29999999999927</v>
      </c>
      <c r="I91" s="546"/>
      <c r="J91" s="175">
        <f>H91/DAY(B2)</f>
        <v>8.5615384615384063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'12'!F92</f>
        <v>7031.67</v>
      </c>
      <c r="F92" s="122">
        <v>7031.67</v>
      </c>
      <c r="G92" s="112">
        <f t="shared" si="8"/>
        <v>0</v>
      </c>
      <c r="H92" s="99">
        <f>G92+'12'!H92</f>
        <v>31.670000000000073</v>
      </c>
      <c r="I92" s="547">
        <f>G91+G92</f>
        <v>11.399999999999636</v>
      </c>
      <c r="J92" s="175">
        <f>H92/DAY(B2)</f>
        <v>2.4361538461538519</v>
      </c>
      <c r="O92" s="71"/>
    </row>
    <row r="93" spans="1:15" ht="27.75" customHeight="1">
      <c r="A93" s="906" t="s">
        <v>239</v>
      </c>
      <c r="B93" s="907"/>
      <c r="C93" s="90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>
      <c r="A94" s="864" t="s">
        <v>240</v>
      </c>
      <c r="B94" s="865"/>
      <c r="C94" s="866"/>
      <c r="D94" s="151" t="s">
        <v>130</v>
      </c>
      <c r="E94" s="151"/>
      <c r="F94" s="151"/>
      <c r="G94" s="99">
        <f>G35+G43+G49+G57</f>
        <v>5447.4600000000792</v>
      </c>
      <c r="H94" s="99">
        <f>G94+'12'!H94</f>
        <v>73747.130000000179</v>
      </c>
      <c r="I94" s="118"/>
      <c r="J94" s="175">
        <f>H94/DAY(B2)</f>
        <v>5672.8561538461672</v>
      </c>
      <c r="K94" s="69"/>
      <c r="L94" s="66"/>
      <c r="O94" s="71"/>
    </row>
    <row r="95" spans="1:15" ht="27.75" customHeight="1">
      <c r="A95" s="864" t="s">
        <v>241</v>
      </c>
      <c r="B95" s="865"/>
      <c r="C95" s="866"/>
      <c r="D95" s="151" t="s">
        <v>23</v>
      </c>
      <c r="E95" s="146"/>
      <c r="F95" s="146"/>
      <c r="G95" s="166">
        <f>G94/G7</f>
        <v>0.2389970605010345</v>
      </c>
      <c r="H95" s="99">
        <f>G95+'12'!H95</f>
        <v>3.2366267385519785</v>
      </c>
      <c r="I95" s="167"/>
      <c r="J95" s="175">
        <f>H95/DAY(B2)</f>
        <v>0.24897128758092141</v>
      </c>
      <c r="K95" s="69"/>
      <c r="L95" s="66"/>
      <c r="O95" s="71"/>
    </row>
    <row r="96" spans="1:15" ht="27.75" customHeight="1">
      <c r="A96" s="864" t="s">
        <v>242</v>
      </c>
      <c r="B96" s="865"/>
      <c r="C96" s="866"/>
      <c r="D96" s="151" t="s">
        <v>130</v>
      </c>
      <c r="E96" s="95"/>
      <c r="F96" s="95"/>
      <c r="G96" s="99">
        <f>G41+G42+G55+G56</f>
        <v>3994.1899999999441</v>
      </c>
      <c r="H96" s="99">
        <f>G96+'12'!H96</f>
        <v>48031.599999999919</v>
      </c>
      <c r="I96" s="118"/>
      <c r="J96" s="175">
        <f>H96/DAY(B2)</f>
        <v>3694.7384615384553</v>
      </c>
      <c r="K96" s="69"/>
      <c r="L96" s="66"/>
      <c r="O96" s="71"/>
    </row>
    <row r="97" spans="1:15" ht="27.75" customHeight="1">
      <c r="A97" s="864" t="s">
        <v>243</v>
      </c>
      <c r="B97" s="865"/>
      <c r="C97" s="866"/>
      <c r="D97" s="151" t="s">
        <v>23</v>
      </c>
      <c r="E97" s="95"/>
      <c r="F97" s="95"/>
      <c r="G97" s="166">
        <f>G96/G7</f>
        <v>0.17523757293905778</v>
      </c>
      <c r="H97" s="99">
        <f>G97+'12'!H97</f>
        <v>2.1053507947664061</v>
      </c>
      <c r="I97" s="167"/>
      <c r="J97" s="175">
        <f>H97/DAY(B2)</f>
        <v>0.1619500611358774</v>
      </c>
      <c r="K97" s="69"/>
      <c r="L97" s="66"/>
      <c r="O97" s="71"/>
    </row>
    <row r="98" spans="1:15" ht="27.75" customHeight="1">
      <c r="A98" s="864" t="s">
        <v>244</v>
      </c>
      <c r="B98" s="865"/>
      <c r="C98" s="866"/>
      <c r="D98" s="151" t="s">
        <v>130</v>
      </c>
      <c r="E98" s="95"/>
      <c r="F98" s="95"/>
      <c r="G98" s="99">
        <f>G39+G53</f>
        <v>3939</v>
      </c>
      <c r="H98" s="99">
        <f>G98+'12'!H98</f>
        <v>52963.540000000037</v>
      </c>
      <c r="I98" s="168"/>
      <c r="J98" s="175">
        <f>H98/DAY(B2)</f>
        <v>4074.1184615384645</v>
      </c>
      <c r="K98" s="69"/>
      <c r="L98" s="66"/>
      <c r="O98" s="71"/>
    </row>
    <row r="99" spans="1:15" ht="27.75" customHeight="1">
      <c r="A99" s="864" t="s">
        <v>245</v>
      </c>
      <c r="B99" s="865"/>
      <c r="C99" s="866"/>
      <c r="D99" s="151" t="s">
        <v>23</v>
      </c>
      <c r="E99" s="95"/>
      <c r="F99" s="95"/>
      <c r="G99" s="166">
        <f>G98/G7</f>
        <v>0.17281621550476023</v>
      </c>
      <c r="H99" s="99">
        <f>G99+'12'!H99</f>
        <v>2.3265736544036772</v>
      </c>
      <c r="I99" s="168"/>
      <c r="J99" s="175">
        <f>H99/DAY(B2)</f>
        <v>0.17896720418489825</v>
      </c>
      <c r="O99" s="71"/>
    </row>
    <row r="100" spans="1:15" ht="27.75" customHeight="1">
      <c r="A100" s="864" t="s">
        <v>246</v>
      </c>
      <c r="B100" s="865"/>
      <c r="C100" s="866"/>
      <c r="D100" s="151" t="s">
        <v>180</v>
      </c>
      <c r="E100" s="95"/>
      <c r="F100" s="95"/>
      <c r="G100" s="99">
        <f>G38+G52</f>
        <v>2439</v>
      </c>
      <c r="H100" s="99">
        <f>G100+'12'!H100</f>
        <v>31821.609999999986</v>
      </c>
      <c r="I100" s="118"/>
      <c r="J100" s="175">
        <f>H100/DAY(B2)</f>
        <v>2447.8161538461527</v>
      </c>
      <c r="K100" s="70"/>
      <c r="O100" s="71"/>
    </row>
    <row r="101" spans="1:15" ht="27.75" customHeight="1">
      <c r="A101" s="864" t="s">
        <v>247</v>
      </c>
      <c r="B101" s="865"/>
      <c r="C101" s="866"/>
      <c r="D101" s="151" t="s">
        <v>23</v>
      </c>
      <c r="E101" s="95"/>
      <c r="F101" s="95"/>
      <c r="G101" s="166">
        <f>G100/G7</f>
        <v>0.10700653709472206</v>
      </c>
      <c r="H101" s="99">
        <f>G101+'12'!H101</f>
        <v>1.3980709206916506</v>
      </c>
      <c r="I101" s="168"/>
      <c r="J101" s="175">
        <f>H101/DAY(B2)</f>
        <v>0.10754391697628082</v>
      </c>
      <c r="O101" s="71"/>
    </row>
    <row r="102" spans="1:15" ht="27.75" customHeight="1">
      <c r="A102" s="864" t="s">
        <v>248</v>
      </c>
      <c r="B102" s="865"/>
      <c r="C102" s="866"/>
      <c r="D102" s="151" t="s">
        <v>180</v>
      </c>
      <c r="E102" s="95"/>
      <c r="F102" s="95"/>
      <c r="G102" s="99">
        <f>G36+G50</f>
        <v>2304</v>
      </c>
      <c r="H102" s="99">
        <f>G102+'12'!H102</f>
        <v>34009.820000000007</v>
      </c>
      <c r="I102" s="168"/>
      <c r="J102" s="175">
        <f>H102/DAY(B2)</f>
        <v>2616.1400000000003</v>
      </c>
      <c r="O102" s="71"/>
    </row>
    <row r="103" spans="1:15" ht="27.75" customHeight="1">
      <c r="A103" s="864" t="s">
        <v>249</v>
      </c>
      <c r="B103" s="865"/>
      <c r="C103" s="866"/>
      <c r="D103" s="151" t="s">
        <v>23</v>
      </c>
      <c r="E103" s="95"/>
      <c r="F103" s="95"/>
      <c r="G103" s="166">
        <f>G102/G7</f>
        <v>0.10108366603781863</v>
      </c>
      <c r="H103" s="99">
        <f>G103+'12'!H103</f>
        <v>1.4926997084757252</v>
      </c>
      <c r="I103" s="118"/>
      <c r="J103" s="175">
        <f>H103/DAY(B2)</f>
        <v>0.11482305449813271</v>
      </c>
      <c r="O103" s="71"/>
    </row>
    <row r="104" spans="1:15" ht="27.75" customHeight="1">
      <c r="A104" s="864" t="s">
        <v>250</v>
      </c>
      <c r="B104" s="865"/>
      <c r="C104" s="866"/>
      <c r="D104" s="151" t="s">
        <v>180</v>
      </c>
      <c r="E104" s="95"/>
      <c r="F104" s="95"/>
      <c r="G104" s="99">
        <f>G37+G51</f>
        <v>989</v>
      </c>
      <c r="H104" s="99">
        <f>G104+'12'!H104</f>
        <v>13927.450000000012</v>
      </c>
      <c r="I104" s="118"/>
      <c r="J104" s="175">
        <f>H104/DAY(B2)</f>
        <v>1071.3423076923086</v>
      </c>
      <c r="O104" s="71"/>
    </row>
    <row r="105" spans="1:15" ht="27.75" customHeight="1" thickBot="1">
      <c r="A105" s="901" t="s">
        <v>251</v>
      </c>
      <c r="B105" s="902"/>
      <c r="C105" s="903"/>
      <c r="D105" s="231" t="s">
        <v>23</v>
      </c>
      <c r="E105" s="185"/>
      <c r="F105" s="185"/>
      <c r="G105" s="186">
        <f>G104/G7</f>
        <v>4.3390514631685168E-2</v>
      </c>
      <c r="H105" s="99">
        <f>G105+'12'!H105</f>
        <v>0.61144457852471334</v>
      </c>
      <c r="I105" s="187"/>
      <c r="J105" s="188">
        <f>H105/DAY(B2)</f>
        <v>4.7034198348054876E-2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>
      <c r="A108" s="915" t="s">
        <v>324</v>
      </c>
      <c r="B108" s="915"/>
      <c r="C108" s="915"/>
      <c r="D108" s="915"/>
      <c r="E108" s="915"/>
      <c r="F108" s="915"/>
      <c r="G108" s="915"/>
      <c r="H108" s="915"/>
      <c r="I108" s="915"/>
      <c r="J108" s="915"/>
    </row>
    <row r="109" spans="1:15" ht="27.75" customHeight="1">
      <c r="A109" s="900"/>
      <c r="B109" s="900"/>
    </row>
    <row r="110" spans="1:15" ht="27.75" customHeight="1">
      <c r="A110" s="916" t="s">
        <v>165</v>
      </c>
      <c r="B110" s="917"/>
      <c r="C110" s="917"/>
      <c r="D110" s="917"/>
      <c r="E110" s="917"/>
      <c r="F110" s="917"/>
      <c r="G110" s="917"/>
      <c r="H110" s="917"/>
      <c r="I110" s="917"/>
      <c r="J110" s="918"/>
    </row>
    <row r="111" spans="1:15" ht="27.75" customHeight="1">
      <c r="A111" s="919"/>
      <c r="B111" s="920"/>
      <c r="C111" s="921"/>
      <c r="D111" s="165"/>
      <c r="E111" s="165"/>
      <c r="F111" s="165"/>
      <c r="G111" s="165"/>
      <c r="H111" s="156"/>
      <c r="I111" s="165"/>
      <c r="J111" s="327"/>
    </row>
    <row r="112" spans="1:15" ht="27.75" customHeight="1">
      <c r="A112" s="894" t="s">
        <v>252</v>
      </c>
      <c r="B112" s="895"/>
      <c r="C112" s="896"/>
      <c r="D112" s="146" t="s">
        <v>183</v>
      </c>
      <c r="E112" s="95">
        <f>'12'!F112</f>
        <v>16346</v>
      </c>
      <c r="F112" s="237">
        <v>16405</v>
      </c>
      <c r="G112" s="112">
        <f t="shared" ref="G112:G123" si="9">F112-E112</f>
        <v>59</v>
      </c>
      <c r="H112" s="99">
        <f>G112+'12'!H112</f>
        <v>791.20000000000073</v>
      </c>
      <c r="I112" s="165"/>
      <c r="J112" s="328">
        <f>H112/DAY(B2)</f>
        <v>60.861538461538515</v>
      </c>
    </row>
    <row r="113" spans="1:18" ht="27.75" customHeight="1">
      <c r="A113" s="894" t="s">
        <v>253</v>
      </c>
      <c r="B113" s="895"/>
      <c r="C113" s="896"/>
      <c r="D113" s="146" t="s">
        <v>183</v>
      </c>
      <c r="E113" s="95">
        <f>'12'!F113</f>
        <v>34184</v>
      </c>
      <c r="F113" s="237">
        <v>34331</v>
      </c>
      <c r="G113" s="112">
        <f t="shared" si="9"/>
        <v>147</v>
      </c>
      <c r="H113" s="99">
        <f>G113+'12'!H113</f>
        <v>1880.3300000000017</v>
      </c>
      <c r="I113" s="165"/>
      <c r="J113" s="328">
        <f>H113/DAY(B2)</f>
        <v>144.64076923076937</v>
      </c>
    </row>
    <row r="114" spans="1:18" ht="27.75" customHeight="1">
      <c r="A114" s="894" t="s">
        <v>254</v>
      </c>
      <c r="B114" s="895"/>
      <c r="C114" s="896"/>
      <c r="D114" s="146" t="s">
        <v>183</v>
      </c>
      <c r="E114" s="95">
        <f>'12'!F114</f>
        <v>50476</v>
      </c>
      <c r="F114" s="237">
        <v>50674</v>
      </c>
      <c r="G114" s="112">
        <f t="shared" si="9"/>
        <v>198</v>
      </c>
      <c r="H114" s="99">
        <f>G114+'12'!H114</f>
        <v>2707.6999999999971</v>
      </c>
      <c r="I114" s="165"/>
      <c r="J114" s="328">
        <f>H114/DAY(B2)</f>
        <v>208.28461538461517</v>
      </c>
    </row>
    <row r="115" spans="1:18" ht="27.75" customHeight="1">
      <c r="A115" s="894" t="s">
        <v>255</v>
      </c>
      <c r="B115" s="895"/>
      <c r="C115" s="896"/>
      <c r="D115" s="146" t="s">
        <v>183</v>
      </c>
      <c r="E115" s="95">
        <f>'12'!F115</f>
        <v>32240</v>
      </c>
      <c r="F115" s="237">
        <v>32367</v>
      </c>
      <c r="G115" s="112">
        <f t="shared" si="9"/>
        <v>127</v>
      </c>
      <c r="H115" s="99">
        <f>G115+'12'!H115</f>
        <v>1930.5999999999985</v>
      </c>
      <c r="I115" s="165"/>
      <c r="J115" s="328">
        <f>H115/DAY(B2)</f>
        <v>148.5076923076922</v>
      </c>
    </row>
    <row r="116" spans="1:18" ht="27.75" customHeight="1">
      <c r="A116" s="912" t="s">
        <v>96</v>
      </c>
      <c r="B116" s="913"/>
      <c r="C116" s="914"/>
      <c r="D116" s="146" t="s">
        <v>183</v>
      </c>
      <c r="E116" s="95">
        <f>'12'!F116</f>
        <v>127582</v>
      </c>
      <c r="F116" s="237">
        <v>127896</v>
      </c>
      <c r="G116" s="112">
        <f t="shared" si="9"/>
        <v>314</v>
      </c>
      <c r="H116" s="99">
        <f>G116+'12'!H116</f>
        <v>5035.8000000000029</v>
      </c>
      <c r="I116" s="165"/>
      <c r="J116" s="328">
        <f>H116/DAY(B2)</f>
        <v>387.36923076923097</v>
      </c>
      <c r="Q116" s="894"/>
      <c r="R116" s="896"/>
    </row>
    <row r="117" spans="1:18" ht="27.75" customHeight="1">
      <c r="A117" s="912" t="s">
        <v>184</v>
      </c>
      <c r="B117" s="913"/>
      <c r="C117" s="914"/>
      <c r="D117" s="146" t="s">
        <v>183</v>
      </c>
      <c r="E117" s="95">
        <f>'12'!F117</f>
        <v>77117</v>
      </c>
      <c r="F117" s="237">
        <v>77342</v>
      </c>
      <c r="G117" s="112">
        <f t="shared" si="9"/>
        <v>225</v>
      </c>
      <c r="H117" s="99">
        <f>G117+'12'!H117</f>
        <v>3360.8000000000029</v>
      </c>
      <c r="I117" s="165"/>
      <c r="J117" s="328">
        <f>H117/DAY(B2)</f>
        <v>258.52307692307716</v>
      </c>
      <c r="Q117" s="894"/>
      <c r="R117" s="896"/>
    </row>
    <row r="118" spans="1:18" ht="27.75" customHeight="1">
      <c r="A118" s="889" t="s">
        <v>97</v>
      </c>
      <c r="B118" s="889"/>
      <c r="C118" s="889"/>
      <c r="D118" s="151" t="s">
        <v>183</v>
      </c>
      <c r="E118" s="95">
        <f>'12'!F118</f>
        <v>146340</v>
      </c>
      <c r="F118" s="237">
        <v>146971</v>
      </c>
      <c r="G118" s="112">
        <f t="shared" si="9"/>
        <v>631</v>
      </c>
      <c r="H118" s="99">
        <f>G118+'12'!H118</f>
        <v>8158.5499999999884</v>
      </c>
      <c r="I118" s="165"/>
      <c r="J118" s="328">
        <f>H118/DAY(B2)</f>
        <v>627.58076923076828</v>
      </c>
      <c r="Q118" s="894"/>
      <c r="R118" s="896"/>
    </row>
    <row r="119" spans="1:18" ht="27.75" customHeight="1">
      <c r="A119" s="889" t="s">
        <v>98</v>
      </c>
      <c r="B119" s="889"/>
      <c r="C119" s="889"/>
      <c r="D119" s="151" t="s">
        <v>183</v>
      </c>
      <c r="E119" s="95">
        <f>'12'!F119</f>
        <v>43494</v>
      </c>
      <c r="F119" s="237">
        <v>43507</v>
      </c>
      <c r="G119" s="112">
        <f t="shared" si="9"/>
        <v>13</v>
      </c>
      <c r="H119" s="99">
        <f>G119+'12'!H119</f>
        <v>153.30000000000291</v>
      </c>
      <c r="I119" s="165"/>
      <c r="J119" s="328">
        <f>H119/DAY(B2)</f>
        <v>11.792307692307917</v>
      </c>
    </row>
    <row r="120" spans="1:18" ht="27.75" customHeight="1">
      <c r="A120" s="889" t="s">
        <v>99</v>
      </c>
      <c r="B120" s="889"/>
      <c r="C120" s="889"/>
      <c r="D120" s="151" t="s">
        <v>183</v>
      </c>
      <c r="E120" s="95">
        <f>'12'!F120</f>
        <v>100637</v>
      </c>
      <c r="F120" s="237">
        <v>101041</v>
      </c>
      <c r="G120" s="112">
        <f t="shared" si="9"/>
        <v>404</v>
      </c>
      <c r="H120" s="99">
        <f>G120+'12'!H120</f>
        <v>5333.3999999999942</v>
      </c>
      <c r="I120" s="165"/>
      <c r="J120" s="328">
        <f>H120/DAY(B2)</f>
        <v>410.26153846153801</v>
      </c>
    </row>
    <row r="121" spans="1:18" ht="27.75" customHeight="1">
      <c r="A121" s="889" t="s">
        <v>100</v>
      </c>
      <c r="B121" s="889"/>
      <c r="C121" s="889"/>
      <c r="D121" s="151" t="s">
        <v>183</v>
      </c>
      <c r="E121" s="95">
        <f>'12'!F121</f>
        <v>112893</v>
      </c>
      <c r="F121" s="237">
        <v>113322</v>
      </c>
      <c r="G121" s="112">
        <f t="shared" si="9"/>
        <v>429</v>
      </c>
      <c r="H121" s="99">
        <f>G121+'12'!H121</f>
        <v>5492.9499999999971</v>
      </c>
      <c r="I121" s="165"/>
      <c r="J121" s="328">
        <f>H121/DAY(B2)</f>
        <v>422.53461538461517</v>
      </c>
    </row>
    <row r="122" spans="1:18" ht="27.75" customHeight="1">
      <c r="A122" s="889" t="s">
        <v>101</v>
      </c>
      <c r="B122" s="889"/>
      <c r="C122" s="889"/>
      <c r="D122" s="151" t="s">
        <v>183</v>
      </c>
      <c r="E122" s="95">
        <f>'12'!F122</f>
        <v>75159</v>
      </c>
      <c r="F122" s="237">
        <v>75521</v>
      </c>
      <c r="G122" s="112">
        <f t="shared" si="9"/>
        <v>362</v>
      </c>
      <c r="H122" s="99">
        <f>G122+'12'!H122</f>
        <v>4483.1000000000058</v>
      </c>
      <c r="I122" s="165"/>
      <c r="J122" s="328">
        <f>H122/DAY(B2)</f>
        <v>344.85384615384658</v>
      </c>
    </row>
    <row r="123" spans="1:18" ht="27.75" customHeight="1">
      <c r="A123" s="889" t="s">
        <v>102</v>
      </c>
      <c r="B123" s="889"/>
      <c r="C123" s="889"/>
      <c r="D123" s="151" t="s">
        <v>183</v>
      </c>
      <c r="E123" s="95">
        <f>'12'!F123</f>
        <v>72077</v>
      </c>
      <c r="F123" s="237">
        <v>72373</v>
      </c>
      <c r="G123" s="112">
        <f t="shared" si="9"/>
        <v>296</v>
      </c>
      <c r="H123" s="99">
        <f>G123+'12'!H123</f>
        <v>4015.6999999999971</v>
      </c>
      <c r="I123" s="165"/>
      <c r="J123" s="328">
        <f>H123/DAY(B2)</f>
        <v>308.89999999999975</v>
      </c>
    </row>
    <row r="124" spans="1:18" ht="27.75" customHeight="1">
      <c r="A124" s="919"/>
      <c r="B124" s="920"/>
      <c r="C124" s="921"/>
      <c r="D124" s="165"/>
      <c r="E124" s="165"/>
      <c r="F124" s="165"/>
      <c r="G124" s="327"/>
      <c r="H124" s="156"/>
      <c r="I124" s="165"/>
      <c r="J124" s="327"/>
    </row>
    <row r="125" spans="1:18" ht="27.75" customHeight="1">
      <c r="A125" s="853" t="s">
        <v>196</v>
      </c>
      <c r="B125" s="854"/>
      <c r="C125" s="245"/>
      <c r="D125" s="307"/>
      <c r="E125" s="308"/>
      <c r="F125" s="308"/>
      <c r="G125" s="309">
        <f>SUM(G112:G124)</f>
        <v>3205</v>
      </c>
      <c r="H125" s="156"/>
      <c r="I125" s="327">
        <f>G125-(G39+G53)</f>
        <v>-734</v>
      </c>
      <c r="J125" s="327"/>
    </row>
    <row r="126" spans="1:18" ht="27.75" customHeight="1">
      <c r="A126" s="922" t="s">
        <v>317</v>
      </c>
      <c r="B126" s="922"/>
      <c r="C126" s="922"/>
      <c r="D126" s="922"/>
      <c r="E126" s="922"/>
      <c r="F126" s="922"/>
      <c r="G126" s="922"/>
      <c r="H126" s="922"/>
      <c r="I126" s="922"/>
      <c r="J126" s="922"/>
    </row>
    <row r="127" spans="1:18" ht="27.75" customHeight="1">
      <c r="A127" s="923"/>
      <c r="B127" s="923"/>
      <c r="C127" s="245"/>
      <c r="D127" s="307"/>
      <c r="E127" s="308"/>
      <c r="F127" s="308"/>
      <c r="G127" s="309"/>
      <c r="H127" s="99">
        <f>G127+'12'!H127</f>
        <v>0</v>
      </c>
      <c r="I127" s="165"/>
      <c r="J127" s="328">
        <f>H127/DAY(B2)</f>
        <v>0</v>
      </c>
    </row>
    <row r="128" spans="1:18" ht="27.75" customHeight="1">
      <c r="A128" s="894" t="s">
        <v>318</v>
      </c>
      <c r="B128" s="895"/>
      <c r="C128" s="896"/>
      <c r="D128" s="151" t="s">
        <v>183</v>
      </c>
      <c r="E128" s="95">
        <f>'12'!F128</f>
        <v>184018</v>
      </c>
      <c r="F128" s="165">
        <v>184420</v>
      </c>
      <c r="G128" s="112">
        <f t="shared" ref="G128:G134" si="10">F128-E128</f>
        <v>402</v>
      </c>
      <c r="H128" s="99">
        <f>G128+'12'!H128</f>
        <v>5008.1499999999942</v>
      </c>
      <c r="I128" s="165"/>
      <c r="J128" s="328">
        <f>H128/DAY(B2)</f>
        <v>385.24230769230724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'12'!F129</f>
        <v>98223</v>
      </c>
      <c r="F129" s="165">
        <v>98369</v>
      </c>
      <c r="G129" s="112">
        <f t="shared" si="10"/>
        <v>146</v>
      </c>
      <c r="H129" s="99">
        <f>G129+'12'!H129</f>
        <v>2339.5</v>
      </c>
      <c r="I129" s="165"/>
      <c r="J129" s="328">
        <f>H129/DAY(B2)</f>
        <v>179.96153846153845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'12'!F130</f>
        <v>255246</v>
      </c>
      <c r="F130" s="165">
        <v>255864</v>
      </c>
      <c r="G130" s="112">
        <f t="shared" si="10"/>
        <v>618</v>
      </c>
      <c r="H130" s="99">
        <f>G130+'12'!H130</f>
        <v>9024.25</v>
      </c>
      <c r="I130" s="165"/>
      <c r="J130" s="328">
        <f>H130/DAY(B2)</f>
        <v>694.17307692307691</v>
      </c>
      <c r="N130" s="240"/>
      <c r="O130" s="241"/>
    </row>
    <row r="131" spans="1:15" ht="27.75" customHeight="1">
      <c r="A131" s="894" t="s">
        <v>321</v>
      </c>
      <c r="B131" s="895"/>
      <c r="C131" s="896"/>
      <c r="D131" s="151" t="s">
        <v>183</v>
      </c>
      <c r="E131" s="95">
        <f>'12'!F131</f>
        <v>76477</v>
      </c>
      <c r="F131" s="165">
        <v>76715</v>
      </c>
      <c r="G131" s="112">
        <f t="shared" si="10"/>
        <v>238</v>
      </c>
      <c r="H131" s="99">
        <f>G131+'12'!H131</f>
        <v>3204.3999999999942</v>
      </c>
      <c r="I131" s="165"/>
      <c r="J131" s="328">
        <f>H131/DAY(B2)</f>
        <v>246.49230769230724</v>
      </c>
      <c r="N131" s="240"/>
      <c r="O131" s="241"/>
    </row>
    <row r="132" spans="1:15" ht="27.75" customHeight="1">
      <c r="A132" s="894" t="s">
        <v>322</v>
      </c>
      <c r="B132" s="895"/>
      <c r="C132" s="896"/>
      <c r="D132" s="151" t="s">
        <v>183</v>
      </c>
      <c r="E132" s="95">
        <f>'12'!F132</f>
        <v>146985</v>
      </c>
      <c r="F132" s="165">
        <v>146985</v>
      </c>
      <c r="G132" s="112">
        <f t="shared" si="10"/>
        <v>0</v>
      </c>
      <c r="H132" s="99">
        <f>G132+'12'!H132</f>
        <v>0</v>
      </c>
      <c r="I132" s="165"/>
      <c r="J132" s="328">
        <f>H132/DAY(B2)</f>
        <v>0</v>
      </c>
    </row>
    <row r="133" spans="1:15" ht="27.75" customHeight="1">
      <c r="A133" s="894" t="s">
        <v>359</v>
      </c>
      <c r="B133" s="895"/>
      <c r="C133" s="896"/>
      <c r="D133" s="151" t="s">
        <v>183</v>
      </c>
      <c r="E133" s="95">
        <f>'12'!F133</f>
        <v>919054</v>
      </c>
      <c r="F133" s="165">
        <v>919781</v>
      </c>
      <c r="G133" s="112">
        <f t="shared" si="10"/>
        <v>727</v>
      </c>
      <c r="H133" s="99">
        <f>G133+'12'!H133</f>
        <v>9537</v>
      </c>
      <c r="I133" s="165"/>
      <c r="J133" s="328">
        <f>H133/DAY(B2)</f>
        <v>733.61538461538464</v>
      </c>
    </row>
    <row r="134" spans="1:15" ht="27.75" customHeight="1">
      <c r="A134" s="894" t="s">
        <v>340</v>
      </c>
      <c r="B134" s="895"/>
      <c r="C134" s="896"/>
      <c r="D134" s="151" t="s">
        <v>183</v>
      </c>
      <c r="E134" s="95">
        <f>'12'!F134</f>
        <v>81335</v>
      </c>
      <c r="F134" s="165">
        <v>81541</v>
      </c>
      <c r="G134" s="112">
        <f t="shared" si="10"/>
        <v>206</v>
      </c>
      <c r="H134" s="99">
        <f>G134+'12'!H134</f>
        <v>2781.3999999999942</v>
      </c>
      <c r="I134" s="165"/>
      <c r="J134" s="328">
        <f>H134/DAY(B2)</f>
        <v>213.95384615384572</v>
      </c>
    </row>
    <row r="135" spans="1:15" ht="27.75" customHeight="1">
      <c r="A135" s="853" t="s">
        <v>196</v>
      </c>
      <c r="B135" s="854"/>
      <c r="C135" s="331"/>
      <c r="D135" s="151"/>
      <c r="E135" s="95"/>
      <c r="F135" s="165"/>
      <c r="G135" s="112">
        <f>SUM(G128:G134)</f>
        <v>2337</v>
      </c>
      <c r="H135" s="99">
        <f>G135+'12'!H135</f>
        <v>29484.62999999999</v>
      </c>
      <c r="I135" s="327">
        <f>G135-(G35+G49)</f>
        <v>-818.31000000005588</v>
      </c>
      <c r="J135" s="328">
        <f>H135/DAY(B2)</f>
        <v>2268.0484615384607</v>
      </c>
    </row>
    <row r="136" spans="1:15" ht="27.75" customHeight="1">
      <c r="A136" s="924" t="s">
        <v>325</v>
      </c>
      <c r="B136" s="924"/>
      <c r="C136" s="924"/>
      <c r="D136" s="924"/>
      <c r="E136" s="924"/>
      <c r="F136" s="924"/>
      <c r="G136" s="924"/>
      <c r="H136" s="924"/>
      <c r="I136" s="924"/>
      <c r="J136" s="924"/>
    </row>
    <row r="137" spans="1:15" ht="27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>
      <c r="A138" s="889" t="s">
        <v>185</v>
      </c>
      <c r="B138" s="889"/>
      <c r="C138" s="889"/>
      <c r="D138" s="151" t="s">
        <v>183</v>
      </c>
      <c r="E138" s="95">
        <f>'12'!F138</f>
        <v>907063</v>
      </c>
      <c r="F138" s="147">
        <v>907195</v>
      </c>
      <c r="G138" s="112">
        <f t="shared" ref="G138:G152" si="11">F138-E138</f>
        <v>132</v>
      </c>
      <c r="H138" s="99">
        <f>G138+'12'!H138</f>
        <v>1536</v>
      </c>
      <c r="I138" s="118"/>
      <c r="J138" s="328">
        <f>H138/DAY(B2)</f>
        <v>118.15384615384616</v>
      </c>
    </row>
    <row r="139" spans="1:15" ht="27.75" customHeight="1">
      <c r="A139" s="889" t="s">
        <v>186</v>
      </c>
      <c r="B139" s="889"/>
      <c r="C139" s="889"/>
      <c r="D139" s="151" t="s">
        <v>183</v>
      </c>
      <c r="E139" s="95">
        <f>'12'!F139</f>
        <v>929276</v>
      </c>
      <c r="F139" s="148">
        <v>929455</v>
      </c>
      <c r="G139" s="112">
        <f t="shared" si="11"/>
        <v>179</v>
      </c>
      <c r="H139" s="99">
        <f>G139+'12'!H139</f>
        <v>2174</v>
      </c>
      <c r="I139" s="118"/>
      <c r="J139" s="328">
        <f>H139/DAY(B2)</f>
        <v>167.23076923076923</v>
      </c>
    </row>
    <row r="140" spans="1:15" ht="27.75" customHeight="1">
      <c r="A140" s="889" t="s">
        <v>187</v>
      </c>
      <c r="B140" s="889"/>
      <c r="C140" s="889"/>
      <c r="D140" s="151" t="s">
        <v>183</v>
      </c>
      <c r="E140" s="95">
        <f>'12'!F140</f>
        <v>3610.12</v>
      </c>
      <c r="F140" s="149">
        <v>3630</v>
      </c>
      <c r="G140" s="112">
        <f t="shared" si="11"/>
        <v>19.880000000000109</v>
      </c>
      <c r="H140" s="99">
        <f>G140+'12'!H140</f>
        <v>298.90000000000009</v>
      </c>
      <c r="I140" s="118"/>
      <c r="J140" s="328">
        <f>H140/DAY(B2)</f>
        <v>22.992307692307698</v>
      </c>
    </row>
    <row r="141" spans="1:15" ht="27.75" customHeight="1">
      <c r="A141" s="893" t="s">
        <v>188</v>
      </c>
      <c r="B141" s="893"/>
      <c r="C141" s="893"/>
      <c r="D141" s="151" t="s">
        <v>183</v>
      </c>
      <c r="E141" s="95">
        <f>'12'!F141</f>
        <v>120352</v>
      </c>
      <c r="F141" s="149">
        <v>120585</v>
      </c>
      <c r="G141" s="112">
        <f t="shared" si="11"/>
        <v>233</v>
      </c>
      <c r="H141" s="99">
        <f>G141+'12'!H141</f>
        <v>3027.0200000000041</v>
      </c>
      <c r="I141" s="118"/>
      <c r="J141" s="328">
        <f>H141/DAY(B2)</f>
        <v>232.84769230769263</v>
      </c>
    </row>
    <row r="142" spans="1:15" ht="27.75" customHeight="1">
      <c r="A142" s="893" t="s">
        <v>189</v>
      </c>
      <c r="B142" s="893"/>
      <c r="C142" s="893"/>
      <c r="D142" s="151" t="s">
        <v>183</v>
      </c>
      <c r="E142" s="95">
        <f>'12'!F142</f>
        <v>48657.934999999998</v>
      </c>
      <c r="F142" s="148">
        <v>48751</v>
      </c>
      <c r="G142" s="112">
        <f t="shared" si="11"/>
        <v>93.065000000002328</v>
      </c>
      <c r="H142" s="99">
        <f>G142+'12'!H142</f>
        <v>1246.5</v>
      </c>
      <c r="I142" s="140"/>
      <c r="J142" s="328">
        <f>H142/DAY(B2)</f>
        <v>95.884615384615387</v>
      </c>
    </row>
    <row r="143" spans="1:15" ht="27.75" customHeight="1">
      <c r="A143" s="889" t="s">
        <v>91</v>
      </c>
      <c r="B143" s="889"/>
      <c r="C143" s="889"/>
      <c r="D143" s="151" t="s">
        <v>183</v>
      </c>
      <c r="E143" s="95">
        <f>'12'!F143</f>
        <v>12793</v>
      </c>
      <c r="F143" s="149">
        <v>12824</v>
      </c>
      <c r="G143" s="112">
        <f t="shared" si="11"/>
        <v>31</v>
      </c>
      <c r="H143" s="99">
        <f>G143+'12'!H143</f>
        <v>408.60000000000036</v>
      </c>
      <c r="I143" s="140"/>
      <c r="J143" s="328">
        <f>H143/DAY(B2)</f>
        <v>31.430769230769258</v>
      </c>
    </row>
    <row r="144" spans="1:15" ht="27.75" customHeight="1">
      <c r="A144" s="893" t="s">
        <v>90</v>
      </c>
      <c r="B144" s="893"/>
      <c r="C144" s="893"/>
      <c r="D144" s="151" t="s">
        <v>183</v>
      </c>
      <c r="E144" s="95">
        <f>'12'!F144</f>
        <v>950975</v>
      </c>
      <c r="F144" s="149">
        <v>951217</v>
      </c>
      <c r="G144" s="112">
        <f t="shared" si="11"/>
        <v>242</v>
      </c>
      <c r="H144" s="99">
        <f>G144+'12'!H144</f>
        <v>3019</v>
      </c>
      <c r="I144" s="140"/>
      <c r="J144" s="328">
        <f>H144/DAY(B2)</f>
        <v>232.23076923076923</v>
      </c>
    </row>
    <row r="145" spans="1:10" ht="27.75" customHeight="1">
      <c r="A145" s="889" t="s">
        <v>190</v>
      </c>
      <c r="B145" s="889"/>
      <c r="C145" s="889"/>
      <c r="D145" s="152" t="s">
        <v>183</v>
      </c>
      <c r="E145" s="95">
        <f>'12'!F145</f>
        <v>24262</v>
      </c>
      <c r="F145" s="149">
        <v>24414</v>
      </c>
      <c r="G145" s="112">
        <f t="shared" si="11"/>
        <v>152</v>
      </c>
      <c r="H145" s="99">
        <f>G145+'12'!H145</f>
        <v>1817.9000000000015</v>
      </c>
      <c r="I145" s="140"/>
      <c r="J145" s="328">
        <f>H145/DAY(B2)</f>
        <v>139.83846153846164</v>
      </c>
    </row>
    <row r="146" spans="1:10" ht="27.75" customHeight="1">
      <c r="A146" s="890" t="s">
        <v>191</v>
      </c>
      <c r="B146" s="891"/>
      <c r="C146" s="892"/>
      <c r="D146" s="152" t="s">
        <v>183</v>
      </c>
      <c r="E146" s="95">
        <f>'12'!F146</f>
        <v>787147</v>
      </c>
      <c r="F146" s="148">
        <v>787199</v>
      </c>
      <c r="G146" s="112">
        <f t="shared" si="11"/>
        <v>52</v>
      </c>
      <c r="H146" s="99">
        <f>G146+'12'!H146</f>
        <v>531</v>
      </c>
      <c r="I146" s="140"/>
      <c r="J146" s="328">
        <f>H146/DAY(B2)</f>
        <v>40.846153846153847</v>
      </c>
    </row>
    <row r="147" spans="1:10" ht="27.75" customHeight="1">
      <c r="A147" s="893" t="s">
        <v>192</v>
      </c>
      <c r="B147" s="893"/>
      <c r="C147" s="893"/>
      <c r="D147" s="152" t="s">
        <v>183</v>
      </c>
      <c r="E147" s="95">
        <f>'12'!F147</f>
        <v>752790.96</v>
      </c>
      <c r="F147" s="148">
        <v>753184.88</v>
      </c>
      <c r="G147" s="112">
        <f t="shared" si="11"/>
        <v>393.92000000004191</v>
      </c>
      <c r="H147" s="99">
        <f>G147+'12'!H147</f>
        <v>5630.7199999999721</v>
      </c>
      <c r="I147" s="140"/>
      <c r="J147" s="328">
        <f>H147/DAY(B2)</f>
        <v>433.13230769230552</v>
      </c>
    </row>
    <row r="148" spans="1:10" ht="27.75" customHeight="1">
      <c r="A148" s="886" t="s">
        <v>193</v>
      </c>
      <c r="B148" s="887"/>
      <c r="C148" s="888"/>
      <c r="D148" s="123" t="s">
        <v>130</v>
      </c>
      <c r="E148" s="95">
        <f>'12'!F148</f>
        <v>789348.88</v>
      </c>
      <c r="F148" s="150">
        <v>789755.92</v>
      </c>
      <c r="G148" s="112">
        <f t="shared" si="11"/>
        <v>407.04000000003725</v>
      </c>
      <c r="H148" s="99">
        <f>G148+'12'!H148</f>
        <v>5110.9200000000419</v>
      </c>
      <c r="I148" s="124"/>
      <c r="J148" s="328">
        <f>H148/DAY(B2)</f>
        <v>393.14769230769554</v>
      </c>
    </row>
    <row r="149" spans="1:10" ht="27.75" customHeight="1">
      <c r="A149" s="886" t="s">
        <v>336</v>
      </c>
      <c r="B149" s="887"/>
      <c r="C149" s="888"/>
      <c r="D149" s="227" t="s">
        <v>130</v>
      </c>
      <c r="E149" s="95">
        <f>'12'!F149</f>
        <v>191071.55</v>
      </c>
      <c r="F149" s="146">
        <v>191544.19</v>
      </c>
      <c r="G149" s="112">
        <f t="shared" si="11"/>
        <v>472.64000000001397</v>
      </c>
      <c r="H149" s="99">
        <f>G149+'12'!H149</f>
        <v>6247.2999999999884</v>
      </c>
      <c r="I149" s="119"/>
      <c r="J149" s="328">
        <f>H149/DAY(B2)</f>
        <v>480.56153846153757</v>
      </c>
    </row>
    <row r="150" spans="1:10" ht="27.75" customHeight="1">
      <c r="A150" s="886" t="s">
        <v>337</v>
      </c>
      <c r="B150" s="887"/>
      <c r="C150" s="888"/>
      <c r="D150" s="117" t="s">
        <v>130</v>
      </c>
      <c r="E150" s="95">
        <f>'12'!F150</f>
        <v>81421</v>
      </c>
      <c r="F150" s="233">
        <v>81665</v>
      </c>
      <c r="G150" s="112">
        <f t="shared" si="11"/>
        <v>244</v>
      </c>
      <c r="H150" s="99">
        <f>G150+'12'!H150</f>
        <v>3998.6999999999971</v>
      </c>
      <c r="I150" s="119"/>
      <c r="J150" s="328">
        <f>H150/DAY(B2)</f>
        <v>307.59230769230749</v>
      </c>
    </row>
    <row r="151" spans="1:10" ht="27.75" customHeight="1">
      <c r="A151" s="886" t="s">
        <v>338</v>
      </c>
      <c r="B151" s="887"/>
      <c r="C151" s="888"/>
      <c r="D151" s="117" t="s">
        <v>130</v>
      </c>
      <c r="E151" s="95">
        <f>'12'!F151</f>
        <v>161295</v>
      </c>
      <c r="F151" s="233">
        <v>161537</v>
      </c>
      <c r="G151" s="112">
        <f t="shared" si="11"/>
        <v>242</v>
      </c>
      <c r="H151" s="99">
        <f>G151+'12'!H151</f>
        <v>3227</v>
      </c>
      <c r="I151" s="119"/>
      <c r="J151" s="328">
        <f>H151/DAY(B2)</f>
        <v>248.23076923076923</v>
      </c>
    </row>
    <row r="152" spans="1:10" ht="27.75" customHeight="1">
      <c r="A152" s="886" t="s">
        <v>339</v>
      </c>
      <c r="B152" s="887"/>
      <c r="C152" s="888"/>
      <c r="D152" s="117" t="s">
        <v>130</v>
      </c>
      <c r="E152" s="95">
        <f>'12'!F152</f>
        <v>40280</v>
      </c>
      <c r="F152" s="233">
        <v>40413</v>
      </c>
      <c r="G152" s="112">
        <f t="shared" si="11"/>
        <v>133</v>
      </c>
      <c r="H152" s="99">
        <f>G152+'12'!H152</f>
        <v>1797.0999999999985</v>
      </c>
      <c r="I152" s="119"/>
      <c r="J152" s="328">
        <f>H152/DAY(B2)</f>
        <v>138.23846153846142</v>
      </c>
    </row>
    <row r="153" spans="1:10" ht="27.75" customHeight="1">
      <c r="A153" s="853" t="s">
        <v>196</v>
      </c>
      <c r="B153" s="854"/>
      <c r="C153" s="365"/>
      <c r="D153" s="358"/>
      <c r="E153" s="360"/>
      <c r="F153" s="361"/>
      <c r="G153" s="362">
        <f>SUM(G138:G152)</f>
        <v>3026.5450000000956</v>
      </c>
      <c r="H153" s="363"/>
      <c r="I153" s="119">
        <f>G153-(G38+G52)</f>
        <v>587.54500000009557</v>
      </c>
      <c r="J153" s="366"/>
    </row>
    <row r="154" spans="1:10" ht="27.75" customHeight="1">
      <c r="A154" s="924" t="s">
        <v>344</v>
      </c>
      <c r="B154" s="924"/>
      <c r="C154" s="924"/>
      <c r="D154" s="924"/>
      <c r="E154" s="924"/>
      <c r="F154" s="924"/>
      <c r="G154" s="924"/>
      <c r="H154" s="924"/>
      <c r="I154" s="924"/>
      <c r="J154" s="924"/>
    </row>
    <row r="155" spans="1:10" ht="27.75" customHeight="1">
      <c r="A155" s="893" t="s">
        <v>345</v>
      </c>
      <c r="B155" s="893"/>
      <c r="C155" s="893"/>
      <c r="D155" s="117" t="s">
        <v>130</v>
      </c>
      <c r="E155" s="374">
        <f>'12'!F155</f>
        <v>227420</v>
      </c>
      <c r="F155" s="374">
        <v>228042</v>
      </c>
      <c r="G155" s="112">
        <f t="shared" ref="G155:G158" si="12">F155-E155</f>
        <v>622</v>
      </c>
      <c r="H155" s="99">
        <f>G155+'12'!H155</f>
        <v>8054.2999999999884</v>
      </c>
      <c r="I155" s="364"/>
      <c r="J155" s="328">
        <f>H155/DAY(B2)</f>
        <v>619.56153846153757</v>
      </c>
    </row>
    <row r="156" spans="1:10" ht="27.75" customHeight="1">
      <c r="A156" s="893" t="s">
        <v>347</v>
      </c>
      <c r="B156" s="893"/>
      <c r="C156" s="893"/>
      <c r="D156" s="117" t="s">
        <v>130</v>
      </c>
      <c r="E156" s="374">
        <f>'12'!F156</f>
        <v>27674</v>
      </c>
      <c r="F156" s="155">
        <v>27761.22</v>
      </c>
      <c r="G156" s="112">
        <f t="shared" si="12"/>
        <v>87.220000000001164</v>
      </c>
      <c r="H156" s="99">
        <f>G156+'12'!H156</f>
        <v>1231.0200000000004</v>
      </c>
      <c r="I156" s="165"/>
      <c r="J156" s="328">
        <f>H156/DAY(B2)</f>
        <v>94.693846153846181</v>
      </c>
    </row>
    <row r="157" spans="1:10" ht="27.75" customHeight="1">
      <c r="A157" s="886" t="s">
        <v>360</v>
      </c>
      <c r="B157" s="887"/>
      <c r="C157" s="888"/>
      <c r="D157" s="117" t="s">
        <v>130</v>
      </c>
      <c r="E157" s="374">
        <f>'12'!F157</f>
        <v>37559</v>
      </c>
      <c r="F157" s="155">
        <v>37559</v>
      </c>
      <c r="G157" s="112">
        <f t="shared" si="12"/>
        <v>0</v>
      </c>
      <c r="H157" s="99">
        <f>G157+'12'!H157</f>
        <v>0</v>
      </c>
      <c r="I157" s="165"/>
      <c r="J157" s="328">
        <f>H157/DAY(B2)</f>
        <v>0</v>
      </c>
    </row>
    <row r="158" spans="1:10" ht="27.75" customHeight="1">
      <c r="A158" s="886" t="s">
        <v>361</v>
      </c>
      <c r="B158" s="887"/>
      <c r="C158" s="888"/>
      <c r="D158" s="117" t="s">
        <v>130</v>
      </c>
      <c r="E158" s="374">
        <f>'12'!F158</f>
        <v>1718</v>
      </c>
      <c r="F158" s="155">
        <v>1722</v>
      </c>
      <c r="G158" s="112">
        <f t="shared" si="12"/>
        <v>4</v>
      </c>
      <c r="H158" s="99">
        <f>G158+'12'!H158</f>
        <v>160.65000000000009</v>
      </c>
      <c r="I158" s="165"/>
      <c r="J158" s="328">
        <f>H158/DAY(B2)</f>
        <v>12.357692307692314</v>
      </c>
    </row>
    <row r="159" spans="1:10" ht="27.75" customHeight="1">
      <c r="A159" s="942"/>
      <c r="B159" s="943"/>
      <c r="C159" s="944"/>
      <c r="D159" s="117"/>
      <c r="E159" s="95"/>
      <c r="F159" s="165"/>
      <c r="G159" s="362">
        <f>SUM(G155:G158)</f>
        <v>713.22000000000116</v>
      </c>
      <c r="H159" s="99"/>
      <c r="I159" s="165"/>
      <c r="J159" s="328"/>
    </row>
    <row r="160" spans="1:10" ht="27.75" customHeight="1">
      <c r="A160" s="924" t="s">
        <v>326</v>
      </c>
      <c r="B160" s="924"/>
      <c r="C160" s="924"/>
      <c r="D160" s="924"/>
      <c r="E160" s="924"/>
      <c r="F160" s="924"/>
      <c r="G160" s="924"/>
      <c r="H160" s="924"/>
      <c r="I160" s="924"/>
      <c r="J160" s="924"/>
    </row>
    <row r="161" spans="1:10" ht="27.75" customHeight="1">
      <c r="A161" s="242" t="s">
        <v>92</v>
      </c>
      <c r="B161" s="243"/>
      <c r="C161" s="243"/>
      <c r="D161" s="244" t="s">
        <v>180</v>
      </c>
      <c r="E161" s="95">
        <f>'12'!F161</f>
        <v>505233.4</v>
      </c>
      <c r="F161" s="235">
        <v>505422.84</v>
      </c>
      <c r="G161" s="238">
        <f t="shared" ref="G161:G165" si="13">F161-E161</f>
        <v>189.44000000000233</v>
      </c>
      <c r="H161" s="99">
        <f>G161+'12'!H161</f>
        <v>2051.6800000000512</v>
      </c>
      <c r="I161" s="236"/>
      <c r="J161" s="239">
        <f>H161/DAY(B2)</f>
        <v>157.82153846154239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95">
        <f>'12'!F162</f>
        <v>100109</v>
      </c>
      <c r="F162" s="235">
        <v>100125</v>
      </c>
      <c r="G162" s="238">
        <f t="shared" si="13"/>
        <v>16</v>
      </c>
      <c r="H162" s="99">
        <f>G162+'12'!H162</f>
        <v>471.39999999999418</v>
      </c>
      <c r="I162" s="236"/>
      <c r="J162" s="239">
        <f>H162/DAY(B2)</f>
        <v>36.261538461538017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95">
        <f>'12'!F163</f>
        <v>0</v>
      </c>
      <c r="F163" s="235">
        <v>0</v>
      </c>
      <c r="G163" s="238">
        <f t="shared" si="13"/>
        <v>0</v>
      </c>
      <c r="H163" s="99">
        <f>G163+'12'!H163</f>
        <v>0</v>
      </c>
      <c r="I163" s="236"/>
      <c r="J163" s="239">
        <f>H163/DAY(B2)</f>
        <v>0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95">
        <f>'12'!F164</f>
        <v>7094.5</v>
      </c>
      <c r="F164" s="235">
        <v>7102.2</v>
      </c>
      <c r="G164" s="238">
        <f t="shared" si="13"/>
        <v>7.6999999999998181</v>
      </c>
      <c r="H164" s="99">
        <f>G164+'12'!H164</f>
        <v>112</v>
      </c>
      <c r="I164" s="236"/>
      <c r="J164" s="239">
        <f>H164/DAY(B2)</f>
        <v>8.615384615384615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95">
        <f>'12'!F165</f>
        <v>32655.84</v>
      </c>
      <c r="F165" s="235">
        <v>32667.52</v>
      </c>
      <c r="G165" s="238">
        <f t="shared" si="13"/>
        <v>11.680000000000291</v>
      </c>
      <c r="H165" s="99">
        <f>G165+'12'!H165</f>
        <v>93.420000000001892</v>
      </c>
      <c r="I165" s="236"/>
      <c r="J165" s="239">
        <f>H165/DAY(B2)</f>
        <v>7.1861538461539913</v>
      </c>
    </row>
    <row r="166" spans="1:10" ht="27.75" customHeight="1">
      <c r="A166" s="923"/>
      <c r="B166" s="923"/>
      <c r="C166" s="246"/>
      <c r="D166" s="244" t="s">
        <v>180</v>
      </c>
      <c r="E166" s="95">
        <f>'12'!F166</f>
        <v>0</v>
      </c>
      <c r="F166" s="165"/>
      <c r="G166" s="165"/>
      <c r="H166" s="99">
        <f>G166+'12'!H166</f>
        <v>0</v>
      </c>
      <c r="I166" s="165"/>
      <c r="J166" s="239">
        <f>H166/DAY(B2)</f>
        <v>0</v>
      </c>
    </row>
    <row r="167" spans="1:10" ht="27.75" customHeight="1">
      <c r="A167" s="923"/>
      <c r="B167" s="923"/>
      <c r="C167" s="246"/>
      <c r="D167" s="244" t="s">
        <v>180</v>
      </c>
      <c r="E167" s="95">
        <f>'12'!F167</f>
        <v>0</v>
      </c>
      <c r="F167" s="165"/>
      <c r="G167" s="165"/>
      <c r="H167" s="99">
        <f>G167+'12'!H167</f>
        <v>0</v>
      </c>
      <c r="I167" s="165"/>
      <c r="J167" s="239">
        <f>H167/DAY(B2)</f>
        <v>0</v>
      </c>
    </row>
    <row r="168" spans="1:10" ht="27.75" customHeight="1">
      <c r="A168" s="923"/>
      <c r="B168" s="923"/>
      <c r="C168" s="246"/>
      <c r="D168" s="244" t="s">
        <v>180</v>
      </c>
      <c r="E168" s="95">
        <f>'12'!F168</f>
        <v>0</v>
      </c>
      <c r="F168" s="165"/>
      <c r="G168" s="165"/>
      <c r="H168" s="99">
        <f>G168+'12'!H168</f>
        <v>0</v>
      </c>
      <c r="I168" s="165"/>
      <c r="J168" s="239">
        <f>H168/DAY(B2)</f>
        <v>0</v>
      </c>
    </row>
    <row r="171" spans="1:10" ht="27.75" customHeight="1">
      <c r="A171" s="933" t="s">
        <v>330</v>
      </c>
      <c r="B171" s="934"/>
      <c r="C171" s="934"/>
      <c r="D171" s="934"/>
      <c r="E171" s="934"/>
      <c r="F171" s="934"/>
      <c r="G171" s="934"/>
      <c r="H171" s="934"/>
      <c r="I171" s="934"/>
      <c r="J171" s="935"/>
    </row>
    <row r="172" spans="1:10" ht="27.75" customHeight="1">
      <c r="A172" s="929"/>
      <c r="B172" s="930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>
      <c r="A173" s="841" t="s">
        <v>209</v>
      </c>
      <c r="B173" s="843"/>
      <c r="C173" s="333"/>
      <c r="D173" s="228" t="s">
        <v>142</v>
      </c>
      <c r="E173" s="95">
        <f>'12'!F173</f>
        <v>8600</v>
      </c>
      <c r="F173" s="155">
        <v>8600</v>
      </c>
      <c r="G173" s="155">
        <f>F173-E173</f>
        <v>0</v>
      </c>
      <c r="H173" s="99">
        <f>G173+'12'!H173</f>
        <v>16</v>
      </c>
      <c r="I173" s="155"/>
      <c r="J173" s="178">
        <f>H173/DAY(B2)</f>
        <v>1.2307692307692308</v>
      </c>
    </row>
    <row r="174" spans="1:10" ht="27.75" customHeight="1">
      <c r="A174" s="841" t="s">
        <v>75</v>
      </c>
      <c r="B174" s="843"/>
      <c r="C174" s="333"/>
      <c r="D174" s="228" t="s">
        <v>142</v>
      </c>
      <c r="E174" s="95">
        <f>'12'!F174</f>
        <v>42809</v>
      </c>
      <c r="F174" s="157">
        <v>42821</v>
      </c>
      <c r="G174" s="155">
        <f t="shared" ref="G174:G175" si="14">F174-E174</f>
        <v>12</v>
      </c>
      <c r="H174" s="99">
        <f>G174+'12'!H174</f>
        <v>152</v>
      </c>
      <c r="I174" s="155"/>
      <c r="J174" s="178">
        <f>H174/DAY(B2)</f>
        <v>11.692307692307692</v>
      </c>
    </row>
    <row r="175" spans="1:10" ht="27.75" customHeight="1">
      <c r="A175" s="841" t="s">
        <v>76</v>
      </c>
      <c r="B175" s="842"/>
      <c r="C175" s="843"/>
      <c r="D175" s="228" t="s">
        <v>142</v>
      </c>
      <c r="E175" s="95">
        <f>'12'!F175</f>
        <v>25547</v>
      </c>
      <c r="F175" s="155">
        <v>25560</v>
      </c>
      <c r="G175" s="155">
        <f t="shared" si="14"/>
        <v>13</v>
      </c>
      <c r="H175" s="99">
        <f>G175+'12'!H175</f>
        <v>167</v>
      </c>
      <c r="I175" s="155"/>
      <c r="J175" s="178">
        <f>H175/DAY(B2)</f>
        <v>12.846153846153847</v>
      </c>
    </row>
    <row r="176" spans="1:10" ht="27.75" customHeight="1">
      <c r="A176" s="853" t="s">
        <v>196</v>
      </c>
      <c r="B176" s="854"/>
      <c r="C176" s="400"/>
      <c r="D176" s="228" t="s">
        <v>142</v>
      </c>
      <c r="E176" s="95"/>
      <c r="F176" s="155"/>
      <c r="G176" s="155">
        <f>SUM(G173:G175)</f>
        <v>25</v>
      </c>
      <c r="H176" s="99">
        <f>G176+'12'!H176</f>
        <v>335</v>
      </c>
      <c r="I176" s="155"/>
      <c r="J176" s="178">
        <f>H176/DAY(B2)</f>
        <v>25.76923076923077</v>
      </c>
    </row>
    <row r="177" spans="1:15" ht="27.75" customHeight="1">
      <c r="A177" s="841" t="s">
        <v>77</v>
      </c>
      <c r="B177" s="843"/>
      <c r="C177" s="333"/>
      <c r="D177" s="228" t="s">
        <v>142</v>
      </c>
      <c r="E177" s="95"/>
      <c r="F177" s="155"/>
      <c r="G177" s="155"/>
      <c r="H177" s="99">
        <f>G177+'12'!H177</f>
        <v>0</v>
      </c>
      <c r="I177" s="155"/>
      <c r="J177" s="178">
        <f>H177/DAY(B2)</f>
        <v>0</v>
      </c>
    </row>
    <row r="178" spans="1:15" ht="27.75" customHeight="1">
      <c r="A178" s="841" t="s">
        <v>210</v>
      </c>
      <c r="B178" s="843"/>
      <c r="C178" s="333"/>
      <c r="D178" s="228" t="s">
        <v>142</v>
      </c>
      <c r="E178" s="95">
        <f>'12'!F178</f>
        <v>104604</v>
      </c>
      <c r="F178" s="155">
        <v>104714</v>
      </c>
      <c r="G178" s="155">
        <f>F178-E178</f>
        <v>110</v>
      </c>
      <c r="H178" s="99">
        <f>G178+'12'!H178</f>
        <v>1071</v>
      </c>
      <c r="I178" s="155"/>
      <c r="J178" s="178">
        <f>H178/DAY(B2)</f>
        <v>82.384615384615387</v>
      </c>
    </row>
    <row r="179" spans="1:15" ht="27.75" customHeight="1">
      <c r="A179" s="841" t="s">
        <v>211</v>
      </c>
      <c r="B179" s="843"/>
      <c r="C179" s="333"/>
      <c r="D179" s="228" t="s">
        <v>142</v>
      </c>
      <c r="E179" s="95">
        <f>'12'!F179</f>
        <v>37501</v>
      </c>
      <c r="F179" s="155">
        <v>37501</v>
      </c>
      <c r="G179" s="155">
        <f t="shared" ref="G179:G180" si="15">F179-E179</f>
        <v>0</v>
      </c>
      <c r="H179" s="99">
        <f>G179+'12'!H179</f>
        <v>0</v>
      </c>
      <c r="I179" s="155"/>
      <c r="J179" s="178">
        <f>H179/DAY(B2)</f>
        <v>0</v>
      </c>
    </row>
    <row r="180" spans="1:15" ht="27.75" customHeight="1">
      <c r="A180" s="841" t="s">
        <v>212</v>
      </c>
      <c r="B180" s="843"/>
      <c r="C180" s="333"/>
      <c r="D180" s="228" t="s">
        <v>142</v>
      </c>
      <c r="E180" s="95">
        <f>'12'!F180</f>
        <v>7439</v>
      </c>
      <c r="F180" s="155">
        <v>7439</v>
      </c>
      <c r="G180" s="155">
        <f t="shared" si="15"/>
        <v>0</v>
      </c>
      <c r="H180" s="99">
        <f>G180+'12'!H180</f>
        <v>19</v>
      </c>
      <c r="I180" s="155"/>
      <c r="J180" s="178">
        <f>H180/DAY(B2)</f>
        <v>1.4615384615384615</v>
      </c>
    </row>
    <row r="181" spans="1:15" ht="27.75" customHeight="1">
      <c r="A181" s="927" t="s">
        <v>108</v>
      </c>
      <c r="B181" s="928"/>
      <c r="C181" s="400"/>
      <c r="D181" s="228" t="s">
        <v>142</v>
      </c>
      <c r="E181" s="95"/>
      <c r="F181" s="155"/>
      <c r="G181" s="155">
        <f>SUM(G178:G180)</f>
        <v>110</v>
      </c>
      <c r="H181" s="99">
        <f>G181+'12'!H181</f>
        <v>1090</v>
      </c>
      <c r="I181" s="155"/>
      <c r="J181" s="178">
        <f>H181/DAY(B2)</f>
        <v>83.84615384615384</v>
      </c>
    </row>
    <row r="182" spans="1:15" ht="27.75" customHeight="1">
      <c r="A182" s="841" t="s">
        <v>213</v>
      </c>
      <c r="B182" s="843"/>
      <c r="C182" s="333"/>
      <c r="D182" s="228" t="s">
        <v>142</v>
      </c>
      <c r="E182" s="95"/>
      <c r="F182" s="155"/>
      <c r="G182" s="155"/>
      <c r="H182" s="99">
        <f>G182+'12'!H182</f>
        <v>0</v>
      </c>
      <c r="I182" s="155"/>
      <c r="J182" s="178">
        <f>H182/DAY(B2)</f>
        <v>0</v>
      </c>
    </row>
    <row r="183" spans="1:15" ht="27.75" customHeight="1">
      <c r="A183" s="841" t="s">
        <v>214</v>
      </c>
      <c r="B183" s="843"/>
      <c r="C183" s="334"/>
      <c r="D183" s="228" t="s">
        <v>142</v>
      </c>
      <c r="E183" s="95">
        <f>'12'!F183</f>
        <v>18238</v>
      </c>
      <c r="F183" s="157">
        <v>18245</v>
      </c>
      <c r="G183" s="157">
        <f>F183-E183</f>
        <v>7</v>
      </c>
      <c r="H183" s="99">
        <f>G183+'12'!H183</f>
        <v>77</v>
      </c>
      <c r="I183" s="155"/>
      <c r="J183" s="178">
        <f>H183/DAY(B2)</f>
        <v>5.9230769230769234</v>
      </c>
    </row>
    <row r="184" spans="1:15" ht="27.75" customHeight="1">
      <c r="A184" s="841" t="s">
        <v>215</v>
      </c>
      <c r="B184" s="843"/>
      <c r="C184" s="334"/>
      <c r="D184" s="228" t="s">
        <v>142</v>
      </c>
      <c r="E184" s="95">
        <f>'12'!F184</f>
        <v>12838</v>
      </c>
      <c r="F184" s="157">
        <v>12867</v>
      </c>
      <c r="G184" s="157">
        <f t="shared" ref="G184:G185" si="16">F184-E184</f>
        <v>29</v>
      </c>
      <c r="H184" s="99">
        <f>G184+'12'!H184</f>
        <v>117</v>
      </c>
      <c r="I184" s="155"/>
      <c r="J184" s="178">
        <f>H184/DAY(B2)</f>
        <v>9</v>
      </c>
      <c r="O184" s="65" t="s">
        <v>362</v>
      </c>
    </row>
    <row r="185" spans="1:15" ht="27.75" customHeight="1">
      <c r="A185" s="841" t="s">
        <v>216</v>
      </c>
      <c r="B185" s="843"/>
      <c r="C185" s="334"/>
      <c r="D185" s="228" t="s">
        <v>142</v>
      </c>
      <c r="E185" s="95">
        <f>'12'!F185</f>
        <v>0</v>
      </c>
      <c r="F185" s="157">
        <v>0</v>
      </c>
      <c r="G185" s="157">
        <f t="shared" si="16"/>
        <v>0</v>
      </c>
      <c r="H185" s="99">
        <f>G185+'12'!H185</f>
        <v>0</v>
      </c>
      <c r="I185" s="155"/>
      <c r="J185" s="178">
        <f>H185/DAY(B2)</f>
        <v>0</v>
      </c>
    </row>
    <row r="186" spans="1:15" ht="27.75" customHeight="1">
      <c r="A186" s="853" t="s">
        <v>196</v>
      </c>
      <c r="B186" s="854"/>
      <c r="C186" s="399"/>
      <c r="D186" s="228" t="s">
        <v>142</v>
      </c>
      <c r="E186" s="95"/>
      <c r="F186" s="157"/>
      <c r="G186" s="157">
        <f>SUM(G183:G185)</f>
        <v>36</v>
      </c>
      <c r="H186" s="99">
        <f>G186+'12'!H186</f>
        <v>194</v>
      </c>
      <c r="I186" s="157"/>
      <c r="J186" s="178">
        <f>H186/DAY(B2)</f>
        <v>14.923076923076923</v>
      </c>
    </row>
    <row r="187" spans="1:15" ht="27.75" customHeight="1">
      <c r="A187" s="931" t="s">
        <v>217</v>
      </c>
      <c r="B187" s="932"/>
      <c r="C187" s="333"/>
      <c r="D187" s="230" t="s">
        <v>142</v>
      </c>
      <c r="E187" s="95"/>
      <c r="F187" s="159"/>
      <c r="G187" s="377">
        <f>G62+G19</f>
        <v>148</v>
      </c>
      <c r="H187" s="99">
        <f>G187+'12'!H187</f>
        <v>2209</v>
      </c>
      <c r="I187" s="158"/>
      <c r="J187" s="179">
        <f>H187/DAY(B2)</f>
        <v>169.92307692307693</v>
      </c>
    </row>
    <row r="188" spans="1:15" ht="27.75" customHeight="1">
      <c r="A188" s="931" t="s">
        <v>218</v>
      </c>
      <c r="B188" s="932"/>
      <c r="C188" s="333"/>
      <c r="D188" s="230" t="s">
        <v>142</v>
      </c>
      <c r="E188" s="95"/>
      <c r="F188" s="159"/>
      <c r="G188" s="377">
        <f>G65+G66+G67+G69+G70</f>
        <v>163</v>
      </c>
      <c r="H188" s="99">
        <f>G188+'12'!H188</f>
        <v>57697</v>
      </c>
      <c r="I188" s="158"/>
      <c r="J188" s="179">
        <f>H188/DAY(B2)</f>
        <v>4438.2307692307695</v>
      </c>
    </row>
    <row r="189" spans="1:15" ht="27.75" customHeight="1">
      <c r="A189" s="931" t="s">
        <v>219</v>
      </c>
      <c r="B189" s="932"/>
      <c r="C189" s="333"/>
      <c r="D189" s="230" t="s">
        <v>142</v>
      </c>
      <c r="E189" s="95"/>
      <c r="F189" s="157"/>
      <c r="G189" s="376">
        <f>G181</f>
        <v>110</v>
      </c>
      <c r="H189" s="99">
        <f>G189+'12'!H189</f>
        <v>1090</v>
      </c>
      <c r="I189" s="158"/>
      <c r="J189" s="179">
        <f>H189/DAY(B2)</f>
        <v>83.84615384615384</v>
      </c>
    </row>
    <row r="190" spans="1:15" ht="27.75" customHeight="1">
      <c r="A190" s="925"/>
      <c r="B190" s="926"/>
      <c r="C190" s="398"/>
      <c r="D190" s="395"/>
      <c r="E190" s="395" t="s">
        <v>207</v>
      </c>
      <c r="F190" s="395"/>
      <c r="G190" s="395"/>
      <c r="H190" s="396"/>
      <c r="I190" s="395"/>
      <c r="J190" s="397"/>
    </row>
  </sheetData>
  <mergeCells count="115">
    <mergeCell ref="A135:B135"/>
    <mergeCell ref="A186:B186"/>
    <mergeCell ref="A187:B187"/>
    <mergeCell ref="A188:B188"/>
    <mergeCell ref="A189:B189"/>
    <mergeCell ref="A190:B190"/>
    <mergeCell ref="A174:B174"/>
    <mergeCell ref="A176:B176"/>
    <mergeCell ref="A177:B177"/>
    <mergeCell ref="A178:B178"/>
    <mergeCell ref="A179:B179"/>
    <mergeCell ref="A181:B181"/>
    <mergeCell ref="A182:B182"/>
    <mergeCell ref="A175:C175"/>
    <mergeCell ref="A183:B183"/>
    <mergeCell ref="A184:B184"/>
    <mergeCell ref="A180:B180"/>
    <mergeCell ref="A185:B185"/>
    <mergeCell ref="A167:B167"/>
    <mergeCell ref="A168:B168"/>
    <mergeCell ref="A171:J171"/>
    <mergeCell ref="A172:B172"/>
    <mergeCell ref="A173:B173"/>
    <mergeCell ref="A140:C140"/>
    <mergeCell ref="A141:C141"/>
    <mergeCell ref="A142:C142"/>
    <mergeCell ref="A160:J160"/>
    <mergeCell ref="A166:B16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05:C105"/>
    <mergeCell ref="A108:J108"/>
    <mergeCell ref="A110:J110"/>
    <mergeCell ref="A111:C111"/>
    <mergeCell ref="A112:C112"/>
    <mergeCell ref="A109:B109"/>
    <mergeCell ref="A121:C121"/>
    <mergeCell ref="A122:C122"/>
    <mergeCell ref="Q117:R117"/>
    <mergeCell ref="A118:C118"/>
    <mergeCell ref="Q118:R118"/>
    <mergeCell ref="A119:C119"/>
    <mergeCell ref="A120:C120"/>
    <mergeCell ref="A117:C117"/>
    <mergeCell ref="A63:C63"/>
    <mergeCell ref="A99:C99"/>
    <mergeCell ref="A100:C100"/>
    <mergeCell ref="A101:C101"/>
    <mergeCell ref="A103:C103"/>
    <mergeCell ref="A104:C104"/>
    <mergeCell ref="A71:C71"/>
    <mergeCell ref="A72:B72"/>
    <mergeCell ref="A78:C78"/>
    <mergeCell ref="A97:C97"/>
    <mergeCell ref="A98:C98"/>
    <mergeCell ref="A95:C95"/>
    <mergeCell ref="A81:C81"/>
    <mergeCell ref="A102:C102"/>
    <mergeCell ref="A123:C123"/>
    <mergeCell ref="A149:C149"/>
    <mergeCell ref="A143:C143"/>
    <mergeCell ref="A144:C144"/>
    <mergeCell ref="A145:C145"/>
    <mergeCell ref="A146:C146"/>
    <mergeCell ref="A147:C147"/>
    <mergeCell ref="A148:C148"/>
    <mergeCell ref="A113:C113"/>
    <mergeCell ref="A114:C114"/>
    <mergeCell ref="A115:C115"/>
    <mergeCell ref="A116:C116"/>
    <mergeCell ref="A124:C124"/>
    <mergeCell ref="A125:B125"/>
    <mergeCell ref="A126:J126"/>
    <mergeCell ref="A134:C134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:J1"/>
    <mergeCell ref="A6:C6"/>
    <mergeCell ref="A14:C14"/>
    <mergeCell ref="A17:C17"/>
    <mergeCell ref="A18:C18"/>
    <mergeCell ref="A25:C25"/>
    <mergeCell ref="A96:C96"/>
    <mergeCell ref="A93:C93"/>
    <mergeCell ref="A94:C94"/>
    <mergeCell ref="A73:C73"/>
    <mergeCell ref="A74:C74"/>
    <mergeCell ref="E3:F3"/>
    <mergeCell ref="A75:C75"/>
    <mergeCell ref="A76:C76"/>
    <mergeCell ref="A77:C77"/>
    <mergeCell ref="A79:C79"/>
    <mergeCell ref="A80:C80"/>
    <mergeCell ref="A19:C19"/>
    <mergeCell ref="A21:C21"/>
    <mergeCell ref="A64:C64"/>
    <mergeCell ref="A65:C65"/>
    <mergeCell ref="A33:C33"/>
    <mergeCell ref="A61:C61"/>
    <mergeCell ref="A62:C62"/>
  </mergeCells>
  <pageMargins left="0.22" right="0.17" top="0.14000000000000001" bottom="0.2" header="0.2" footer="0.2"/>
  <pageSetup paperSize="5" scale="1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R190"/>
  <sheetViews>
    <sheetView view="pageBreakPreview" zoomScale="55" zoomScaleSheetLayoutView="55" workbookViewId="0">
      <selection activeCell="F14" sqref="F14"/>
    </sheetView>
  </sheetViews>
  <sheetFormatPr defaultColWidth="22.33203125" defaultRowHeight="27.75" customHeight="1"/>
  <cols>
    <col min="1" max="1" width="41.33203125" style="94" customWidth="1"/>
    <col min="2" max="2" width="21.6640625" style="97" customWidth="1"/>
    <col min="3" max="3" width="15.88671875" style="97" customWidth="1"/>
    <col min="4" max="4" width="13.6640625" style="160" customWidth="1"/>
    <col min="5" max="5" width="25" style="160" customWidth="1"/>
    <col min="6" max="6" width="24.5546875" style="160" customWidth="1"/>
    <col min="7" max="7" width="27.109375" style="160" customWidth="1"/>
    <col min="8" max="8" width="27.33203125" style="161" customWidth="1"/>
    <col min="9" max="9" width="20.33203125" style="160" customWidth="1"/>
    <col min="10" max="10" width="21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867" t="s">
        <v>115</v>
      </c>
      <c r="B1" s="868"/>
      <c r="C1" s="868"/>
      <c r="D1" s="868"/>
      <c r="E1" s="868"/>
      <c r="F1" s="868"/>
      <c r="G1" s="868"/>
      <c r="H1" s="868"/>
      <c r="I1" s="868"/>
      <c r="J1" s="869"/>
    </row>
    <row r="2" spans="1:15" s="57" customFormat="1" ht="27.75" customHeight="1">
      <c r="A2" s="191" t="s">
        <v>373</v>
      </c>
      <c r="B2" s="262">
        <v>44695</v>
      </c>
      <c r="C2" s="34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29</v>
      </c>
      <c r="E3" s="876" t="s">
        <v>119</v>
      </c>
      <c r="F3" s="877"/>
      <c r="G3" s="101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870" t="s">
        <v>128</v>
      </c>
      <c r="B6" s="871"/>
      <c r="C6" s="87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'13'!F7</f>
        <v>569813</v>
      </c>
      <c r="F7" s="95">
        <v>595816</v>
      </c>
      <c r="G7" s="112">
        <f>F7-E7</f>
        <v>26003</v>
      </c>
      <c r="H7" s="99">
        <f>G7+'13'!H7</f>
        <v>322133.45</v>
      </c>
      <c r="I7" s="113">
        <f>'1'!I7</f>
        <v>12000</v>
      </c>
      <c r="J7" s="175">
        <f>H7/DAY(B2)</f>
        <v>23009.532142857144</v>
      </c>
      <c r="K7" s="172">
        <v>1375467</v>
      </c>
      <c r="L7" s="66"/>
      <c r="N7" s="87">
        <f>G8-G7</f>
        <v>334</v>
      </c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'13'!F8</f>
        <v>748843</v>
      </c>
      <c r="F8" s="114">
        <v>775180</v>
      </c>
      <c r="G8" s="115">
        <f>F8-E8</f>
        <v>26337</v>
      </c>
      <c r="H8" s="99">
        <f>G8+'13'!H8</f>
        <v>323919</v>
      </c>
      <c r="I8" s="116"/>
      <c r="J8" s="175">
        <f>H8/DAY(B2)</f>
        <v>23137.071428571428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'13'!F9</f>
        <v>4198587</v>
      </c>
      <c r="F9" s="468">
        <v>4210741</v>
      </c>
      <c r="G9" s="112">
        <f>F9-E9</f>
        <v>12154</v>
      </c>
      <c r="H9" s="99">
        <f>G9+'13'!H9</f>
        <v>96570.700000000186</v>
      </c>
      <c r="I9" s="124">
        <f>I7-J7</f>
        <v>-11009.532142857144</v>
      </c>
      <c r="J9" s="175">
        <f>H9/DAY(B2)</f>
        <v>6897.907142857156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'13'!F10</f>
        <v>3892599</v>
      </c>
      <c r="F10" s="353">
        <v>3906214</v>
      </c>
      <c r="G10" s="112">
        <f t="shared" ref="G10:G12" si="0">F10-E10</f>
        <v>13615</v>
      </c>
      <c r="H10" s="99">
        <f>G10+'13'!H10</f>
        <v>216734.89999999991</v>
      </c>
      <c r="I10" s="282"/>
      <c r="J10" s="175">
        <f>H10/DAY(B2)</f>
        <v>15481.064285714279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'13'!F11</f>
        <v>38120</v>
      </c>
      <c r="F11" s="95">
        <v>38120</v>
      </c>
      <c r="G11" s="112">
        <f t="shared" si="0"/>
        <v>0</v>
      </c>
      <c r="H11" s="99">
        <f>G11+'13'!H11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'13'!F12</f>
        <v>40390</v>
      </c>
      <c r="F12" s="117">
        <v>40550</v>
      </c>
      <c r="G12" s="112">
        <f t="shared" si="0"/>
        <v>160</v>
      </c>
      <c r="H12" s="99">
        <f>G12+'13'!H12</f>
        <v>160</v>
      </c>
      <c r="I12" s="282"/>
      <c r="J12" s="175">
        <f>H12/DAY(B2)</f>
        <v>11.428571428571429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25929</v>
      </c>
      <c r="H13" s="99">
        <f>G13+'13'!H13</f>
        <v>317694.29999999981</v>
      </c>
      <c r="I13" s="120">
        <f>G7-G13</f>
        <v>74</v>
      </c>
      <c r="J13" s="175">
        <f>H13/DAY(B2)</f>
        <v>22692.449999999986</v>
      </c>
      <c r="K13" s="79"/>
      <c r="L13" s="66"/>
      <c r="N13" s="87"/>
      <c r="O13" s="71"/>
    </row>
    <row r="14" spans="1:15" ht="27.75" customHeight="1">
      <c r="A14" s="873" t="s">
        <v>137</v>
      </c>
      <c r="B14" s="874"/>
      <c r="C14" s="87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68">
        <f>'13'!F15</f>
        <v>2233132</v>
      </c>
      <c r="F15" s="468">
        <v>2234192</v>
      </c>
      <c r="G15" s="112">
        <f>(F15-E15)</f>
        <v>1060</v>
      </c>
      <c r="H15" s="99">
        <f>G15+'13'!H15</f>
        <v>15251</v>
      </c>
      <c r="I15" s="113">
        <f>'1'!I15</f>
        <v>800</v>
      </c>
      <c r="J15" s="175">
        <f>H15/DAY(B2)</f>
        <v>1089.3571428571429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-289.35714285714289</v>
      </c>
      <c r="J16" s="176"/>
      <c r="K16" s="79"/>
      <c r="L16" s="66"/>
      <c r="N16" s="87"/>
      <c r="O16" s="71"/>
    </row>
    <row r="17" spans="1:15" ht="27.75" customHeight="1">
      <c r="A17" s="873" t="s">
        <v>140</v>
      </c>
      <c r="B17" s="874"/>
      <c r="C17" s="87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>
      <c r="A18" s="864" t="s">
        <v>141</v>
      </c>
      <c r="B18" s="865"/>
      <c r="C18" s="866"/>
      <c r="D18" s="151" t="s">
        <v>142</v>
      </c>
      <c r="E18" s="95">
        <f>'13'!F18</f>
        <v>33</v>
      </c>
      <c r="F18" s="122">
        <v>33</v>
      </c>
      <c r="G18" s="119">
        <f>F18*10</f>
        <v>330</v>
      </c>
      <c r="H18" s="99">
        <f>G18+'13'!H18</f>
        <v>3820</v>
      </c>
      <c r="I18" s="113">
        <f>'1'!I18</f>
        <v>65</v>
      </c>
      <c r="J18" s="175">
        <f>H18/DAY(B2)</f>
        <v>272.85714285714283</v>
      </c>
      <c r="K18" s="79"/>
      <c r="L18" s="66"/>
      <c r="N18" s="87"/>
      <c r="O18" s="71"/>
    </row>
    <row r="19" spans="1:15" ht="27.75" customHeight="1">
      <c r="A19" s="864" t="s">
        <v>69</v>
      </c>
      <c r="B19" s="865"/>
      <c r="C19" s="866"/>
      <c r="D19" s="151" t="s">
        <v>142</v>
      </c>
      <c r="E19" s="95">
        <f>'13'!F19</f>
        <v>168663</v>
      </c>
      <c r="F19" s="122">
        <v>168710</v>
      </c>
      <c r="G19" s="112">
        <f t="shared" ref="G19" si="1">F19-E19</f>
        <v>47</v>
      </c>
      <c r="H19" s="99">
        <f>G19+'13'!H19</f>
        <v>750</v>
      </c>
      <c r="I19" s="335"/>
      <c r="J19" s="175">
        <f>H19/DAY(B2)</f>
        <v>53.571428571428569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377</v>
      </c>
      <c r="H20" s="99">
        <f>G20+'13'!H20</f>
        <v>4570</v>
      </c>
      <c r="I20" s="336">
        <f>I18-J20</f>
        <v>-261.42857142857144</v>
      </c>
      <c r="J20" s="175">
        <f>H20/DAY(B2)</f>
        <v>326.42857142857144</v>
      </c>
      <c r="K20" s="79"/>
      <c r="L20" s="66"/>
      <c r="N20" s="87"/>
      <c r="O20" s="71"/>
    </row>
    <row r="21" spans="1:15" ht="27.75" customHeight="1">
      <c r="A21" s="873" t="s">
        <v>144</v>
      </c>
      <c r="B21" s="874"/>
      <c r="C21" s="87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'13'!F22</f>
        <v>2970</v>
      </c>
      <c r="F22" s="122">
        <v>2970</v>
      </c>
      <c r="G22" s="119">
        <f t="shared" ref="G22" si="2">(F22-E22)</f>
        <v>0</v>
      </c>
      <c r="H22" s="99">
        <f>G22+'13'!H22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v>1960</v>
      </c>
      <c r="F23" s="122">
        <v>1860</v>
      </c>
      <c r="G23" s="112">
        <f t="shared" ref="G23" si="3">F23-E23</f>
        <v>-100</v>
      </c>
      <c r="H23" s="99">
        <f>G23+'13'!H23</f>
        <v>-100</v>
      </c>
      <c r="I23" s="118"/>
      <c r="J23" s="175">
        <f>H23/DAY(B2)</f>
        <v>-7.1428571428571432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SUM(E22:E23)</f>
        <v>4930</v>
      </c>
      <c r="F24" s="128">
        <f>SUM(F22:F23)</f>
        <v>4830</v>
      </c>
      <c r="G24" s="119">
        <v>0</v>
      </c>
      <c r="H24" s="99">
        <f>G24+'13'!H24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878" t="s">
        <v>149</v>
      </c>
      <c r="B25" s="879"/>
      <c r="C25" s="88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26337</v>
      </c>
      <c r="F27" s="136">
        <v>9</v>
      </c>
      <c r="G27" s="137">
        <f>E27*F27</f>
        <v>237033</v>
      </c>
      <c r="H27" s="99">
        <f>G27+'13'!H27</f>
        <v>2937861.8</v>
      </c>
      <c r="I27" s="138"/>
      <c r="J27" s="175">
        <f>H27/DAY(B2)</f>
        <v>209847.2714285714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1060</v>
      </c>
      <c r="F28" s="136">
        <v>70</v>
      </c>
      <c r="G28" s="137">
        <f>E28*F28</f>
        <v>74200</v>
      </c>
      <c r="H28" s="99">
        <f>G28+'13'!H28</f>
        <v>1078081.7500000005</v>
      </c>
      <c r="I28" s="140"/>
      <c r="J28" s="175">
        <f>H28/DAY(B2)</f>
        <v>77005.839285714319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v>100</v>
      </c>
      <c r="F29" s="136">
        <v>69</v>
      </c>
      <c r="G29" s="137">
        <f>E29*F29</f>
        <v>6900</v>
      </c>
      <c r="H29" s="99">
        <f>G29+'13'!H29</f>
        <v>6900</v>
      </c>
      <c r="I29" s="140"/>
      <c r="J29" s="175">
        <f>H29/DAY(B2)</f>
        <v>492.85714285714283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47</v>
      </c>
      <c r="F30" s="136">
        <v>151</v>
      </c>
      <c r="G30" s="137">
        <f>E30*F30</f>
        <v>7097</v>
      </c>
      <c r="H30" s="99">
        <f>G30+'13'!H30</f>
        <v>113250</v>
      </c>
      <c r="I30" s="140"/>
      <c r="J30" s="175">
        <f>H30/DAY(B2)</f>
        <v>8089.2857142857147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330</v>
      </c>
      <c r="F31" s="136">
        <v>80</v>
      </c>
      <c r="G31" s="137">
        <f>E31*F31</f>
        <v>26400</v>
      </c>
      <c r="H31" s="99">
        <f>G31+'13'!H31</f>
        <v>305600</v>
      </c>
      <c r="I31" s="140"/>
      <c r="J31" s="175">
        <f>H31/DAY(B2)</f>
        <v>21828.571428571428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351630</v>
      </c>
      <c r="H32" s="99">
        <f>G32+'13'!H32</f>
        <v>4441693.5500000007</v>
      </c>
      <c r="I32" s="144"/>
      <c r="J32" s="175">
        <f>H32/DAY(B2)</f>
        <v>317263.82500000007</v>
      </c>
      <c r="K32" s="63"/>
      <c r="L32" s="89"/>
      <c r="N32" s="87"/>
      <c r="O32" s="71"/>
    </row>
    <row r="33" spans="1:15" ht="27.75" customHeight="1">
      <c r="A33" s="881" t="s">
        <v>331</v>
      </c>
      <c r="B33" s="882"/>
      <c r="C33" s="88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'13'!F35</f>
        <v>405720</v>
      </c>
      <c r="F35" s="145">
        <v>408654</v>
      </c>
      <c r="G35" s="112">
        <f t="shared" ref="G35:G46" si="4">F35-E35</f>
        <v>2934</v>
      </c>
      <c r="H35" s="99">
        <f>G35+'13'!H35</f>
        <v>39557.090000000026</v>
      </c>
      <c r="I35" s="95"/>
      <c r="J35" s="175">
        <f>H35/DAY(B2)</f>
        <v>2825.5064285714302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'13'!F36</f>
        <v>336414</v>
      </c>
      <c r="F36" s="145">
        <v>337672</v>
      </c>
      <c r="G36" s="112">
        <f t="shared" si="4"/>
        <v>1258</v>
      </c>
      <c r="H36" s="99">
        <f>G36+'13'!H36</f>
        <v>15454.890000000014</v>
      </c>
      <c r="I36" s="95"/>
      <c r="J36" s="175">
        <f>H36/DAY(B2)</f>
        <v>1103.9207142857153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'13'!F37</f>
        <v>322998.69</v>
      </c>
      <c r="F37" s="145">
        <v>322998.69</v>
      </c>
      <c r="G37" s="112">
        <f t="shared" si="4"/>
        <v>0</v>
      </c>
      <c r="H37" s="99">
        <f>G37+'13'!H37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'13'!F38</f>
        <v>767674</v>
      </c>
      <c r="F38" s="108">
        <v>770307</v>
      </c>
      <c r="G38" s="112">
        <f t="shared" si="4"/>
        <v>2633</v>
      </c>
      <c r="H38" s="99">
        <f>G38+'13'!H38</f>
        <v>34454.609999999986</v>
      </c>
      <c r="I38" s="95"/>
      <c r="J38" s="175">
        <f>H38/DAY(B2)</f>
        <v>2461.0435714285704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'13'!F39</f>
        <v>591584</v>
      </c>
      <c r="F39" s="145">
        <v>591584</v>
      </c>
      <c r="G39" s="112">
        <f t="shared" si="4"/>
        <v>0</v>
      </c>
      <c r="H39" s="99">
        <f>G39+'13'!H39</f>
        <v>-0.18999999994412065</v>
      </c>
      <c r="I39" s="95"/>
      <c r="J39" s="175">
        <f>H39/DAY(B2)</f>
        <v>-1.3571428567437189E-2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'13'!F40</f>
        <v>202104</v>
      </c>
      <c r="F40" s="145">
        <v>202514.71</v>
      </c>
      <c r="G40" s="112">
        <f t="shared" si="4"/>
        <v>410.70999999999185</v>
      </c>
      <c r="H40" s="99">
        <f>G40+'13'!H40</f>
        <v>5784.7399999999907</v>
      </c>
      <c r="I40" s="95"/>
      <c r="J40" s="175">
        <f>H40/DAY(B2)</f>
        <v>413.19571428571362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'13'!F41</f>
        <v>419197</v>
      </c>
      <c r="F41" s="145">
        <v>419197</v>
      </c>
      <c r="G41" s="112">
        <f t="shared" si="4"/>
        <v>0</v>
      </c>
      <c r="H41" s="99">
        <f>G41+'13'!H41</f>
        <v>29.409999999974389</v>
      </c>
      <c r="I41" s="95"/>
      <c r="J41" s="175">
        <f>H41/DAY(B2)</f>
        <v>2.1007142857124563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'13'!F42</f>
        <v>872591.19</v>
      </c>
      <c r="F42" s="145">
        <v>878093</v>
      </c>
      <c r="G42" s="112">
        <f t="shared" si="4"/>
        <v>5501.8100000000559</v>
      </c>
      <c r="H42" s="99">
        <f>G42+'13'!H42</f>
        <v>6222.1300000000047</v>
      </c>
      <c r="I42" s="95"/>
      <c r="J42" s="175">
        <f>H42/DAY(B2)</f>
        <v>444.43785714285747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'13'!F43</f>
        <v>407028</v>
      </c>
      <c r="F43" s="145">
        <v>407028</v>
      </c>
      <c r="G43" s="112">
        <f t="shared" si="4"/>
        <v>0</v>
      </c>
      <c r="H43" s="99">
        <f>G43+'13'!H43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'13'!F44</f>
        <v>0</v>
      </c>
      <c r="F44" s="145">
        <v>0</v>
      </c>
      <c r="G44" s="112">
        <f t="shared" si="4"/>
        <v>0</v>
      </c>
      <c r="H44" s="99">
        <f>G44+'13'!H44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'13'!F45</f>
        <v>0</v>
      </c>
      <c r="F45" s="145">
        <v>0</v>
      </c>
      <c r="G45" s="112">
        <f t="shared" si="4"/>
        <v>0</v>
      </c>
      <c r="H45" s="99">
        <f>G45+'13'!H45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'13'!F46</f>
        <v>0</v>
      </c>
      <c r="F46" s="145">
        <v>0</v>
      </c>
      <c r="G46" s="112">
        <f t="shared" si="4"/>
        <v>0</v>
      </c>
      <c r="H46" s="99">
        <f>G46+'13'!H46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12737.520000000048</v>
      </c>
      <c r="H47" s="99">
        <f>G47+'13'!H47</f>
        <v>101502.68000000005</v>
      </c>
      <c r="I47" s="95"/>
      <c r="J47" s="175">
        <f>H47/DAY(B2)</f>
        <v>7250.191428571432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'13'!F49</f>
        <v>799026.31</v>
      </c>
      <c r="F49" s="145">
        <v>799512</v>
      </c>
      <c r="G49" s="112">
        <f t="shared" ref="G49:G58" si="5">F49-E49</f>
        <v>485.68999999994412</v>
      </c>
      <c r="H49" s="99">
        <f>G49+'13'!H49</f>
        <v>5889.0500000000466</v>
      </c>
      <c r="I49" s="95"/>
      <c r="J49" s="175">
        <f>H49/DAY(B2)</f>
        <v>420.6464285714319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'13'!F50</f>
        <v>476482</v>
      </c>
      <c r="F50" s="145">
        <v>478147</v>
      </c>
      <c r="G50" s="112">
        <f t="shared" si="5"/>
        <v>1665</v>
      </c>
      <c r="H50" s="99">
        <f>G50+'13'!H50</f>
        <v>21477.929999999993</v>
      </c>
      <c r="I50" s="95"/>
      <c r="J50" s="175">
        <f>H50/DAY(B2)</f>
        <v>1534.1378571428565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'13'!F51</f>
        <v>149172</v>
      </c>
      <c r="F51" s="145">
        <v>150239</v>
      </c>
      <c r="G51" s="112">
        <f t="shared" si="5"/>
        <v>1067</v>
      </c>
      <c r="H51" s="99">
        <f>G51+'13'!H51</f>
        <v>14994.450000000012</v>
      </c>
      <c r="I51" s="95"/>
      <c r="J51" s="175">
        <f>H51/DAY(B2)</f>
        <v>1071.0321428571438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'13'!F52</f>
        <v>10</v>
      </c>
      <c r="F52" s="145">
        <v>10</v>
      </c>
      <c r="G52" s="112">
        <f t="shared" si="5"/>
        <v>0</v>
      </c>
      <c r="H52" s="99">
        <f>G52+'13'!H52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'13'!F53</f>
        <v>599505</v>
      </c>
      <c r="F53" s="145">
        <v>603141</v>
      </c>
      <c r="G53" s="112">
        <f t="shared" si="5"/>
        <v>3636</v>
      </c>
      <c r="H53" s="99">
        <f>G53+'13'!H53</f>
        <v>56599.729999999981</v>
      </c>
      <c r="I53" s="95"/>
      <c r="J53" s="175">
        <f>H53/DAY(B2)</f>
        <v>4042.8378571428557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'13'!F54</f>
        <v>109808</v>
      </c>
      <c r="F54" s="145">
        <v>110031</v>
      </c>
      <c r="G54" s="112">
        <f t="shared" si="5"/>
        <v>223</v>
      </c>
      <c r="H54" s="99">
        <f>G54+'13'!H54</f>
        <v>2367.8399999999965</v>
      </c>
      <c r="I54" s="95"/>
      <c r="J54" s="175">
        <f>H54/DAY(B2)</f>
        <v>169.13142857142833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'13'!F55</f>
        <v>571421.55000000005</v>
      </c>
      <c r="F55" s="145">
        <v>571421.55000000005</v>
      </c>
      <c r="G55" s="112">
        <f t="shared" si="5"/>
        <v>0</v>
      </c>
      <c r="H55" s="99">
        <f>G55+'13'!H55</f>
        <v>9936.8800000000047</v>
      </c>
      <c r="I55" s="95"/>
      <c r="J55" s="175">
        <f>H55/DAY(B2)</f>
        <v>709.77714285714319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'13'!F56</f>
        <v>305460</v>
      </c>
      <c r="F56" s="145">
        <v>307273</v>
      </c>
      <c r="G56" s="112">
        <f t="shared" si="5"/>
        <v>1813</v>
      </c>
      <c r="H56" s="99">
        <f>G56+'13'!H56</f>
        <v>39157.989999999991</v>
      </c>
      <c r="I56" s="95"/>
      <c r="J56" s="175">
        <f>H56/DAY(B2)</f>
        <v>2796.9992857142852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'13'!F57</f>
        <v>600299.15</v>
      </c>
      <c r="F57" s="145">
        <v>603141</v>
      </c>
      <c r="G57" s="112">
        <f t="shared" si="5"/>
        <v>2841.8499999999767</v>
      </c>
      <c r="H57" s="99">
        <f>G57+'13'!H57</f>
        <v>34562.530000000028</v>
      </c>
      <c r="I57" s="95"/>
      <c r="J57" s="175">
        <f>H57/DAY(B2)</f>
        <v>2468.7521428571449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'13'!F58</f>
        <v>81711.67</v>
      </c>
      <c r="F58" s="145">
        <v>81903.39</v>
      </c>
      <c r="G58" s="112">
        <f t="shared" si="5"/>
        <v>191.72000000000116</v>
      </c>
      <c r="H58" s="99">
        <f>G58+'13'!H58</f>
        <v>3187.6999999999971</v>
      </c>
      <c r="I58" s="95"/>
      <c r="J58" s="175">
        <f>H58/DAY(B2)</f>
        <v>227.69285714285692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11923.259999999922</v>
      </c>
      <c r="H59" s="99">
        <f>G59+'13'!H59</f>
        <v>188174.10000000006</v>
      </c>
      <c r="I59" s="95">
        <f>G7-G60</f>
        <v>1342.2200000000303</v>
      </c>
      <c r="J59" s="175">
        <f>H59/DAY(B2)</f>
        <v>13441.007142857148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24660.77999999997</v>
      </c>
      <c r="H60" s="99">
        <f>G60+'13'!H60</f>
        <v>289676.78000000014</v>
      </c>
      <c r="I60" s="95">
        <f>G13-G60</f>
        <v>1268.2200000000303</v>
      </c>
      <c r="J60" s="175">
        <f>H60/DAY(B2)</f>
        <v>20691.19857142858</v>
      </c>
      <c r="K60" s="79"/>
      <c r="L60" s="66"/>
      <c r="N60" s="87"/>
      <c r="O60" s="71"/>
    </row>
    <row r="61" spans="1:15" s="68" customFormat="1" ht="27.75" customHeight="1">
      <c r="A61" s="883" t="s">
        <v>332</v>
      </c>
      <c r="B61" s="884"/>
      <c r="C61" s="88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>
      <c r="A62" s="864" t="s">
        <v>198</v>
      </c>
      <c r="B62" s="865"/>
      <c r="C62" s="866"/>
      <c r="D62" s="151" t="s">
        <v>142</v>
      </c>
      <c r="E62" s="95">
        <f>'13'!F62</f>
        <v>309820</v>
      </c>
      <c r="F62" s="122">
        <v>309943</v>
      </c>
      <c r="G62" s="112">
        <f t="shared" ref="G62:G63" si="6">F62-E62</f>
        <v>123</v>
      </c>
      <c r="H62" s="99">
        <f>G62+'13'!H62</f>
        <v>1629</v>
      </c>
      <c r="I62" s="118"/>
      <c r="J62" s="175">
        <f>H62/DAY(B2)</f>
        <v>116.35714285714286</v>
      </c>
      <c r="K62" s="80"/>
      <c r="L62" s="66"/>
      <c r="N62" s="87"/>
      <c r="O62" s="71"/>
    </row>
    <row r="63" spans="1:15" ht="27.75" customHeight="1">
      <c r="A63" s="864" t="s">
        <v>199</v>
      </c>
      <c r="B63" s="865"/>
      <c r="C63" s="866"/>
      <c r="D63" s="151" t="s">
        <v>142</v>
      </c>
      <c r="E63" s="95">
        <f>'13'!F63</f>
        <v>247666</v>
      </c>
      <c r="F63" s="122">
        <v>247692</v>
      </c>
      <c r="G63" s="112">
        <f t="shared" si="6"/>
        <v>26</v>
      </c>
      <c r="H63" s="99">
        <f>G63+'13'!H63</f>
        <v>763</v>
      </c>
      <c r="I63" s="118"/>
      <c r="J63" s="175">
        <f>H63/DAY(B2)</f>
        <v>54.5</v>
      </c>
      <c r="K63" s="69"/>
      <c r="L63" s="66"/>
      <c r="N63" s="87"/>
      <c r="O63" s="71"/>
    </row>
    <row r="64" spans="1:15" ht="27.75" customHeight="1">
      <c r="A64" s="861" t="s">
        <v>200</v>
      </c>
      <c r="B64" s="862"/>
      <c r="C64" s="863"/>
      <c r="D64" s="151"/>
      <c r="E64" s="95">
        <f>'13'!F64</f>
        <v>0</v>
      </c>
      <c r="F64" s="122"/>
      <c r="G64" s="112">
        <f>G62+G63</f>
        <v>149</v>
      </c>
      <c r="H64" s="99">
        <f>G64+'13'!H64</f>
        <v>2392</v>
      </c>
      <c r="I64" s="118"/>
      <c r="J64" s="175">
        <f>H64/DAY(B2)</f>
        <v>170.85714285714286</v>
      </c>
      <c r="K64" s="69"/>
      <c r="L64" s="66"/>
      <c r="N64" s="87"/>
      <c r="O64" s="71"/>
    </row>
    <row r="65" spans="1:15" ht="27.75" customHeight="1">
      <c r="A65" s="864" t="s">
        <v>201</v>
      </c>
      <c r="B65" s="865"/>
      <c r="C65" s="866"/>
      <c r="D65" s="151" t="s">
        <v>142</v>
      </c>
      <c r="E65" s="95">
        <f>'13'!F65</f>
        <v>469620</v>
      </c>
      <c r="F65" s="122">
        <v>469769</v>
      </c>
      <c r="G65" s="112">
        <f t="shared" ref="G65:G70" si="7">F65-E65</f>
        <v>149</v>
      </c>
      <c r="H65" s="99">
        <f>G65+'13'!H65</f>
        <v>1868</v>
      </c>
      <c r="I65" s="118"/>
      <c r="J65" s="175">
        <f>H65/DAY(B2)</f>
        <v>133.42857142857142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'13'!F66</f>
        <v>113320</v>
      </c>
      <c r="F66" s="122">
        <v>113333</v>
      </c>
      <c r="G66" s="112">
        <f t="shared" si="7"/>
        <v>13</v>
      </c>
      <c r="H66" s="99">
        <f>G66+'13'!H66</f>
        <v>55586</v>
      </c>
      <c r="I66" s="118"/>
      <c r="J66" s="175">
        <f>H66/DAY(B2)</f>
        <v>3970.4285714285716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'13'!F67</f>
        <v>116113</v>
      </c>
      <c r="F67" s="122">
        <v>116135</v>
      </c>
      <c r="G67" s="112">
        <f t="shared" si="7"/>
        <v>22</v>
      </c>
      <c r="H67" s="99">
        <f>G67+'13'!H67</f>
        <v>280</v>
      </c>
      <c r="I67" s="118"/>
      <c r="J67" s="175">
        <f>H67/DAY(B2)</f>
        <v>20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'13'!F68</f>
        <v>168888</v>
      </c>
      <c r="F68" s="122">
        <v>168917</v>
      </c>
      <c r="G68" s="112">
        <f t="shared" si="7"/>
        <v>29</v>
      </c>
      <c r="H68" s="99">
        <f>G68+'13'!H68</f>
        <v>410</v>
      </c>
      <c r="I68" s="118"/>
      <c r="J68" s="175">
        <f>H68/DAY(B2)</f>
        <v>29.285714285714285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'13'!F69</f>
        <v>12867</v>
      </c>
      <c r="F69" s="122">
        <v>12877</v>
      </c>
      <c r="G69" s="112">
        <f t="shared" si="7"/>
        <v>10</v>
      </c>
      <c r="H69" s="99">
        <f>G69+'13'!H69</f>
        <v>67</v>
      </c>
      <c r="I69" s="118"/>
      <c r="J69" s="175">
        <f>H69/DAY(B2)</f>
        <v>4.7857142857142856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'13'!F70</f>
        <v>10869</v>
      </c>
      <c r="F70" s="122">
        <v>10877</v>
      </c>
      <c r="G70" s="112">
        <f t="shared" si="7"/>
        <v>8</v>
      </c>
      <c r="H70" s="99">
        <f>G70+'13'!H70</f>
        <v>98</v>
      </c>
      <c r="I70" s="118"/>
      <c r="J70" s="175">
        <f>H70/DAY(B2)</f>
        <v>7</v>
      </c>
      <c r="K70" s="69"/>
      <c r="L70" s="66"/>
      <c r="N70" s="87"/>
      <c r="O70" s="71"/>
    </row>
    <row r="71" spans="1:15" ht="27.75" customHeight="1">
      <c r="A71" s="861" t="s">
        <v>208</v>
      </c>
      <c r="B71" s="862"/>
      <c r="C71" s="863"/>
      <c r="D71" s="152"/>
      <c r="E71" s="152"/>
      <c r="F71" s="152"/>
      <c r="G71" s="153">
        <f>SUM(G65:G70)</f>
        <v>231</v>
      </c>
      <c r="H71" s="99">
        <f>G71+'13'!H71</f>
        <v>58309</v>
      </c>
      <c r="I71" s="154"/>
      <c r="J71" s="175">
        <f>H71/DAY(B2)</f>
        <v>4164.9285714285716</v>
      </c>
      <c r="K71" s="69"/>
      <c r="L71" s="66"/>
      <c r="N71" s="87"/>
      <c r="O71" s="71"/>
    </row>
    <row r="72" spans="1:15" s="88" customFormat="1" ht="27.75" customHeight="1">
      <c r="A72" s="904"/>
      <c r="B72" s="89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>
      <c r="A73" s="909" t="s">
        <v>333</v>
      </c>
      <c r="B73" s="910"/>
      <c r="C73" s="91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>
      <c r="A74" s="864" t="s">
        <v>220</v>
      </c>
      <c r="B74" s="865"/>
      <c r="C74" s="866"/>
      <c r="D74" s="151" t="s">
        <v>139</v>
      </c>
      <c r="E74" s="95">
        <f>'13'!F74</f>
        <v>997158</v>
      </c>
      <c r="F74" s="232">
        <v>997449</v>
      </c>
      <c r="G74" s="112">
        <f t="shared" ref="G74:G78" si="8">F74-E74</f>
        <v>291</v>
      </c>
      <c r="H74" s="99">
        <f>G74+'13'!H74</f>
        <v>4089.9699999999721</v>
      </c>
      <c r="I74" s="154"/>
      <c r="J74" s="175">
        <f>H74/DAY(B2)</f>
        <v>292.14071428571231</v>
      </c>
      <c r="K74" s="69"/>
      <c r="L74" s="66"/>
      <c r="N74" s="87"/>
      <c r="O74" s="71"/>
    </row>
    <row r="75" spans="1:15" ht="27.75" customHeight="1">
      <c r="A75" s="864" t="s">
        <v>221</v>
      </c>
      <c r="B75" s="865"/>
      <c r="C75" s="866"/>
      <c r="D75" s="151" t="s">
        <v>139</v>
      </c>
      <c r="E75" s="95">
        <f>'13'!F75</f>
        <v>73586.600000000006</v>
      </c>
      <c r="F75" s="123">
        <v>73586.8</v>
      </c>
      <c r="G75" s="112">
        <f t="shared" si="8"/>
        <v>0.19999999999708962</v>
      </c>
      <c r="H75" s="99">
        <f>G75+'13'!H75</f>
        <v>0.80000000000291038</v>
      </c>
      <c r="I75" s="154"/>
      <c r="J75" s="175">
        <f>H75/DAY(B2)</f>
        <v>5.714285714306503E-2</v>
      </c>
      <c r="K75" s="69"/>
      <c r="L75" s="66"/>
      <c r="N75" s="87"/>
      <c r="O75" s="71"/>
    </row>
    <row r="76" spans="1:15" ht="27.75" customHeight="1">
      <c r="A76" s="905" t="s">
        <v>222</v>
      </c>
      <c r="B76" s="891"/>
      <c r="C76" s="892"/>
      <c r="D76" s="151" t="s">
        <v>139</v>
      </c>
      <c r="E76" s="95">
        <f>'13'!F76</f>
        <v>205402</v>
      </c>
      <c r="F76" s="123">
        <v>205524</v>
      </c>
      <c r="G76" s="112">
        <f t="shared" si="8"/>
        <v>122</v>
      </c>
      <c r="H76" s="99">
        <f>G76+'13'!H76</f>
        <v>1862</v>
      </c>
      <c r="I76" s="154"/>
      <c r="J76" s="175">
        <f>H76/DAY(B2)</f>
        <v>133</v>
      </c>
      <c r="K76" s="69"/>
      <c r="L76" s="66"/>
      <c r="N76" s="87"/>
      <c r="O76" s="71"/>
    </row>
    <row r="77" spans="1:15" ht="27.75" customHeight="1">
      <c r="A77" s="905" t="s">
        <v>223</v>
      </c>
      <c r="B77" s="891"/>
      <c r="C77" s="892"/>
      <c r="D77" s="151" t="s">
        <v>139</v>
      </c>
      <c r="E77" s="95">
        <f>'13'!F77</f>
        <v>57224</v>
      </c>
      <c r="F77" s="123">
        <v>57271</v>
      </c>
      <c r="G77" s="112">
        <f t="shared" si="8"/>
        <v>47</v>
      </c>
      <c r="H77" s="99">
        <f>G77+'13'!H77</f>
        <v>749</v>
      </c>
      <c r="I77" s="154"/>
      <c r="J77" s="175">
        <f>H77/DAY(B2)</f>
        <v>53.5</v>
      </c>
      <c r="K77" s="69"/>
      <c r="L77" s="66"/>
      <c r="N77" s="87"/>
      <c r="O77" s="71"/>
    </row>
    <row r="78" spans="1:15" ht="27.75" customHeight="1">
      <c r="A78" s="905" t="s">
        <v>224</v>
      </c>
      <c r="B78" s="891"/>
      <c r="C78" s="892"/>
      <c r="D78" s="151" t="s">
        <v>139</v>
      </c>
      <c r="E78" s="123">
        <v>9564</v>
      </c>
      <c r="F78" s="123">
        <v>9564</v>
      </c>
      <c r="G78" s="112">
        <f t="shared" si="8"/>
        <v>0</v>
      </c>
      <c r="H78" s="99">
        <f>G78+'13'!H78</f>
        <v>-0.3999999999996362</v>
      </c>
      <c r="I78" s="118"/>
      <c r="J78" s="175">
        <f>H78/DAY(B2)</f>
        <v>-2.8571428571402584E-2</v>
      </c>
      <c r="K78" s="69"/>
      <c r="L78" s="66"/>
      <c r="N78" s="87"/>
      <c r="O78" s="71"/>
    </row>
    <row r="79" spans="1:15" s="57" customFormat="1" ht="27.75" customHeight="1">
      <c r="A79" s="905" t="s">
        <v>225</v>
      </c>
      <c r="B79" s="891"/>
      <c r="C79" s="892"/>
      <c r="D79" s="151"/>
      <c r="E79" s="95">
        <f>'13'!F79</f>
        <v>0</v>
      </c>
      <c r="F79" s="117"/>
      <c r="G79" s="112">
        <f>G15-SUM(G74:G78)</f>
        <v>599.80000000000291</v>
      </c>
      <c r="H79" s="99">
        <f>G79+'13'!H79</f>
        <v>8549.6300000000247</v>
      </c>
      <c r="I79" s="118"/>
      <c r="J79" s="175">
        <f>H79/DAY(B2)</f>
        <v>610.68785714285889</v>
      </c>
      <c r="K79" s="59"/>
      <c r="L79" s="58"/>
      <c r="N79" s="87"/>
      <c r="O79" s="71"/>
    </row>
    <row r="80" spans="1:15" s="57" customFormat="1" ht="27.75" customHeight="1">
      <c r="A80" s="861" t="s">
        <v>329</v>
      </c>
      <c r="B80" s="862"/>
      <c r="C80" s="863"/>
      <c r="D80" s="151"/>
      <c r="E80" s="117"/>
      <c r="F80" s="117"/>
      <c r="G80" s="112">
        <f>SUM(G74:G79)</f>
        <v>1060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897" t="s">
        <v>226</v>
      </c>
      <c r="B81" s="898"/>
      <c r="C81" s="899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'13'!F82</f>
        <v>0</v>
      </c>
      <c r="F82" s="122">
        <v>0</v>
      </c>
      <c r="G82" s="112">
        <f t="shared" ref="G82:G92" si="9">F82-E82</f>
        <v>0</v>
      </c>
      <c r="H82" s="99">
        <f>G82+'13'!H82</f>
        <v>0</v>
      </c>
      <c r="I82" s="545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'13'!F83</f>
        <v>0</v>
      </c>
      <c r="F83" s="122">
        <v>0</v>
      </c>
      <c r="G83" s="112">
        <f t="shared" si="9"/>
        <v>0</v>
      </c>
      <c r="H83" s="99">
        <f>G83+'13'!H83</f>
        <v>0</v>
      </c>
      <c r="I83" s="545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'13'!F84</f>
        <v>43540.35</v>
      </c>
      <c r="F84" s="164">
        <v>43540.35</v>
      </c>
      <c r="G84" s="112">
        <f t="shared" si="9"/>
        <v>0</v>
      </c>
      <c r="H84" s="99">
        <f>G84+'13'!H84</f>
        <v>0.13999999999941792</v>
      </c>
      <c r="I84" s="545"/>
      <c r="J84" s="175">
        <f>H84/DAY(B2)</f>
        <v>9.9999999999584224E-3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'13'!F85</f>
        <v>5687.36</v>
      </c>
      <c r="F85" s="164">
        <v>5711.35</v>
      </c>
      <c r="G85" s="112">
        <f t="shared" si="9"/>
        <v>23.990000000000691</v>
      </c>
      <c r="H85" s="99">
        <f>G85+'13'!H85</f>
        <v>27.350000000000364</v>
      </c>
      <c r="I85" s="545"/>
      <c r="J85" s="175">
        <f>H85/DAY(B2)</f>
        <v>1.9535714285714545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'13'!F86</f>
        <v>46801.14</v>
      </c>
      <c r="F86" s="164">
        <v>46801.14</v>
      </c>
      <c r="G86" s="112">
        <f t="shared" si="9"/>
        <v>0</v>
      </c>
      <c r="H86" s="99">
        <f>G86+'13'!H86</f>
        <v>67.139999999999418</v>
      </c>
      <c r="I86" s="545"/>
      <c r="J86" s="175">
        <f>H86/DAY(B2)</f>
        <v>4.7957142857142445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'13'!F87</f>
        <v>36809.29</v>
      </c>
      <c r="F87" s="164">
        <v>36822.839999999997</v>
      </c>
      <c r="G87" s="112">
        <f t="shared" si="9"/>
        <v>13.549999999995634</v>
      </c>
      <c r="H87" s="99">
        <f>G87+'13'!H87</f>
        <v>272.62999999999738</v>
      </c>
      <c r="I87" s="545">
        <f>G84+G85+G86+G87</f>
        <v>37.539999999996326</v>
      </c>
      <c r="J87" s="175">
        <f>H87/DAY(B2)</f>
        <v>19.47357142857124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'13'!F88</f>
        <v>24511.8</v>
      </c>
      <c r="F88" s="164">
        <v>24511.8</v>
      </c>
      <c r="G88" s="112">
        <f t="shared" si="9"/>
        <v>0</v>
      </c>
      <c r="H88" s="99">
        <f>G88+'13'!H88</f>
        <v>0</v>
      </c>
      <c r="I88" s="545"/>
      <c r="J88" s="175">
        <f>H88/DAY(B2)</f>
        <v>0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'13'!F89</f>
        <v>28632</v>
      </c>
      <c r="F89" s="164">
        <v>28642</v>
      </c>
      <c r="G89" s="112">
        <f t="shared" si="9"/>
        <v>10</v>
      </c>
      <c r="H89" s="99">
        <f>G89+'13'!H89</f>
        <v>140.29999999999927</v>
      </c>
      <c r="I89" s="545">
        <f>G88+G89</f>
        <v>10</v>
      </c>
      <c r="J89" s="175">
        <f>H89/DAY(B2)</f>
        <v>10.021428571428519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'13'!F90</f>
        <v>74014</v>
      </c>
      <c r="F90" s="164">
        <v>74025</v>
      </c>
      <c r="G90" s="112">
        <f t="shared" si="9"/>
        <v>11</v>
      </c>
      <c r="H90" s="99">
        <f>G90+'13'!H90</f>
        <v>164.39999999999418</v>
      </c>
      <c r="I90" s="545">
        <f>G90</f>
        <v>11</v>
      </c>
      <c r="J90" s="175">
        <f>H90/DAY(B2)</f>
        <v>11.742857142856726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'13'!F91</f>
        <v>5464.07</v>
      </c>
      <c r="F91" s="122">
        <v>5475</v>
      </c>
      <c r="G91" s="112">
        <f t="shared" si="9"/>
        <v>10.930000000000291</v>
      </c>
      <c r="H91" s="99">
        <f>G91+'13'!H91</f>
        <v>122.22999999999956</v>
      </c>
      <c r="I91" s="546"/>
      <c r="J91" s="175">
        <f>H91/DAY(B2)</f>
        <v>8.7307142857142548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'13'!F92</f>
        <v>7031.67</v>
      </c>
      <c r="F92" s="122">
        <v>7031.67</v>
      </c>
      <c r="G92" s="112">
        <f t="shared" si="9"/>
        <v>0</v>
      </c>
      <c r="H92" s="99">
        <f>G92+'13'!H92</f>
        <v>31.670000000000073</v>
      </c>
      <c r="I92" s="547">
        <f>G91+G92</f>
        <v>10.930000000000291</v>
      </c>
      <c r="J92" s="175">
        <f>H92/DAY(B2)</f>
        <v>2.2621428571428623</v>
      </c>
      <c r="O92" s="71"/>
    </row>
    <row r="93" spans="1:15" ht="27.75" customHeight="1">
      <c r="A93" s="906" t="s">
        <v>239</v>
      </c>
      <c r="B93" s="907"/>
      <c r="C93" s="90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>
      <c r="A94" s="864" t="s">
        <v>240</v>
      </c>
      <c r="B94" s="865"/>
      <c r="C94" s="866"/>
      <c r="D94" s="151" t="s">
        <v>130</v>
      </c>
      <c r="E94" s="151"/>
      <c r="F94" s="151"/>
      <c r="G94" s="99">
        <f>G35+G43+G49+G57</f>
        <v>6261.5399999999208</v>
      </c>
      <c r="H94" s="99">
        <f>G94+'13'!H94</f>
        <v>80008.6700000001</v>
      </c>
      <c r="I94" s="118"/>
      <c r="J94" s="175">
        <f>H94/DAY(B2)</f>
        <v>5714.905000000007</v>
      </c>
      <c r="K94" s="69"/>
      <c r="L94" s="66"/>
      <c r="O94" s="71"/>
    </row>
    <row r="95" spans="1:15" ht="27.75" customHeight="1">
      <c r="A95" s="864" t="s">
        <v>241</v>
      </c>
      <c r="B95" s="865"/>
      <c r="C95" s="866"/>
      <c r="D95" s="151" t="s">
        <v>23</v>
      </c>
      <c r="E95" s="146"/>
      <c r="F95" s="146"/>
      <c r="G95" s="166">
        <f>G94/G7</f>
        <v>0.24080067684497639</v>
      </c>
      <c r="H95" s="99">
        <f>G95+'13'!H95</f>
        <v>3.4774274153969547</v>
      </c>
      <c r="I95" s="167"/>
      <c r="J95" s="175">
        <f>H95/DAY(B2)</f>
        <v>0.24838767252835389</v>
      </c>
      <c r="K95" s="69"/>
      <c r="L95" s="66"/>
      <c r="O95" s="71"/>
    </row>
    <row r="96" spans="1:15" ht="27.75" customHeight="1">
      <c r="A96" s="864" t="s">
        <v>242</v>
      </c>
      <c r="B96" s="865"/>
      <c r="C96" s="866"/>
      <c r="D96" s="151" t="s">
        <v>130</v>
      </c>
      <c r="E96" s="95"/>
      <c r="F96" s="95"/>
      <c r="G96" s="99">
        <f>G41+G42+G55+G56</f>
        <v>7314.8100000000559</v>
      </c>
      <c r="H96" s="99">
        <f>G96+'13'!H96</f>
        <v>55346.409999999974</v>
      </c>
      <c r="I96" s="118"/>
      <c r="J96" s="175">
        <f>H96/DAY(B2)</f>
        <v>3953.3149999999982</v>
      </c>
      <c r="K96" s="69"/>
      <c r="L96" s="66"/>
      <c r="O96" s="71"/>
    </row>
    <row r="97" spans="1:15" ht="27.75" customHeight="1">
      <c r="A97" s="864" t="s">
        <v>243</v>
      </c>
      <c r="B97" s="865"/>
      <c r="C97" s="866"/>
      <c r="D97" s="151" t="s">
        <v>23</v>
      </c>
      <c r="E97" s="95"/>
      <c r="F97" s="95"/>
      <c r="G97" s="166">
        <f>G96/G7</f>
        <v>0.28130638772449545</v>
      </c>
      <c r="H97" s="99">
        <f>G97+'13'!H97</f>
        <v>2.3866571824909015</v>
      </c>
      <c r="I97" s="167"/>
      <c r="J97" s="175">
        <f>H97/DAY(B2)</f>
        <v>0.17047551303506439</v>
      </c>
      <c r="K97" s="69"/>
      <c r="L97" s="66"/>
      <c r="O97" s="71"/>
    </row>
    <row r="98" spans="1:15" ht="27.75" customHeight="1">
      <c r="A98" s="864" t="s">
        <v>244</v>
      </c>
      <c r="B98" s="865"/>
      <c r="C98" s="866"/>
      <c r="D98" s="151" t="s">
        <v>130</v>
      </c>
      <c r="E98" s="95"/>
      <c r="F98" s="95"/>
      <c r="G98" s="99">
        <f>G39+G53</f>
        <v>3636</v>
      </c>
      <c r="H98" s="99">
        <f>G98+'13'!H98</f>
        <v>56599.540000000037</v>
      </c>
      <c r="I98" s="168"/>
      <c r="J98" s="175">
        <f>H98/DAY(B2)</f>
        <v>4042.8242857142882</v>
      </c>
      <c r="K98" s="69"/>
      <c r="L98" s="66"/>
      <c r="O98" s="71"/>
    </row>
    <row r="99" spans="1:15" ht="27.75" customHeight="1">
      <c r="A99" s="864" t="s">
        <v>245</v>
      </c>
      <c r="B99" s="865"/>
      <c r="C99" s="866"/>
      <c r="D99" s="151" t="s">
        <v>23</v>
      </c>
      <c r="E99" s="95"/>
      <c r="F99" s="95"/>
      <c r="G99" s="166">
        <f>G98/G7</f>
        <v>0.13983001961312155</v>
      </c>
      <c r="H99" s="99">
        <f>G99+'13'!H99</f>
        <v>2.4664036740167989</v>
      </c>
      <c r="I99" s="168"/>
      <c r="J99" s="175">
        <f>H99/DAY(B2)</f>
        <v>0.17617169100119992</v>
      </c>
      <c r="O99" s="71"/>
    </row>
    <row r="100" spans="1:15" ht="27.75" customHeight="1">
      <c r="A100" s="864" t="s">
        <v>246</v>
      </c>
      <c r="B100" s="865"/>
      <c r="C100" s="866"/>
      <c r="D100" s="151" t="s">
        <v>180</v>
      </c>
      <c r="E100" s="95"/>
      <c r="F100" s="95"/>
      <c r="G100" s="99">
        <f>G38+G52</f>
        <v>2633</v>
      </c>
      <c r="H100" s="99">
        <f>G100+'13'!H100</f>
        <v>34454.609999999986</v>
      </c>
      <c r="I100" s="118"/>
      <c r="J100" s="175">
        <f>H100/DAY(B2)</f>
        <v>2461.0435714285704</v>
      </c>
      <c r="K100" s="70"/>
      <c r="O100" s="71"/>
    </row>
    <row r="101" spans="1:15" ht="27.75" customHeight="1">
      <c r="A101" s="864" t="s">
        <v>247</v>
      </c>
      <c r="B101" s="865"/>
      <c r="C101" s="866"/>
      <c r="D101" s="151" t="s">
        <v>23</v>
      </c>
      <c r="E101" s="95"/>
      <c r="F101" s="95"/>
      <c r="G101" s="166">
        <f>G100/G7</f>
        <v>0.10125754720609161</v>
      </c>
      <c r="H101" s="99">
        <f>G101+'13'!H101</f>
        <v>1.4993284678977423</v>
      </c>
      <c r="I101" s="168"/>
      <c r="J101" s="175">
        <f>H101/DAY(B2)</f>
        <v>0.10709489056412445</v>
      </c>
      <c r="O101" s="71"/>
    </row>
    <row r="102" spans="1:15" ht="27.75" customHeight="1">
      <c r="A102" s="864" t="s">
        <v>248</v>
      </c>
      <c r="B102" s="865"/>
      <c r="C102" s="866"/>
      <c r="D102" s="151" t="s">
        <v>180</v>
      </c>
      <c r="E102" s="95"/>
      <c r="F102" s="95"/>
      <c r="G102" s="99">
        <f>G36+G50</f>
        <v>2923</v>
      </c>
      <c r="H102" s="99">
        <f>G102+'13'!H102</f>
        <v>36932.820000000007</v>
      </c>
      <c r="I102" s="168"/>
      <c r="J102" s="175">
        <f>H102/DAY(B2)</f>
        <v>2638.0585714285721</v>
      </c>
      <c r="O102" s="71"/>
    </row>
    <row r="103" spans="1:15" ht="27.75" customHeight="1">
      <c r="A103" s="864" t="s">
        <v>249</v>
      </c>
      <c r="B103" s="865"/>
      <c r="C103" s="866"/>
      <c r="D103" s="151" t="s">
        <v>23</v>
      </c>
      <c r="E103" s="95"/>
      <c r="F103" s="95"/>
      <c r="G103" s="166">
        <f>G102/G7</f>
        <v>0.11241010652617006</v>
      </c>
      <c r="H103" s="99">
        <f>G103+'13'!H103</f>
        <v>1.6051098150018952</v>
      </c>
      <c r="I103" s="118"/>
      <c r="J103" s="175">
        <f>H103/DAY(B2)</f>
        <v>0.11465070107156394</v>
      </c>
      <c r="O103" s="71"/>
    </row>
    <row r="104" spans="1:15" ht="27.75" customHeight="1">
      <c r="A104" s="864" t="s">
        <v>250</v>
      </c>
      <c r="B104" s="865"/>
      <c r="C104" s="866"/>
      <c r="D104" s="151" t="s">
        <v>180</v>
      </c>
      <c r="E104" s="95"/>
      <c r="F104" s="95"/>
      <c r="G104" s="99">
        <f>G37+G51</f>
        <v>1067</v>
      </c>
      <c r="H104" s="99">
        <f>G104+'13'!H104</f>
        <v>14994.450000000012</v>
      </c>
      <c r="I104" s="118"/>
      <c r="J104" s="175">
        <f>H104/DAY(B2)</f>
        <v>1071.0321428571438</v>
      </c>
      <c r="O104" s="71"/>
    </row>
    <row r="105" spans="1:15" ht="27.75" customHeight="1" thickBot="1">
      <c r="A105" s="901" t="s">
        <v>251</v>
      </c>
      <c r="B105" s="902"/>
      <c r="C105" s="903"/>
      <c r="D105" s="231" t="s">
        <v>23</v>
      </c>
      <c r="E105" s="185"/>
      <c r="F105" s="185"/>
      <c r="G105" s="186">
        <f>G104/G7</f>
        <v>4.1033726877667959E-2</v>
      </c>
      <c r="H105" s="99">
        <f>G105+'13'!H105</f>
        <v>0.65247830540238128</v>
      </c>
      <c r="I105" s="187"/>
      <c r="J105" s="188">
        <f>H105/DAY(B2)</f>
        <v>4.6605593243027231E-2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>
      <c r="A108" s="915" t="s">
        <v>324</v>
      </c>
      <c r="B108" s="915"/>
      <c r="C108" s="915"/>
      <c r="D108" s="915"/>
      <c r="E108" s="915"/>
      <c r="F108" s="915"/>
      <c r="G108" s="915"/>
      <c r="H108" s="915"/>
      <c r="I108" s="915"/>
      <c r="J108" s="915"/>
    </row>
    <row r="109" spans="1:15" ht="27.75" customHeight="1">
      <c r="A109" s="900"/>
      <c r="B109" s="900"/>
    </row>
    <row r="110" spans="1:15" ht="27.75" customHeight="1">
      <c r="A110" s="916" t="s">
        <v>165</v>
      </c>
      <c r="B110" s="917"/>
      <c r="C110" s="917"/>
      <c r="D110" s="917"/>
      <c r="E110" s="917"/>
      <c r="F110" s="917"/>
      <c r="G110" s="917"/>
      <c r="H110" s="917"/>
      <c r="I110" s="917"/>
      <c r="J110" s="918"/>
    </row>
    <row r="111" spans="1:15" ht="27.75" customHeight="1">
      <c r="A111" s="919"/>
      <c r="B111" s="920"/>
      <c r="C111" s="921"/>
      <c r="D111" s="165"/>
      <c r="E111" s="165"/>
      <c r="F111" s="165"/>
      <c r="G111" s="165"/>
      <c r="H111" s="156"/>
      <c r="I111" s="165"/>
      <c r="J111" s="327"/>
    </row>
    <row r="112" spans="1:15" ht="27.75" customHeight="1">
      <c r="A112" s="894" t="s">
        <v>252</v>
      </c>
      <c r="B112" s="895"/>
      <c r="C112" s="896"/>
      <c r="D112" s="146" t="s">
        <v>183</v>
      </c>
      <c r="E112" s="95">
        <f>'13'!F112</f>
        <v>16405</v>
      </c>
      <c r="F112" s="237">
        <v>16467</v>
      </c>
      <c r="G112" s="112">
        <f t="shared" ref="G112:G123" si="10">F112-E112</f>
        <v>62</v>
      </c>
      <c r="H112" s="99">
        <f>G112+'13'!H112</f>
        <v>853.20000000000073</v>
      </c>
      <c r="I112" s="165"/>
      <c r="J112" s="328">
        <f>H112/DAY(B2)</f>
        <v>60.942857142857193</v>
      </c>
    </row>
    <row r="113" spans="1:18" ht="27.75" customHeight="1">
      <c r="A113" s="894" t="s">
        <v>253</v>
      </c>
      <c r="B113" s="895"/>
      <c r="C113" s="896"/>
      <c r="D113" s="146" t="s">
        <v>183</v>
      </c>
      <c r="E113" s="95">
        <f>'13'!F113</f>
        <v>34331</v>
      </c>
      <c r="F113" s="237">
        <v>34484</v>
      </c>
      <c r="G113" s="112">
        <f t="shared" si="10"/>
        <v>153</v>
      </c>
      <c r="H113" s="99">
        <f>G113+'13'!H113</f>
        <v>2033.3300000000017</v>
      </c>
      <c r="I113" s="165"/>
      <c r="J113" s="328">
        <f>H113/DAY(B2)</f>
        <v>145.23785714285728</v>
      </c>
    </row>
    <row r="114" spans="1:18" ht="27.75" customHeight="1">
      <c r="A114" s="894" t="s">
        <v>254</v>
      </c>
      <c r="B114" s="895"/>
      <c r="C114" s="896"/>
      <c r="D114" s="146" t="s">
        <v>183</v>
      </c>
      <c r="E114" s="95">
        <f>'13'!F114</f>
        <v>50674</v>
      </c>
      <c r="F114" s="237">
        <v>50885</v>
      </c>
      <c r="G114" s="112">
        <f t="shared" si="10"/>
        <v>211</v>
      </c>
      <c r="H114" s="99">
        <f>G114+'13'!H114</f>
        <v>2918.6999999999971</v>
      </c>
      <c r="I114" s="165"/>
      <c r="J114" s="328">
        <f>H114/DAY(B2)</f>
        <v>208.47857142857123</v>
      </c>
    </row>
    <row r="115" spans="1:18" ht="27.75" customHeight="1">
      <c r="A115" s="894" t="s">
        <v>255</v>
      </c>
      <c r="B115" s="895"/>
      <c r="C115" s="896"/>
      <c r="D115" s="146" t="s">
        <v>183</v>
      </c>
      <c r="E115" s="95">
        <f>'13'!F115</f>
        <v>32367</v>
      </c>
      <c r="F115" s="237">
        <v>32676</v>
      </c>
      <c r="G115" s="112">
        <f t="shared" si="10"/>
        <v>309</v>
      </c>
      <c r="H115" s="99">
        <f>G115+'13'!H115</f>
        <v>2239.5999999999985</v>
      </c>
      <c r="I115" s="165"/>
      <c r="J115" s="328">
        <f>H115/DAY(B2)</f>
        <v>159.97142857142848</v>
      </c>
    </row>
    <row r="116" spans="1:18" ht="27.75" customHeight="1">
      <c r="A116" s="912" t="s">
        <v>96</v>
      </c>
      <c r="B116" s="913"/>
      <c r="C116" s="914"/>
      <c r="D116" s="146" t="s">
        <v>183</v>
      </c>
      <c r="E116" s="95">
        <f>'13'!F116</f>
        <v>127896</v>
      </c>
      <c r="F116" s="237">
        <v>128276</v>
      </c>
      <c r="G116" s="112">
        <f t="shared" si="10"/>
        <v>380</v>
      </c>
      <c r="H116" s="99">
        <f>G116+'13'!H116</f>
        <v>5415.8000000000029</v>
      </c>
      <c r="I116" s="165"/>
      <c r="J116" s="328">
        <f>H116/DAY(B2)</f>
        <v>386.84285714285733</v>
      </c>
      <c r="Q116" s="894"/>
      <c r="R116" s="896"/>
    </row>
    <row r="117" spans="1:18" ht="27.75" customHeight="1">
      <c r="A117" s="912" t="s">
        <v>184</v>
      </c>
      <c r="B117" s="913"/>
      <c r="C117" s="914"/>
      <c r="D117" s="146" t="s">
        <v>183</v>
      </c>
      <c r="E117" s="95">
        <f>'13'!F117</f>
        <v>77342</v>
      </c>
      <c r="F117" s="237">
        <v>77589</v>
      </c>
      <c r="G117" s="112">
        <f t="shared" si="10"/>
        <v>247</v>
      </c>
      <c r="H117" s="99">
        <f>G117+'13'!H117</f>
        <v>3607.8000000000029</v>
      </c>
      <c r="I117" s="165"/>
      <c r="J117" s="328">
        <f>H117/DAY(B2)</f>
        <v>257.70000000000022</v>
      </c>
      <c r="Q117" s="894"/>
      <c r="R117" s="896"/>
    </row>
    <row r="118" spans="1:18" ht="27.75" customHeight="1">
      <c r="A118" s="889" t="s">
        <v>97</v>
      </c>
      <c r="B118" s="889"/>
      <c r="C118" s="889"/>
      <c r="D118" s="151" t="s">
        <v>183</v>
      </c>
      <c r="E118" s="95">
        <f>'13'!F118</f>
        <v>146971</v>
      </c>
      <c r="F118" s="237">
        <v>147634</v>
      </c>
      <c r="G118" s="112">
        <f t="shared" si="10"/>
        <v>663</v>
      </c>
      <c r="H118" s="99">
        <f>G118+'13'!H118</f>
        <v>8821.5499999999884</v>
      </c>
      <c r="I118" s="165"/>
      <c r="J118" s="328">
        <f>H118/DAY(B2)</f>
        <v>630.11071428571347</v>
      </c>
      <c r="Q118" s="894"/>
      <c r="R118" s="896"/>
    </row>
    <row r="119" spans="1:18" ht="27.75" customHeight="1">
      <c r="A119" s="889" t="s">
        <v>98</v>
      </c>
      <c r="B119" s="889"/>
      <c r="C119" s="889"/>
      <c r="D119" s="151" t="s">
        <v>183</v>
      </c>
      <c r="E119" s="95">
        <f>'13'!F119</f>
        <v>43507</v>
      </c>
      <c r="F119" s="237">
        <v>43520</v>
      </c>
      <c r="G119" s="112">
        <f t="shared" si="10"/>
        <v>13</v>
      </c>
      <c r="H119" s="99">
        <f>G119+'13'!H119</f>
        <v>166.30000000000291</v>
      </c>
      <c r="I119" s="165"/>
      <c r="J119" s="328">
        <f>H119/DAY(B2)</f>
        <v>11.878571428571636</v>
      </c>
    </row>
    <row r="120" spans="1:18" ht="27.75" customHeight="1">
      <c r="A120" s="889" t="s">
        <v>99</v>
      </c>
      <c r="B120" s="889"/>
      <c r="C120" s="889"/>
      <c r="D120" s="151" t="s">
        <v>183</v>
      </c>
      <c r="E120" s="95">
        <f>'13'!F120</f>
        <v>101041</v>
      </c>
      <c r="F120" s="237">
        <v>101460</v>
      </c>
      <c r="G120" s="112">
        <f t="shared" si="10"/>
        <v>419</v>
      </c>
      <c r="H120" s="99">
        <f>G120+'13'!H120</f>
        <v>5752.3999999999942</v>
      </c>
      <c r="I120" s="165"/>
      <c r="J120" s="328">
        <f>H120/DAY(B2)</f>
        <v>410.88571428571385</v>
      </c>
    </row>
    <row r="121" spans="1:18" ht="27.75" customHeight="1">
      <c r="A121" s="889" t="s">
        <v>100</v>
      </c>
      <c r="B121" s="889"/>
      <c r="C121" s="889"/>
      <c r="D121" s="151" t="s">
        <v>183</v>
      </c>
      <c r="E121" s="95">
        <f>'13'!F121</f>
        <v>113322</v>
      </c>
      <c r="F121" s="237">
        <v>113784</v>
      </c>
      <c r="G121" s="112">
        <f t="shared" si="10"/>
        <v>462</v>
      </c>
      <c r="H121" s="99">
        <f>G121+'13'!H121</f>
        <v>5954.9499999999971</v>
      </c>
      <c r="I121" s="165"/>
      <c r="J121" s="328">
        <f>H121/DAY(B2)</f>
        <v>425.35357142857123</v>
      </c>
    </row>
    <row r="122" spans="1:18" ht="27.75" customHeight="1">
      <c r="A122" s="889" t="s">
        <v>101</v>
      </c>
      <c r="B122" s="889"/>
      <c r="C122" s="889"/>
      <c r="D122" s="151" t="s">
        <v>183</v>
      </c>
      <c r="E122" s="95">
        <f>'13'!F122</f>
        <v>75521</v>
      </c>
      <c r="F122" s="237">
        <v>75901</v>
      </c>
      <c r="G122" s="112">
        <f t="shared" si="10"/>
        <v>380</v>
      </c>
      <c r="H122" s="99">
        <f>G122+'13'!H122</f>
        <v>4863.1000000000058</v>
      </c>
      <c r="I122" s="165"/>
      <c r="J122" s="328">
        <f>H122/DAY(B2)</f>
        <v>347.36428571428615</v>
      </c>
    </row>
    <row r="123" spans="1:18" ht="27.75" customHeight="1">
      <c r="A123" s="889" t="s">
        <v>102</v>
      </c>
      <c r="B123" s="889"/>
      <c r="C123" s="889"/>
      <c r="D123" s="151" t="s">
        <v>183</v>
      </c>
      <c r="E123" s="95">
        <f>'13'!F123</f>
        <v>72373</v>
      </c>
      <c r="F123" s="237">
        <v>72672</v>
      </c>
      <c r="G123" s="112">
        <f t="shared" si="10"/>
        <v>299</v>
      </c>
      <c r="H123" s="99">
        <f>G123+'13'!H123</f>
        <v>4314.6999999999971</v>
      </c>
      <c r="I123" s="165"/>
      <c r="J123" s="328">
        <f>H123/DAY(B2)</f>
        <v>308.19285714285695</v>
      </c>
    </row>
    <row r="124" spans="1:18" ht="27.75" customHeight="1">
      <c r="A124" s="919"/>
      <c r="B124" s="920"/>
      <c r="C124" s="921"/>
      <c r="D124" s="165"/>
      <c r="E124" s="165"/>
      <c r="F124" s="165"/>
      <c r="G124" s="327"/>
      <c r="H124" s="156"/>
      <c r="I124" s="165"/>
      <c r="J124" s="327"/>
    </row>
    <row r="125" spans="1:18" ht="27.75" customHeight="1">
      <c r="A125" s="853" t="s">
        <v>196</v>
      </c>
      <c r="B125" s="854"/>
      <c r="C125" s="245"/>
      <c r="D125" s="307"/>
      <c r="E125" s="308"/>
      <c r="F125" s="308"/>
      <c r="G125" s="309">
        <f>SUM(G112:G124)</f>
        <v>3598</v>
      </c>
      <c r="H125" s="156"/>
      <c r="I125" s="327">
        <f>G125-(G39+G53)</f>
        <v>-38</v>
      </c>
      <c r="J125" s="327"/>
    </row>
    <row r="126" spans="1:18" ht="27.75" customHeight="1">
      <c r="A126" s="922" t="s">
        <v>317</v>
      </c>
      <c r="B126" s="922"/>
      <c r="C126" s="922"/>
      <c r="D126" s="922"/>
      <c r="E126" s="922"/>
      <c r="F126" s="922"/>
      <c r="G126" s="922"/>
      <c r="H126" s="922"/>
      <c r="I126" s="922"/>
      <c r="J126" s="922"/>
    </row>
    <row r="127" spans="1:18" ht="27.75" customHeight="1">
      <c r="A127" s="923"/>
      <c r="B127" s="923"/>
      <c r="C127" s="245"/>
      <c r="D127" s="307"/>
      <c r="E127" s="308"/>
      <c r="F127" s="308"/>
      <c r="G127" s="309"/>
      <c r="H127" s="99">
        <f>G127+'13'!H127</f>
        <v>0</v>
      </c>
      <c r="I127" s="165"/>
      <c r="J127" s="328">
        <f>H127/DAY(B2)</f>
        <v>0</v>
      </c>
    </row>
    <row r="128" spans="1:18" ht="27.75" customHeight="1">
      <c r="A128" s="894" t="s">
        <v>318</v>
      </c>
      <c r="B128" s="895"/>
      <c r="C128" s="896"/>
      <c r="D128" s="151" t="s">
        <v>183</v>
      </c>
      <c r="E128" s="95">
        <f>'13'!F128</f>
        <v>184420</v>
      </c>
      <c r="F128" s="165">
        <v>184781</v>
      </c>
      <c r="G128" s="112">
        <f t="shared" ref="G128:G134" si="11">F128-E128</f>
        <v>361</v>
      </c>
      <c r="H128" s="99">
        <f>G128+'13'!H128</f>
        <v>5369.1499999999942</v>
      </c>
      <c r="I128" s="165"/>
      <c r="J128" s="328">
        <f>H128/DAY(B2)</f>
        <v>383.51071428571385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'13'!F129</f>
        <v>98369</v>
      </c>
      <c r="F129" s="165">
        <v>98543</v>
      </c>
      <c r="G129" s="112">
        <f t="shared" si="11"/>
        <v>174</v>
      </c>
      <c r="H129" s="99">
        <f>G129+'13'!H129</f>
        <v>2513.5</v>
      </c>
      <c r="I129" s="165"/>
      <c r="J129" s="328">
        <f>H129/DAY(B2)</f>
        <v>179.53571428571428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'13'!F130</f>
        <v>255864</v>
      </c>
      <c r="F130" s="165">
        <v>256558</v>
      </c>
      <c r="G130" s="112">
        <f t="shared" si="11"/>
        <v>694</v>
      </c>
      <c r="H130" s="99">
        <f>G130+'13'!H130</f>
        <v>9718.25</v>
      </c>
      <c r="I130" s="165"/>
      <c r="J130" s="328">
        <f>H130/DAY(B2)</f>
        <v>694.16071428571433</v>
      </c>
      <c r="N130" s="240"/>
      <c r="O130" s="241"/>
    </row>
    <row r="131" spans="1:15" ht="27.75" customHeight="1">
      <c r="A131" s="894" t="s">
        <v>321</v>
      </c>
      <c r="B131" s="895"/>
      <c r="C131" s="896"/>
      <c r="D131" s="151" t="s">
        <v>183</v>
      </c>
      <c r="E131" s="95">
        <f>'13'!F131</f>
        <v>76715</v>
      </c>
      <c r="F131" s="165">
        <v>76982</v>
      </c>
      <c r="G131" s="112">
        <f t="shared" si="11"/>
        <v>267</v>
      </c>
      <c r="H131" s="99">
        <f>G131+'13'!H131</f>
        <v>3471.3999999999942</v>
      </c>
      <c r="I131" s="165"/>
      <c r="J131" s="328">
        <f>H131/DAY(B2)</f>
        <v>247.95714285714243</v>
      </c>
      <c r="N131" s="240"/>
      <c r="O131" s="241"/>
    </row>
    <row r="132" spans="1:15" ht="27.75" customHeight="1">
      <c r="A132" s="894" t="s">
        <v>322</v>
      </c>
      <c r="B132" s="895"/>
      <c r="C132" s="896"/>
      <c r="D132" s="151" t="s">
        <v>183</v>
      </c>
      <c r="E132" s="95">
        <f>'13'!F132</f>
        <v>146985</v>
      </c>
      <c r="F132" s="165">
        <v>146985</v>
      </c>
      <c r="G132" s="112">
        <f t="shared" si="11"/>
        <v>0</v>
      </c>
      <c r="H132" s="99">
        <f>G132+'13'!H132</f>
        <v>0</v>
      </c>
      <c r="I132" s="165"/>
      <c r="J132" s="328">
        <f>H132/DAY(B2)</f>
        <v>0</v>
      </c>
    </row>
    <row r="133" spans="1:15" ht="27.75" customHeight="1">
      <c r="A133" s="894" t="s">
        <v>341</v>
      </c>
      <c r="B133" s="895"/>
      <c r="C133" s="896"/>
      <c r="D133" s="151" t="s">
        <v>183</v>
      </c>
      <c r="E133" s="95">
        <f>'13'!F133</f>
        <v>919781</v>
      </c>
      <c r="F133" s="165">
        <v>920611</v>
      </c>
      <c r="G133" s="112">
        <f t="shared" si="11"/>
        <v>830</v>
      </c>
      <c r="H133" s="99">
        <f>G133+'13'!H133</f>
        <v>10367</v>
      </c>
      <c r="I133" s="165"/>
      <c r="J133" s="328">
        <f>H133/DAY(B2)</f>
        <v>740.5</v>
      </c>
    </row>
    <row r="134" spans="1:15" ht="27.75" customHeight="1">
      <c r="A134" s="894" t="s">
        <v>340</v>
      </c>
      <c r="B134" s="895"/>
      <c r="C134" s="896"/>
      <c r="D134" s="151" t="s">
        <v>183</v>
      </c>
      <c r="E134" s="95">
        <f>'13'!F134</f>
        <v>81541</v>
      </c>
      <c r="F134" s="165">
        <v>81770</v>
      </c>
      <c r="G134" s="112">
        <f t="shared" si="11"/>
        <v>229</v>
      </c>
      <c r="H134" s="99">
        <f>G134+'13'!H134</f>
        <v>3010.3999999999942</v>
      </c>
      <c r="I134" s="165"/>
      <c r="J134" s="328">
        <f>H134/DAY(B2)</f>
        <v>215.02857142857101</v>
      </c>
    </row>
    <row r="135" spans="1:15" ht="27.75" customHeight="1">
      <c r="A135" s="853" t="s">
        <v>196</v>
      </c>
      <c r="B135" s="854"/>
      <c r="C135" s="331"/>
      <c r="D135" s="151"/>
      <c r="E135" s="95"/>
      <c r="F135" s="165"/>
      <c r="G135" s="112">
        <f>SUM(G128:G134)</f>
        <v>2555</v>
      </c>
      <c r="H135" s="119">
        <f>H128+H134</f>
        <v>8379.5499999999884</v>
      </c>
      <c r="I135" s="327">
        <f>G135-(G35+G49)</f>
        <v>-864.68999999994412</v>
      </c>
      <c r="J135" s="328">
        <f>H135/DAY(B2)</f>
        <v>598.53928571428492</v>
      </c>
    </row>
    <row r="136" spans="1:15" ht="27.75" customHeight="1">
      <c r="A136" s="924" t="s">
        <v>325</v>
      </c>
      <c r="B136" s="924"/>
      <c r="C136" s="924"/>
      <c r="D136" s="924"/>
      <c r="E136" s="924"/>
      <c r="F136" s="924"/>
      <c r="G136" s="924"/>
      <c r="H136" s="924"/>
      <c r="I136" s="924"/>
      <c r="J136" s="924"/>
    </row>
    <row r="137" spans="1:15" ht="27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>
      <c r="A138" s="889" t="s">
        <v>185</v>
      </c>
      <c r="B138" s="889"/>
      <c r="C138" s="889"/>
      <c r="D138" s="151" t="s">
        <v>183</v>
      </c>
      <c r="E138" s="95">
        <f>'13'!F138</f>
        <v>907195</v>
      </c>
      <c r="F138" s="147">
        <v>907341</v>
      </c>
      <c r="G138" s="112">
        <f t="shared" ref="G138:G152" si="12">F138-E138</f>
        <v>146</v>
      </c>
      <c r="H138" s="99">
        <f>G138+'13'!H138</f>
        <v>1682</v>
      </c>
      <c r="I138" s="118"/>
      <c r="J138" s="328">
        <f>H138/DAY(B2)</f>
        <v>120.14285714285714</v>
      </c>
    </row>
    <row r="139" spans="1:15" ht="27.75" customHeight="1">
      <c r="A139" s="889" t="s">
        <v>186</v>
      </c>
      <c r="B139" s="889"/>
      <c r="C139" s="889"/>
      <c r="D139" s="151" t="s">
        <v>183</v>
      </c>
      <c r="E139" s="95">
        <f>'13'!F139</f>
        <v>929455</v>
      </c>
      <c r="F139" s="148">
        <v>929617</v>
      </c>
      <c r="G139" s="112">
        <f t="shared" si="12"/>
        <v>162</v>
      </c>
      <c r="H139" s="99">
        <f>G139+'13'!H139</f>
        <v>2336</v>
      </c>
      <c r="I139" s="118"/>
      <c r="J139" s="328">
        <f>H139/DAY(B2)</f>
        <v>166.85714285714286</v>
      </c>
    </row>
    <row r="140" spans="1:15" ht="27.75" customHeight="1">
      <c r="A140" s="889" t="s">
        <v>187</v>
      </c>
      <c r="B140" s="889"/>
      <c r="C140" s="889"/>
      <c r="D140" s="151" t="s">
        <v>183</v>
      </c>
      <c r="E140" s="95">
        <f>'13'!F140</f>
        <v>3630</v>
      </c>
      <c r="F140" s="149">
        <v>3652</v>
      </c>
      <c r="G140" s="112">
        <f t="shared" si="12"/>
        <v>22</v>
      </c>
      <c r="H140" s="99">
        <f>G140+'13'!H140</f>
        <v>320.90000000000009</v>
      </c>
      <c r="I140" s="118"/>
      <c r="J140" s="328">
        <f>H140/DAY(B2)</f>
        <v>22.921428571428578</v>
      </c>
    </row>
    <row r="141" spans="1:15" ht="27.75" customHeight="1">
      <c r="A141" s="893" t="s">
        <v>188</v>
      </c>
      <c r="B141" s="893"/>
      <c r="C141" s="893"/>
      <c r="D141" s="151" t="s">
        <v>183</v>
      </c>
      <c r="E141" s="95">
        <f>'13'!F141</f>
        <v>120585</v>
      </c>
      <c r="F141" s="149">
        <v>120824</v>
      </c>
      <c r="G141" s="112">
        <f t="shared" si="12"/>
        <v>239</v>
      </c>
      <c r="H141" s="99">
        <f>G141+'13'!H141</f>
        <v>3266.0200000000041</v>
      </c>
      <c r="I141" s="118"/>
      <c r="J141" s="328">
        <f>H141/DAY(B2)</f>
        <v>233.28714285714315</v>
      </c>
    </row>
    <row r="142" spans="1:15" ht="27.75" customHeight="1">
      <c r="A142" s="893" t="s">
        <v>189</v>
      </c>
      <c r="B142" s="893"/>
      <c r="C142" s="893"/>
      <c r="D142" s="151" t="s">
        <v>183</v>
      </c>
      <c r="E142" s="95">
        <f>'13'!F142</f>
        <v>48751</v>
      </c>
      <c r="F142" s="148">
        <v>48837</v>
      </c>
      <c r="G142" s="112">
        <f t="shared" si="12"/>
        <v>86</v>
      </c>
      <c r="H142" s="99">
        <f>G142+'13'!H142</f>
        <v>1332.5</v>
      </c>
      <c r="I142" s="140"/>
      <c r="J142" s="328">
        <f>H142/DAY(B2)</f>
        <v>95.178571428571431</v>
      </c>
    </row>
    <row r="143" spans="1:15" ht="27.75" customHeight="1">
      <c r="A143" s="889" t="s">
        <v>91</v>
      </c>
      <c r="B143" s="889"/>
      <c r="C143" s="889"/>
      <c r="D143" s="151" t="s">
        <v>183</v>
      </c>
      <c r="E143" s="95">
        <f>'13'!F143</f>
        <v>12824</v>
      </c>
      <c r="F143" s="149">
        <v>12855</v>
      </c>
      <c r="G143" s="112">
        <f t="shared" si="12"/>
        <v>31</v>
      </c>
      <c r="H143" s="99">
        <f>G143+'13'!H143</f>
        <v>439.60000000000036</v>
      </c>
      <c r="I143" s="140"/>
      <c r="J143" s="328">
        <f>H143/DAY(B2)</f>
        <v>31.400000000000027</v>
      </c>
    </row>
    <row r="144" spans="1:15" ht="27.75" customHeight="1">
      <c r="A144" s="893" t="s">
        <v>90</v>
      </c>
      <c r="B144" s="893"/>
      <c r="C144" s="893"/>
      <c r="D144" s="151" t="s">
        <v>183</v>
      </c>
      <c r="E144" s="95">
        <f>'13'!F144</f>
        <v>951217</v>
      </c>
      <c r="F144" s="149">
        <v>951451</v>
      </c>
      <c r="G144" s="112">
        <f t="shared" si="12"/>
        <v>234</v>
      </c>
      <c r="H144" s="99">
        <f>G144+'13'!H144</f>
        <v>3253</v>
      </c>
      <c r="I144" s="140"/>
      <c r="J144" s="328">
        <f>H144/DAY(B2)</f>
        <v>232.35714285714286</v>
      </c>
    </row>
    <row r="145" spans="1:10" ht="27.75" customHeight="1">
      <c r="A145" s="889" t="s">
        <v>190</v>
      </c>
      <c r="B145" s="889"/>
      <c r="C145" s="889"/>
      <c r="D145" s="152" t="s">
        <v>183</v>
      </c>
      <c r="E145" s="95">
        <f>'13'!F145</f>
        <v>24414</v>
      </c>
      <c r="F145" s="149">
        <v>24615</v>
      </c>
      <c r="G145" s="112">
        <f t="shared" si="12"/>
        <v>201</v>
      </c>
      <c r="H145" s="99">
        <f>G145+'13'!H145</f>
        <v>2018.9000000000015</v>
      </c>
      <c r="I145" s="140"/>
      <c r="J145" s="328">
        <f>H145/DAY(B2)</f>
        <v>144.20714285714297</v>
      </c>
    </row>
    <row r="146" spans="1:10" ht="27.75" customHeight="1">
      <c r="A146" s="890" t="s">
        <v>191</v>
      </c>
      <c r="B146" s="891"/>
      <c r="C146" s="892"/>
      <c r="D146" s="152" t="s">
        <v>183</v>
      </c>
      <c r="E146" s="95">
        <f>'13'!F146</f>
        <v>787199</v>
      </c>
      <c r="F146" s="148">
        <v>787257</v>
      </c>
      <c r="G146" s="112">
        <f t="shared" si="12"/>
        <v>58</v>
      </c>
      <c r="H146" s="99">
        <f>G146+'13'!H146</f>
        <v>589</v>
      </c>
      <c r="I146" s="140"/>
      <c r="J146" s="328">
        <f>H146/DAY(B2)</f>
        <v>42.071428571428569</v>
      </c>
    </row>
    <row r="147" spans="1:10" ht="27.75" customHeight="1">
      <c r="A147" s="893" t="s">
        <v>192</v>
      </c>
      <c r="B147" s="893"/>
      <c r="C147" s="893"/>
      <c r="D147" s="152" t="s">
        <v>183</v>
      </c>
      <c r="E147" s="95">
        <f>'13'!F147</f>
        <v>753184.88</v>
      </c>
      <c r="F147" s="148">
        <v>753591</v>
      </c>
      <c r="G147" s="112">
        <f t="shared" si="12"/>
        <v>406.11999999999534</v>
      </c>
      <c r="H147" s="99">
        <f>G147+'13'!H147</f>
        <v>6036.8399999999674</v>
      </c>
      <c r="I147" s="140"/>
      <c r="J147" s="328">
        <f>H147/DAY(B2)</f>
        <v>431.20285714285484</v>
      </c>
    </row>
    <row r="148" spans="1:10" ht="27.75" customHeight="1">
      <c r="A148" s="886" t="s">
        <v>193</v>
      </c>
      <c r="B148" s="887"/>
      <c r="C148" s="888"/>
      <c r="D148" s="123" t="s">
        <v>130</v>
      </c>
      <c r="E148" s="95">
        <f>'13'!F148</f>
        <v>789755.92</v>
      </c>
      <c r="F148" s="150">
        <v>790206</v>
      </c>
      <c r="G148" s="112">
        <f t="shared" si="12"/>
        <v>450.07999999995809</v>
      </c>
      <c r="H148" s="99">
        <f>G148+'13'!H148</f>
        <v>5561</v>
      </c>
      <c r="I148" s="124"/>
      <c r="J148" s="328">
        <f>H148/DAY(B2)</f>
        <v>397.21428571428572</v>
      </c>
    </row>
    <row r="149" spans="1:10" ht="27.75" customHeight="1">
      <c r="A149" s="886" t="s">
        <v>336</v>
      </c>
      <c r="B149" s="887"/>
      <c r="C149" s="888"/>
      <c r="D149" s="227" t="s">
        <v>130</v>
      </c>
      <c r="E149" s="95">
        <f>'13'!F149</f>
        <v>191544.19</v>
      </c>
      <c r="F149" s="227">
        <v>192058</v>
      </c>
      <c r="G149" s="112">
        <f t="shared" si="12"/>
        <v>513.80999999999767</v>
      </c>
      <c r="H149" s="99">
        <f>G149+'13'!H149</f>
        <v>6761.109999999986</v>
      </c>
      <c r="I149" s="119"/>
      <c r="J149" s="328">
        <f>H149/DAY(B2)</f>
        <v>482.9364285714276</v>
      </c>
    </row>
    <row r="150" spans="1:10" ht="27.75" customHeight="1">
      <c r="A150" s="886" t="s">
        <v>337</v>
      </c>
      <c r="B150" s="887"/>
      <c r="C150" s="888"/>
      <c r="D150" s="117" t="s">
        <v>130</v>
      </c>
      <c r="E150" s="95">
        <f>'13'!F150</f>
        <v>81665</v>
      </c>
      <c r="F150" s="233">
        <v>81889</v>
      </c>
      <c r="G150" s="112">
        <f t="shared" si="12"/>
        <v>224</v>
      </c>
      <c r="H150" s="99">
        <f>G150+'13'!H150</f>
        <v>4222.6999999999971</v>
      </c>
      <c r="I150" s="119"/>
      <c r="J150" s="328">
        <f>H150/DAY(B2)</f>
        <v>301.62142857142834</v>
      </c>
    </row>
    <row r="151" spans="1:10" ht="27.75" customHeight="1">
      <c r="A151" s="886" t="s">
        <v>338</v>
      </c>
      <c r="B151" s="887"/>
      <c r="C151" s="888"/>
      <c r="D151" s="117" t="s">
        <v>130</v>
      </c>
      <c r="E151" s="95">
        <f>'13'!F151</f>
        <v>161537</v>
      </c>
      <c r="F151" s="233">
        <v>161810</v>
      </c>
      <c r="G151" s="112">
        <f t="shared" si="12"/>
        <v>273</v>
      </c>
      <c r="H151" s="99">
        <f>G151+'13'!H151</f>
        <v>3500</v>
      </c>
      <c r="I151" s="119"/>
      <c r="J151" s="328">
        <f>H151/DAY(B2)</f>
        <v>250</v>
      </c>
    </row>
    <row r="152" spans="1:10" ht="27.75" customHeight="1">
      <c r="A152" s="886" t="s">
        <v>339</v>
      </c>
      <c r="B152" s="887"/>
      <c r="C152" s="888"/>
      <c r="D152" s="117" t="s">
        <v>130</v>
      </c>
      <c r="E152" s="95">
        <f>'13'!F152</f>
        <v>40413</v>
      </c>
      <c r="F152" s="233">
        <v>40552</v>
      </c>
      <c r="G152" s="112">
        <f t="shared" si="12"/>
        <v>139</v>
      </c>
      <c r="H152" s="99">
        <f>G152+'13'!H152</f>
        <v>1936.0999999999985</v>
      </c>
      <c r="I152" s="119"/>
      <c r="J152" s="328">
        <f>H152/DAY(B2)</f>
        <v>138.29285714285703</v>
      </c>
    </row>
    <row r="153" spans="1:10" ht="27.75" customHeight="1">
      <c r="A153" s="853" t="s">
        <v>196</v>
      </c>
      <c r="B153" s="854"/>
      <c r="C153" s="365"/>
      <c r="D153" s="358"/>
      <c r="E153" s="360"/>
      <c r="F153" s="361"/>
      <c r="G153" s="362">
        <f>SUM(G138:G152)</f>
        <v>3185.0099999999511</v>
      </c>
      <c r="H153" s="363"/>
      <c r="I153" s="119">
        <f>G153-(G38+G52)</f>
        <v>552.00999999995111</v>
      </c>
      <c r="J153" s="366"/>
    </row>
    <row r="154" spans="1:10" ht="27.75" customHeight="1">
      <c r="A154" s="924"/>
      <c r="B154" s="924"/>
      <c r="C154" s="924"/>
      <c r="D154" s="924"/>
      <c r="E154" s="924"/>
      <c r="F154" s="924"/>
      <c r="G154" s="924"/>
      <c r="H154" s="924"/>
      <c r="I154" s="924"/>
      <c r="J154" s="924"/>
    </row>
    <row r="155" spans="1:10" ht="27.75" customHeight="1">
      <c r="A155" s="893" t="s">
        <v>345</v>
      </c>
      <c r="B155" s="893"/>
      <c r="C155" s="893"/>
      <c r="D155" s="117" t="s">
        <v>130</v>
      </c>
      <c r="E155" s="374">
        <f>'13'!F155</f>
        <v>228042</v>
      </c>
      <c r="F155" s="374">
        <v>228680</v>
      </c>
      <c r="G155" s="112">
        <f t="shared" ref="G155:G158" si="13">F155-E155</f>
        <v>638</v>
      </c>
      <c r="H155" s="99">
        <f>G155+'13'!H155</f>
        <v>8692.2999999999884</v>
      </c>
      <c r="I155" s="364"/>
      <c r="J155" s="328">
        <f>H155/DAY(B2)</f>
        <v>620.87857142857058</v>
      </c>
    </row>
    <row r="156" spans="1:10" ht="27.75" customHeight="1">
      <c r="A156" s="893" t="s">
        <v>347</v>
      </c>
      <c r="B156" s="893"/>
      <c r="C156" s="893"/>
      <c r="D156" s="117" t="s">
        <v>130</v>
      </c>
      <c r="E156" s="374">
        <f>'13'!F156</f>
        <v>27761.22</v>
      </c>
      <c r="F156" s="155">
        <v>27847</v>
      </c>
      <c r="G156" s="112">
        <f t="shared" si="13"/>
        <v>85.779999999998836</v>
      </c>
      <c r="H156" s="99">
        <f>G156+'13'!H156</f>
        <v>1316.7999999999993</v>
      </c>
      <c r="I156" s="165"/>
      <c r="J156" s="328">
        <f>H156/DAY(B2)</f>
        <v>94.057142857142807</v>
      </c>
    </row>
    <row r="157" spans="1:10" ht="27.75" customHeight="1">
      <c r="A157" s="886" t="s">
        <v>360</v>
      </c>
      <c r="B157" s="887"/>
      <c r="C157" s="888"/>
      <c r="D157" s="117" t="s">
        <v>130</v>
      </c>
      <c r="E157" s="374">
        <f>'13'!F157</f>
        <v>37559</v>
      </c>
      <c r="F157" s="155">
        <v>37559</v>
      </c>
      <c r="G157" s="112">
        <f t="shared" si="13"/>
        <v>0</v>
      </c>
      <c r="H157" s="99">
        <f>G157+'13'!H157</f>
        <v>0</v>
      </c>
      <c r="I157" s="165"/>
      <c r="J157" s="328">
        <f>H157/DAY(B2)</f>
        <v>0</v>
      </c>
    </row>
    <row r="158" spans="1:10" ht="27.75" customHeight="1">
      <c r="A158" s="886" t="s">
        <v>361</v>
      </c>
      <c r="B158" s="887"/>
      <c r="C158" s="888"/>
      <c r="D158" s="117" t="s">
        <v>130</v>
      </c>
      <c r="E158" s="374">
        <f>'13'!F158</f>
        <v>1722</v>
      </c>
      <c r="F158" s="155">
        <v>1726</v>
      </c>
      <c r="G158" s="112">
        <f t="shared" si="13"/>
        <v>4</v>
      </c>
      <c r="H158" s="99">
        <f>G158+'13'!H158</f>
        <v>164.65000000000009</v>
      </c>
      <c r="I158" s="165"/>
      <c r="J158" s="328">
        <f>H158/DAY(B2)</f>
        <v>11.760714285714291</v>
      </c>
    </row>
    <row r="159" spans="1:10" ht="27.75" customHeight="1">
      <c r="A159" s="942"/>
      <c r="B159" s="943"/>
      <c r="C159" s="944"/>
      <c r="D159" s="117"/>
      <c r="E159" s="165"/>
      <c r="F159" s="165"/>
      <c r="G159" s="362">
        <f>SUM(G155:G158)</f>
        <v>727.77999999999884</v>
      </c>
      <c r="H159" s="99"/>
      <c r="I159" s="165"/>
      <c r="J159" s="328"/>
    </row>
    <row r="160" spans="1:10" ht="27.75" customHeight="1">
      <c r="A160" s="924" t="s">
        <v>326</v>
      </c>
      <c r="B160" s="924"/>
      <c r="C160" s="924"/>
      <c r="D160" s="924"/>
      <c r="E160" s="924"/>
      <c r="F160" s="924"/>
      <c r="G160" s="924"/>
      <c r="H160" s="924"/>
      <c r="I160" s="924"/>
      <c r="J160" s="924"/>
    </row>
    <row r="161" spans="1:10" ht="27.75" customHeight="1">
      <c r="A161" s="242" t="s">
        <v>92</v>
      </c>
      <c r="B161" s="243"/>
      <c r="C161" s="243"/>
      <c r="D161" s="244" t="s">
        <v>180</v>
      </c>
      <c r="E161" s="235">
        <f>'13'!F161</f>
        <v>505422.84</v>
      </c>
      <c r="F161" s="235">
        <v>505705.96</v>
      </c>
      <c r="G161" s="238">
        <f t="shared" ref="G161:G165" si="14">F161-E161</f>
        <v>283.11999999999534</v>
      </c>
      <c r="H161" s="99">
        <f>G161+'13'!H161</f>
        <v>2334.8000000000466</v>
      </c>
      <c r="I161" s="236"/>
      <c r="J161" s="239">
        <f>H161/DAY(B2)</f>
        <v>166.7714285714319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235">
        <f>'13'!F162</f>
        <v>100125</v>
      </c>
      <c r="F162" s="235">
        <v>100189</v>
      </c>
      <c r="G162" s="238">
        <f t="shared" si="14"/>
        <v>64</v>
      </c>
      <c r="H162" s="99">
        <f>G162+'13'!H162</f>
        <v>535.39999999999418</v>
      </c>
      <c r="I162" s="236"/>
      <c r="J162" s="239">
        <f>H162/DAY(B2)</f>
        <v>38.242857142856728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235">
        <f>'13'!F163</f>
        <v>0</v>
      </c>
      <c r="F163" s="235">
        <v>0</v>
      </c>
      <c r="G163" s="238">
        <f t="shared" si="14"/>
        <v>0</v>
      </c>
      <c r="H163" s="99">
        <f>G163+'13'!H163</f>
        <v>0</v>
      </c>
      <c r="I163" s="236"/>
      <c r="J163" s="239">
        <f>H163/DAY(B2)</f>
        <v>0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235">
        <f>'13'!F164</f>
        <v>7102.2</v>
      </c>
      <c r="F164" s="235">
        <v>7109.6</v>
      </c>
      <c r="G164" s="238">
        <f t="shared" si="14"/>
        <v>7.4000000000005457</v>
      </c>
      <c r="H164" s="99">
        <f>G164+'13'!H164</f>
        <v>119.40000000000055</v>
      </c>
      <c r="I164" s="236"/>
      <c r="J164" s="239">
        <f>H164/DAY(B2)</f>
        <v>8.5285714285714675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235">
        <f>'13'!F165</f>
        <v>32667.52</v>
      </c>
      <c r="F165" s="235">
        <v>32676.46</v>
      </c>
      <c r="G165" s="238">
        <f t="shared" si="14"/>
        <v>8.9399999999986903</v>
      </c>
      <c r="H165" s="99">
        <f>G165+'13'!H165</f>
        <v>102.36000000000058</v>
      </c>
      <c r="I165" s="236"/>
      <c r="J165" s="239">
        <f>H165/DAY(B2)</f>
        <v>7.3114285714286131</v>
      </c>
    </row>
    <row r="166" spans="1:10" ht="27.75" customHeight="1">
      <c r="A166" s="923"/>
      <c r="B166" s="923"/>
      <c r="C166" s="246"/>
      <c r="D166" s="244" t="s">
        <v>180</v>
      </c>
      <c r="E166" s="95">
        <f>'13'!F166</f>
        <v>0</v>
      </c>
      <c r="F166" s="165"/>
      <c r="G166" s="165"/>
      <c r="H166" s="99">
        <f>G166+'13'!H166</f>
        <v>0</v>
      </c>
      <c r="I166" s="165"/>
      <c r="J166" s="239">
        <f>H166/DAY(B2)</f>
        <v>0</v>
      </c>
    </row>
    <row r="167" spans="1:10" ht="27.75" customHeight="1">
      <c r="A167" s="923"/>
      <c r="B167" s="923"/>
      <c r="C167" s="246"/>
      <c r="D167" s="244" t="s">
        <v>180</v>
      </c>
      <c r="E167" s="95">
        <f>'13'!F167</f>
        <v>0</v>
      </c>
      <c r="F167" s="165"/>
      <c r="G167" s="165"/>
      <c r="H167" s="99">
        <f>G167+'13'!H167</f>
        <v>0</v>
      </c>
      <c r="I167" s="165"/>
      <c r="J167" s="239">
        <f>H167/DAY(B2)</f>
        <v>0</v>
      </c>
    </row>
    <row r="168" spans="1:10" ht="27.75" customHeight="1">
      <c r="A168" s="923"/>
      <c r="B168" s="923"/>
      <c r="C168" s="246"/>
      <c r="D168" s="244" t="s">
        <v>180</v>
      </c>
      <c r="E168" s="95">
        <f>'13'!F168</f>
        <v>0</v>
      </c>
      <c r="F168" s="165"/>
      <c r="G168" s="165"/>
      <c r="H168" s="99">
        <f>G168+'13'!H168</f>
        <v>0</v>
      </c>
      <c r="I168" s="165"/>
      <c r="J168" s="239">
        <f>H168/DAY(B2)</f>
        <v>0</v>
      </c>
    </row>
    <row r="171" spans="1:10" ht="27.75" customHeight="1">
      <c r="A171" s="933" t="s">
        <v>330</v>
      </c>
      <c r="B171" s="934"/>
      <c r="C171" s="934"/>
      <c r="D171" s="934"/>
      <c r="E171" s="934"/>
      <c r="F171" s="934"/>
      <c r="G171" s="934"/>
      <c r="H171" s="934"/>
      <c r="I171" s="934"/>
      <c r="J171" s="935"/>
    </row>
    <row r="172" spans="1:10" ht="27.75" customHeight="1">
      <c r="A172" s="929"/>
      <c r="B172" s="930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>
      <c r="A173" s="841" t="s">
        <v>209</v>
      </c>
      <c r="B173" s="843"/>
      <c r="C173" s="333"/>
      <c r="D173" s="228" t="s">
        <v>142</v>
      </c>
      <c r="E173" s="95">
        <f>'13'!F173</f>
        <v>8600</v>
      </c>
      <c r="F173" s="155">
        <v>8600</v>
      </c>
      <c r="G173" s="155">
        <v>0</v>
      </c>
      <c r="H173" s="99">
        <f>G173+'13'!H173</f>
        <v>16</v>
      </c>
      <c r="I173" s="155"/>
      <c r="J173" s="178">
        <f>H173/DAY(B2)</f>
        <v>1.1428571428571428</v>
      </c>
    </row>
    <row r="174" spans="1:10" ht="27.75" customHeight="1">
      <c r="A174" s="841" t="s">
        <v>75</v>
      </c>
      <c r="B174" s="843"/>
      <c r="C174" s="333"/>
      <c r="D174" s="228" t="s">
        <v>142</v>
      </c>
      <c r="E174" s="95">
        <f>'13'!F174</f>
        <v>42821</v>
      </c>
      <c r="F174" s="157">
        <v>42832</v>
      </c>
      <c r="G174" s="155">
        <f t="shared" ref="G174:G175" si="15">F174-E174</f>
        <v>11</v>
      </c>
      <c r="H174" s="99">
        <f>G174+'13'!H174</f>
        <v>163</v>
      </c>
      <c r="I174" s="155"/>
      <c r="J174" s="178">
        <f>H174/DAY(B2)</f>
        <v>11.642857142857142</v>
      </c>
    </row>
    <row r="175" spans="1:10" ht="27.75" customHeight="1">
      <c r="A175" s="841" t="s">
        <v>76</v>
      </c>
      <c r="B175" s="842"/>
      <c r="C175" s="843"/>
      <c r="D175" s="228" t="s">
        <v>142</v>
      </c>
      <c r="E175" s="95">
        <f>'13'!F175</f>
        <v>25560</v>
      </c>
      <c r="F175" s="155">
        <v>25572</v>
      </c>
      <c r="G175" s="155">
        <f t="shared" si="15"/>
        <v>12</v>
      </c>
      <c r="H175" s="99">
        <f>G175+'13'!H175</f>
        <v>179</v>
      </c>
      <c r="I175" s="155"/>
      <c r="J175" s="178">
        <f>H175/DAY(B2)</f>
        <v>12.785714285714286</v>
      </c>
    </row>
    <row r="176" spans="1:10" ht="27.75" customHeight="1">
      <c r="A176" s="853" t="s">
        <v>196</v>
      </c>
      <c r="B176" s="854"/>
      <c r="C176" s="400"/>
      <c r="D176" s="228" t="s">
        <v>142</v>
      </c>
      <c r="E176" s="95"/>
      <c r="F176" s="155"/>
      <c r="G176" s="155">
        <f>SUM(G173:G175)</f>
        <v>23</v>
      </c>
      <c r="H176" s="99">
        <f>G176+'13'!H176</f>
        <v>358</v>
      </c>
      <c r="I176" s="155"/>
      <c r="J176" s="178">
        <f>H176/DAY(B2)</f>
        <v>25.571428571428573</v>
      </c>
    </row>
    <row r="177" spans="1:10" ht="27.75" customHeight="1">
      <c r="A177" s="841" t="s">
        <v>77</v>
      </c>
      <c r="B177" s="843"/>
      <c r="C177" s="333"/>
      <c r="D177" s="228" t="s">
        <v>142</v>
      </c>
      <c r="E177" s="95"/>
      <c r="F177" s="155"/>
      <c r="G177" s="155"/>
      <c r="H177" s="99">
        <f>G177+'13'!H177</f>
        <v>0</v>
      </c>
      <c r="I177" s="155"/>
      <c r="J177" s="178">
        <f>H177/DAY(B2)</f>
        <v>0</v>
      </c>
    </row>
    <row r="178" spans="1:10" ht="27.75" customHeight="1">
      <c r="A178" s="841" t="s">
        <v>210</v>
      </c>
      <c r="B178" s="843"/>
      <c r="C178" s="333"/>
      <c r="D178" s="228" t="s">
        <v>142</v>
      </c>
      <c r="E178" s="95">
        <f>'13'!F178</f>
        <v>104714</v>
      </c>
      <c r="F178" s="155">
        <v>104849</v>
      </c>
      <c r="G178" s="155">
        <f>F178-E178</f>
        <v>135</v>
      </c>
      <c r="H178" s="99">
        <f>G178+'13'!H178</f>
        <v>1206</v>
      </c>
      <c r="I178" s="155"/>
      <c r="J178" s="178">
        <f>H178/DAY(B2)</f>
        <v>86.142857142857139</v>
      </c>
    </row>
    <row r="179" spans="1:10" ht="27.75" customHeight="1">
      <c r="A179" s="841" t="s">
        <v>211</v>
      </c>
      <c r="B179" s="843"/>
      <c r="C179" s="333"/>
      <c r="D179" s="228" t="s">
        <v>142</v>
      </c>
      <c r="E179" s="95">
        <f>'13'!F179</f>
        <v>37501</v>
      </c>
      <c r="F179" s="155">
        <v>37501</v>
      </c>
      <c r="G179" s="155">
        <f t="shared" ref="G179:G180" si="16">F179-E179</f>
        <v>0</v>
      </c>
      <c r="H179" s="99">
        <f>G179+'13'!H179</f>
        <v>0</v>
      </c>
      <c r="I179" s="155"/>
      <c r="J179" s="178">
        <f>H179/DAY(B2)</f>
        <v>0</v>
      </c>
    </row>
    <row r="180" spans="1:10" ht="27.75" customHeight="1">
      <c r="A180" s="841" t="s">
        <v>212</v>
      </c>
      <c r="B180" s="843"/>
      <c r="C180" s="333"/>
      <c r="D180" s="228" t="s">
        <v>142</v>
      </c>
      <c r="E180" s="95">
        <f>'13'!F180</f>
        <v>7439</v>
      </c>
      <c r="F180" s="155">
        <v>7478</v>
      </c>
      <c r="G180" s="155">
        <f t="shared" si="16"/>
        <v>39</v>
      </c>
      <c r="H180" s="99">
        <f>G180+'13'!H180</f>
        <v>58</v>
      </c>
      <c r="I180" s="155"/>
      <c r="J180" s="178">
        <f>H180/DAY(B2)</f>
        <v>4.1428571428571432</v>
      </c>
    </row>
    <row r="181" spans="1:10" ht="27.75" customHeight="1">
      <c r="A181" s="927" t="s">
        <v>108</v>
      </c>
      <c r="B181" s="928"/>
      <c r="C181" s="400"/>
      <c r="D181" s="228" t="s">
        <v>142</v>
      </c>
      <c r="E181" s="95"/>
      <c r="F181" s="155" t="s">
        <v>207</v>
      </c>
      <c r="G181" s="155">
        <f>SUM(G178:G180)</f>
        <v>174</v>
      </c>
      <c r="H181" s="99">
        <f>G181+'13'!H181</f>
        <v>1264</v>
      </c>
      <c r="I181" s="155"/>
      <c r="J181" s="178">
        <f>H181/DAY(B2)</f>
        <v>90.285714285714292</v>
      </c>
    </row>
    <row r="182" spans="1:10" ht="27.75" customHeight="1">
      <c r="A182" s="841" t="s">
        <v>213</v>
      </c>
      <c r="B182" s="843"/>
      <c r="C182" s="333"/>
      <c r="D182" s="228" t="s">
        <v>142</v>
      </c>
      <c r="E182" s="95"/>
      <c r="F182" s="155"/>
      <c r="G182" s="155"/>
      <c r="H182" s="99">
        <f>G182+'13'!H182</f>
        <v>0</v>
      </c>
      <c r="I182" s="155"/>
      <c r="J182" s="178">
        <f>H182/DAY(B2)</f>
        <v>0</v>
      </c>
    </row>
    <row r="183" spans="1:10" ht="27.75" customHeight="1">
      <c r="A183" s="841" t="s">
        <v>214</v>
      </c>
      <c r="B183" s="843"/>
      <c r="C183" s="334"/>
      <c r="D183" s="228" t="s">
        <v>142</v>
      </c>
      <c r="E183" s="95">
        <f>'13'!F183</f>
        <v>18245</v>
      </c>
      <c r="F183" s="157">
        <v>18259</v>
      </c>
      <c r="G183" s="157">
        <f>F183-E183</f>
        <v>14</v>
      </c>
      <c r="H183" s="99">
        <f>G183+'13'!H183</f>
        <v>91</v>
      </c>
      <c r="I183" s="155"/>
      <c r="J183" s="178">
        <f>H183/DAY(B2)</f>
        <v>6.5</v>
      </c>
    </row>
    <row r="184" spans="1:10" ht="27.75" customHeight="1">
      <c r="A184" s="841" t="s">
        <v>215</v>
      </c>
      <c r="B184" s="843"/>
      <c r="C184" s="334"/>
      <c r="D184" s="228" t="s">
        <v>142</v>
      </c>
      <c r="E184" s="95">
        <f>'13'!F184</f>
        <v>12867</v>
      </c>
      <c r="F184" s="157">
        <v>12877</v>
      </c>
      <c r="G184" s="157">
        <f t="shared" ref="G184:G185" si="17">F184-E184</f>
        <v>10</v>
      </c>
      <c r="H184" s="99">
        <f>G184+'13'!H184</f>
        <v>127</v>
      </c>
      <c r="I184" s="155"/>
      <c r="J184" s="178">
        <f>H184/DAY(B2)</f>
        <v>9.0714285714285712</v>
      </c>
    </row>
    <row r="185" spans="1:10" ht="27.75" customHeight="1">
      <c r="A185" s="841" t="s">
        <v>216</v>
      </c>
      <c r="B185" s="843"/>
      <c r="C185" s="334"/>
      <c r="D185" s="228" t="s">
        <v>142</v>
      </c>
      <c r="E185" s="95">
        <f>'13'!F185</f>
        <v>0</v>
      </c>
      <c r="F185" s="157">
        <v>0</v>
      </c>
      <c r="G185" s="157">
        <f t="shared" si="17"/>
        <v>0</v>
      </c>
      <c r="H185" s="99">
        <f>G185+'13'!H185</f>
        <v>0</v>
      </c>
      <c r="I185" s="155"/>
      <c r="J185" s="178">
        <f>H185/DAY(B2)</f>
        <v>0</v>
      </c>
    </row>
    <row r="186" spans="1:10" ht="27.75" customHeight="1">
      <c r="A186" s="853" t="s">
        <v>196</v>
      </c>
      <c r="B186" s="854"/>
      <c r="C186" s="399"/>
      <c r="D186" s="228" t="s">
        <v>142</v>
      </c>
      <c r="E186" s="95"/>
      <c r="F186" s="157"/>
      <c r="G186" s="157">
        <f>SUM(G183:G185)</f>
        <v>24</v>
      </c>
      <c r="H186" s="99">
        <f>G186+'13'!H186</f>
        <v>218</v>
      </c>
      <c r="I186" s="157"/>
      <c r="J186" s="178">
        <f>H186/DAY(B2)</f>
        <v>15.571428571428571</v>
      </c>
    </row>
    <row r="187" spans="1:10" ht="27.75" customHeight="1">
      <c r="A187" s="931" t="s">
        <v>217</v>
      </c>
      <c r="B187" s="932"/>
      <c r="C187" s="333"/>
      <c r="D187" s="230" t="s">
        <v>142</v>
      </c>
      <c r="E187" s="95"/>
      <c r="F187" s="159"/>
      <c r="G187" s="159">
        <f>G62+G19</f>
        <v>170</v>
      </c>
      <c r="H187" s="99">
        <f>G187+'13'!H187</f>
        <v>2379</v>
      </c>
      <c r="I187" s="158"/>
      <c r="J187" s="179">
        <f>H187/DAY(B2)</f>
        <v>169.92857142857142</v>
      </c>
    </row>
    <row r="188" spans="1:10" ht="27.75" customHeight="1">
      <c r="A188" s="931" t="s">
        <v>218</v>
      </c>
      <c r="B188" s="932"/>
      <c r="C188" s="333"/>
      <c r="D188" s="230" t="s">
        <v>142</v>
      </c>
      <c r="E188" s="95"/>
      <c r="F188" s="159"/>
      <c r="G188" s="159">
        <f>G65+G66+G67+G69+G70</f>
        <v>202</v>
      </c>
      <c r="H188" s="99"/>
      <c r="I188" s="158"/>
      <c r="J188" s="404">
        <f>H188/DAY(B2)</f>
        <v>0</v>
      </c>
    </row>
    <row r="189" spans="1:10" ht="27.75" customHeight="1">
      <c r="A189" s="931" t="s">
        <v>219</v>
      </c>
      <c r="B189" s="932"/>
      <c r="C189" s="333"/>
      <c r="D189" s="230" t="s">
        <v>142</v>
      </c>
      <c r="E189" s="95"/>
      <c r="F189" s="157"/>
      <c r="G189" s="157">
        <f>G181</f>
        <v>174</v>
      </c>
      <c r="H189" s="99">
        <f>G189+'13'!H189</f>
        <v>1264</v>
      </c>
      <c r="I189" s="158"/>
      <c r="J189" s="179">
        <f>H189/DAY(B2)</f>
        <v>90.285714285714292</v>
      </c>
    </row>
    <row r="190" spans="1:10" ht="27.75" customHeight="1">
      <c r="A190" s="925"/>
      <c r="B190" s="926"/>
      <c r="C190" s="398"/>
      <c r="D190" s="395"/>
      <c r="E190" s="395" t="s">
        <v>207</v>
      </c>
      <c r="F190" s="395"/>
      <c r="G190" s="395"/>
      <c r="H190" s="396"/>
      <c r="I190" s="395"/>
      <c r="J190" s="397"/>
    </row>
  </sheetData>
  <mergeCells count="115">
    <mergeCell ref="A157:C157"/>
    <mergeCell ref="A189:B189"/>
    <mergeCell ref="A166:B166"/>
    <mergeCell ref="A167:B167"/>
    <mergeCell ref="A175:C175"/>
    <mergeCell ref="A178:B178"/>
    <mergeCell ref="A179:B179"/>
    <mergeCell ref="A160:J160"/>
    <mergeCell ref="A158:C158"/>
    <mergeCell ref="Q116:R116"/>
    <mergeCell ref="A117:C117"/>
    <mergeCell ref="Q117:R117"/>
    <mergeCell ref="A118:C118"/>
    <mergeCell ref="Q118:R118"/>
    <mergeCell ref="A150:C150"/>
    <mergeCell ref="A151:C151"/>
    <mergeCell ref="A152:C152"/>
    <mergeCell ref="A154:J154"/>
    <mergeCell ref="A153:B153"/>
    <mergeCell ref="A132:C132"/>
    <mergeCell ref="A133:C133"/>
    <mergeCell ref="A134:C134"/>
    <mergeCell ref="A136:J136"/>
    <mergeCell ref="A138:C138"/>
    <mergeCell ref="A139:C139"/>
    <mergeCell ref="A121:C121"/>
    <mergeCell ref="A122:C122"/>
    <mergeCell ref="A148:C148"/>
    <mergeCell ref="A149:C149"/>
    <mergeCell ref="A147:C147"/>
    <mergeCell ref="A143:C143"/>
    <mergeCell ref="A140:C140"/>
    <mergeCell ref="A141:C141"/>
    <mergeCell ref="A146:C146"/>
    <mergeCell ref="A103:C103"/>
    <mergeCell ref="A104:C104"/>
    <mergeCell ref="A105:C105"/>
    <mergeCell ref="A108:J108"/>
    <mergeCell ref="A110:J110"/>
    <mergeCell ref="A190:B190"/>
    <mergeCell ref="A172:B172"/>
    <mergeCell ref="A173:B173"/>
    <mergeCell ref="A174:B174"/>
    <mergeCell ref="A176:B176"/>
    <mergeCell ref="A177:B177"/>
    <mergeCell ref="A184:B184"/>
    <mergeCell ref="A185:B185"/>
    <mergeCell ref="A171:J171"/>
    <mergeCell ref="A183:B183"/>
    <mergeCell ref="A181:B181"/>
    <mergeCell ref="A182:B182"/>
    <mergeCell ref="A180:B180"/>
    <mergeCell ref="A186:B186"/>
    <mergeCell ref="A187:B187"/>
    <mergeCell ref="A188:B188"/>
    <mergeCell ref="A168:B168"/>
    <mergeCell ref="A156:C156"/>
    <mergeCell ref="A77:C77"/>
    <mergeCell ref="A102:C102"/>
    <mergeCell ref="A95:C95"/>
    <mergeCell ref="A96:C96"/>
    <mergeCell ref="A93:C93"/>
    <mergeCell ref="A94:C94"/>
    <mergeCell ref="A101:C101"/>
    <mergeCell ref="A111:C111"/>
    <mergeCell ref="A112:C112"/>
    <mergeCell ref="A78:C78"/>
    <mergeCell ref="A124:C124"/>
    <mergeCell ref="A128:C128"/>
    <mergeCell ref="A131:C131"/>
    <mergeCell ref="A135:B135"/>
    <mergeCell ref="A79:C79"/>
    <mergeCell ref="A80:C80"/>
    <mergeCell ref="A159:C159"/>
    <mergeCell ref="A144:C144"/>
    <mergeCell ref="A97:C97"/>
    <mergeCell ref="A98:C98"/>
    <mergeCell ref="A99:C99"/>
    <mergeCell ref="A100:C100"/>
    <mergeCell ref="A109:B109"/>
    <mergeCell ref="A125:B125"/>
    <mergeCell ref="A126:J126"/>
    <mergeCell ref="A127:B127"/>
    <mergeCell ref="A114:C114"/>
    <mergeCell ref="A115:C115"/>
    <mergeCell ref="A116:C116"/>
    <mergeCell ref="A119:C119"/>
    <mergeCell ref="A120:C120"/>
    <mergeCell ref="A81:C81"/>
    <mergeCell ref="A155:C155"/>
    <mergeCell ref="A145:C145"/>
    <mergeCell ref="A142:C142"/>
    <mergeCell ref="A75:C75"/>
    <mergeCell ref="A76:C76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72:B72"/>
    <mergeCell ref="A73:C73"/>
    <mergeCell ref="A74:C74"/>
    <mergeCell ref="A113:C113"/>
    <mergeCell ref="A123:C123"/>
  </mergeCells>
  <pageMargins left="0.23622047244094491" right="0.15748031496062992" top="0.15748031496062992" bottom="0.16" header="0.19685039370078741" footer="0.19685039370078741"/>
  <pageSetup paperSize="5" scale="1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R270"/>
  <sheetViews>
    <sheetView view="pageBreakPreview" zoomScale="55" zoomScaleSheetLayoutView="55" workbookViewId="0">
      <selection activeCell="F162" sqref="F162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67" t="s">
        <v>115</v>
      </c>
      <c r="B1" s="868"/>
      <c r="C1" s="868"/>
      <c r="D1" s="868"/>
      <c r="E1" s="868"/>
      <c r="F1" s="868"/>
      <c r="G1" s="868"/>
      <c r="H1" s="868"/>
      <c r="I1" s="868"/>
      <c r="J1" s="869"/>
    </row>
    <row r="2" spans="1:15" s="57" customFormat="1" ht="23.25">
      <c r="A2" s="191" t="s">
        <v>374</v>
      </c>
      <c r="B2" s="262">
        <v>44696</v>
      </c>
      <c r="C2" s="348" t="s">
        <v>67</v>
      </c>
      <c r="D2" s="218">
        <v>0.99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29</v>
      </c>
      <c r="E3" s="876" t="s">
        <v>119</v>
      </c>
      <c r="F3" s="877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0" t="s">
        <v>128</v>
      </c>
      <c r="B6" s="871"/>
      <c r="C6" s="87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'14'!F7</f>
        <v>595816</v>
      </c>
      <c r="F7" s="95">
        <v>620345</v>
      </c>
      <c r="G7" s="236">
        <f>F7-E7</f>
        <v>24529</v>
      </c>
      <c r="H7" s="99">
        <f>G7+'14'!H7</f>
        <v>346662.45</v>
      </c>
      <c r="I7" s="113">
        <f>'1'!I7</f>
        <v>12000</v>
      </c>
      <c r="J7" s="175">
        <f>H7/DAY(B2)</f>
        <v>23110.83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'14'!F8</f>
        <v>775180</v>
      </c>
      <c r="F8" s="114">
        <v>799828</v>
      </c>
      <c r="G8" s="519">
        <f>F8-E8</f>
        <v>24648</v>
      </c>
      <c r="H8" s="99">
        <f>G8+'14'!H8</f>
        <v>348567</v>
      </c>
      <c r="I8" s="116"/>
      <c r="J8" s="175">
        <f>H8/DAY(B2)</f>
        <v>23237.8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'14'!F9</f>
        <v>4210741</v>
      </c>
      <c r="F9" s="468">
        <v>4221768.7</v>
      </c>
      <c r="G9" s="112">
        <f>F9-E9</f>
        <v>11027.700000000186</v>
      </c>
      <c r="H9" s="99">
        <f>G9+'14'!H9</f>
        <v>107598.40000000037</v>
      </c>
      <c r="I9" s="124">
        <f>I7-J7</f>
        <v>-11110.830000000002</v>
      </c>
      <c r="J9" s="175">
        <f>H9/DAY(B2)</f>
        <v>7173.2266666666919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'14'!F10</f>
        <v>3906214</v>
      </c>
      <c r="F10" s="353">
        <v>3918990</v>
      </c>
      <c r="G10" s="112">
        <f>F10-E10</f>
        <v>12776</v>
      </c>
      <c r="H10" s="99">
        <f>G10+'14'!H10</f>
        <v>229510.89999999991</v>
      </c>
      <c r="I10" s="282"/>
      <c r="J10" s="175">
        <f>H10/DAY(B2)</f>
        <v>15300.72666666666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'14'!F11</f>
        <v>38120</v>
      </c>
      <c r="F11" s="95">
        <v>38120</v>
      </c>
      <c r="G11" s="112">
        <f t="shared" ref="G11:G12" si="0">F11-E11</f>
        <v>0</v>
      </c>
      <c r="H11" s="99">
        <f>G11+'14'!H11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'14'!F12</f>
        <v>40550</v>
      </c>
      <c r="F12" s="117">
        <v>40550</v>
      </c>
      <c r="G12" s="112">
        <f t="shared" si="0"/>
        <v>0</v>
      </c>
      <c r="H12" s="99">
        <f>G12+'14'!H12</f>
        <v>160</v>
      </c>
      <c r="I12" s="282"/>
      <c r="J12" s="175">
        <f>H12/DAY(B2)</f>
        <v>10.666666666666666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23803.700000000186</v>
      </c>
      <c r="H13" s="99">
        <f>G13+'14'!H13</f>
        <v>341498</v>
      </c>
      <c r="I13" s="120">
        <f>G7-G13</f>
        <v>725.29999999981374</v>
      </c>
      <c r="J13" s="175">
        <f>H13/DAY(B2)</f>
        <v>22766.533333333333</v>
      </c>
      <c r="K13" s="79"/>
      <c r="L13" s="66"/>
      <c r="N13" s="87"/>
      <c r="O13" s="71"/>
    </row>
    <row r="14" spans="1:15" ht="26.25">
      <c r="A14" s="873" t="s">
        <v>137</v>
      </c>
      <c r="B14" s="874"/>
      <c r="C14" s="87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8">
        <f>'14'!F15</f>
        <v>2234192</v>
      </c>
      <c r="F15" s="468">
        <v>2235252</v>
      </c>
      <c r="G15" s="112">
        <f>(F15-E15)</f>
        <v>1060</v>
      </c>
      <c r="H15" s="99">
        <f>G15+'14'!H15</f>
        <v>16311</v>
      </c>
      <c r="I15" s="113">
        <f>'1'!I15</f>
        <v>800</v>
      </c>
      <c r="J15" s="175">
        <f>H15/DAY(B2)</f>
        <v>1087.4000000000001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G16" s="112"/>
      <c r="H16" s="124"/>
      <c r="I16" s="120">
        <f>I15-J15</f>
        <v>-287.40000000000009</v>
      </c>
      <c r="J16" s="176"/>
      <c r="K16" s="79"/>
      <c r="L16" s="66"/>
      <c r="N16" s="87"/>
      <c r="O16" s="71"/>
    </row>
    <row r="17" spans="1:15" ht="26.25">
      <c r="A17" s="873" t="s">
        <v>140</v>
      </c>
      <c r="B17" s="874"/>
      <c r="C17" s="87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64" t="s">
        <v>141</v>
      </c>
      <c r="B18" s="865"/>
      <c r="C18" s="866"/>
      <c r="D18" s="151" t="s">
        <v>142</v>
      </c>
      <c r="E18" s="95">
        <f>'14'!F18</f>
        <v>33</v>
      </c>
      <c r="F18" s="122">
        <v>33</v>
      </c>
      <c r="G18" s="119">
        <f>F18*10</f>
        <v>330</v>
      </c>
      <c r="H18" s="99">
        <f>G18+'14'!H18</f>
        <v>4150</v>
      </c>
      <c r="I18" s="113">
        <f>'1'!I18</f>
        <v>65</v>
      </c>
      <c r="J18" s="175">
        <f>H18/DAY(B2)</f>
        <v>276.66666666666669</v>
      </c>
      <c r="K18" s="79"/>
      <c r="L18" s="66"/>
      <c r="N18" s="87"/>
      <c r="O18" s="71"/>
    </row>
    <row r="19" spans="1:15" ht="25.5">
      <c r="A19" s="864" t="s">
        <v>69</v>
      </c>
      <c r="B19" s="865"/>
      <c r="C19" s="866"/>
      <c r="D19" s="151" t="s">
        <v>142</v>
      </c>
      <c r="E19" s="95">
        <f>'14'!F19</f>
        <v>168710</v>
      </c>
      <c r="F19" s="122">
        <v>168762</v>
      </c>
      <c r="G19" s="112">
        <f t="shared" ref="G19" si="1">F19-E19</f>
        <v>52</v>
      </c>
      <c r="H19" s="99">
        <f>G19+'14'!H19</f>
        <v>802</v>
      </c>
      <c r="I19" s="335"/>
      <c r="J19" s="175">
        <f>H19/DAY(B2)</f>
        <v>53.466666666666669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382</v>
      </c>
      <c r="H20" s="99">
        <f>G20+'14'!H20</f>
        <v>4952</v>
      </c>
      <c r="I20" s="336">
        <f>I18-J20</f>
        <v>-265.13333333333333</v>
      </c>
      <c r="J20" s="175">
        <f>H20/DAY(B2)</f>
        <v>330.13333333333333</v>
      </c>
      <c r="K20" s="79"/>
      <c r="L20" s="66"/>
      <c r="N20" s="87"/>
      <c r="O20" s="71"/>
    </row>
    <row r="21" spans="1:15" ht="26.25">
      <c r="A21" s="873" t="s">
        <v>144</v>
      </c>
      <c r="B21" s="874"/>
      <c r="C21" s="87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'14'!F22</f>
        <v>2970</v>
      </c>
      <c r="F22" s="122">
        <v>2970</v>
      </c>
      <c r="G22" s="119">
        <f t="shared" ref="G22" si="2">(F22-E22)</f>
        <v>0</v>
      </c>
      <c r="H22" s="99">
        <f>G22+'14'!H22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'14'!F23</f>
        <v>1860</v>
      </c>
      <c r="F23" s="122">
        <v>1860</v>
      </c>
      <c r="G23" s="119">
        <v>0</v>
      </c>
      <c r="H23" s="99">
        <f>G23+'14'!H23</f>
        <v>-100</v>
      </c>
      <c r="I23" s="118"/>
      <c r="J23" s="175">
        <f>H23/DAY(B2)</f>
        <v>-6.666666666666667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'14'!F24</f>
        <v>4830</v>
      </c>
      <c r="F24" s="128">
        <v>4970</v>
      </c>
      <c r="G24" s="119">
        <v>0</v>
      </c>
      <c r="H24" s="99">
        <f>G24+'14'!H24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78" t="s">
        <v>149</v>
      </c>
      <c r="B25" s="879"/>
      <c r="C25" s="88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24648</v>
      </c>
      <c r="F27" s="136">
        <v>9</v>
      </c>
      <c r="G27" s="137">
        <f>E27*F27</f>
        <v>221832</v>
      </c>
      <c r="H27" s="99">
        <f>G27+'14'!H27</f>
        <v>3159693.8</v>
      </c>
      <c r="I27" s="138"/>
      <c r="J27" s="175">
        <f>H27/DAY(B2)</f>
        <v>210646.25333333333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1060</v>
      </c>
      <c r="F28" s="136">
        <v>70</v>
      </c>
      <c r="G28" s="137">
        <f>E28*F28</f>
        <v>74200</v>
      </c>
      <c r="H28" s="99">
        <f>G28+'14'!H28</f>
        <v>1152281.7500000005</v>
      </c>
      <c r="I28" s="140"/>
      <c r="J28" s="175">
        <f>H28/DAY(B2)</f>
        <v>76818.783333333369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G29+'14'!H29</f>
        <v>6900</v>
      </c>
      <c r="I29" s="140"/>
      <c r="J29" s="175">
        <f>H29/DAY(B2)</f>
        <v>460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151</v>
      </c>
      <c r="G30" s="137">
        <f>E30*F30</f>
        <v>7852</v>
      </c>
      <c r="H30" s="99">
        <f>G30+'14'!H30</f>
        <v>121102</v>
      </c>
      <c r="I30" s="140"/>
      <c r="J30" s="175">
        <f>H30/DAY(B2)</f>
        <v>8073.4666666666662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330</v>
      </c>
      <c r="F31" s="136">
        <v>80</v>
      </c>
      <c r="G31" s="137">
        <f>E31*F31</f>
        <v>26400</v>
      </c>
      <c r="H31" s="99">
        <f>G31+'14'!H31</f>
        <v>332000</v>
      </c>
      <c r="I31" s="140"/>
      <c r="J31" s="175">
        <f>H31/DAY(B2)</f>
        <v>22133.333333333332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330284</v>
      </c>
      <c r="H32" s="99">
        <f>G32+'14'!H32</f>
        <v>4771977.5500000007</v>
      </c>
      <c r="I32" s="144"/>
      <c r="J32" s="175">
        <f>H32/DAY(B2)</f>
        <v>318131.83666666673</v>
      </c>
      <c r="K32" s="63"/>
      <c r="L32" s="89"/>
      <c r="N32" s="87"/>
      <c r="O32" s="71"/>
    </row>
    <row r="33" spans="1:15" ht="25.5" customHeight="1">
      <c r="A33" s="881" t="s">
        <v>331</v>
      </c>
      <c r="B33" s="882"/>
      <c r="C33" s="88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'14'!F35</f>
        <v>408654</v>
      </c>
      <c r="F35" s="145">
        <v>411257</v>
      </c>
      <c r="G35" s="112">
        <f t="shared" ref="G35:G46" si="3">F35-E35</f>
        <v>2603</v>
      </c>
      <c r="H35" s="99">
        <f>G35+'14'!H35</f>
        <v>42160.090000000026</v>
      </c>
      <c r="I35" s="95"/>
      <c r="J35" s="175">
        <f>H35/DAY(B2)</f>
        <v>2810.6726666666682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'14'!F36</f>
        <v>337672</v>
      </c>
      <c r="F36" s="145">
        <v>338797</v>
      </c>
      <c r="G36" s="112">
        <f t="shared" si="3"/>
        <v>1125</v>
      </c>
      <c r="H36" s="99">
        <f>G36+'14'!H36</f>
        <v>16579.890000000014</v>
      </c>
      <c r="I36" s="95"/>
      <c r="J36" s="175">
        <f>H36/DAY(B2)</f>
        <v>1105.3260000000009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'14'!F37</f>
        <v>322998.69</v>
      </c>
      <c r="F37" s="145">
        <v>322998.69</v>
      </c>
      <c r="G37" s="112">
        <f t="shared" si="3"/>
        <v>0</v>
      </c>
      <c r="H37" s="99">
        <f>G37+'14'!H37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'14'!F38</f>
        <v>770307</v>
      </c>
      <c r="F38" s="108">
        <v>770899</v>
      </c>
      <c r="G38" s="112">
        <f t="shared" si="3"/>
        <v>592</v>
      </c>
      <c r="H38" s="99">
        <f>G38+'14'!H38</f>
        <v>35046.609999999986</v>
      </c>
      <c r="I38" s="95"/>
      <c r="J38" s="175">
        <f>H38/DAY(B2)</f>
        <v>2336.4406666666659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'14'!F39</f>
        <v>591584</v>
      </c>
      <c r="F39" s="145">
        <v>591584</v>
      </c>
      <c r="G39" s="112">
        <f t="shared" si="3"/>
        <v>0</v>
      </c>
      <c r="H39" s="99">
        <f>G39+'14'!H39</f>
        <v>-0.18999999994412065</v>
      </c>
      <c r="I39" s="95"/>
      <c r="J39" s="175">
        <f>H39/DAY(B2)</f>
        <v>-1.2666666662941377E-2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'14'!F40</f>
        <v>202514.71</v>
      </c>
      <c r="F40" s="145">
        <v>202879</v>
      </c>
      <c r="G40" s="112">
        <f t="shared" si="3"/>
        <v>364.29000000000815</v>
      </c>
      <c r="H40" s="99">
        <f>G40+'14'!H40</f>
        <v>6149.0299999999988</v>
      </c>
      <c r="I40" s="95"/>
      <c r="J40" s="175">
        <f>H40/DAY(B2)</f>
        <v>409.93533333333323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'14'!F41</f>
        <v>419197</v>
      </c>
      <c r="F41" s="145">
        <v>419197</v>
      </c>
      <c r="G41" s="112">
        <f t="shared" si="3"/>
        <v>0</v>
      </c>
      <c r="H41" s="99">
        <f>G41+'14'!H41</f>
        <v>29.409999999974389</v>
      </c>
      <c r="I41" s="95"/>
      <c r="J41" s="175">
        <f>H41/DAY(B2)</f>
        <v>1.9606666666649593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'14'!F42</f>
        <v>878093</v>
      </c>
      <c r="F42" s="145">
        <v>883182</v>
      </c>
      <c r="G42" s="112">
        <f t="shared" si="3"/>
        <v>5089</v>
      </c>
      <c r="H42" s="99">
        <f>G42+'14'!H42</f>
        <v>11311.130000000005</v>
      </c>
      <c r="I42" s="95"/>
      <c r="J42" s="175">
        <f>H42/DAY(B2)</f>
        <v>754.07533333333367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'14'!F43</f>
        <v>407028</v>
      </c>
      <c r="F43" s="145">
        <v>407028</v>
      </c>
      <c r="G43" s="112">
        <f t="shared" si="3"/>
        <v>0</v>
      </c>
      <c r="H43" s="99">
        <f>G43+'14'!H43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'14'!F44</f>
        <v>0</v>
      </c>
      <c r="F44" s="145">
        <v>0</v>
      </c>
      <c r="G44" s="112">
        <f t="shared" si="3"/>
        <v>0</v>
      </c>
      <c r="H44" s="99">
        <f>G44+'14'!H44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'14'!F45</f>
        <v>0</v>
      </c>
      <c r="F45" s="145">
        <v>0</v>
      </c>
      <c r="G45" s="112">
        <f t="shared" si="3"/>
        <v>0</v>
      </c>
      <c r="H45" s="99">
        <f>G45+'14'!H45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'14'!F46</f>
        <v>0</v>
      </c>
      <c r="F46" s="145">
        <v>0</v>
      </c>
      <c r="G46" s="112">
        <f t="shared" si="3"/>
        <v>0</v>
      </c>
      <c r="H46" s="99">
        <f>G46+'14'!H46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9773.2900000000081</v>
      </c>
      <c r="H47" s="99">
        <f>G47+'14'!H47</f>
        <v>111275.97000000006</v>
      </c>
      <c r="I47" s="95"/>
      <c r="J47" s="175">
        <f>H47/DAY(B2)</f>
        <v>7418.3980000000038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'14'!F49</f>
        <v>799512</v>
      </c>
      <c r="F49" s="145">
        <v>800001</v>
      </c>
      <c r="G49" s="112">
        <f t="shared" ref="G49:G58" si="4">F49-E49</f>
        <v>489</v>
      </c>
      <c r="H49" s="99">
        <f>G49+'14'!H49</f>
        <v>6378.0500000000466</v>
      </c>
      <c r="I49" s="95"/>
      <c r="J49" s="175">
        <f>H49/DAY(B2)</f>
        <v>425.20333333333645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'14'!F50</f>
        <v>478147</v>
      </c>
      <c r="F50" s="145">
        <v>479598</v>
      </c>
      <c r="G50" s="112">
        <f t="shared" si="4"/>
        <v>1451</v>
      </c>
      <c r="H50" s="99">
        <f>G50+'14'!H50</f>
        <v>22928.929999999993</v>
      </c>
      <c r="I50" s="95"/>
      <c r="J50" s="175">
        <f>H50/DAY(B2)</f>
        <v>1528.595333333333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'14'!F51</f>
        <v>150239</v>
      </c>
      <c r="F51" s="145">
        <v>151314</v>
      </c>
      <c r="G51" s="112">
        <f t="shared" si="4"/>
        <v>1075</v>
      </c>
      <c r="H51" s="99">
        <f>G51+'14'!H51</f>
        <v>16069.450000000012</v>
      </c>
      <c r="I51" s="95"/>
      <c r="J51" s="175">
        <f>H51/DAY(B2)</f>
        <v>1071.2966666666675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'14'!F52</f>
        <v>10</v>
      </c>
      <c r="F52" s="145">
        <v>9.76</v>
      </c>
      <c r="G52" s="112">
        <f t="shared" si="4"/>
        <v>-0.24000000000000021</v>
      </c>
      <c r="H52" s="99">
        <f>G52+'14'!H52</f>
        <v>-0.24000000000000021</v>
      </c>
      <c r="I52" s="95"/>
      <c r="J52" s="175">
        <f>H52/DAY(B2)</f>
        <v>-1.6000000000000014E-2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'14'!F53</f>
        <v>603141</v>
      </c>
      <c r="F53" s="145">
        <v>607809</v>
      </c>
      <c r="G53" s="112">
        <f t="shared" si="4"/>
        <v>4668</v>
      </c>
      <c r="H53" s="99">
        <f>G53+'14'!H53</f>
        <v>61267.729999999981</v>
      </c>
      <c r="I53" s="95"/>
      <c r="J53" s="175">
        <f>H53/DAY(B2)</f>
        <v>4084.5153333333319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'14'!F54</f>
        <v>110031</v>
      </c>
      <c r="F54" s="145">
        <v>110224</v>
      </c>
      <c r="G54" s="112">
        <f t="shared" si="4"/>
        <v>193</v>
      </c>
      <c r="H54" s="99">
        <f>G54+'14'!H54</f>
        <v>2560.8399999999965</v>
      </c>
      <c r="I54" s="95"/>
      <c r="J54" s="175">
        <f>H54/DAY(B2)</f>
        <v>170.72266666666644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'14'!F55</f>
        <v>571421.55000000005</v>
      </c>
      <c r="F55" s="145">
        <v>572208</v>
      </c>
      <c r="G55" s="112">
        <f t="shared" si="4"/>
        <v>786.44999999995343</v>
      </c>
      <c r="H55" s="99">
        <f>G55+'14'!H55</f>
        <v>10723.329999999958</v>
      </c>
      <c r="I55" s="95"/>
      <c r="J55" s="175">
        <f>H55/DAY(B2)</f>
        <v>714.88866666666388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'14'!F56</f>
        <v>307273</v>
      </c>
      <c r="F56" s="145">
        <v>308077</v>
      </c>
      <c r="G56" s="112">
        <f t="shared" si="4"/>
        <v>804</v>
      </c>
      <c r="H56" s="99">
        <f>G56+'14'!H56</f>
        <v>39961.989999999991</v>
      </c>
      <c r="I56" s="95"/>
      <c r="J56" s="175">
        <f>H56/DAY(B2)</f>
        <v>2664.132666666666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'14'!F57</f>
        <v>603141</v>
      </c>
      <c r="F57" s="145">
        <v>607809</v>
      </c>
      <c r="G57" s="112">
        <f t="shared" si="4"/>
        <v>4668</v>
      </c>
      <c r="H57" s="99">
        <f>G57+'14'!H57</f>
        <v>39230.530000000028</v>
      </c>
      <c r="I57" s="95"/>
      <c r="J57" s="175">
        <f>H57/DAY(B2)</f>
        <v>2615.3686666666686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'14'!F58</f>
        <v>81903.39</v>
      </c>
      <c r="F58" s="145">
        <v>82093</v>
      </c>
      <c r="G58" s="112">
        <f t="shared" si="4"/>
        <v>189.61000000000058</v>
      </c>
      <c r="H58" s="99">
        <f>G58+'14'!H58</f>
        <v>3377.3099999999977</v>
      </c>
      <c r="I58" s="95"/>
      <c r="J58" s="175">
        <f>H58/DAY(B2)</f>
        <v>225.15399999999985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14323.819999999954</v>
      </c>
      <c r="H59" s="99">
        <f>G59+'14'!H59</f>
        <v>202497.92000000001</v>
      </c>
      <c r="I59" s="95">
        <f>G7-G60</f>
        <v>431.8900000000358</v>
      </c>
      <c r="J59" s="175">
        <f>H59/DAY(B2)</f>
        <v>13499.861333333334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24097.109999999964</v>
      </c>
      <c r="H60" s="99">
        <f>G60+'14'!H60</f>
        <v>313773.89000000013</v>
      </c>
      <c r="I60" s="95">
        <f>G13-G60</f>
        <v>-293.40999999977794</v>
      </c>
      <c r="J60" s="175">
        <f>H60/DAY(B2)</f>
        <v>20918.259333333343</v>
      </c>
      <c r="K60" s="79"/>
      <c r="L60" s="66"/>
      <c r="N60" s="87"/>
      <c r="O60" s="71"/>
    </row>
    <row r="61" spans="1:15" s="68" customFormat="1" ht="26.25">
      <c r="A61" s="883" t="s">
        <v>332</v>
      </c>
      <c r="B61" s="884"/>
      <c r="C61" s="88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64" t="s">
        <v>198</v>
      </c>
      <c r="B62" s="865"/>
      <c r="C62" s="866"/>
      <c r="D62" s="151" t="s">
        <v>142</v>
      </c>
      <c r="E62" s="95">
        <f>'14'!F62</f>
        <v>309943</v>
      </c>
      <c r="F62" s="122">
        <v>310050</v>
      </c>
      <c r="G62" s="112">
        <f t="shared" ref="G62:G63" si="5">F62-E62</f>
        <v>107</v>
      </c>
      <c r="H62" s="99">
        <f>G62+'14'!H62</f>
        <v>1736</v>
      </c>
      <c r="I62" s="118"/>
      <c r="J62" s="175">
        <f>H62/DAY(B2)</f>
        <v>115.73333333333333</v>
      </c>
      <c r="K62" s="80"/>
      <c r="L62" s="66"/>
      <c r="N62" s="87"/>
      <c r="O62" s="71"/>
    </row>
    <row r="63" spans="1:15" ht="25.5">
      <c r="A63" s="864" t="s">
        <v>199</v>
      </c>
      <c r="B63" s="865"/>
      <c r="C63" s="866"/>
      <c r="D63" s="151" t="s">
        <v>142</v>
      </c>
      <c r="E63" s="95">
        <f>'14'!F63</f>
        <v>247692</v>
      </c>
      <c r="F63" s="122">
        <v>247773</v>
      </c>
      <c r="G63" s="112">
        <f t="shared" si="5"/>
        <v>81</v>
      </c>
      <c r="H63" s="99">
        <f>G63+'14'!H63</f>
        <v>844</v>
      </c>
      <c r="I63" s="118"/>
      <c r="J63" s="175">
        <f>H63/DAY(B2)</f>
        <v>56.266666666666666</v>
      </c>
      <c r="K63" s="69"/>
      <c r="L63" s="66"/>
      <c r="N63" s="87"/>
      <c r="O63" s="71"/>
    </row>
    <row r="64" spans="1:15" ht="26.25">
      <c r="A64" s="861" t="s">
        <v>200</v>
      </c>
      <c r="B64" s="862"/>
      <c r="C64" s="863"/>
      <c r="D64" s="151"/>
      <c r="E64" s="95"/>
      <c r="F64" s="122"/>
      <c r="G64" s="112">
        <f>G62+G63</f>
        <v>188</v>
      </c>
      <c r="H64" s="99">
        <f>G64+'14'!H64</f>
        <v>2580</v>
      </c>
      <c r="I64" s="118"/>
      <c r="J64" s="175">
        <f>H64/DAY(B2)</f>
        <v>172</v>
      </c>
      <c r="K64" s="69"/>
      <c r="L64" s="66"/>
      <c r="N64" s="87"/>
      <c r="O64" s="71"/>
    </row>
    <row r="65" spans="1:15" ht="25.5">
      <c r="A65" s="864" t="s">
        <v>201</v>
      </c>
      <c r="B65" s="865"/>
      <c r="C65" s="866"/>
      <c r="D65" s="151" t="s">
        <v>142</v>
      </c>
      <c r="E65" s="95">
        <f>'14'!F65</f>
        <v>469769</v>
      </c>
      <c r="F65" s="122">
        <v>469911</v>
      </c>
      <c r="G65" s="112">
        <f t="shared" ref="G65:G70" si="6">F65-E65</f>
        <v>142</v>
      </c>
      <c r="H65" s="99">
        <f>G65+'14'!H65</f>
        <v>2010</v>
      </c>
      <c r="I65" s="118"/>
      <c r="J65" s="175">
        <f>H65/DAY(B2)</f>
        <v>134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'14'!F66</f>
        <v>113333</v>
      </c>
      <c r="F66" s="122">
        <v>113341</v>
      </c>
      <c r="G66" s="112">
        <f t="shared" si="6"/>
        <v>8</v>
      </c>
      <c r="H66" s="99">
        <f>G66+'14'!H66</f>
        <v>55594</v>
      </c>
      <c r="I66" s="118"/>
      <c r="J66" s="175">
        <f>H66/DAY(B2)</f>
        <v>3706.2666666666669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'14'!F67</f>
        <v>116135</v>
      </c>
      <c r="F67" s="122">
        <v>116160</v>
      </c>
      <c r="G67" s="112">
        <f t="shared" si="6"/>
        <v>25</v>
      </c>
      <c r="H67" s="99">
        <f>G67+'14'!H67</f>
        <v>305</v>
      </c>
      <c r="I67" s="118"/>
      <c r="J67" s="175">
        <f>H67/DAY(B2)</f>
        <v>20.333333333333332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'14'!F68</f>
        <v>168917</v>
      </c>
      <c r="F68" s="122">
        <v>168951</v>
      </c>
      <c r="G68" s="112">
        <f t="shared" si="6"/>
        <v>34</v>
      </c>
      <c r="H68" s="99">
        <f>G68+'14'!H68</f>
        <v>444</v>
      </c>
      <c r="I68" s="118"/>
      <c r="J68" s="175">
        <f>H68/DAY(B2)</f>
        <v>29.6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'14'!F69</f>
        <v>12877</v>
      </c>
      <c r="F69" s="122">
        <v>12884</v>
      </c>
      <c r="G69" s="112">
        <f t="shared" si="6"/>
        <v>7</v>
      </c>
      <c r="H69" s="99">
        <f>G69+'14'!H69</f>
        <v>74</v>
      </c>
      <c r="I69" s="118"/>
      <c r="J69" s="175">
        <f>H69/DAY(B2)</f>
        <v>4.9333333333333336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'14'!F70</f>
        <v>10877</v>
      </c>
      <c r="F70" s="122">
        <v>10888</v>
      </c>
      <c r="G70" s="112">
        <f t="shared" si="6"/>
        <v>11</v>
      </c>
      <c r="H70" s="99">
        <f>G70+'14'!H70</f>
        <v>109</v>
      </c>
      <c r="I70" s="118"/>
      <c r="J70" s="175">
        <f>H70/DAY(B2)</f>
        <v>7.2666666666666666</v>
      </c>
      <c r="K70" s="69"/>
      <c r="L70" s="66"/>
      <c r="N70" s="87"/>
      <c r="O70" s="71"/>
    </row>
    <row r="71" spans="1:15" ht="26.25">
      <c r="A71" s="861" t="s">
        <v>208</v>
      </c>
      <c r="B71" s="862"/>
      <c r="C71" s="863"/>
      <c r="D71" s="152"/>
      <c r="E71" s="152"/>
      <c r="F71" s="152"/>
      <c r="G71" s="153">
        <f>SUM(G65:G70)</f>
        <v>227</v>
      </c>
      <c r="H71" s="99">
        <f>G71+'14'!H71</f>
        <v>58536</v>
      </c>
      <c r="I71" s="154"/>
      <c r="J71" s="175">
        <f>H71/DAY(B2)</f>
        <v>3902.4</v>
      </c>
      <c r="K71" s="69"/>
      <c r="L71" s="66"/>
      <c r="N71" s="87"/>
      <c r="O71" s="71"/>
    </row>
    <row r="72" spans="1:15" s="88" customFormat="1" ht="25.5">
      <c r="A72" s="904"/>
      <c r="B72" s="89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09" t="s">
        <v>333</v>
      </c>
      <c r="B73" s="910"/>
      <c r="C73" s="91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64" t="s">
        <v>220</v>
      </c>
      <c r="B74" s="865"/>
      <c r="C74" s="866"/>
      <c r="D74" s="151" t="s">
        <v>139</v>
      </c>
      <c r="E74" s="95">
        <f>'14'!F74</f>
        <v>997449</v>
      </c>
      <c r="F74" s="123">
        <v>997562</v>
      </c>
      <c r="G74" s="112">
        <f t="shared" ref="G74:G78" si="7">F74-E74</f>
        <v>113</v>
      </c>
      <c r="H74" s="99">
        <f>G74+'14'!H74</f>
        <v>4202.9699999999721</v>
      </c>
      <c r="I74" s="154"/>
      <c r="J74" s="175">
        <f>H74/DAY(B2)</f>
        <v>280.19799999999816</v>
      </c>
      <c r="K74" s="69"/>
      <c r="L74" s="66"/>
      <c r="N74" s="87"/>
      <c r="O74" s="71"/>
    </row>
    <row r="75" spans="1:15" ht="25.5">
      <c r="A75" s="864" t="s">
        <v>221</v>
      </c>
      <c r="B75" s="865"/>
      <c r="C75" s="866"/>
      <c r="D75" s="151" t="s">
        <v>139</v>
      </c>
      <c r="E75" s="95">
        <f>'14'!F75</f>
        <v>73586.8</v>
      </c>
      <c r="F75" s="123">
        <v>73586.8</v>
      </c>
      <c r="G75" s="112">
        <f t="shared" si="7"/>
        <v>0</v>
      </c>
      <c r="H75" s="99">
        <f>G75+'14'!H75</f>
        <v>0.80000000000291038</v>
      </c>
      <c r="I75" s="154"/>
      <c r="J75" s="175">
        <f>H75/DAY(B2)</f>
        <v>5.3333333333527362E-2</v>
      </c>
      <c r="K75" s="69"/>
      <c r="L75" s="66"/>
      <c r="N75" s="87"/>
      <c r="O75" s="71"/>
    </row>
    <row r="76" spans="1:15" ht="25.5">
      <c r="A76" s="905" t="s">
        <v>222</v>
      </c>
      <c r="B76" s="891"/>
      <c r="C76" s="892"/>
      <c r="D76" s="151" t="s">
        <v>139</v>
      </c>
      <c r="E76" s="95">
        <f>'14'!F76</f>
        <v>205524</v>
      </c>
      <c r="F76" s="123">
        <v>205641</v>
      </c>
      <c r="G76" s="112">
        <f t="shared" si="7"/>
        <v>117</v>
      </c>
      <c r="H76" s="99">
        <f>G76+'14'!H76</f>
        <v>1979</v>
      </c>
      <c r="I76" s="154"/>
      <c r="J76" s="175">
        <f>H76/DAY(B2)</f>
        <v>131.93333333333334</v>
      </c>
      <c r="K76" s="69"/>
      <c r="L76" s="66"/>
      <c r="N76" s="87"/>
      <c r="O76" s="71"/>
    </row>
    <row r="77" spans="1:15" ht="25.5">
      <c r="A77" s="905" t="s">
        <v>223</v>
      </c>
      <c r="B77" s="891"/>
      <c r="C77" s="892"/>
      <c r="D77" s="151" t="s">
        <v>139</v>
      </c>
      <c r="E77" s="95">
        <f>'14'!F77</f>
        <v>57271</v>
      </c>
      <c r="F77" s="123">
        <v>57330</v>
      </c>
      <c r="G77" s="112">
        <f t="shared" si="7"/>
        <v>59</v>
      </c>
      <c r="H77" s="99">
        <f>G77+'14'!H77</f>
        <v>808</v>
      </c>
      <c r="I77" s="154"/>
      <c r="J77" s="175">
        <f>H77/DAY(B2)</f>
        <v>53.866666666666667</v>
      </c>
      <c r="K77" s="69"/>
      <c r="L77" s="66"/>
      <c r="N77" s="87"/>
      <c r="O77" s="71"/>
    </row>
    <row r="78" spans="1:15" ht="25.5">
      <c r="A78" s="905" t="s">
        <v>224</v>
      </c>
      <c r="B78" s="891"/>
      <c r="C78" s="892"/>
      <c r="D78" s="151" t="s">
        <v>139</v>
      </c>
      <c r="E78" s="95">
        <f>'14'!F78</f>
        <v>9564</v>
      </c>
      <c r="F78" s="409">
        <v>9564</v>
      </c>
      <c r="G78" s="112">
        <f t="shared" si="7"/>
        <v>0</v>
      </c>
      <c r="H78" s="99">
        <f>G78+'14'!H78</f>
        <v>-0.3999999999996362</v>
      </c>
      <c r="I78" s="118"/>
      <c r="J78" s="175">
        <f>H78/DAY(B2)</f>
        <v>-2.6666666666642413E-2</v>
      </c>
      <c r="K78" s="69"/>
      <c r="L78" s="66"/>
      <c r="N78" s="87"/>
      <c r="O78" s="71"/>
    </row>
    <row r="79" spans="1:15" s="57" customFormat="1" ht="25.5">
      <c r="A79" s="905" t="s">
        <v>225</v>
      </c>
      <c r="B79" s="891"/>
      <c r="C79" s="892"/>
      <c r="D79" s="151"/>
      <c r="E79" s="95">
        <f>'14'!F79</f>
        <v>0</v>
      </c>
      <c r="F79" s="123"/>
      <c r="G79" s="112">
        <f>G15-SUM(G74:G78)</f>
        <v>771</v>
      </c>
      <c r="H79" s="99">
        <f>G79+'14'!H79</f>
        <v>9320.6300000000247</v>
      </c>
      <c r="I79" s="118"/>
      <c r="J79" s="175"/>
      <c r="K79" s="59"/>
      <c r="L79" s="58"/>
      <c r="N79" s="87"/>
      <c r="O79" s="71"/>
    </row>
    <row r="80" spans="1:15" s="57" customFormat="1" ht="26.25">
      <c r="A80" s="861" t="s">
        <v>329</v>
      </c>
      <c r="B80" s="862"/>
      <c r="C80" s="863"/>
      <c r="D80" s="151"/>
      <c r="E80" s="117"/>
      <c r="F80" s="117"/>
      <c r="G80" s="112">
        <f>SUM(G74:G79)</f>
        <v>1060</v>
      </c>
      <c r="H80" s="99"/>
      <c r="I80" s="118"/>
      <c r="J80" s="175"/>
      <c r="K80" s="59"/>
      <c r="L80" s="58"/>
      <c r="N80" s="87"/>
      <c r="O80" s="71"/>
    </row>
    <row r="81" spans="1:15" ht="25.5">
      <c r="A81" s="897" t="s">
        <v>226</v>
      </c>
      <c r="B81" s="898"/>
      <c r="C81" s="89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'14'!F82</f>
        <v>0</v>
      </c>
      <c r="F82" s="122">
        <v>0</v>
      </c>
      <c r="G82" s="112">
        <f t="shared" ref="G82:G92" si="8">F82-E82</f>
        <v>0</v>
      </c>
      <c r="H82" s="99">
        <f>G82+'14'!H82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'14'!F83</f>
        <v>0</v>
      </c>
      <c r="F83" s="122">
        <v>0</v>
      </c>
      <c r="G83" s="112">
        <f t="shared" si="8"/>
        <v>0</v>
      </c>
      <c r="H83" s="99">
        <f>G83+'14'!H83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'14'!F84</f>
        <v>43540.35</v>
      </c>
      <c r="F84" s="164">
        <v>45540.35</v>
      </c>
      <c r="G84" s="112">
        <f t="shared" si="8"/>
        <v>2000</v>
      </c>
      <c r="H84" s="99">
        <f>G84+'14'!H84</f>
        <v>2000.1399999999994</v>
      </c>
      <c r="I84" s="545"/>
      <c r="J84" s="175">
        <f>H84/DAY(B2)</f>
        <v>133.34266666666662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'14'!F85</f>
        <v>5711.35</v>
      </c>
      <c r="F85" s="164">
        <v>5735.07</v>
      </c>
      <c r="G85" s="112">
        <f t="shared" si="8"/>
        <v>23.719999999999345</v>
      </c>
      <c r="H85" s="99">
        <f>G85+'14'!H85</f>
        <v>51.069999999999709</v>
      </c>
      <c r="I85" s="545"/>
      <c r="J85" s="175">
        <f>H85/DAY(B2)</f>
        <v>3.4046666666666474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'14'!F86</f>
        <v>46801.14</v>
      </c>
      <c r="F86" s="164">
        <v>46801.42</v>
      </c>
      <c r="G86" s="112">
        <f t="shared" si="8"/>
        <v>0.27999999999883585</v>
      </c>
      <c r="H86" s="99">
        <f>G86+'14'!H86</f>
        <v>67.419999999998254</v>
      </c>
      <c r="I86" s="545"/>
      <c r="J86" s="175">
        <f>H86/DAY(B2)</f>
        <v>4.49466666666655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'14'!F87</f>
        <v>36822.839999999997</v>
      </c>
      <c r="F87" s="164">
        <v>36827.199999999997</v>
      </c>
      <c r="G87" s="112">
        <f t="shared" si="8"/>
        <v>4.3600000000005821</v>
      </c>
      <c r="H87" s="99">
        <f>G87+'14'!H87</f>
        <v>276.98999999999796</v>
      </c>
      <c r="I87" s="545">
        <f>G84+G85+G86+G87</f>
        <v>2028.3599999999988</v>
      </c>
      <c r="J87" s="175">
        <f>H87/DAY(B2)</f>
        <v>18.465999999999863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'14'!F88</f>
        <v>24511.8</v>
      </c>
      <c r="F88" s="164">
        <v>24511.8</v>
      </c>
      <c r="G88" s="112">
        <f t="shared" si="8"/>
        <v>0</v>
      </c>
      <c r="H88" s="99">
        <f>G88+'14'!H88</f>
        <v>0</v>
      </c>
      <c r="I88" s="545"/>
      <c r="J88" s="175">
        <f>H88/DAY(B2)</f>
        <v>0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'14'!F89</f>
        <v>28642</v>
      </c>
      <c r="F89" s="164">
        <v>28651</v>
      </c>
      <c r="G89" s="112">
        <f t="shared" si="8"/>
        <v>9</v>
      </c>
      <c r="H89" s="99">
        <f>G89+'14'!H89</f>
        <v>149.29999999999927</v>
      </c>
      <c r="I89" s="545">
        <f>G88+G89</f>
        <v>9</v>
      </c>
      <c r="J89" s="175">
        <f>H89/DAY(B2)</f>
        <v>9.9533333333332852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'14'!F90</f>
        <v>74025</v>
      </c>
      <c r="F90" s="164">
        <v>74036</v>
      </c>
      <c r="G90" s="112">
        <f t="shared" si="8"/>
        <v>11</v>
      </c>
      <c r="H90" s="99">
        <f>G90+'14'!H90</f>
        <v>175.39999999999418</v>
      </c>
      <c r="I90" s="545">
        <f>G90</f>
        <v>11</v>
      </c>
      <c r="J90" s="175">
        <f>H90/DAY(B2)</f>
        <v>11.693333333332946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'14'!F91</f>
        <v>5475</v>
      </c>
      <c r="F91" s="122">
        <v>5486.7</v>
      </c>
      <c r="G91" s="112">
        <f t="shared" si="8"/>
        <v>11.699999999999818</v>
      </c>
      <c r="H91" s="99">
        <f>G91+'14'!H91</f>
        <v>133.92999999999938</v>
      </c>
      <c r="I91" s="546"/>
      <c r="J91" s="175">
        <f>H91/DAY(B2)</f>
        <v>8.9286666666666257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'14'!F92</f>
        <v>7031.67</v>
      </c>
      <c r="F92" s="122">
        <v>7031.67</v>
      </c>
      <c r="G92" s="112">
        <f t="shared" si="8"/>
        <v>0</v>
      </c>
      <c r="H92" s="99">
        <f>G92+'14'!H92</f>
        <v>31.670000000000073</v>
      </c>
      <c r="I92" s="547">
        <f>G91+G92</f>
        <v>11.699999999999818</v>
      </c>
      <c r="J92" s="175">
        <f>H92/DAY(B2)</f>
        <v>2.1113333333333384</v>
      </c>
      <c r="O92" s="71"/>
    </row>
    <row r="93" spans="1:15" ht="26.25">
      <c r="A93" s="906" t="s">
        <v>239</v>
      </c>
      <c r="B93" s="907"/>
      <c r="C93" s="90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64" t="s">
        <v>240</v>
      </c>
      <c r="B94" s="865"/>
      <c r="C94" s="866"/>
      <c r="D94" s="151" t="s">
        <v>130</v>
      </c>
      <c r="E94" s="151"/>
      <c r="F94" s="151"/>
      <c r="G94" s="99">
        <f>G35+G43+G49+G57</f>
        <v>7760</v>
      </c>
      <c r="H94" s="99">
        <f>G94+'14'!H94</f>
        <v>87768.6700000001</v>
      </c>
      <c r="I94" s="118"/>
      <c r="J94" s="175">
        <f>H94/DAY(B2)</f>
        <v>5851.2446666666738</v>
      </c>
      <c r="K94" s="69"/>
      <c r="L94" s="66"/>
      <c r="O94" s="71"/>
    </row>
    <row r="95" spans="1:15" ht="25.5">
      <c r="A95" s="864" t="s">
        <v>241</v>
      </c>
      <c r="B95" s="865"/>
      <c r="C95" s="866"/>
      <c r="D95" s="151" t="s">
        <v>23</v>
      </c>
      <c r="E95" s="146"/>
      <c r="F95" s="146"/>
      <c r="G95" s="166">
        <f>G94/G7</f>
        <v>0.3163602266704717</v>
      </c>
      <c r="H95" s="99">
        <f>G95+'14'!H95</f>
        <v>3.7937876420674264</v>
      </c>
      <c r="I95" s="167"/>
      <c r="J95" s="175">
        <f>H95/DAY(B2)</f>
        <v>0.25291917613782844</v>
      </c>
      <c r="K95" s="69"/>
      <c r="L95" s="66"/>
      <c r="O95" s="71"/>
    </row>
    <row r="96" spans="1:15" ht="25.5">
      <c r="A96" s="864" t="s">
        <v>242</v>
      </c>
      <c r="B96" s="865"/>
      <c r="C96" s="866"/>
      <c r="D96" s="151" t="s">
        <v>130</v>
      </c>
      <c r="E96" s="95"/>
      <c r="F96" s="95"/>
      <c r="G96" s="99">
        <f>G41+G42+G55+G56</f>
        <v>6679.4499999999534</v>
      </c>
      <c r="H96" s="99">
        <f>G96+'14'!H96</f>
        <v>62025.859999999928</v>
      </c>
      <c r="I96" s="118"/>
      <c r="J96" s="175">
        <f>H96/DAY(B2)</f>
        <v>4135.0573333333286</v>
      </c>
      <c r="K96" s="69"/>
      <c r="L96" s="66"/>
      <c r="O96" s="71"/>
    </row>
    <row r="97" spans="1:15" ht="25.5">
      <c r="A97" s="864" t="s">
        <v>243</v>
      </c>
      <c r="B97" s="865"/>
      <c r="C97" s="866"/>
      <c r="D97" s="151" t="s">
        <v>23</v>
      </c>
      <c r="E97" s="95"/>
      <c r="F97" s="95"/>
      <c r="G97" s="166">
        <f>G96/G7</f>
        <v>0.27230828814872005</v>
      </c>
      <c r="H97" s="99">
        <f>G97+'14'!H97</f>
        <v>2.6589654706396217</v>
      </c>
      <c r="I97" s="167"/>
      <c r="J97" s="175">
        <f>H97/DAY(B2)</f>
        <v>0.17726436470930812</v>
      </c>
      <c r="K97" s="69"/>
      <c r="L97" s="66"/>
      <c r="O97" s="71"/>
    </row>
    <row r="98" spans="1:15" ht="25.5">
      <c r="A98" s="864" t="s">
        <v>244</v>
      </c>
      <c r="B98" s="865"/>
      <c r="C98" s="866"/>
      <c r="D98" s="151" t="s">
        <v>130</v>
      </c>
      <c r="E98" s="95"/>
      <c r="F98" s="95"/>
      <c r="G98" s="99">
        <f>G39+G53</f>
        <v>4668</v>
      </c>
      <c r="H98" s="99">
        <f>G98+'14'!H98</f>
        <v>61267.540000000037</v>
      </c>
      <c r="I98" s="168"/>
      <c r="J98" s="175">
        <f>H98/DAY(B2)</f>
        <v>4084.502666666669</v>
      </c>
      <c r="K98" s="69"/>
      <c r="L98" s="66"/>
      <c r="O98" s="71"/>
    </row>
    <row r="99" spans="1:15" ht="25.5">
      <c r="A99" s="864" t="s">
        <v>245</v>
      </c>
      <c r="B99" s="865"/>
      <c r="C99" s="866"/>
      <c r="D99" s="151" t="s">
        <v>23</v>
      </c>
      <c r="E99" s="95"/>
      <c r="F99" s="95"/>
      <c r="G99" s="166">
        <f>G98/G7</f>
        <v>0.19030535284764971</v>
      </c>
      <c r="H99" s="99">
        <f>G99+'14'!H99</f>
        <v>2.6567090268644487</v>
      </c>
      <c r="I99" s="168"/>
      <c r="J99" s="175">
        <f>H99/DAY(B2)</f>
        <v>0.17711393512429657</v>
      </c>
      <c r="O99" s="71"/>
    </row>
    <row r="100" spans="1:15" ht="26.25">
      <c r="A100" s="864" t="s">
        <v>246</v>
      </c>
      <c r="B100" s="865"/>
      <c r="C100" s="866"/>
      <c r="D100" s="151" t="s">
        <v>180</v>
      </c>
      <c r="E100" s="95"/>
      <c r="F100" s="95"/>
      <c r="G100" s="99">
        <f>G38+G52</f>
        <v>591.76</v>
      </c>
      <c r="H100" s="99">
        <f>G100+'14'!H100</f>
        <v>35046.369999999988</v>
      </c>
      <c r="I100" s="118"/>
      <c r="J100" s="175">
        <f>H100/DAY(B2)</f>
        <v>2336.4246666666659</v>
      </c>
      <c r="K100" s="70"/>
      <c r="O100" s="71"/>
    </row>
    <row r="101" spans="1:15" ht="25.5">
      <c r="A101" s="864" t="s">
        <v>247</v>
      </c>
      <c r="B101" s="865"/>
      <c r="C101" s="866"/>
      <c r="D101" s="151" t="s">
        <v>23</v>
      </c>
      <c r="E101" s="95"/>
      <c r="F101" s="95"/>
      <c r="G101" s="166">
        <f>G100/G7</f>
        <v>2.41249133678503E-2</v>
      </c>
      <c r="H101" s="99">
        <f>G101+'14'!H101</f>
        <v>1.5234533812655926</v>
      </c>
      <c r="I101" s="168"/>
      <c r="J101" s="175">
        <f>H101/DAY(B2)</f>
        <v>0.10156355875103951</v>
      </c>
      <c r="O101" s="71"/>
    </row>
    <row r="102" spans="1:15" ht="25.5">
      <c r="A102" s="864" t="s">
        <v>248</v>
      </c>
      <c r="B102" s="865"/>
      <c r="C102" s="866"/>
      <c r="D102" s="151" t="s">
        <v>180</v>
      </c>
      <c r="E102" s="95"/>
      <c r="F102" s="95"/>
      <c r="G102" s="99">
        <f>G36+G50</f>
        <v>2576</v>
      </c>
      <c r="H102" s="99">
        <f>G102+'14'!H102</f>
        <v>39508.820000000007</v>
      </c>
      <c r="I102" s="168"/>
      <c r="J102" s="175">
        <f>H102/DAY(B2)</f>
        <v>2633.9213333333337</v>
      </c>
      <c r="O102" s="71"/>
    </row>
    <row r="103" spans="1:15" ht="25.5">
      <c r="A103" s="864" t="s">
        <v>249</v>
      </c>
      <c r="B103" s="865"/>
      <c r="C103" s="866"/>
      <c r="D103" s="151" t="s">
        <v>23</v>
      </c>
      <c r="E103" s="95"/>
      <c r="F103" s="95"/>
      <c r="G103" s="166">
        <f>G102/G7</f>
        <v>0.10501854947205348</v>
      </c>
      <c r="H103" s="99">
        <f>G103+'14'!H103</f>
        <v>1.7101283644739487</v>
      </c>
      <c r="I103" s="118"/>
      <c r="J103" s="175">
        <f>H103/DAY(B2)</f>
        <v>0.11400855763159658</v>
      </c>
      <c r="O103" s="71"/>
    </row>
    <row r="104" spans="1:15" ht="25.5">
      <c r="A104" s="864" t="s">
        <v>250</v>
      </c>
      <c r="B104" s="865"/>
      <c r="C104" s="866"/>
      <c r="D104" s="151" t="s">
        <v>180</v>
      </c>
      <c r="E104" s="95"/>
      <c r="F104" s="95"/>
      <c r="G104" s="99">
        <f>G37+G51</f>
        <v>1075</v>
      </c>
      <c r="H104" s="99">
        <f>G104+'14'!H104</f>
        <v>16069.450000000012</v>
      </c>
      <c r="I104" s="118"/>
      <c r="J104" s="175">
        <f>H104/DAY(B2)</f>
        <v>1071.2966666666675</v>
      </c>
      <c r="O104" s="71"/>
    </row>
    <row r="105" spans="1:15" ht="26.25" thickBot="1">
      <c r="A105" s="901" t="s">
        <v>251</v>
      </c>
      <c r="B105" s="902"/>
      <c r="C105" s="903"/>
      <c r="D105" s="231" t="s">
        <v>23</v>
      </c>
      <c r="E105" s="185"/>
      <c r="F105" s="185"/>
      <c r="G105" s="186">
        <f>G104/G7</f>
        <v>4.3825675730767663E-2</v>
      </c>
      <c r="H105" s="99">
        <f>G105+'14'!H105</f>
        <v>0.69630398113314895</v>
      </c>
      <c r="I105" s="187"/>
      <c r="J105" s="188">
        <f>H105/DAY(B2)</f>
        <v>4.6420265408876595E-2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15" t="s">
        <v>324</v>
      </c>
      <c r="B108" s="915"/>
      <c r="C108" s="915"/>
      <c r="D108" s="915"/>
      <c r="E108" s="915"/>
      <c r="F108" s="915"/>
      <c r="G108" s="915"/>
      <c r="H108" s="915"/>
      <c r="I108" s="915"/>
      <c r="J108" s="915"/>
    </row>
    <row r="109" spans="1:15" ht="26.25">
      <c r="A109" s="900"/>
      <c r="B109" s="900"/>
    </row>
    <row r="110" spans="1:15" ht="26.25">
      <c r="A110" s="916" t="s">
        <v>165</v>
      </c>
      <c r="B110" s="917"/>
      <c r="C110" s="917"/>
      <c r="D110" s="917"/>
      <c r="E110" s="917"/>
      <c r="F110" s="917"/>
      <c r="G110" s="917"/>
      <c r="H110" s="917"/>
      <c r="I110" s="917"/>
      <c r="J110" s="918"/>
    </row>
    <row r="111" spans="1:15" ht="25.5">
      <c r="A111" s="919"/>
      <c r="B111" s="920"/>
      <c r="C111" s="921"/>
      <c r="D111" s="165"/>
      <c r="E111" s="165"/>
      <c r="F111" s="165"/>
      <c r="G111" s="165"/>
      <c r="H111" s="156"/>
      <c r="I111" s="165"/>
      <c r="J111" s="327"/>
    </row>
    <row r="112" spans="1:15" ht="25.5">
      <c r="A112" s="894" t="s">
        <v>252</v>
      </c>
      <c r="B112" s="895"/>
      <c r="C112" s="896"/>
      <c r="D112" s="146" t="s">
        <v>183</v>
      </c>
      <c r="E112" s="95">
        <f>'14'!F112</f>
        <v>16467</v>
      </c>
      <c r="F112" s="237">
        <v>16528</v>
      </c>
      <c r="G112" s="112">
        <f t="shared" ref="G112:G123" si="9">F112-E112</f>
        <v>61</v>
      </c>
      <c r="H112" s="99">
        <f>G112+'14'!H112</f>
        <v>914.20000000000073</v>
      </c>
      <c r="I112" s="165"/>
      <c r="J112" s="328">
        <f>H112/DAY(B2)</f>
        <v>60.946666666666715</v>
      </c>
    </row>
    <row r="113" spans="1:18" ht="29.25" customHeight="1">
      <c r="A113" s="894" t="s">
        <v>253</v>
      </c>
      <c r="B113" s="895"/>
      <c r="C113" s="896"/>
      <c r="D113" s="146" t="s">
        <v>183</v>
      </c>
      <c r="E113" s="95">
        <f>'14'!F113</f>
        <v>34484</v>
      </c>
      <c r="F113" s="237">
        <v>34638</v>
      </c>
      <c r="G113" s="112">
        <f t="shared" si="9"/>
        <v>154</v>
      </c>
      <c r="H113" s="99">
        <f>G113+'14'!H113</f>
        <v>2187.3300000000017</v>
      </c>
      <c r="I113" s="165"/>
      <c r="J113" s="328">
        <f>H113/DAY(B2)</f>
        <v>145.82200000000012</v>
      </c>
    </row>
    <row r="114" spans="1:18" ht="29.25" customHeight="1">
      <c r="A114" s="894" t="s">
        <v>254</v>
      </c>
      <c r="B114" s="895"/>
      <c r="C114" s="896"/>
      <c r="D114" s="146" t="s">
        <v>183</v>
      </c>
      <c r="E114" s="95">
        <f>'14'!F114</f>
        <v>50885</v>
      </c>
      <c r="F114" s="237">
        <v>51085</v>
      </c>
      <c r="G114" s="112">
        <f t="shared" si="9"/>
        <v>200</v>
      </c>
      <c r="H114" s="99">
        <f>G114+'14'!H114</f>
        <v>3118.6999999999971</v>
      </c>
      <c r="I114" s="165"/>
      <c r="J114" s="328">
        <f>H114/DAY(B2)</f>
        <v>207.91333333333313</v>
      </c>
    </row>
    <row r="115" spans="1:18" ht="29.25" customHeight="1">
      <c r="A115" s="894" t="s">
        <v>255</v>
      </c>
      <c r="B115" s="895"/>
      <c r="C115" s="896"/>
      <c r="D115" s="146" t="s">
        <v>183</v>
      </c>
      <c r="E115" s="95">
        <f>'14'!F115</f>
        <v>32676</v>
      </c>
      <c r="F115" s="237">
        <v>32683</v>
      </c>
      <c r="G115" s="112">
        <f t="shared" si="9"/>
        <v>7</v>
      </c>
      <c r="H115" s="99">
        <f>G115+'14'!H115</f>
        <v>2246.5999999999985</v>
      </c>
      <c r="I115" s="165"/>
      <c r="J115" s="328">
        <f>H115/DAY(B2)</f>
        <v>149.77333333333323</v>
      </c>
    </row>
    <row r="116" spans="1:18" ht="29.25" customHeight="1">
      <c r="A116" s="912" t="s">
        <v>96</v>
      </c>
      <c r="B116" s="913"/>
      <c r="C116" s="914"/>
      <c r="D116" s="146" t="s">
        <v>183</v>
      </c>
      <c r="E116" s="95">
        <f>'14'!F116</f>
        <v>128276</v>
      </c>
      <c r="F116" s="416">
        <v>128648</v>
      </c>
      <c r="G116" s="112">
        <f t="shared" si="9"/>
        <v>372</v>
      </c>
      <c r="H116" s="99">
        <f>G116+'14'!H116</f>
        <v>5787.8000000000029</v>
      </c>
      <c r="I116" s="165"/>
      <c r="J116" s="328">
        <f>H116/DAY(B2)</f>
        <v>385.85333333333352</v>
      </c>
      <c r="Q116" s="894"/>
      <c r="R116" s="896"/>
    </row>
    <row r="117" spans="1:18" ht="29.25" customHeight="1">
      <c r="A117" s="912" t="s">
        <v>184</v>
      </c>
      <c r="B117" s="913"/>
      <c r="C117" s="914"/>
      <c r="D117" s="146" t="s">
        <v>183</v>
      </c>
      <c r="E117" s="95">
        <f>'14'!F117</f>
        <v>77589</v>
      </c>
      <c r="F117" s="237">
        <v>77854</v>
      </c>
      <c r="G117" s="112">
        <f t="shared" si="9"/>
        <v>265</v>
      </c>
      <c r="H117" s="99">
        <f>G117+'14'!H117</f>
        <v>3872.8000000000029</v>
      </c>
      <c r="I117" s="165"/>
      <c r="J117" s="328">
        <f>H117/DAY(B2)</f>
        <v>258.18666666666684</v>
      </c>
      <c r="Q117" s="894"/>
      <c r="R117" s="896"/>
    </row>
    <row r="118" spans="1:18" ht="25.5">
      <c r="A118" s="889" t="s">
        <v>97</v>
      </c>
      <c r="B118" s="889"/>
      <c r="C118" s="889"/>
      <c r="D118" s="151" t="s">
        <v>183</v>
      </c>
      <c r="E118" s="95">
        <f>'14'!F118</f>
        <v>147634</v>
      </c>
      <c r="F118" s="237">
        <v>148274</v>
      </c>
      <c r="G118" s="112">
        <f t="shared" si="9"/>
        <v>640</v>
      </c>
      <c r="H118" s="99">
        <f>G118+'14'!H118</f>
        <v>9461.5499999999884</v>
      </c>
      <c r="I118" s="165"/>
      <c r="J118" s="328">
        <f>H118/DAY(B2)</f>
        <v>630.76999999999919</v>
      </c>
      <c r="Q118" s="894"/>
      <c r="R118" s="896"/>
    </row>
    <row r="119" spans="1:18" ht="25.5">
      <c r="A119" s="889" t="s">
        <v>98</v>
      </c>
      <c r="B119" s="889"/>
      <c r="C119" s="889"/>
      <c r="D119" s="151" t="s">
        <v>183</v>
      </c>
      <c r="E119" s="95">
        <f>'14'!F119</f>
        <v>43520</v>
      </c>
      <c r="F119" s="237">
        <v>43532</v>
      </c>
      <c r="G119" s="112">
        <f t="shared" si="9"/>
        <v>12</v>
      </c>
      <c r="H119" s="99">
        <f>G119+'14'!H119</f>
        <v>178.30000000000291</v>
      </c>
      <c r="I119" s="165"/>
      <c r="J119" s="328">
        <f>H119/DAY(B2)</f>
        <v>11.88666666666686</v>
      </c>
    </row>
    <row r="120" spans="1:18" ht="25.5">
      <c r="A120" s="889" t="s">
        <v>99</v>
      </c>
      <c r="B120" s="889"/>
      <c r="C120" s="889"/>
      <c r="D120" s="151" t="s">
        <v>183</v>
      </c>
      <c r="E120" s="95">
        <f>'14'!F120</f>
        <v>101460</v>
      </c>
      <c r="F120" s="237">
        <v>101854</v>
      </c>
      <c r="G120" s="112">
        <f t="shared" si="9"/>
        <v>394</v>
      </c>
      <c r="H120" s="99">
        <f>G120+'14'!H120</f>
        <v>6146.3999999999942</v>
      </c>
      <c r="I120" s="165"/>
      <c r="J120" s="328">
        <f>H120/DAY(B2)</f>
        <v>409.75999999999959</v>
      </c>
    </row>
    <row r="121" spans="1:18" ht="25.5">
      <c r="A121" s="889" t="s">
        <v>100</v>
      </c>
      <c r="B121" s="889"/>
      <c r="C121" s="889"/>
      <c r="D121" s="151" t="s">
        <v>183</v>
      </c>
      <c r="E121" s="95">
        <f>'14'!F121</f>
        <v>113784</v>
      </c>
      <c r="F121" s="237">
        <v>114223</v>
      </c>
      <c r="G121" s="112">
        <f t="shared" si="9"/>
        <v>439</v>
      </c>
      <c r="H121" s="99">
        <f>G121+'14'!H121</f>
        <v>6393.9499999999971</v>
      </c>
      <c r="I121" s="165"/>
      <c r="J121" s="328">
        <f>H121/DAY(B2)</f>
        <v>426.26333333333315</v>
      </c>
    </row>
    <row r="122" spans="1:18" ht="25.5">
      <c r="A122" s="889" t="s">
        <v>101</v>
      </c>
      <c r="B122" s="889"/>
      <c r="C122" s="889"/>
      <c r="D122" s="151" t="s">
        <v>183</v>
      </c>
      <c r="E122" s="95">
        <f>'14'!F122</f>
        <v>75901</v>
      </c>
      <c r="F122" s="237">
        <v>76265</v>
      </c>
      <c r="G122" s="112">
        <f t="shared" si="9"/>
        <v>364</v>
      </c>
      <c r="H122" s="99">
        <f>G122+'14'!H122</f>
        <v>5227.1000000000058</v>
      </c>
      <c r="I122" s="165"/>
      <c r="J122" s="328">
        <f>H122/DAY(B2)</f>
        <v>348.4733333333337</v>
      </c>
    </row>
    <row r="123" spans="1:18" ht="25.5">
      <c r="A123" s="889" t="s">
        <v>102</v>
      </c>
      <c r="B123" s="889"/>
      <c r="C123" s="889"/>
      <c r="D123" s="151" t="s">
        <v>183</v>
      </c>
      <c r="E123" s="95">
        <f>'14'!F123</f>
        <v>72672</v>
      </c>
      <c r="F123" s="237">
        <v>72970</v>
      </c>
      <c r="G123" s="112">
        <f t="shared" si="9"/>
        <v>298</v>
      </c>
      <c r="H123" s="99">
        <f>G123+'14'!H123</f>
        <v>4612.6999999999971</v>
      </c>
      <c r="I123" s="165"/>
      <c r="J123" s="328">
        <f>H123/DAY(B2)</f>
        <v>307.51333333333315</v>
      </c>
    </row>
    <row r="124" spans="1:18" ht="29.25" customHeight="1">
      <c r="A124" s="919"/>
      <c r="B124" s="920"/>
      <c r="C124" s="921"/>
      <c r="D124" s="165"/>
      <c r="E124" s="165"/>
      <c r="F124" s="165"/>
      <c r="G124" s="327"/>
      <c r="H124" s="156"/>
      <c r="I124" s="165"/>
      <c r="J124" s="327"/>
    </row>
    <row r="125" spans="1:18" ht="25.5">
      <c r="A125" s="853" t="s">
        <v>196</v>
      </c>
      <c r="B125" s="854"/>
      <c r="C125" s="245"/>
      <c r="D125" s="307"/>
      <c r="E125" s="308"/>
      <c r="F125" s="308"/>
      <c r="G125" s="309">
        <f>SUM(G112:G124)</f>
        <v>3206</v>
      </c>
      <c r="H125" s="156"/>
      <c r="I125" s="327">
        <f>G125-(G39+G53)</f>
        <v>-1462</v>
      </c>
      <c r="J125" s="327"/>
    </row>
    <row r="126" spans="1:18" ht="25.5">
      <c r="A126" s="922" t="s">
        <v>317</v>
      </c>
      <c r="B126" s="922"/>
      <c r="C126" s="922"/>
      <c r="D126" s="922"/>
      <c r="E126" s="922"/>
      <c r="F126" s="922"/>
      <c r="G126" s="922"/>
      <c r="H126" s="922"/>
      <c r="I126" s="922"/>
      <c r="J126" s="922"/>
    </row>
    <row r="127" spans="1:18" ht="25.5">
      <c r="A127" s="923"/>
      <c r="B127" s="923"/>
      <c r="C127" s="245"/>
      <c r="D127" s="307"/>
      <c r="E127" s="308"/>
      <c r="F127" s="308"/>
      <c r="G127" s="309"/>
      <c r="H127" s="99">
        <f>G127+'14'!H127</f>
        <v>0</v>
      </c>
      <c r="I127" s="165"/>
      <c r="J127" s="328">
        <f>H127/DAY(B2)</f>
        <v>0</v>
      </c>
    </row>
    <row r="128" spans="1:18" ht="29.25" customHeight="1">
      <c r="A128" s="894" t="s">
        <v>318</v>
      </c>
      <c r="B128" s="895"/>
      <c r="C128" s="896"/>
      <c r="D128" s="151" t="s">
        <v>183</v>
      </c>
      <c r="E128" s="95">
        <f>'14'!F128</f>
        <v>184781</v>
      </c>
      <c r="F128" s="165">
        <v>185101</v>
      </c>
      <c r="G128" s="112">
        <f t="shared" ref="G128:G134" si="10">F128-E128</f>
        <v>320</v>
      </c>
      <c r="H128" s="99">
        <f>G128+'14'!H128</f>
        <v>5689.1499999999942</v>
      </c>
      <c r="I128" s="165"/>
      <c r="J128" s="328">
        <f>H128/DAY(B2)</f>
        <v>379.2766666666663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'14'!F129</f>
        <v>98543</v>
      </c>
      <c r="F129" s="165">
        <v>98713</v>
      </c>
      <c r="G129" s="112">
        <f t="shared" si="10"/>
        <v>170</v>
      </c>
      <c r="H129" s="99">
        <f>G129+'14'!H129</f>
        <v>2683.5</v>
      </c>
      <c r="I129" s="165"/>
      <c r="J129" s="328">
        <f>H129/DAY(B2)</f>
        <v>178.9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'14'!F130</f>
        <v>256558</v>
      </c>
      <c r="F130" s="165">
        <v>257291</v>
      </c>
      <c r="G130" s="112">
        <f t="shared" si="10"/>
        <v>733</v>
      </c>
      <c r="H130" s="99">
        <f>G130+'14'!H130</f>
        <v>10451.25</v>
      </c>
      <c r="I130" s="165"/>
      <c r="J130" s="328">
        <f>H130/DAY(B2)</f>
        <v>696.75</v>
      </c>
      <c r="N130" s="240"/>
      <c r="O130" s="241"/>
    </row>
    <row r="131" spans="1:15" ht="25.5">
      <c r="A131" s="894" t="s">
        <v>321</v>
      </c>
      <c r="B131" s="895"/>
      <c r="C131" s="896"/>
      <c r="D131" s="151" t="s">
        <v>183</v>
      </c>
      <c r="E131" s="95">
        <f>'14'!F131</f>
        <v>76982</v>
      </c>
      <c r="F131" s="158">
        <v>77254</v>
      </c>
      <c r="G131" s="112">
        <f t="shared" si="10"/>
        <v>272</v>
      </c>
      <c r="H131" s="99">
        <f>G131+'14'!H131</f>
        <v>3743.3999999999942</v>
      </c>
      <c r="I131" s="165"/>
      <c r="J131" s="328">
        <f>H131/DAY(B2)</f>
        <v>249.5599999999996</v>
      </c>
      <c r="N131" s="240"/>
      <c r="O131" s="241"/>
    </row>
    <row r="132" spans="1:15" ht="25.5">
      <c r="A132" s="894" t="s">
        <v>322</v>
      </c>
      <c r="B132" s="895"/>
      <c r="C132" s="896"/>
      <c r="D132" s="151" t="s">
        <v>183</v>
      </c>
      <c r="E132" s="95">
        <f>'14'!F132</f>
        <v>146985</v>
      </c>
      <c r="F132" s="165">
        <v>148274</v>
      </c>
      <c r="G132" s="112">
        <f t="shared" si="10"/>
        <v>1289</v>
      </c>
      <c r="H132" s="99">
        <f>G132+'14'!H132</f>
        <v>1289</v>
      </c>
      <c r="I132" s="165"/>
      <c r="J132" s="328">
        <f>H132/DAY(B2)</f>
        <v>85.933333333333337</v>
      </c>
    </row>
    <row r="133" spans="1:15" ht="25.5">
      <c r="A133" s="894" t="s">
        <v>359</v>
      </c>
      <c r="B133" s="895"/>
      <c r="C133" s="896"/>
      <c r="D133" s="151" t="s">
        <v>183</v>
      </c>
      <c r="E133" s="95">
        <f>'14'!F133</f>
        <v>920611</v>
      </c>
      <c r="F133" s="165">
        <v>921349</v>
      </c>
      <c r="G133" s="112">
        <f t="shared" si="10"/>
        <v>738</v>
      </c>
      <c r="H133" s="99">
        <f>G133+'14'!H133</f>
        <v>11105</v>
      </c>
      <c r="I133" s="165"/>
      <c r="J133" s="328">
        <f>H133/DAY(B2)</f>
        <v>740.33333333333337</v>
      </c>
    </row>
    <row r="134" spans="1:15" s="408" customFormat="1" ht="25.5">
      <c r="A134" s="952" t="s">
        <v>340</v>
      </c>
      <c r="B134" s="953"/>
      <c r="C134" s="954"/>
      <c r="D134" s="233" t="s">
        <v>183</v>
      </c>
      <c r="E134" s="405">
        <f>'14'!F134</f>
        <v>81770</v>
      </c>
      <c r="F134" s="158">
        <v>81971</v>
      </c>
      <c r="G134" s="236">
        <f t="shared" si="10"/>
        <v>201</v>
      </c>
      <c r="H134" s="238">
        <f>G134+'14'!H134</f>
        <v>3211.3999999999942</v>
      </c>
      <c r="I134" s="158"/>
      <c r="J134" s="407">
        <f>H134/DAY(B2)</f>
        <v>214.09333333333294</v>
      </c>
    </row>
    <row r="135" spans="1:15" ht="25.5">
      <c r="A135" s="853" t="s">
        <v>196</v>
      </c>
      <c r="B135" s="854"/>
      <c r="C135" s="331"/>
      <c r="D135" s="151"/>
      <c r="E135" s="95"/>
      <c r="F135" s="165"/>
      <c r="G135" s="112">
        <f>SUM(G128:G134)</f>
        <v>3723</v>
      </c>
      <c r="H135" s="99">
        <f>G135+'10'!H135</f>
        <v>28396.469999999987</v>
      </c>
      <c r="I135" s="327">
        <f>G135-(G35+G49)</f>
        <v>631</v>
      </c>
      <c r="J135" s="328"/>
    </row>
    <row r="136" spans="1:15" ht="27.75">
      <c r="A136" s="924" t="s">
        <v>325</v>
      </c>
      <c r="B136" s="924"/>
      <c r="C136" s="924"/>
      <c r="D136" s="924"/>
      <c r="E136" s="924"/>
      <c r="F136" s="924"/>
      <c r="G136" s="924"/>
      <c r="H136" s="924"/>
      <c r="I136" s="924"/>
      <c r="J136" s="92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9" t="s">
        <v>185</v>
      </c>
      <c r="B138" s="889"/>
      <c r="C138" s="889"/>
      <c r="D138" s="151" t="s">
        <v>183</v>
      </c>
      <c r="E138" s="95">
        <v>8480</v>
      </c>
      <c r="F138" s="147">
        <v>8587</v>
      </c>
      <c r="G138" s="112">
        <f t="shared" ref="G138:G152" si="11">F138-E138</f>
        <v>107</v>
      </c>
      <c r="H138" s="99">
        <f>G138+'14'!H138</f>
        <v>1789</v>
      </c>
      <c r="I138" s="118"/>
      <c r="J138" s="328">
        <f>H138/DAY(B2)</f>
        <v>119.26666666666667</v>
      </c>
    </row>
    <row r="139" spans="1:15" ht="25.5">
      <c r="A139" s="889" t="s">
        <v>186</v>
      </c>
      <c r="B139" s="889"/>
      <c r="C139" s="889"/>
      <c r="D139" s="151" t="s">
        <v>183</v>
      </c>
      <c r="E139" s="95">
        <f>'14'!F139</f>
        <v>929617</v>
      </c>
      <c r="F139" s="148">
        <v>929778</v>
      </c>
      <c r="G139" s="112">
        <f t="shared" si="11"/>
        <v>161</v>
      </c>
      <c r="H139" s="99">
        <f>G139+'14'!H139</f>
        <v>2497</v>
      </c>
      <c r="I139" s="118"/>
      <c r="J139" s="328">
        <f>H139/DAY(B2)</f>
        <v>166.46666666666667</v>
      </c>
    </row>
    <row r="140" spans="1:15" ht="25.5">
      <c r="A140" s="889" t="s">
        <v>187</v>
      </c>
      <c r="B140" s="889"/>
      <c r="C140" s="889"/>
      <c r="D140" s="151" t="s">
        <v>183</v>
      </c>
      <c r="E140" s="95">
        <f>'14'!F140</f>
        <v>3652</v>
      </c>
      <c r="F140" s="149">
        <v>3673</v>
      </c>
      <c r="G140" s="112">
        <f t="shared" si="11"/>
        <v>21</v>
      </c>
      <c r="H140" s="99">
        <f>G140+'14'!H140</f>
        <v>341.90000000000009</v>
      </c>
      <c r="I140" s="118"/>
      <c r="J140" s="328">
        <f>H140/DAY(B2)</f>
        <v>22.79333333333334</v>
      </c>
    </row>
    <row r="141" spans="1:15" ht="25.5">
      <c r="A141" s="893" t="s">
        <v>188</v>
      </c>
      <c r="B141" s="893"/>
      <c r="C141" s="893"/>
      <c r="D141" s="151" t="s">
        <v>183</v>
      </c>
      <c r="E141" s="95">
        <f>'14'!F141</f>
        <v>120824</v>
      </c>
      <c r="F141" s="149">
        <v>121052</v>
      </c>
      <c r="G141" s="112">
        <f t="shared" si="11"/>
        <v>228</v>
      </c>
      <c r="H141" s="99">
        <f>G141+'14'!H141</f>
        <v>3494.0200000000041</v>
      </c>
      <c r="I141" s="118"/>
      <c r="J141" s="328">
        <f>H141/DAY(B2)</f>
        <v>232.93466666666694</v>
      </c>
    </row>
    <row r="142" spans="1:15" ht="25.5">
      <c r="A142" s="893" t="s">
        <v>189</v>
      </c>
      <c r="B142" s="893"/>
      <c r="C142" s="893"/>
      <c r="D142" s="151" t="s">
        <v>183</v>
      </c>
      <c r="E142" s="95">
        <f>'14'!F142</f>
        <v>48837</v>
      </c>
      <c r="F142" s="148">
        <v>48921</v>
      </c>
      <c r="G142" s="112">
        <f t="shared" si="11"/>
        <v>84</v>
      </c>
      <c r="H142" s="99">
        <f>G142+'14'!H142</f>
        <v>1416.5</v>
      </c>
      <c r="I142" s="140"/>
      <c r="J142" s="328">
        <f>H142/DAY(B2)</f>
        <v>94.433333333333337</v>
      </c>
    </row>
    <row r="143" spans="1:15" ht="25.5">
      <c r="A143" s="889" t="s">
        <v>91</v>
      </c>
      <c r="B143" s="889"/>
      <c r="C143" s="889"/>
      <c r="D143" s="151" t="s">
        <v>183</v>
      </c>
      <c r="E143" s="95">
        <f>'14'!F143</f>
        <v>12855</v>
      </c>
      <c r="F143" s="149">
        <v>12882</v>
      </c>
      <c r="G143" s="112">
        <f t="shared" si="11"/>
        <v>27</v>
      </c>
      <c r="H143" s="99">
        <f>G143+'14'!H143</f>
        <v>466.60000000000036</v>
      </c>
      <c r="I143" s="140"/>
      <c r="J143" s="328">
        <f>H143/DAY(B2)</f>
        <v>31.10666666666669</v>
      </c>
    </row>
    <row r="144" spans="1:15" ht="25.5">
      <c r="A144" s="893" t="s">
        <v>90</v>
      </c>
      <c r="B144" s="893"/>
      <c r="C144" s="893"/>
      <c r="D144" s="151" t="s">
        <v>183</v>
      </c>
      <c r="E144" s="95">
        <f>'14'!F144</f>
        <v>951451</v>
      </c>
      <c r="F144" s="149">
        <v>951695</v>
      </c>
      <c r="G144" s="112">
        <f t="shared" si="11"/>
        <v>244</v>
      </c>
      <c r="H144" s="99">
        <f>G144+'14'!H144</f>
        <v>3497</v>
      </c>
      <c r="I144" s="140"/>
      <c r="J144" s="328">
        <f>H144/DAY(B2)</f>
        <v>233.13333333333333</v>
      </c>
    </row>
    <row r="145" spans="1:10" ht="25.5">
      <c r="A145" s="889" t="s">
        <v>190</v>
      </c>
      <c r="B145" s="889"/>
      <c r="C145" s="889"/>
      <c r="D145" s="152" t="s">
        <v>183</v>
      </c>
      <c r="E145" s="95">
        <f>'14'!F145</f>
        <v>24615</v>
      </c>
      <c r="F145" s="148">
        <v>24803</v>
      </c>
      <c r="G145" s="112">
        <f t="shared" si="11"/>
        <v>188</v>
      </c>
      <c r="H145" s="99">
        <f>G145+'14'!H145</f>
        <v>2206.9000000000015</v>
      </c>
      <c r="I145" s="140"/>
      <c r="J145" s="328">
        <f>H145/DAY(B2)</f>
        <v>147.12666666666675</v>
      </c>
    </row>
    <row r="146" spans="1:10" ht="25.5">
      <c r="A146" s="890" t="s">
        <v>191</v>
      </c>
      <c r="B146" s="891"/>
      <c r="C146" s="892"/>
      <c r="D146" s="152" t="s">
        <v>183</v>
      </c>
      <c r="E146" s="95">
        <f>'14'!F146</f>
        <v>787257</v>
      </c>
      <c r="F146" s="148">
        <v>787300</v>
      </c>
      <c r="G146" s="112">
        <f t="shared" si="11"/>
        <v>43</v>
      </c>
      <c r="H146" s="99">
        <f>G146+'14'!H146</f>
        <v>632</v>
      </c>
      <c r="I146" s="140"/>
      <c r="J146" s="328">
        <f>H146/DAY(B2)</f>
        <v>42.133333333333333</v>
      </c>
    </row>
    <row r="147" spans="1:10" ht="25.5">
      <c r="A147" s="893" t="s">
        <v>192</v>
      </c>
      <c r="B147" s="893"/>
      <c r="C147" s="893"/>
      <c r="D147" s="152" t="s">
        <v>183</v>
      </c>
      <c r="E147" s="95">
        <f>'14'!F147</f>
        <v>753591</v>
      </c>
      <c r="F147" s="148">
        <v>754010</v>
      </c>
      <c r="G147" s="112">
        <f t="shared" si="11"/>
        <v>419</v>
      </c>
      <c r="H147" s="99">
        <f>G147+'14'!H147</f>
        <v>6455.8399999999674</v>
      </c>
      <c r="I147" s="140"/>
      <c r="J147" s="328">
        <f>H147/DAY(B2)</f>
        <v>430.38933333333114</v>
      </c>
    </row>
    <row r="148" spans="1:10" ht="25.5">
      <c r="A148" s="886" t="s">
        <v>193</v>
      </c>
      <c r="B148" s="887"/>
      <c r="C148" s="888"/>
      <c r="D148" s="123" t="s">
        <v>130</v>
      </c>
      <c r="E148" s="95">
        <f>'14'!F148</f>
        <v>790206</v>
      </c>
      <c r="F148" s="150">
        <v>790617</v>
      </c>
      <c r="G148" s="112">
        <f t="shared" si="11"/>
        <v>411</v>
      </c>
      <c r="H148" s="99">
        <f>G148+'14'!H148</f>
        <v>5972</v>
      </c>
      <c r="I148" s="124"/>
      <c r="J148" s="328">
        <f>H148/DAY(B2)</f>
        <v>398.13333333333333</v>
      </c>
    </row>
    <row r="149" spans="1:10" ht="25.5">
      <c r="A149" s="886" t="s">
        <v>336</v>
      </c>
      <c r="B149" s="887"/>
      <c r="C149" s="888"/>
      <c r="D149" s="227" t="s">
        <v>130</v>
      </c>
      <c r="E149" s="95">
        <f>'14'!F149</f>
        <v>192058</v>
      </c>
      <c r="F149" s="415">
        <v>192543</v>
      </c>
      <c r="G149" s="112">
        <f t="shared" si="11"/>
        <v>485</v>
      </c>
      <c r="H149" s="99">
        <f>G149+'14'!H149</f>
        <v>7246.109999999986</v>
      </c>
      <c r="I149" s="119"/>
      <c r="J149" s="328">
        <f>H149/DAY(B2)</f>
        <v>483.07399999999905</v>
      </c>
    </row>
    <row r="150" spans="1:10" ht="25.5">
      <c r="A150" s="886" t="s">
        <v>337</v>
      </c>
      <c r="B150" s="887"/>
      <c r="C150" s="888"/>
      <c r="D150" s="117" t="s">
        <v>130</v>
      </c>
      <c r="E150" s="95">
        <f>'14'!F150</f>
        <v>81889</v>
      </c>
      <c r="F150" s="233">
        <v>81944</v>
      </c>
      <c r="G150" s="112">
        <f t="shared" si="11"/>
        <v>55</v>
      </c>
      <c r="H150" s="99">
        <f>G150+'14'!H150</f>
        <v>4277.6999999999971</v>
      </c>
      <c r="I150" s="119"/>
      <c r="J150" s="328">
        <f>H150/DAY(B2)</f>
        <v>285.17999999999978</v>
      </c>
    </row>
    <row r="151" spans="1:10" ht="25.5">
      <c r="A151" s="886" t="s">
        <v>338</v>
      </c>
      <c r="B151" s="887"/>
      <c r="C151" s="888"/>
      <c r="D151" s="117" t="s">
        <v>130</v>
      </c>
      <c r="E151" s="95">
        <f>'14'!F151</f>
        <v>161810</v>
      </c>
      <c r="F151" s="233">
        <v>162058</v>
      </c>
      <c r="G151" s="112">
        <f t="shared" si="11"/>
        <v>248</v>
      </c>
      <c r="H151" s="99">
        <f>G151+'14'!H151</f>
        <v>3748</v>
      </c>
      <c r="I151" s="119"/>
      <c r="J151" s="328">
        <f>H151/DAY(B2)</f>
        <v>249.86666666666667</v>
      </c>
    </row>
    <row r="152" spans="1:10" ht="25.5">
      <c r="A152" s="886" t="s">
        <v>339</v>
      </c>
      <c r="B152" s="887"/>
      <c r="C152" s="888"/>
      <c r="D152" s="117" t="s">
        <v>130</v>
      </c>
      <c r="E152" s="95">
        <f>'14'!F152</f>
        <v>40552</v>
      </c>
      <c r="F152" s="233">
        <v>40636</v>
      </c>
      <c r="G152" s="112">
        <f t="shared" si="11"/>
        <v>84</v>
      </c>
      <c r="H152" s="99">
        <f>G152+'14'!H152</f>
        <v>2020.0999999999985</v>
      </c>
      <c r="I152" s="119"/>
      <c r="J152" s="328">
        <f>H152/DAY(B2)</f>
        <v>134.67333333333323</v>
      </c>
    </row>
    <row r="153" spans="1:10" ht="25.5">
      <c r="A153" s="853" t="s">
        <v>196</v>
      </c>
      <c r="B153" s="854"/>
      <c r="C153" s="365"/>
      <c r="D153" s="358"/>
      <c r="E153" s="360"/>
      <c r="F153" s="361"/>
      <c r="G153" s="362">
        <f>SUM(G138:G152)</f>
        <v>2805</v>
      </c>
      <c r="H153" s="363"/>
      <c r="I153" s="119">
        <f>G153-(G38+G52)</f>
        <v>2213.2399999999998</v>
      </c>
      <c r="J153" s="366"/>
    </row>
    <row r="154" spans="1:10" ht="27.75">
      <c r="A154" s="924" t="s">
        <v>344</v>
      </c>
      <c r="B154" s="924"/>
      <c r="C154" s="924"/>
      <c r="D154" s="924"/>
      <c r="E154" s="924"/>
      <c r="F154" s="924"/>
      <c r="G154" s="924"/>
      <c r="H154" s="924"/>
      <c r="I154" s="924"/>
      <c r="J154" s="924"/>
    </row>
    <row r="155" spans="1:10" ht="27.75">
      <c r="A155" s="893" t="s">
        <v>345</v>
      </c>
      <c r="B155" s="893"/>
      <c r="C155" s="893"/>
      <c r="D155" s="117" t="s">
        <v>130</v>
      </c>
      <c r="E155" s="95">
        <f>'14'!F155</f>
        <v>228680</v>
      </c>
      <c r="F155" s="157">
        <v>229326</v>
      </c>
      <c r="G155" s="112">
        <f t="shared" ref="G155:G158" si="12">F155-E155</f>
        <v>646</v>
      </c>
      <c r="H155" s="99">
        <f>G155+'14'!H155</f>
        <v>9338.2999999999884</v>
      </c>
      <c r="I155" s="364"/>
      <c r="J155" s="328">
        <f>H155/DAY(B2)</f>
        <v>622.5533333333326</v>
      </c>
    </row>
    <row r="156" spans="1:10" ht="25.5">
      <c r="A156" s="893" t="s">
        <v>347</v>
      </c>
      <c r="B156" s="893"/>
      <c r="C156" s="893"/>
      <c r="D156" s="117" t="s">
        <v>130</v>
      </c>
      <c r="E156" s="95">
        <f>'14'!F156</f>
        <v>27847</v>
      </c>
      <c r="F156" s="157">
        <v>27941</v>
      </c>
      <c r="G156" s="112">
        <f t="shared" si="12"/>
        <v>94</v>
      </c>
      <c r="H156" s="99">
        <f>G156+'14'!H156</f>
        <v>1410.7999999999993</v>
      </c>
      <c r="I156" s="165"/>
      <c r="J156" s="328">
        <f>H156/DAY(B2)</f>
        <v>94.053333333333285</v>
      </c>
    </row>
    <row r="157" spans="1:10" ht="25.5">
      <c r="A157" s="886" t="s">
        <v>360</v>
      </c>
      <c r="B157" s="887"/>
      <c r="C157" s="888"/>
      <c r="D157" s="117" t="s">
        <v>130</v>
      </c>
      <c r="E157" s="95">
        <f>'14'!F157</f>
        <v>37559</v>
      </c>
      <c r="F157" s="157">
        <v>37559</v>
      </c>
      <c r="G157" s="112">
        <f t="shared" si="12"/>
        <v>0</v>
      </c>
      <c r="H157" s="99">
        <f>G157+'14'!H157</f>
        <v>0</v>
      </c>
      <c r="I157" s="165"/>
      <c r="J157" s="328">
        <f>H157/DAY(B2)</f>
        <v>0</v>
      </c>
    </row>
    <row r="158" spans="1:10" ht="25.5">
      <c r="A158" s="886" t="s">
        <v>361</v>
      </c>
      <c r="B158" s="887"/>
      <c r="C158" s="888"/>
      <c r="D158" s="117" t="s">
        <v>130</v>
      </c>
      <c r="E158" s="95">
        <f>'14'!F158</f>
        <v>1726</v>
      </c>
      <c r="F158" s="157">
        <v>1734</v>
      </c>
      <c r="G158" s="112">
        <f t="shared" si="12"/>
        <v>8</v>
      </c>
      <c r="H158" s="99">
        <f>G158+'14'!H158</f>
        <v>172.65000000000009</v>
      </c>
      <c r="I158" s="165"/>
      <c r="J158" s="328">
        <f>H158/DAY(B2)</f>
        <v>11.510000000000007</v>
      </c>
    </row>
    <row r="159" spans="1:10" ht="25.5">
      <c r="A159" s="942"/>
      <c r="B159" s="943"/>
      <c r="C159" s="944"/>
      <c r="D159" s="117"/>
      <c r="E159" s="95"/>
      <c r="F159" s="165"/>
      <c r="G159" s="362">
        <f>SUM(G155:G158)</f>
        <v>748</v>
      </c>
      <c r="H159" s="99"/>
      <c r="I159" s="165"/>
      <c r="J159" s="328"/>
    </row>
    <row r="160" spans="1:10" ht="27.75">
      <c r="A160" s="924" t="s">
        <v>326</v>
      </c>
      <c r="B160" s="924"/>
      <c r="C160" s="924"/>
      <c r="D160" s="924"/>
      <c r="E160" s="924"/>
      <c r="F160" s="924"/>
      <c r="G160" s="924"/>
      <c r="H160" s="924"/>
      <c r="I160" s="924"/>
      <c r="J160" s="924"/>
    </row>
    <row r="161" spans="1:10" ht="26.25">
      <c r="A161" s="242" t="s">
        <v>92</v>
      </c>
      <c r="B161" s="243"/>
      <c r="C161" s="243"/>
      <c r="D161" s="244" t="s">
        <v>180</v>
      </c>
      <c r="E161" s="95">
        <f>'14'!F161</f>
        <v>505705.96</v>
      </c>
      <c r="F161" s="235">
        <v>505966</v>
      </c>
      <c r="G161" s="238">
        <f t="shared" ref="G161:G165" si="13">F161-E161</f>
        <v>260.03999999997905</v>
      </c>
      <c r="H161" s="99">
        <f>G161+'14'!H161</f>
        <v>2594.8400000000256</v>
      </c>
      <c r="I161" s="236"/>
      <c r="J161" s="239">
        <f>H161/DAY(B2)</f>
        <v>172.98933333333505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'14'!F162</f>
        <v>100189</v>
      </c>
      <c r="F162" s="235">
        <v>100245</v>
      </c>
      <c r="G162" s="238">
        <f t="shared" si="13"/>
        <v>56</v>
      </c>
      <c r="H162" s="99">
        <f>G162+'14'!H162</f>
        <v>591.39999999999418</v>
      </c>
      <c r="I162" s="236"/>
      <c r="J162" s="239">
        <f>H162/DAY(B2)</f>
        <v>39.426666666666279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'14'!F163</f>
        <v>0</v>
      </c>
      <c r="F163" s="235">
        <v>0</v>
      </c>
      <c r="G163" s="238">
        <f t="shared" si="13"/>
        <v>0</v>
      </c>
      <c r="H163" s="99">
        <f>G163+'14'!H163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'14'!F164</f>
        <v>7109.6</v>
      </c>
      <c r="F164" s="235">
        <v>7120</v>
      </c>
      <c r="G164" s="238">
        <f t="shared" si="13"/>
        <v>10.399999999999636</v>
      </c>
      <c r="H164" s="99">
        <f>G164+'14'!H164</f>
        <v>129.80000000000018</v>
      </c>
      <c r="I164" s="236"/>
      <c r="J164" s="239">
        <f>H164/DAY(B2)</f>
        <v>8.6533333333333449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'14'!F165</f>
        <v>32676.46</v>
      </c>
      <c r="F165" s="235">
        <v>32683</v>
      </c>
      <c r="G165" s="238">
        <f t="shared" si="13"/>
        <v>6.5400000000008731</v>
      </c>
      <c r="H165" s="99">
        <f>G165+'14'!H165</f>
        <v>108.90000000000146</v>
      </c>
      <c r="I165" s="236"/>
      <c r="J165" s="239">
        <f>H165/DAY(B2)</f>
        <v>7.2600000000000966</v>
      </c>
    </row>
    <row r="166" spans="1:10" ht="26.25">
      <c r="A166" s="923"/>
      <c r="B166" s="923"/>
      <c r="C166" s="246"/>
      <c r="D166" s="244" t="s">
        <v>180</v>
      </c>
      <c r="E166" s="95">
        <f>'14'!F166</f>
        <v>0</v>
      </c>
      <c r="F166" s="165"/>
      <c r="G166" s="165"/>
      <c r="H166" s="99">
        <f>G166+'14'!H166</f>
        <v>0</v>
      </c>
      <c r="I166" s="165"/>
      <c r="J166" s="239">
        <f>H166/DAY(B2)</f>
        <v>0</v>
      </c>
    </row>
    <row r="167" spans="1:10" ht="26.25">
      <c r="A167" s="923"/>
      <c r="B167" s="923"/>
      <c r="C167" s="246"/>
      <c r="D167" s="244" t="s">
        <v>180</v>
      </c>
      <c r="E167" s="95">
        <f>'14'!F167</f>
        <v>0</v>
      </c>
      <c r="F167" s="165"/>
      <c r="G167" s="165"/>
      <c r="H167" s="99">
        <f>G167+'14'!H167</f>
        <v>0</v>
      </c>
      <c r="I167" s="165"/>
      <c r="J167" s="239">
        <f>H167/DAY(B2)</f>
        <v>0</v>
      </c>
    </row>
    <row r="168" spans="1:10" ht="26.25">
      <c r="A168" s="923"/>
      <c r="B168" s="923"/>
      <c r="C168" s="246"/>
      <c r="D168" s="244" t="s">
        <v>180</v>
      </c>
      <c r="E168" s="95">
        <f>'14'!F168</f>
        <v>0</v>
      </c>
      <c r="F168" s="165"/>
      <c r="G168" s="165"/>
      <c r="H168" s="99">
        <f>G168+'14'!H168</f>
        <v>0</v>
      </c>
      <c r="I168" s="165"/>
      <c r="J168" s="239">
        <f>H168/DAY(B2)</f>
        <v>0</v>
      </c>
    </row>
    <row r="169" spans="1:10" ht="26.25"/>
    <row r="170" spans="1:10" ht="21.75" customHeight="1"/>
    <row r="171" spans="1:10" ht="21.75" customHeight="1">
      <c r="A171" s="933" t="s">
        <v>330</v>
      </c>
      <c r="B171" s="934"/>
      <c r="C171" s="934"/>
      <c r="D171" s="934"/>
      <c r="E171" s="934"/>
      <c r="F171" s="934"/>
      <c r="G171" s="934"/>
      <c r="H171" s="934"/>
      <c r="I171" s="934"/>
      <c r="J171" s="935"/>
    </row>
    <row r="172" spans="1:10" ht="21.75" customHeight="1">
      <c r="A172" s="929"/>
      <c r="B172" s="930"/>
      <c r="C172" s="332"/>
      <c r="D172" s="228"/>
      <c r="E172" s="155"/>
      <c r="F172" s="155"/>
      <c r="G172" s="155"/>
      <c r="H172" s="156"/>
      <c r="I172" s="155"/>
      <c r="J172" s="178"/>
    </row>
    <row r="173" spans="1:10" ht="21.75" customHeight="1">
      <c r="A173" s="841" t="s">
        <v>209</v>
      </c>
      <c r="B173" s="843"/>
      <c r="C173" s="333"/>
      <c r="D173" s="228" t="s">
        <v>142</v>
      </c>
      <c r="E173" s="95">
        <f>'14'!F173</f>
        <v>8600</v>
      </c>
      <c r="F173" s="155">
        <v>8600</v>
      </c>
      <c r="G173" s="155">
        <f>F173-E173</f>
        <v>0</v>
      </c>
      <c r="H173" s="99">
        <f>G173+'14'!H173</f>
        <v>16</v>
      </c>
      <c r="I173" s="155"/>
      <c r="J173" s="178">
        <f>H173/DAY(B2)</f>
        <v>1.0666666666666667</v>
      </c>
    </row>
    <row r="174" spans="1:10" ht="21.75" customHeight="1">
      <c r="A174" s="841" t="s">
        <v>75</v>
      </c>
      <c r="B174" s="843"/>
      <c r="C174" s="333"/>
      <c r="D174" s="228" t="s">
        <v>142</v>
      </c>
      <c r="E174" s="95">
        <f>'14'!F174</f>
        <v>42832</v>
      </c>
      <c r="F174" s="157">
        <v>42842</v>
      </c>
      <c r="G174" s="155">
        <f t="shared" ref="G174:G175" si="14">F174-E174</f>
        <v>10</v>
      </c>
      <c r="H174" s="99">
        <f>G174+'14'!H174</f>
        <v>173</v>
      </c>
      <c r="I174" s="155"/>
      <c r="J174" s="178">
        <f>H174/DAY(B2)</f>
        <v>11.533333333333333</v>
      </c>
    </row>
    <row r="175" spans="1:10" ht="21.75" customHeight="1">
      <c r="A175" s="841" t="s">
        <v>76</v>
      </c>
      <c r="B175" s="842"/>
      <c r="C175" s="843"/>
      <c r="D175" s="228" t="s">
        <v>142</v>
      </c>
      <c r="E175" s="95">
        <f>'14'!F175</f>
        <v>25572</v>
      </c>
      <c r="F175" s="155">
        <v>25585</v>
      </c>
      <c r="G175" s="155">
        <f t="shared" si="14"/>
        <v>13</v>
      </c>
      <c r="H175" s="99">
        <f>G175+'14'!H175</f>
        <v>192</v>
      </c>
      <c r="I175" s="155"/>
      <c r="J175" s="178">
        <f>H175/DAY(B2)</f>
        <v>12.8</v>
      </c>
    </row>
    <row r="176" spans="1:10" ht="21.75" customHeight="1">
      <c r="A176" s="853" t="s">
        <v>196</v>
      </c>
      <c r="B176" s="854"/>
      <c r="C176" s="333"/>
      <c r="D176" s="228" t="s">
        <v>142</v>
      </c>
      <c r="E176" s="95"/>
      <c r="F176" s="155"/>
      <c r="G176" s="155">
        <f>SUM(G173:G175)</f>
        <v>23</v>
      </c>
      <c r="H176" s="99">
        <f>G176+'14'!H176</f>
        <v>381</v>
      </c>
      <c r="I176" s="155"/>
      <c r="J176" s="178">
        <f>H176/DAY(B2)</f>
        <v>25.4</v>
      </c>
    </row>
    <row r="177" spans="1:10" ht="21.75" customHeight="1">
      <c r="A177" s="841" t="s">
        <v>77</v>
      </c>
      <c r="B177" s="843"/>
      <c r="C177" s="333"/>
      <c r="D177" s="228" t="s">
        <v>142</v>
      </c>
      <c r="E177" s="95"/>
      <c r="F177" s="155"/>
      <c r="G177" s="155"/>
      <c r="H177" s="99">
        <f>G177+'14'!H177</f>
        <v>0</v>
      </c>
      <c r="I177" s="155"/>
      <c r="J177" s="178">
        <f>H177/DAY(B2)</f>
        <v>0</v>
      </c>
    </row>
    <row r="178" spans="1:10" ht="23.25" customHeight="1">
      <c r="A178" s="841" t="s">
        <v>210</v>
      </c>
      <c r="B178" s="843"/>
      <c r="C178" s="333"/>
      <c r="D178" s="228" t="s">
        <v>142</v>
      </c>
      <c r="E178" s="95">
        <f>'14'!F178</f>
        <v>104849</v>
      </c>
      <c r="F178" s="155">
        <v>104970</v>
      </c>
      <c r="G178" s="155">
        <f>F178-E178</f>
        <v>121</v>
      </c>
      <c r="H178" s="99">
        <f>G178+'14'!H178</f>
        <v>1327</v>
      </c>
      <c r="I178" s="155"/>
      <c r="J178" s="178">
        <f>H178/DAY(B2)</f>
        <v>88.466666666666669</v>
      </c>
    </row>
    <row r="179" spans="1:10" ht="24" customHeight="1">
      <c r="A179" s="841" t="s">
        <v>211</v>
      </c>
      <c r="B179" s="843"/>
      <c r="C179" s="333"/>
      <c r="D179" s="228" t="s">
        <v>142</v>
      </c>
      <c r="E179" s="95">
        <f>'14'!F179</f>
        <v>37501</v>
      </c>
      <c r="F179" s="155">
        <v>37501</v>
      </c>
      <c r="G179" s="155">
        <f t="shared" ref="G179:G180" si="15">F179-E179</f>
        <v>0</v>
      </c>
      <c r="H179" s="99">
        <f>G179+'14'!H179</f>
        <v>0</v>
      </c>
      <c r="I179" s="155"/>
      <c r="J179" s="178">
        <f>H179/DAY(B2)</f>
        <v>0</v>
      </c>
    </row>
    <row r="180" spans="1:10" ht="25.5">
      <c r="A180" s="841" t="s">
        <v>212</v>
      </c>
      <c r="B180" s="843"/>
      <c r="C180" s="333"/>
      <c r="D180" s="228" t="s">
        <v>142</v>
      </c>
      <c r="E180" s="95">
        <f>'14'!F180</f>
        <v>7478</v>
      </c>
      <c r="F180" s="155">
        <v>7480</v>
      </c>
      <c r="G180" s="155">
        <f t="shared" si="15"/>
        <v>2</v>
      </c>
      <c r="H180" s="99">
        <f>G180+'14'!H180</f>
        <v>60</v>
      </c>
      <c r="I180" s="155"/>
      <c r="J180" s="178">
        <f>H180/DAY(B2)</f>
        <v>4</v>
      </c>
    </row>
    <row r="181" spans="1:10" ht="25.5">
      <c r="A181" s="927" t="s">
        <v>108</v>
      </c>
      <c r="B181" s="928"/>
      <c r="C181" s="333"/>
      <c r="D181" s="228" t="s">
        <v>142</v>
      </c>
      <c r="E181" s="95"/>
      <c r="F181" s="155"/>
      <c r="G181" s="155">
        <f>SUM(G178:G180)</f>
        <v>123</v>
      </c>
      <c r="H181" s="99">
        <f>G181+'14'!H181</f>
        <v>1387</v>
      </c>
      <c r="I181" s="155"/>
      <c r="J181" s="178">
        <f>H181/DAY(B2)</f>
        <v>92.466666666666669</v>
      </c>
    </row>
    <row r="182" spans="1:10" ht="25.5">
      <c r="A182" s="841" t="s">
        <v>213</v>
      </c>
      <c r="B182" s="843"/>
      <c r="C182" s="333"/>
      <c r="D182" s="228" t="s">
        <v>142</v>
      </c>
      <c r="E182" s="95"/>
      <c r="F182" s="155"/>
      <c r="G182" s="155"/>
      <c r="H182" s="99">
        <f>G182+'14'!H182</f>
        <v>0</v>
      </c>
      <c r="I182" s="155"/>
      <c r="J182" s="178">
        <f>H182/DAY(B2)</f>
        <v>0</v>
      </c>
    </row>
    <row r="183" spans="1:10" ht="25.5">
      <c r="A183" s="841" t="s">
        <v>214</v>
      </c>
      <c r="B183" s="843"/>
      <c r="C183" s="334"/>
      <c r="D183" s="228" t="s">
        <v>142</v>
      </c>
      <c r="E183" s="95">
        <f>'14'!F183</f>
        <v>18259</v>
      </c>
      <c r="F183" s="157">
        <v>18269</v>
      </c>
      <c r="G183" s="157">
        <f>F183-E183</f>
        <v>10</v>
      </c>
      <c r="H183" s="99">
        <f>G183+'14'!H183</f>
        <v>101</v>
      </c>
      <c r="I183" s="155"/>
      <c r="J183" s="178">
        <f>H183/DAY(B2)</f>
        <v>6.7333333333333334</v>
      </c>
    </row>
    <row r="184" spans="1:10" ht="25.5">
      <c r="A184" s="841" t="s">
        <v>215</v>
      </c>
      <c r="B184" s="843"/>
      <c r="C184" s="334"/>
      <c r="D184" s="228" t="s">
        <v>142</v>
      </c>
      <c r="E184" s="95">
        <f>'14'!F184</f>
        <v>12877</v>
      </c>
      <c r="F184" s="157">
        <v>12884</v>
      </c>
      <c r="G184" s="157">
        <f t="shared" ref="G184:G185" si="16">F184-E184</f>
        <v>7</v>
      </c>
      <c r="H184" s="99">
        <f>G184+'14'!H184</f>
        <v>134</v>
      </c>
      <c r="I184" s="155"/>
      <c r="J184" s="178">
        <f>H184/DAY(B2)</f>
        <v>8.9333333333333336</v>
      </c>
    </row>
    <row r="185" spans="1:10" ht="32.25" customHeight="1">
      <c r="A185" s="841" t="s">
        <v>216</v>
      </c>
      <c r="B185" s="843"/>
      <c r="C185" s="334"/>
      <c r="D185" s="228" t="s">
        <v>142</v>
      </c>
      <c r="E185" s="95">
        <f>'14'!F185</f>
        <v>0</v>
      </c>
      <c r="F185" s="157"/>
      <c r="G185" s="157">
        <f t="shared" si="16"/>
        <v>0</v>
      </c>
      <c r="H185" s="99">
        <f>G185+'14'!H185</f>
        <v>0</v>
      </c>
      <c r="I185" s="155"/>
      <c r="J185" s="178">
        <f>H185/DAY(B2)</f>
        <v>0</v>
      </c>
    </row>
    <row r="186" spans="1:10" ht="25.5">
      <c r="A186" s="853" t="s">
        <v>196</v>
      </c>
      <c r="B186" s="854"/>
      <c r="C186" s="334"/>
      <c r="D186" s="228" t="s">
        <v>142</v>
      </c>
      <c r="E186" s="95"/>
      <c r="F186" s="157"/>
      <c r="G186" s="157">
        <f>SUM(G183:G185)</f>
        <v>17</v>
      </c>
      <c r="H186" s="99">
        <f>G186+'14'!H186</f>
        <v>235</v>
      </c>
      <c r="I186" s="157"/>
      <c r="J186" s="178">
        <f>H186/DAY(B2)</f>
        <v>15.666666666666666</v>
      </c>
    </row>
    <row r="187" spans="1:10" ht="25.5">
      <c r="A187" s="931" t="s">
        <v>217</v>
      </c>
      <c r="B187" s="932"/>
      <c r="C187" s="333"/>
      <c r="D187" s="230" t="s">
        <v>142</v>
      </c>
      <c r="E187" s="95"/>
      <c r="F187" s="159"/>
      <c r="G187" s="377">
        <f>G62+G19</f>
        <v>159</v>
      </c>
      <c r="H187" s="99">
        <f>G187+'14'!H187</f>
        <v>2538</v>
      </c>
      <c r="I187" s="158"/>
      <c r="J187" s="179">
        <f>H187/DAY(B2)</f>
        <v>169.2</v>
      </c>
    </row>
    <row r="188" spans="1:10" ht="25.5">
      <c r="A188" s="931" t="s">
        <v>218</v>
      </c>
      <c r="B188" s="932"/>
      <c r="C188" s="333"/>
      <c r="D188" s="230" t="s">
        <v>142</v>
      </c>
      <c r="E188" s="95"/>
      <c r="F188" s="159"/>
      <c r="G188" s="377">
        <f>G65+G66+G67+G69+G70</f>
        <v>193</v>
      </c>
      <c r="H188" s="99">
        <f>G188+'14'!H188</f>
        <v>193</v>
      </c>
      <c r="I188" s="158"/>
      <c r="J188" s="179">
        <f>H188/DAY(B2)</f>
        <v>12.866666666666667</v>
      </c>
    </row>
    <row r="189" spans="1:10" ht="27" customHeight="1">
      <c r="A189" s="931" t="s">
        <v>219</v>
      </c>
      <c r="B189" s="932"/>
      <c r="C189" s="333"/>
      <c r="D189" s="230" t="s">
        <v>142</v>
      </c>
      <c r="E189" s="95"/>
      <c r="F189" s="157"/>
      <c r="G189" s="376">
        <f>G181</f>
        <v>123</v>
      </c>
      <c r="H189" s="99">
        <f>G189+'14'!H189</f>
        <v>1387</v>
      </c>
      <c r="I189" s="158"/>
      <c r="J189" s="179">
        <f>H189/DAY(B2)</f>
        <v>92.466666666666669</v>
      </c>
    </row>
    <row r="190" spans="1:10" ht="27" customHeight="1">
      <c r="A190" s="925"/>
      <c r="B190" s="926"/>
      <c r="C190" s="398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7" customHeight="1"/>
    <row r="192" spans="1:10" ht="27" customHeight="1"/>
    <row r="193" ht="27" customHeight="1"/>
    <row r="194" ht="27" customHeight="1"/>
    <row r="195" ht="27" customHeight="1"/>
    <row r="196" ht="27" customHeight="1"/>
    <row r="197" ht="27" customHeight="1"/>
    <row r="198" ht="27" customHeight="1"/>
    <row r="199" ht="27" customHeight="1"/>
    <row r="200" ht="27" customHeight="1"/>
    <row r="201" ht="27" customHeight="1"/>
    <row r="202" ht="27" customHeight="1"/>
    <row r="203" ht="27" customHeight="1"/>
    <row r="204" ht="27" customHeight="1"/>
    <row r="205" ht="27" customHeight="1"/>
    <row r="206" ht="27" customHeight="1"/>
    <row r="207" ht="27" customHeight="1"/>
    <row r="208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  <row r="238" ht="27" customHeight="1"/>
    <row r="239" ht="27" customHeight="1"/>
    <row r="240" ht="27" customHeight="1"/>
    <row r="241" ht="27" customHeight="1"/>
    <row r="242" ht="27" customHeight="1"/>
    <row r="243" ht="27" customHeight="1"/>
    <row r="244" ht="27" customHeight="1"/>
    <row r="245" ht="27" customHeight="1"/>
    <row r="246" ht="27" customHeight="1"/>
    <row r="247" ht="27" customHeight="1"/>
    <row r="248" ht="27" customHeight="1"/>
    <row r="249" ht="27" customHeight="1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8:C158"/>
    <mergeCell ref="A159:C159"/>
    <mergeCell ref="A186:B186"/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2:B182"/>
    <mergeCell ref="A183:B183"/>
    <mergeCell ref="A181:B181"/>
    <mergeCell ref="A173:B173"/>
    <mergeCell ref="A174:B174"/>
    <mergeCell ref="A175:C175"/>
    <mergeCell ref="A176:B176"/>
    <mergeCell ref="A177:B177"/>
    <mergeCell ref="A166:B166"/>
    <mergeCell ref="A167:B167"/>
    <mergeCell ref="A168:B168"/>
    <mergeCell ref="A171:J171"/>
    <mergeCell ref="A172:B172"/>
    <mergeCell ref="A139:C139"/>
    <mergeCell ref="A140:C140"/>
    <mergeCell ref="A141:C141"/>
    <mergeCell ref="A142:C142"/>
    <mergeCell ref="A160:J160"/>
    <mergeCell ref="A133:C133"/>
    <mergeCell ref="A134:C134"/>
    <mergeCell ref="A136:J136"/>
    <mergeCell ref="A138:C138"/>
    <mergeCell ref="A148:C148"/>
    <mergeCell ref="A149:C149"/>
    <mergeCell ref="A143:C143"/>
    <mergeCell ref="A144:C144"/>
    <mergeCell ref="A145:C145"/>
    <mergeCell ref="A146:C146"/>
    <mergeCell ref="A147:C147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Q116:R116"/>
    <mergeCell ref="A117:C117"/>
    <mergeCell ref="Q117:R117"/>
    <mergeCell ref="A118:C118"/>
    <mergeCell ref="Q118:R118"/>
    <mergeCell ref="A119:C119"/>
    <mergeCell ref="A116:C116"/>
    <mergeCell ref="A120:C120"/>
    <mergeCell ref="A121:C121"/>
    <mergeCell ref="A113:C113"/>
    <mergeCell ref="A126:J126"/>
    <mergeCell ref="A127:B127"/>
    <mergeCell ref="A128:C128"/>
    <mergeCell ref="A131:C131"/>
    <mergeCell ref="A132:C132"/>
    <mergeCell ref="A122:C122"/>
    <mergeCell ref="A124:C124"/>
    <mergeCell ref="A125:B125"/>
    <mergeCell ref="A81:C81"/>
    <mergeCell ref="A115:C115"/>
    <mergeCell ref="A103:C103"/>
    <mergeCell ref="A61:C61"/>
    <mergeCell ref="A62:C62"/>
    <mergeCell ref="A63:C63"/>
    <mergeCell ref="A71:C71"/>
    <mergeCell ref="A72:B72"/>
    <mergeCell ref="A73:C73"/>
    <mergeCell ref="A74:C74"/>
    <mergeCell ref="A75:C75"/>
    <mergeCell ref="A64:C64"/>
    <mergeCell ref="A65:C65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1:C111"/>
    <mergeCell ref="A112:C112"/>
    <mergeCell ref="A78:C78"/>
    <mergeCell ref="A114:C114"/>
    <mergeCell ref="A135:B13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2:C102"/>
    <mergeCell ref="A123:C123"/>
    <mergeCell ref="A95:C95"/>
    <mergeCell ref="A96:C96"/>
    <mergeCell ref="A109:B109"/>
    <mergeCell ref="A93:C93"/>
    <mergeCell ref="A94:C94"/>
    <mergeCell ref="A76:C76"/>
    <mergeCell ref="A77:C77"/>
    <mergeCell ref="A79:C79"/>
    <mergeCell ref="A80:C80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B3F26-230B-45AC-B879-32E8C971102B}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  <pageSetUpPr fitToPage="1"/>
  </sheetPr>
  <dimension ref="A1:R270"/>
  <sheetViews>
    <sheetView view="pageBreakPreview" topLeftCell="A4" zoomScale="55" zoomScaleNormal="90" zoomScaleSheetLayoutView="55" workbookViewId="0">
      <selection activeCell="F162" sqref="F162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30" style="413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867" t="s">
        <v>115</v>
      </c>
      <c r="B1" s="868"/>
      <c r="C1" s="868"/>
      <c r="D1" s="868"/>
      <c r="E1" s="868"/>
      <c r="F1" s="868"/>
      <c r="G1" s="868"/>
      <c r="H1" s="868"/>
      <c r="I1" s="868"/>
      <c r="J1" s="869"/>
    </row>
    <row r="2" spans="1:16" s="57" customFormat="1" ht="23.25">
      <c r="A2" s="191" t="s">
        <v>349</v>
      </c>
      <c r="B2" s="262">
        <v>44697</v>
      </c>
      <c r="C2" s="348" t="s">
        <v>67</v>
      </c>
      <c r="D2" s="218">
        <v>1</v>
      </c>
      <c r="E2" s="100"/>
      <c r="F2" s="348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3.25">
      <c r="A3" s="189"/>
      <c r="B3" s="221"/>
      <c r="C3" s="348" t="s">
        <v>118</v>
      </c>
      <c r="D3" s="219">
        <v>28</v>
      </c>
      <c r="E3" s="876" t="s">
        <v>119</v>
      </c>
      <c r="F3" s="877"/>
      <c r="G3" s="101"/>
      <c r="H3" s="102"/>
      <c r="I3" s="102"/>
      <c r="J3" s="222"/>
      <c r="K3" s="61"/>
      <c r="L3" s="58"/>
    </row>
    <row r="4" spans="1:16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20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6.25">
      <c r="A6" s="870" t="s">
        <v>128</v>
      </c>
      <c r="B6" s="871"/>
      <c r="C6" s="872"/>
      <c r="D6" s="110"/>
      <c r="E6" s="110"/>
      <c r="F6" s="111"/>
      <c r="G6" s="110"/>
      <c r="H6" s="111"/>
      <c r="I6" s="111"/>
      <c r="J6" s="174"/>
      <c r="K6" s="78"/>
      <c r="L6" s="66"/>
    </row>
    <row r="7" spans="1:16" ht="27" thickBot="1">
      <c r="A7" s="194" t="s">
        <v>129</v>
      </c>
      <c r="B7" s="195"/>
      <c r="C7" s="195"/>
      <c r="D7" s="151" t="s">
        <v>130</v>
      </c>
      <c r="E7" s="95">
        <f>'15'!F7</f>
        <v>620345</v>
      </c>
      <c r="F7" s="95">
        <v>644019</v>
      </c>
      <c r="G7" s="112">
        <f>F7-E7</f>
        <v>23674</v>
      </c>
      <c r="H7" s="99">
        <f>G7+'15'!H7</f>
        <v>370336.45</v>
      </c>
      <c r="I7" s="113">
        <f>'1'!I7</f>
        <v>12000</v>
      </c>
      <c r="J7" s="175">
        <f>H7/DAY(B2)</f>
        <v>23146.028125000001</v>
      </c>
      <c r="K7" s="172">
        <v>1375467</v>
      </c>
      <c r="L7" s="66"/>
      <c r="N7" s="87"/>
      <c r="O7" s="71"/>
    </row>
    <row r="8" spans="1:16" ht="27" thickBot="1">
      <c r="A8" s="196" t="s">
        <v>131</v>
      </c>
      <c r="B8" s="197"/>
      <c r="C8" s="198"/>
      <c r="D8" s="224" t="s">
        <v>24</v>
      </c>
      <c r="E8" s="95">
        <f>'15'!F8</f>
        <v>799828</v>
      </c>
      <c r="F8" s="114">
        <v>823682</v>
      </c>
      <c r="G8" s="115">
        <f>F8-E8</f>
        <v>23854</v>
      </c>
      <c r="H8" s="99">
        <f>G8+'15'!H8</f>
        <v>372421</v>
      </c>
      <c r="I8" s="116"/>
      <c r="J8" s="175">
        <f>H8/DAY(B2)</f>
        <v>23276.3125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6.25">
      <c r="A9" s="199" t="s">
        <v>132</v>
      </c>
      <c r="B9" s="200"/>
      <c r="C9" s="200"/>
      <c r="D9" s="151" t="s">
        <v>130</v>
      </c>
      <c r="E9" s="95">
        <f>'15'!F9</f>
        <v>4221768.7</v>
      </c>
      <c r="F9" s="468">
        <v>4233175.9000000004</v>
      </c>
      <c r="G9" s="112">
        <f>F9-E9</f>
        <v>11407.200000000186</v>
      </c>
      <c r="H9" s="99">
        <f>G9+'15'!H9</f>
        <v>119005.60000000056</v>
      </c>
      <c r="I9" s="124">
        <f>I7-J7</f>
        <v>-11146.028125000001</v>
      </c>
      <c r="J9" s="175">
        <f>H9/DAY(B2)</f>
        <v>7437.8500000000349</v>
      </c>
      <c r="K9" s="79">
        <f>K8-100</f>
        <v>1715817</v>
      </c>
      <c r="L9" s="66"/>
      <c r="N9" s="87"/>
      <c r="O9" s="71"/>
    </row>
    <row r="10" spans="1:16" ht="26.25">
      <c r="A10" s="194" t="s">
        <v>133</v>
      </c>
      <c r="B10" s="195"/>
      <c r="C10" s="195"/>
      <c r="D10" s="151" t="s">
        <v>130</v>
      </c>
      <c r="E10" s="95">
        <f>'15'!F10</f>
        <v>3918990</v>
      </c>
      <c r="F10" s="353">
        <v>3930789.9</v>
      </c>
      <c r="G10" s="112">
        <f t="shared" ref="G10:G12" si="0">F10-E10</f>
        <v>11799.899999999907</v>
      </c>
      <c r="H10" s="99">
        <f>G10+'15'!H10</f>
        <v>241310.79999999981</v>
      </c>
      <c r="I10" s="282"/>
      <c r="J10" s="175">
        <f>H10/DAY(B2)</f>
        <v>15081.924999999988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'15'!F11</f>
        <v>38120</v>
      </c>
      <c r="F11" s="95">
        <v>38120</v>
      </c>
      <c r="G11" s="112">
        <f t="shared" si="0"/>
        <v>0</v>
      </c>
      <c r="H11" s="99">
        <f>G11+'15'!H11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'15'!F12</f>
        <v>40550</v>
      </c>
      <c r="F12" s="117">
        <v>40550</v>
      </c>
      <c r="G12" s="112">
        <f t="shared" si="0"/>
        <v>0</v>
      </c>
      <c r="H12" s="99">
        <f>G12+'15'!H12</f>
        <v>160</v>
      </c>
      <c r="I12" s="282"/>
      <c r="J12" s="175">
        <f>H12/DAY(B2)</f>
        <v>10</v>
      </c>
      <c r="K12" s="79"/>
      <c r="L12" s="66"/>
      <c r="N12" s="87"/>
      <c r="O12" s="71"/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23207.100000000093</v>
      </c>
      <c r="H13" s="99">
        <f>G13+'15'!H13</f>
        <v>364705.10000000009</v>
      </c>
      <c r="I13" s="120">
        <f>G7-G13</f>
        <v>466.89999999990687</v>
      </c>
      <c r="J13" s="175">
        <f>H13/DAY(B2)</f>
        <v>22794.068750000006</v>
      </c>
      <c r="K13" s="79"/>
      <c r="L13" s="66"/>
      <c r="N13" s="87"/>
      <c r="O13" s="71"/>
    </row>
    <row r="14" spans="1:16" ht="26.25">
      <c r="A14" s="873" t="s">
        <v>137</v>
      </c>
      <c r="B14" s="874"/>
      <c r="C14" s="87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5" t="s">
        <v>138</v>
      </c>
      <c r="B15" s="205"/>
      <c r="C15" s="205"/>
      <c r="D15" s="151" t="s">
        <v>139</v>
      </c>
      <c r="E15" s="95">
        <f>'15'!F15</f>
        <v>2235252</v>
      </c>
      <c r="F15" s="468">
        <v>2236278</v>
      </c>
      <c r="G15" s="112">
        <f>(F15-E15)</f>
        <v>1026</v>
      </c>
      <c r="H15" s="99">
        <f>G15+'15'!H15</f>
        <v>17337</v>
      </c>
      <c r="I15" s="113">
        <f>'1'!I15</f>
        <v>800</v>
      </c>
      <c r="J15" s="175">
        <f>H15/DAY(B2)</f>
        <v>1083.5625</v>
      </c>
      <c r="K15" s="79"/>
      <c r="L15" s="66"/>
      <c r="N15" s="87"/>
      <c r="O15" s="71"/>
      <c r="P15" s="425"/>
    </row>
    <row r="16" spans="1:16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-283.5625</v>
      </c>
      <c r="J16" s="176"/>
      <c r="K16" s="79"/>
      <c r="L16" s="66"/>
      <c r="N16" s="87"/>
      <c r="O16" s="71"/>
    </row>
    <row r="17" spans="1:15" ht="26.25">
      <c r="A17" s="873" t="s">
        <v>140</v>
      </c>
      <c r="B17" s="874"/>
      <c r="C17" s="87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64" t="s">
        <v>141</v>
      </c>
      <c r="B18" s="865"/>
      <c r="C18" s="866"/>
      <c r="D18" s="151" t="s">
        <v>142</v>
      </c>
      <c r="E18" s="95">
        <f>'15'!F18</f>
        <v>33</v>
      </c>
      <c r="F18" s="164">
        <v>27</v>
      </c>
      <c r="G18" s="119">
        <f>F18*10</f>
        <v>270</v>
      </c>
      <c r="H18" s="99">
        <f>G18+'15'!H18</f>
        <v>4420</v>
      </c>
      <c r="I18" s="113">
        <f>'1'!I18</f>
        <v>65</v>
      </c>
      <c r="J18" s="175">
        <f>H18/DAY(B2)</f>
        <v>276.25</v>
      </c>
      <c r="K18" s="79"/>
      <c r="L18" s="66"/>
      <c r="N18" s="87"/>
      <c r="O18" s="71"/>
    </row>
    <row r="19" spans="1:15" ht="25.5">
      <c r="A19" s="864" t="s">
        <v>69</v>
      </c>
      <c r="B19" s="865"/>
      <c r="C19" s="866"/>
      <c r="D19" s="151" t="s">
        <v>142</v>
      </c>
      <c r="E19" s="95">
        <f>'15'!F19</f>
        <v>168762</v>
      </c>
      <c r="F19" s="164">
        <v>168730</v>
      </c>
      <c r="G19" s="112">
        <v>52</v>
      </c>
      <c r="H19" s="99">
        <f>G19+'15'!H19</f>
        <v>854</v>
      </c>
      <c r="I19" s="335"/>
      <c r="J19" s="175">
        <f>H19/DAY(B2)</f>
        <v>53.375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322</v>
      </c>
      <c r="H20" s="99">
        <f>G20+'15'!H20</f>
        <v>5274</v>
      </c>
      <c r="I20" s="336">
        <f>I18-J20</f>
        <v>-264.625</v>
      </c>
      <c r="J20" s="175">
        <f>H20/DAY(B2)</f>
        <v>329.625</v>
      </c>
      <c r="K20" s="79"/>
      <c r="L20" s="66"/>
      <c r="N20" s="87"/>
      <c r="O20" s="71"/>
    </row>
    <row r="21" spans="1:15" ht="26.25">
      <c r="A21" s="873" t="s">
        <v>144</v>
      </c>
      <c r="B21" s="874"/>
      <c r="C21" s="87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'15'!F22</f>
        <v>2970</v>
      </c>
      <c r="F22" s="122">
        <v>2970</v>
      </c>
      <c r="G22" s="119">
        <f t="shared" ref="G22" si="1">(F22-E22)</f>
        <v>0</v>
      </c>
      <c r="H22" s="99">
        <f>G22+'15'!H22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'15'!F23</f>
        <v>1860</v>
      </c>
      <c r="F23" s="122">
        <v>1860</v>
      </c>
      <c r="G23" s="119">
        <v>0</v>
      </c>
      <c r="H23" s="99">
        <f>G23+'15'!H23</f>
        <v>-100</v>
      </c>
      <c r="I23" s="118"/>
      <c r="J23" s="175">
        <f>H23/DAY(B2)</f>
        <v>-6.25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'15'!F24</f>
        <v>4970</v>
      </c>
      <c r="F24" s="128">
        <v>4970</v>
      </c>
      <c r="G24" s="119">
        <v>0</v>
      </c>
      <c r="H24" s="99">
        <f>G24+'15'!H24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78" t="s">
        <v>149</v>
      </c>
      <c r="B25" s="879"/>
      <c r="C25" s="880"/>
      <c r="D25" s="110"/>
      <c r="E25" s="110"/>
      <c r="F25" s="111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23854</v>
      </c>
      <c r="F27" s="136">
        <v>9</v>
      </c>
      <c r="G27" s="137">
        <f>E27*F27</f>
        <v>214686</v>
      </c>
      <c r="H27" s="99">
        <f>G27+'15'!H27</f>
        <v>3374379.8</v>
      </c>
      <c r="I27" s="138"/>
      <c r="J27" s="175">
        <f>H27/DAY(B2)</f>
        <v>210898.73749999999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1026</v>
      </c>
      <c r="F28" s="136">
        <v>70</v>
      </c>
      <c r="G28" s="137">
        <f>E28*F28</f>
        <v>71820</v>
      </c>
      <c r="H28" s="99">
        <f>G28+'15'!H28</f>
        <v>1224101.7500000005</v>
      </c>
      <c r="I28" s="140"/>
      <c r="J28" s="175">
        <f>H28/DAY(B2)</f>
        <v>76506.359375000029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G29+'15'!H29</f>
        <v>6900</v>
      </c>
      <c r="I29" s="140"/>
      <c r="J29" s="175">
        <f>H29/DAY(B2)</f>
        <v>431.25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151</v>
      </c>
      <c r="G30" s="137">
        <f>E30*F30</f>
        <v>7852</v>
      </c>
      <c r="H30" s="99">
        <f>G30+'15'!H30</f>
        <v>128954</v>
      </c>
      <c r="I30" s="140"/>
      <c r="J30" s="175">
        <f>H30/DAY(B2)</f>
        <v>8059.625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270</v>
      </c>
      <c r="F31" s="136">
        <v>80</v>
      </c>
      <c r="G31" s="137">
        <f>E31*F31</f>
        <v>21600</v>
      </c>
      <c r="H31" s="99">
        <f>G31+'15'!H31</f>
        <v>353600</v>
      </c>
      <c r="I31" s="140"/>
      <c r="J31" s="175">
        <f>H31/DAY(B2)</f>
        <v>22100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315958</v>
      </c>
      <c r="H32" s="99">
        <f>G32+'15'!H32</f>
        <v>5087935.5500000007</v>
      </c>
      <c r="I32" s="144"/>
      <c r="J32" s="175">
        <f>H32/DAY(B2)</f>
        <v>317995.97187500005</v>
      </c>
      <c r="K32" s="63"/>
      <c r="L32" s="89"/>
      <c r="N32" s="87"/>
      <c r="O32" s="71"/>
    </row>
    <row r="33" spans="1:15" ht="25.5" customHeight="1">
      <c r="A33" s="881" t="s">
        <v>331</v>
      </c>
      <c r="B33" s="882"/>
      <c r="C33" s="882"/>
      <c r="D33" s="337"/>
      <c r="E33" s="337"/>
      <c r="F33" s="410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1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'15'!F35</f>
        <v>411257</v>
      </c>
      <c r="F35" s="117">
        <v>414048.37</v>
      </c>
      <c r="G35" s="112">
        <f t="shared" ref="G35:G46" si="2">F35-E35</f>
        <v>2791.3699999999953</v>
      </c>
      <c r="H35" s="99">
        <f>G35+'15'!H35</f>
        <v>44951.460000000021</v>
      </c>
      <c r="I35" s="95"/>
      <c r="J35" s="175">
        <f>H35/DAY(B2)</f>
        <v>2809.4662500000013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'15'!F36</f>
        <v>338797</v>
      </c>
      <c r="F36" s="117">
        <v>339821.79</v>
      </c>
      <c r="G36" s="112">
        <f t="shared" si="2"/>
        <v>1024.789999999979</v>
      </c>
      <c r="H36" s="99">
        <f>G36+'15'!H36</f>
        <v>17604.679999999993</v>
      </c>
      <c r="I36" s="95"/>
      <c r="J36" s="175">
        <f>H36/DAY(B2)</f>
        <v>1100.2924999999996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'15'!F37</f>
        <v>322998.69</v>
      </c>
      <c r="F37" s="117">
        <v>322998.69</v>
      </c>
      <c r="G37" s="112">
        <f t="shared" si="2"/>
        <v>0</v>
      </c>
      <c r="H37" s="99">
        <f>G37+'15'!H37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'15'!F38</f>
        <v>770899</v>
      </c>
      <c r="F38" s="95">
        <v>770899.59</v>
      </c>
      <c r="G38" s="112">
        <f t="shared" si="2"/>
        <v>0.58999999996740371</v>
      </c>
      <c r="H38" s="99">
        <f>G38+'15'!H38</f>
        <v>35047.199999999953</v>
      </c>
      <c r="I38" s="95"/>
      <c r="J38" s="175">
        <f>H38/DAY(B2)</f>
        <v>2190.4499999999971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'15'!F39</f>
        <v>591584</v>
      </c>
      <c r="F39" s="117">
        <v>591584.18999999994</v>
      </c>
      <c r="G39" s="112">
        <f t="shared" si="2"/>
        <v>0.18999999994412065</v>
      </c>
      <c r="H39" s="99">
        <f>G39+'15'!H39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'15'!F40</f>
        <v>202879</v>
      </c>
      <c r="F40" s="117">
        <v>203200.13</v>
      </c>
      <c r="G40" s="112">
        <f t="shared" si="2"/>
        <v>321.13000000000466</v>
      </c>
      <c r="H40" s="99">
        <f>G40+'15'!H40</f>
        <v>6470.1600000000035</v>
      </c>
      <c r="I40" s="95"/>
      <c r="J40" s="175">
        <f>H40/DAY(B2)</f>
        <v>404.38500000000022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'15'!F41</f>
        <v>419197</v>
      </c>
      <c r="F41" s="117">
        <v>419197.47</v>
      </c>
      <c r="G41" s="112">
        <f t="shared" si="2"/>
        <v>0.46999999997206032</v>
      </c>
      <c r="H41" s="99">
        <f>G41+'15'!H41</f>
        <v>29.879999999946449</v>
      </c>
      <c r="I41" s="95"/>
      <c r="J41" s="175">
        <f>H41/DAY(B2)</f>
        <v>1.8674999999966531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'15'!F42</f>
        <v>883182</v>
      </c>
      <c r="F42" s="117">
        <v>888597.75</v>
      </c>
      <c r="G42" s="112">
        <f t="shared" si="2"/>
        <v>5415.75</v>
      </c>
      <c r="H42" s="99">
        <f>G42+'15'!H42</f>
        <v>16726.880000000005</v>
      </c>
      <c r="I42" s="95"/>
      <c r="J42" s="175">
        <f>H42/DAY(B2)</f>
        <v>1045.4300000000003</v>
      </c>
      <c r="K42" s="79"/>
      <c r="L42" s="66"/>
      <c r="N42" s="87" t="s">
        <v>377</v>
      </c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'15'!F43</f>
        <v>407028</v>
      </c>
      <c r="F43" s="117">
        <v>412113</v>
      </c>
      <c r="G43" s="112">
        <f t="shared" si="2"/>
        <v>5085</v>
      </c>
      <c r="H43" s="99">
        <f>G43+'15'!H43</f>
        <v>5085</v>
      </c>
      <c r="I43" s="95"/>
      <c r="J43" s="175">
        <f>H43/DAY(B2)</f>
        <v>317.8125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'15'!F44</f>
        <v>0</v>
      </c>
      <c r="F44" s="117">
        <v>0</v>
      </c>
      <c r="G44" s="112">
        <f t="shared" si="2"/>
        <v>0</v>
      </c>
      <c r="H44" s="99">
        <f>G44+'15'!H44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'15'!F45</f>
        <v>0</v>
      </c>
      <c r="F45" s="117">
        <v>0</v>
      </c>
      <c r="G45" s="112">
        <f t="shared" si="2"/>
        <v>0</v>
      </c>
      <c r="H45" s="99">
        <f>G45+'15'!H45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'15'!F46</f>
        <v>0</v>
      </c>
      <c r="F46" s="117">
        <v>0</v>
      </c>
      <c r="G46" s="112">
        <f t="shared" si="2"/>
        <v>0</v>
      </c>
      <c r="H46" s="99">
        <f>G46+'15'!H46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51"/>
      <c r="G47" s="119">
        <f>G35+G36+G37+G38+G39+G40+G41+G42+G43+G44+G45+G46</f>
        <v>14639.289999999863</v>
      </c>
      <c r="H47" s="99">
        <f>G47+'15'!H47</f>
        <v>125915.25999999992</v>
      </c>
      <c r="I47" s="95"/>
      <c r="J47" s="175">
        <f>H47/DAY(B2)</f>
        <v>7869.7037499999951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1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'15'!F49</f>
        <v>800001</v>
      </c>
      <c r="F49" s="117">
        <v>800495.75</v>
      </c>
      <c r="G49" s="112">
        <f t="shared" ref="G49:G58" si="3">F49-E49</f>
        <v>494.75</v>
      </c>
      <c r="H49" s="99">
        <f>G49+'15'!H49</f>
        <v>6872.8000000000466</v>
      </c>
      <c r="I49" s="95"/>
      <c r="J49" s="175">
        <f>H49/DAY(B2)</f>
        <v>429.55000000000291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'15'!F50</f>
        <v>479598</v>
      </c>
      <c r="F50" s="117">
        <v>480927.27</v>
      </c>
      <c r="G50" s="112">
        <f t="shared" si="3"/>
        <v>1329.2700000000186</v>
      </c>
      <c r="H50" s="99">
        <f>G50+'15'!H50</f>
        <v>24258.200000000012</v>
      </c>
      <c r="I50" s="95"/>
      <c r="J50" s="175">
        <f>H50/DAY(B2)</f>
        <v>1516.1375000000007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'15'!F51</f>
        <v>151314</v>
      </c>
      <c r="F51" s="117">
        <v>152352.43</v>
      </c>
      <c r="G51" s="112">
        <f t="shared" si="3"/>
        <v>1038.429999999993</v>
      </c>
      <c r="H51" s="99">
        <f>G51+'15'!H51</f>
        <v>17107.880000000005</v>
      </c>
      <c r="I51" s="95"/>
      <c r="J51" s="175">
        <f>H51/DAY(B2)</f>
        <v>1069.2425000000003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'15'!F52</f>
        <v>9.76</v>
      </c>
      <c r="F52" s="117">
        <v>9.76</v>
      </c>
      <c r="G52" s="112">
        <f t="shared" si="3"/>
        <v>0</v>
      </c>
      <c r="H52" s="99">
        <f>G52+'15'!H52</f>
        <v>-0.24000000000000021</v>
      </c>
      <c r="I52" s="95"/>
      <c r="J52" s="175">
        <f>H52/DAY(B2)</f>
        <v>-1.5000000000000013E-2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'15'!F53</f>
        <v>607809</v>
      </c>
      <c r="F53" s="409">
        <v>611880.27</v>
      </c>
      <c r="G53" s="236">
        <f t="shared" si="3"/>
        <v>4071.2700000000186</v>
      </c>
      <c r="H53" s="99">
        <f>G53+'15'!H53</f>
        <v>65339</v>
      </c>
      <c r="I53" s="95"/>
      <c r="J53" s="175">
        <f>H53/DAY(B2)</f>
        <v>4083.6875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'15'!F54</f>
        <v>110224</v>
      </c>
      <c r="F54" s="409">
        <v>110391.77</v>
      </c>
      <c r="G54" s="236">
        <f t="shared" si="3"/>
        <v>167.77000000000407</v>
      </c>
      <c r="H54" s="99">
        <f>G54+'15'!H54</f>
        <v>2728.6100000000006</v>
      </c>
      <c r="I54" s="95"/>
      <c r="J54" s="175">
        <f>H54/DAY(B2)</f>
        <v>170.53812500000004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'15'!F55</f>
        <v>572208</v>
      </c>
      <c r="F55" s="409">
        <v>572879.99</v>
      </c>
      <c r="G55" s="236">
        <f t="shared" si="3"/>
        <v>671.98999999999069</v>
      </c>
      <c r="H55" s="99">
        <f>G55+'15'!H55</f>
        <v>11395.319999999949</v>
      </c>
      <c r="I55" s="95"/>
      <c r="J55" s="175">
        <f>H55/DAY(B2)</f>
        <v>712.2074999999968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'15'!F56</f>
        <v>308077</v>
      </c>
      <c r="F56" s="117">
        <v>308353.45</v>
      </c>
      <c r="G56" s="112">
        <f t="shared" si="3"/>
        <v>276.45000000001164</v>
      </c>
      <c r="H56" s="99">
        <f>G56+'15'!H56</f>
        <v>40238.44</v>
      </c>
      <c r="I56" s="95"/>
      <c r="J56" s="175">
        <f>H56/DAY(B2)</f>
        <v>2514.9025000000001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'15'!F57</f>
        <v>607809</v>
      </c>
      <c r="F57" s="409">
        <v>607809</v>
      </c>
      <c r="G57" s="112">
        <f t="shared" si="3"/>
        <v>0</v>
      </c>
      <c r="H57" s="99">
        <f>G57+'15'!H57</f>
        <v>39230.530000000028</v>
      </c>
      <c r="I57" s="95"/>
      <c r="J57" s="175">
        <f>H57/DAY(B2)</f>
        <v>2451.9081250000017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'15'!F58</f>
        <v>82093</v>
      </c>
      <c r="F58" s="117">
        <v>82366.37</v>
      </c>
      <c r="G58" s="112">
        <f t="shared" si="3"/>
        <v>273.36999999999534</v>
      </c>
      <c r="H58" s="99">
        <f>G58+'15'!H58</f>
        <v>3650.679999999993</v>
      </c>
      <c r="I58" s="95"/>
      <c r="J58" s="175">
        <f>H58/DAY(B2)</f>
        <v>228.16749999999956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51"/>
      <c r="G59" s="119">
        <f>G49+G50+G51+G52+G53+G54+G55+G56+G57+G58</f>
        <v>8323.300000000032</v>
      </c>
      <c r="H59" s="99">
        <f>G59+'15'!H59</f>
        <v>210821.22000000003</v>
      </c>
      <c r="I59" s="95">
        <f>G7-G60</f>
        <v>711.41000000010536</v>
      </c>
      <c r="J59" s="175">
        <f>H59/DAY(B2)</f>
        <v>13176.326250000002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51"/>
      <c r="G60" s="119">
        <f>G47+G59</f>
        <v>22962.589999999895</v>
      </c>
      <c r="H60" s="99">
        <f>G60+'15'!H60</f>
        <v>336736.48000000004</v>
      </c>
      <c r="I60" s="95">
        <f>G13-G60</f>
        <v>244.51000000019849</v>
      </c>
      <c r="J60" s="175">
        <f>H60/DAY(B2)</f>
        <v>21046.030000000002</v>
      </c>
      <c r="K60" s="79"/>
      <c r="L60" s="66"/>
      <c r="N60" s="87"/>
      <c r="O60" s="71"/>
    </row>
    <row r="61" spans="1:15" s="68" customFormat="1" ht="26.25">
      <c r="A61" s="883" t="s">
        <v>332</v>
      </c>
      <c r="B61" s="884"/>
      <c r="C61" s="88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64" t="s">
        <v>198</v>
      </c>
      <c r="B62" s="865"/>
      <c r="C62" s="866"/>
      <c r="D62" s="151" t="s">
        <v>142</v>
      </c>
      <c r="E62" s="95">
        <f>'15'!F62</f>
        <v>310050</v>
      </c>
      <c r="F62" s="122">
        <v>310211.40000000002</v>
      </c>
      <c r="G62" s="112">
        <f t="shared" ref="G62:G63" si="4">F62-E62</f>
        <v>161.40000000002328</v>
      </c>
      <c r="H62" s="99">
        <f>G62+'15'!H62</f>
        <v>1897.4000000000233</v>
      </c>
      <c r="I62" s="118"/>
      <c r="J62" s="175">
        <f>H62/DAY(B2)</f>
        <v>118.58750000000146</v>
      </c>
      <c r="K62" s="80"/>
      <c r="L62" s="66"/>
      <c r="N62" s="87"/>
      <c r="O62" s="71"/>
    </row>
    <row r="63" spans="1:15" ht="25.5">
      <c r="A63" s="864" t="s">
        <v>199</v>
      </c>
      <c r="B63" s="865"/>
      <c r="C63" s="866"/>
      <c r="D63" s="151" t="s">
        <v>142</v>
      </c>
      <c r="E63" s="95">
        <f>'15'!F63</f>
        <v>247773</v>
      </c>
      <c r="F63" s="122">
        <v>247832</v>
      </c>
      <c r="G63" s="112">
        <f t="shared" si="4"/>
        <v>59</v>
      </c>
      <c r="H63" s="99">
        <f>G63+'15'!H63</f>
        <v>903</v>
      </c>
      <c r="I63" s="118"/>
      <c r="J63" s="175">
        <f>H63/DAY(B2)</f>
        <v>56.4375</v>
      </c>
      <c r="K63" s="69"/>
      <c r="L63" s="66"/>
      <c r="N63" s="87"/>
      <c r="O63" s="71"/>
    </row>
    <row r="64" spans="1:15" ht="26.25">
      <c r="A64" s="861" t="s">
        <v>200</v>
      </c>
      <c r="B64" s="862"/>
      <c r="C64" s="863"/>
      <c r="D64" s="151"/>
      <c r="E64" s="95">
        <v>0</v>
      </c>
      <c r="F64" s="122"/>
      <c r="G64" s="112">
        <f>G62+G63</f>
        <v>220.40000000002328</v>
      </c>
      <c r="H64" s="99">
        <f>G64+'15'!H64</f>
        <v>2800.4000000000233</v>
      </c>
      <c r="I64" s="118"/>
      <c r="J64" s="175">
        <f>H64/DAY(B2)</f>
        <v>175.02500000000146</v>
      </c>
      <c r="K64" s="69"/>
      <c r="L64" s="66"/>
      <c r="N64" s="87"/>
      <c r="O64" s="71"/>
    </row>
    <row r="65" spans="1:15" ht="25.5">
      <c r="A65" s="864" t="s">
        <v>201</v>
      </c>
      <c r="B65" s="865"/>
      <c r="C65" s="866"/>
      <c r="D65" s="151" t="s">
        <v>142</v>
      </c>
      <c r="E65" s="95">
        <f>'15'!F65</f>
        <v>469911</v>
      </c>
      <c r="F65" s="150">
        <v>470060</v>
      </c>
      <c r="G65" s="112">
        <f t="shared" ref="G65:G70" si="5">F65-E65</f>
        <v>149</v>
      </c>
      <c r="H65" s="99">
        <f>G65+'15'!H65</f>
        <v>2159</v>
      </c>
      <c r="I65" s="118"/>
      <c r="J65" s="175">
        <f>H65/DAY(B2)</f>
        <v>134.9375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'15'!F66</f>
        <v>113341</v>
      </c>
      <c r="F66" s="122">
        <v>113357</v>
      </c>
      <c r="G66" s="112">
        <f t="shared" si="5"/>
        <v>16</v>
      </c>
      <c r="H66" s="99">
        <f>G66+'15'!H66</f>
        <v>55610</v>
      </c>
      <c r="I66" s="118"/>
      <c r="J66" s="175">
        <f>H66/DAY(B2)</f>
        <v>3475.625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'15'!F67</f>
        <v>116160</v>
      </c>
      <c r="F67" s="122">
        <v>116180</v>
      </c>
      <c r="G67" s="112">
        <f t="shared" si="5"/>
        <v>20</v>
      </c>
      <c r="H67" s="99">
        <f>G67+'15'!H67</f>
        <v>325</v>
      </c>
      <c r="I67" s="118"/>
      <c r="J67" s="175">
        <f>H67/DAY(B2)</f>
        <v>20.3125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'15'!F68</f>
        <v>168951</v>
      </c>
      <c r="F68" s="122">
        <v>168994</v>
      </c>
      <c r="G68" s="112">
        <f t="shared" si="5"/>
        <v>43</v>
      </c>
      <c r="H68" s="99">
        <f>G68+'15'!H68</f>
        <v>487</v>
      </c>
      <c r="I68" s="118"/>
      <c r="J68" s="175">
        <f>H68/DAY(B2)</f>
        <v>30.4375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'15'!F69</f>
        <v>12884</v>
      </c>
      <c r="F69" s="122">
        <v>12890</v>
      </c>
      <c r="G69" s="112">
        <f t="shared" si="5"/>
        <v>6</v>
      </c>
      <c r="H69" s="99">
        <f>G69+'15'!H69</f>
        <v>80</v>
      </c>
      <c r="I69" s="118"/>
      <c r="J69" s="175">
        <f>H69/DAY(B2)</f>
        <v>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'15'!F70</f>
        <v>10888</v>
      </c>
      <c r="F70" s="122">
        <v>10894</v>
      </c>
      <c r="G70" s="112">
        <f t="shared" si="5"/>
        <v>6</v>
      </c>
      <c r="H70" s="99">
        <f>G70+'15'!H70</f>
        <v>115</v>
      </c>
      <c r="I70" s="118"/>
      <c r="J70" s="175">
        <f>H70/DAY(B2)</f>
        <v>7.1875</v>
      </c>
      <c r="K70" s="69"/>
      <c r="L70" s="66"/>
      <c r="N70" s="87"/>
      <c r="O70" s="71"/>
    </row>
    <row r="71" spans="1:15" ht="26.25">
      <c r="A71" s="861" t="s">
        <v>208</v>
      </c>
      <c r="B71" s="862"/>
      <c r="C71" s="863"/>
      <c r="D71" s="152"/>
      <c r="E71" s="152"/>
      <c r="F71" s="152"/>
      <c r="G71" s="153">
        <f>SUM(G65:G70)</f>
        <v>240</v>
      </c>
      <c r="H71" s="99">
        <f>G71+'15'!H71</f>
        <v>58776</v>
      </c>
      <c r="I71" s="154"/>
      <c r="J71" s="175">
        <f>H71/DAY(B2)</f>
        <v>3673.5</v>
      </c>
      <c r="K71" s="69"/>
      <c r="L71" s="66"/>
      <c r="N71" s="87"/>
      <c r="O71" s="71"/>
    </row>
    <row r="72" spans="1:15" s="88" customFormat="1" ht="25.5">
      <c r="A72" s="904"/>
      <c r="B72" s="896"/>
      <c r="C72" s="347"/>
      <c r="D72" s="180"/>
      <c r="E72" s="180" t="s">
        <v>207</v>
      </c>
      <c r="F72" s="411"/>
      <c r="G72" s="180"/>
      <c r="H72" s="181"/>
      <c r="I72" s="180"/>
      <c r="J72" s="182"/>
      <c r="N72" s="87"/>
      <c r="O72" s="71"/>
    </row>
    <row r="73" spans="1:15" ht="26.25">
      <c r="A73" s="909" t="s">
        <v>333</v>
      </c>
      <c r="B73" s="910"/>
      <c r="C73" s="91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64" t="s">
        <v>220</v>
      </c>
      <c r="B74" s="865"/>
      <c r="C74" s="866"/>
      <c r="D74" s="151" t="s">
        <v>139</v>
      </c>
      <c r="E74" s="95">
        <f>'15'!F74</f>
        <v>997562</v>
      </c>
      <c r="F74" s="117">
        <v>998038</v>
      </c>
      <c r="G74" s="112">
        <f t="shared" ref="G74:G78" si="6">F74-E74</f>
        <v>476</v>
      </c>
      <c r="H74" s="99">
        <f>G74+'15'!H74</f>
        <v>4678.9699999999721</v>
      </c>
      <c r="I74" s="154"/>
      <c r="J74" s="175">
        <f>H74/DAY(B2)</f>
        <v>292.43562499999825</v>
      </c>
      <c r="K74" s="69"/>
      <c r="L74" s="66"/>
      <c r="N74" s="87"/>
      <c r="O74" s="71"/>
    </row>
    <row r="75" spans="1:15" ht="25.5">
      <c r="A75" s="864" t="s">
        <v>221</v>
      </c>
      <c r="B75" s="865"/>
      <c r="C75" s="866"/>
      <c r="D75" s="151" t="s">
        <v>139</v>
      </c>
      <c r="E75" s="95">
        <f>'15'!F75</f>
        <v>73586.8</v>
      </c>
      <c r="F75" s="123">
        <v>73586.8</v>
      </c>
      <c r="G75" s="112">
        <f t="shared" si="6"/>
        <v>0</v>
      </c>
      <c r="H75" s="99">
        <f>G75+'15'!H75</f>
        <v>0.80000000000291038</v>
      </c>
      <c r="I75" s="154"/>
      <c r="J75" s="175">
        <f>H75/DAY(B2)</f>
        <v>5.0000000000181899E-2</v>
      </c>
      <c r="K75" s="69"/>
      <c r="L75" s="66"/>
      <c r="N75" s="87"/>
      <c r="O75" s="71"/>
    </row>
    <row r="76" spans="1:15" ht="25.5">
      <c r="A76" s="905" t="s">
        <v>222</v>
      </c>
      <c r="B76" s="891"/>
      <c r="C76" s="892"/>
      <c r="D76" s="151" t="s">
        <v>139</v>
      </c>
      <c r="E76" s="95">
        <f>'15'!F76</f>
        <v>205641</v>
      </c>
      <c r="F76" s="123">
        <v>205745.98</v>
      </c>
      <c r="G76" s="112">
        <f t="shared" si="6"/>
        <v>104.98000000001048</v>
      </c>
      <c r="H76" s="99">
        <f>G76+'15'!H76</f>
        <v>2083.9800000000105</v>
      </c>
      <c r="I76" s="154"/>
      <c r="J76" s="175">
        <f>H76/DAY(B2)</f>
        <v>130.24875000000065</v>
      </c>
      <c r="K76" s="69"/>
      <c r="L76" s="66"/>
      <c r="N76" s="87"/>
      <c r="O76" s="71"/>
    </row>
    <row r="77" spans="1:15" ht="25.5">
      <c r="A77" s="905" t="s">
        <v>223</v>
      </c>
      <c r="B77" s="891"/>
      <c r="C77" s="892"/>
      <c r="D77" s="151" t="s">
        <v>139</v>
      </c>
      <c r="E77" s="95">
        <f>'15'!F77</f>
        <v>57330</v>
      </c>
      <c r="F77" s="123">
        <v>57377</v>
      </c>
      <c r="G77" s="112">
        <f t="shared" si="6"/>
        <v>47</v>
      </c>
      <c r="H77" s="99">
        <f>G77+'15'!H77</f>
        <v>855</v>
      </c>
      <c r="I77" s="154"/>
      <c r="J77" s="175">
        <f>H77/DAY(B2)</f>
        <v>53.4375</v>
      </c>
      <c r="K77" s="69"/>
      <c r="L77" s="66"/>
      <c r="N77" s="87"/>
      <c r="O77" s="71"/>
    </row>
    <row r="78" spans="1:15" ht="25.5">
      <c r="A78" s="905" t="s">
        <v>224</v>
      </c>
      <c r="B78" s="891"/>
      <c r="C78" s="892"/>
      <c r="D78" s="151" t="s">
        <v>139</v>
      </c>
      <c r="E78" s="95">
        <f>'15'!F78</f>
        <v>9564</v>
      </c>
      <c r="F78" s="123">
        <v>9564</v>
      </c>
      <c r="G78" s="112">
        <f t="shared" si="6"/>
        <v>0</v>
      </c>
      <c r="H78" s="99">
        <f>G78+'15'!H78</f>
        <v>-0.3999999999996362</v>
      </c>
      <c r="I78" s="118"/>
      <c r="J78" s="175">
        <f>H78/DAY(B2)</f>
        <v>-2.4999999999977263E-2</v>
      </c>
      <c r="K78" s="69"/>
      <c r="L78" s="66"/>
      <c r="N78" s="87"/>
      <c r="O78" s="71"/>
    </row>
    <row r="79" spans="1:15" s="57" customFormat="1" ht="25.5">
      <c r="A79" s="905" t="s">
        <v>225</v>
      </c>
      <c r="B79" s="891"/>
      <c r="C79" s="892"/>
      <c r="D79" s="151"/>
      <c r="E79" s="95">
        <f>'15'!F79</f>
        <v>0</v>
      </c>
      <c r="F79" s="123"/>
      <c r="G79" s="112">
        <f>G15-SUM(G74:G78)</f>
        <v>398.01999999998952</v>
      </c>
      <c r="H79" s="99">
        <f>G79+'15'!H79</f>
        <v>9718.6500000000142</v>
      </c>
      <c r="I79" s="118"/>
      <c r="J79" s="175"/>
      <c r="K79" s="59"/>
      <c r="L79" s="58"/>
      <c r="N79" s="87"/>
      <c r="O79" s="71"/>
    </row>
    <row r="80" spans="1:15" s="57" customFormat="1" ht="26.25">
      <c r="A80" s="861" t="s">
        <v>329</v>
      </c>
      <c r="B80" s="862"/>
      <c r="C80" s="863"/>
      <c r="D80" s="151"/>
      <c r="E80" s="117"/>
      <c r="F80" s="117"/>
      <c r="G80" s="112">
        <f>SUM(G74:G79)</f>
        <v>1026</v>
      </c>
      <c r="H80" s="99">
        <f>G80+'15'!H80</f>
        <v>1026</v>
      </c>
      <c r="I80" s="118"/>
      <c r="J80" s="175"/>
      <c r="K80" s="59"/>
      <c r="L80" s="58"/>
      <c r="N80" s="87"/>
      <c r="O80" s="71"/>
    </row>
    <row r="81" spans="1:15" ht="25.5">
      <c r="A81" s="897" t="s">
        <v>226</v>
      </c>
      <c r="B81" s="898"/>
      <c r="C81" s="899"/>
      <c r="D81" s="110"/>
      <c r="E81" s="110"/>
      <c r="F81" s="111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'15'!F82</f>
        <v>0</v>
      </c>
      <c r="F82" s="122">
        <v>0</v>
      </c>
      <c r="G82" s="112">
        <f t="shared" ref="G82:G92" si="7">F82-E82</f>
        <v>0</v>
      </c>
      <c r="H82" s="99">
        <f>G82+'15'!H82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'15'!F83</f>
        <v>0</v>
      </c>
      <c r="F83" s="122">
        <v>0</v>
      </c>
      <c r="G83" s="112">
        <f t="shared" si="7"/>
        <v>0</v>
      </c>
      <c r="H83" s="99">
        <f>G83+'15'!H83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'15'!F84</f>
        <v>45540.35</v>
      </c>
      <c r="F84" s="164">
        <v>45540.35</v>
      </c>
      <c r="G84" s="112">
        <f t="shared" si="7"/>
        <v>0</v>
      </c>
      <c r="H84" s="99">
        <f>G84+'15'!H84</f>
        <v>2000.1399999999994</v>
      </c>
      <c r="I84" s="545"/>
      <c r="J84" s="175">
        <f>H84/DAY(B2)</f>
        <v>125.00874999999996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'15'!F85</f>
        <v>5735.07</v>
      </c>
      <c r="F85" s="164">
        <v>5757.43</v>
      </c>
      <c r="G85" s="112">
        <f t="shared" si="7"/>
        <v>22.360000000000582</v>
      </c>
      <c r="H85" s="99">
        <f>G85+'15'!H85</f>
        <v>73.430000000000291</v>
      </c>
      <c r="I85" s="545"/>
      <c r="J85" s="175">
        <f>H85/DAY(B2)</f>
        <v>4.5893750000000182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'15'!F86</f>
        <v>46801.42</v>
      </c>
      <c r="F86" s="164">
        <v>46811.07</v>
      </c>
      <c r="G86" s="112">
        <f t="shared" si="7"/>
        <v>9.6500000000014552</v>
      </c>
      <c r="H86" s="99">
        <f>G86+'15'!H86</f>
        <v>77.069999999999709</v>
      </c>
      <c r="I86" s="545"/>
      <c r="J86" s="175">
        <f>H86/DAY(B2)</f>
        <v>4.8168749999999818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'15'!F87</f>
        <v>36827.199999999997</v>
      </c>
      <c r="F87" s="164">
        <v>36829.230000000003</v>
      </c>
      <c r="G87" s="112">
        <f t="shared" si="7"/>
        <v>2.0300000000061118</v>
      </c>
      <c r="H87" s="99">
        <f>G87+'15'!H87</f>
        <v>279.02000000000407</v>
      </c>
      <c r="I87" s="545">
        <f>G84+G85+G86+G87</f>
        <v>34.040000000008149</v>
      </c>
      <c r="J87" s="175">
        <f>H87/DAY(B2)</f>
        <v>17.438750000000255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'15'!F88</f>
        <v>24511.8</v>
      </c>
      <c r="F88" s="164">
        <v>24511.8</v>
      </c>
      <c r="G88" s="112">
        <f t="shared" si="7"/>
        <v>0</v>
      </c>
      <c r="H88" s="99">
        <f>G88+'15'!H88</f>
        <v>0</v>
      </c>
      <c r="I88" s="545"/>
      <c r="J88" s="175">
        <f>H88/DAY(B2)</f>
        <v>0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'15'!F89</f>
        <v>28651</v>
      </c>
      <c r="F89" s="164">
        <v>28661.919999999998</v>
      </c>
      <c r="G89" s="112">
        <f t="shared" si="7"/>
        <v>10.919999999998254</v>
      </c>
      <c r="H89" s="99">
        <f>G89+'15'!H89</f>
        <v>160.21999999999753</v>
      </c>
      <c r="I89" s="545">
        <f>G88+G89</f>
        <v>10.919999999998254</v>
      </c>
      <c r="J89" s="175">
        <f>H89/DAY(B2)</f>
        <v>10.013749999999845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'15'!F90</f>
        <v>74036</v>
      </c>
      <c r="F90" s="164">
        <v>74046.47</v>
      </c>
      <c r="G90" s="112">
        <f t="shared" si="7"/>
        <v>10.470000000001164</v>
      </c>
      <c r="H90" s="99">
        <f>G90+'15'!H90</f>
        <v>185.86999999999534</v>
      </c>
      <c r="I90" s="545">
        <f>G90</f>
        <v>10.470000000001164</v>
      </c>
      <c r="J90" s="175">
        <f>H90/DAY(B2)</f>
        <v>11.616874999999709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'15'!F91</f>
        <v>5486.7</v>
      </c>
      <c r="F91" s="122">
        <v>5497.88</v>
      </c>
      <c r="G91" s="112">
        <f t="shared" si="7"/>
        <v>11.180000000000291</v>
      </c>
      <c r="H91" s="99">
        <f>G91+'15'!H91</f>
        <v>145.10999999999967</v>
      </c>
      <c r="I91" s="546"/>
      <c r="J91" s="175">
        <f>H91/DAY(B2)</f>
        <v>9.0693749999999795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'15'!F92</f>
        <v>7031.67</v>
      </c>
      <c r="F92" s="122">
        <v>7031.67</v>
      </c>
      <c r="G92" s="112">
        <f t="shared" si="7"/>
        <v>0</v>
      </c>
      <c r="H92" s="99">
        <f>G92+'15'!H92</f>
        <v>31.670000000000073</v>
      </c>
      <c r="I92" s="547">
        <f>G91+G92</f>
        <v>11.180000000000291</v>
      </c>
      <c r="J92" s="175">
        <f>H92/DAY(B2)</f>
        <v>1.9793750000000045</v>
      </c>
      <c r="O92" s="71"/>
    </row>
    <row r="93" spans="1:15" ht="26.25">
      <c r="A93" s="906" t="s">
        <v>239</v>
      </c>
      <c r="B93" s="907"/>
      <c r="C93" s="90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64" t="s">
        <v>240</v>
      </c>
      <c r="B94" s="865"/>
      <c r="C94" s="866"/>
      <c r="D94" s="151" t="s">
        <v>130</v>
      </c>
      <c r="E94" s="151"/>
      <c r="F94" s="151"/>
      <c r="G94" s="99">
        <f>G35+G43+G49+G57</f>
        <v>8371.1199999999953</v>
      </c>
      <c r="H94" s="99">
        <f>G94+'15'!H94</f>
        <v>96139.790000000095</v>
      </c>
      <c r="I94" s="118"/>
      <c r="J94" s="175">
        <f>H94/DAY(B2)</f>
        <v>6008.736875000006</v>
      </c>
      <c r="K94" s="69"/>
      <c r="L94" s="66"/>
      <c r="O94" s="71"/>
    </row>
    <row r="95" spans="1:15" ht="25.5">
      <c r="A95" s="864" t="s">
        <v>241</v>
      </c>
      <c r="B95" s="865"/>
      <c r="C95" s="866"/>
      <c r="D95" s="151" t="s">
        <v>23</v>
      </c>
      <c r="E95" s="146"/>
      <c r="F95" s="151"/>
      <c r="G95" s="166">
        <f>G94/G7</f>
        <v>0.35359972966123154</v>
      </c>
      <c r="H95" s="99">
        <f>G95+'15'!H95</f>
        <v>4.1473873717286578</v>
      </c>
      <c r="I95" s="167"/>
      <c r="J95" s="175">
        <f>H95/DAY(B2)</f>
        <v>0.25921171073304111</v>
      </c>
      <c r="K95" s="69"/>
      <c r="L95" s="66"/>
      <c r="O95" s="71"/>
    </row>
    <row r="96" spans="1:15" ht="25.5">
      <c r="A96" s="864" t="s">
        <v>242</v>
      </c>
      <c r="B96" s="865"/>
      <c r="C96" s="866"/>
      <c r="D96" s="151" t="s">
        <v>130</v>
      </c>
      <c r="E96" s="95"/>
      <c r="F96" s="95"/>
      <c r="G96" s="99">
        <f>G41+G42+G55+G56</f>
        <v>6364.6599999999744</v>
      </c>
      <c r="H96" s="99">
        <f>G96+'15'!H96</f>
        <v>68390.519999999902</v>
      </c>
      <c r="I96" s="118"/>
      <c r="J96" s="175">
        <f>H96/DAY(B2)</f>
        <v>4274.4074999999939</v>
      </c>
      <c r="K96" s="69"/>
      <c r="L96" s="66"/>
      <c r="O96" s="71"/>
    </row>
    <row r="97" spans="1:15" ht="25.5">
      <c r="A97" s="864" t="s">
        <v>243</v>
      </c>
      <c r="B97" s="865"/>
      <c r="C97" s="866"/>
      <c r="D97" s="151" t="s">
        <v>23</v>
      </c>
      <c r="E97" s="95"/>
      <c r="F97" s="95"/>
      <c r="G97" s="166">
        <f>G96/G7</f>
        <v>0.26884599138295068</v>
      </c>
      <c r="H97" s="99">
        <f>G97+'15'!H97</f>
        <v>2.9278114620225724</v>
      </c>
      <c r="I97" s="167"/>
      <c r="J97" s="175">
        <f>H97/DAY(B2)</f>
        <v>0.18298821637641077</v>
      </c>
      <c r="K97" s="69"/>
      <c r="L97" s="66"/>
      <c r="O97" s="71"/>
    </row>
    <row r="98" spans="1:15" ht="25.5">
      <c r="A98" s="864" t="s">
        <v>244</v>
      </c>
      <c r="B98" s="865"/>
      <c r="C98" s="866"/>
      <c r="D98" s="151" t="s">
        <v>130</v>
      </c>
      <c r="E98" s="95"/>
      <c r="F98" s="95"/>
      <c r="G98" s="99">
        <f>G39+G53</f>
        <v>4071.4599999999627</v>
      </c>
      <c r="H98" s="99">
        <f>G98+'15'!H98</f>
        <v>65339</v>
      </c>
      <c r="I98" s="168"/>
      <c r="J98" s="175">
        <f>H98/DAY(B2)</f>
        <v>4083.6875</v>
      </c>
      <c r="K98" s="69"/>
      <c r="L98" s="66"/>
      <c r="O98" s="71"/>
    </row>
    <row r="99" spans="1:15" ht="25.5">
      <c r="A99" s="864" t="s">
        <v>245</v>
      </c>
      <c r="B99" s="865"/>
      <c r="C99" s="866"/>
      <c r="D99" s="151" t="s">
        <v>23</v>
      </c>
      <c r="E99" s="95"/>
      <c r="F99" s="95"/>
      <c r="G99" s="166">
        <f>G98/G7</f>
        <v>0.17198023147756875</v>
      </c>
      <c r="H99" s="99">
        <f>G99+'15'!H99</f>
        <v>2.8286892583420173</v>
      </c>
      <c r="I99" s="168"/>
      <c r="J99" s="175">
        <f>H99/DAY(B2)</f>
        <v>0.17679307864637608</v>
      </c>
      <c r="O99" s="71"/>
    </row>
    <row r="100" spans="1:15" ht="26.25">
      <c r="A100" s="864" t="s">
        <v>246</v>
      </c>
      <c r="B100" s="865"/>
      <c r="C100" s="866"/>
      <c r="D100" s="151" t="s">
        <v>180</v>
      </c>
      <c r="E100" s="95"/>
      <c r="F100" s="95"/>
      <c r="G100" s="99">
        <f>G38+G52</f>
        <v>0.58999999996740371</v>
      </c>
      <c r="H100" s="99">
        <f>G100+'15'!H100</f>
        <v>35046.959999999955</v>
      </c>
      <c r="I100" s="118"/>
      <c r="J100" s="175">
        <f>H100/DAY(B2)</f>
        <v>2190.4349999999972</v>
      </c>
      <c r="K100" s="70"/>
      <c r="O100" s="71"/>
    </row>
    <row r="101" spans="1:15" ht="25.5">
      <c r="A101" s="864" t="s">
        <v>247</v>
      </c>
      <c r="B101" s="865"/>
      <c r="C101" s="866"/>
      <c r="D101" s="151" t="s">
        <v>23</v>
      </c>
      <c r="E101" s="95"/>
      <c r="F101" s="95"/>
      <c r="G101" s="166">
        <f>G100/G7</f>
        <v>2.4921855198420364E-5</v>
      </c>
      <c r="H101" s="99">
        <f>G101+'15'!H101</f>
        <v>1.523478303120791</v>
      </c>
      <c r="I101" s="168"/>
      <c r="J101" s="175">
        <f>H101/DAY(B2)</f>
        <v>9.5217393945049439E-2</v>
      </c>
      <c r="O101" s="71"/>
    </row>
    <row r="102" spans="1:15" ht="25.5">
      <c r="A102" s="864" t="s">
        <v>248</v>
      </c>
      <c r="B102" s="865"/>
      <c r="C102" s="866"/>
      <c r="D102" s="151" t="s">
        <v>180</v>
      </c>
      <c r="E102" s="95"/>
      <c r="F102" s="95"/>
      <c r="G102" s="99">
        <f>G36+G50</f>
        <v>2354.0599999999977</v>
      </c>
      <c r="H102" s="99">
        <f>G102+'15'!H102</f>
        <v>41862.880000000005</v>
      </c>
      <c r="I102" s="168"/>
      <c r="J102" s="175">
        <f>H102/DAY(B2)</f>
        <v>2616.4300000000003</v>
      </c>
      <c r="O102" s="71"/>
    </row>
    <row r="103" spans="1:15" ht="25.5">
      <c r="A103" s="864" t="s">
        <v>249</v>
      </c>
      <c r="B103" s="865"/>
      <c r="C103" s="866"/>
      <c r="D103" s="151" t="s">
        <v>23</v>
      </c>
      <c r="E103" s="95"/>
      <c r="F103" s="95"/>
      <c r="G103" s="166">
        <f>G102/G7</f>
        <v>9.9436512629889229E-2</v>
      </c>
      <c r="H103" s="99">
        <f>G103+'15'!H103</f>
        <v>1.809564877103838</v>
      </c>
      <c r="I103" s="118"/>
      <c r="J103" s="175">
        <f>H103/DAY(B2)</f>
        <v>0.11309780481898987</v>
      </c>
      <c r="O103" s="71"/>
    </row>
    <row r="104" spans="1:15" ht="25.5">
      <c r="A104" s="864" t="s">
        <v>250</v>
      </c>
      <c r="B104" s="865"/>
      <c r="C104" s="866"/>
      <c r="D104" s="151" t="s">
        <v>180</v>
      </c>
      <c r="E104" s="95"/>
      <c r="F104" s="95"/>
      <c r="G104" s="99">
        <f>G37+G51</f>
        <v>1038.429999999993</v>
      </c>
      <c r="H104" s="99">
        <f>G104+'15'!H104</f>
        <v>17107.880000000005</v>
      </c>
      <c r="I104" s="118"/>
      <c r="J104" s="175">
        <f>H104/DAY(B2)</f>
        <v>1069.2425000000003</v>
      </c>
      <c r="O104" s="71"/>
    </row>
    <row r="105" spans="1:15" ht="26.25" thickBot="1">
      <c r="A105" s="901" t="s">
        <v>251</v>
      </c>
      <c r="B105" s="902"/>
      <c r="C105" s="903"/>
      <c r="D105" s="231" t="s">
        <v>23</v>
      </c>
      <c r="E105" s="185"/>
      <c r="F105" s="185"/>
      <c r="G105" s="186">
        <f>G104/G7</f>
        <v>4.3863732364619122E-2</v>
      </c>
      <c r="H105" s="99">
        <f>G105+'15'!H105</f>
        <v>0.74016771349776811</v>
      </c>
      <c r="I105" s="187"/>
      <c r="J105" s="188">
        <f>H105/DAY(B2)</f>
        <v>4.6260482093610507E-2</v>
      </c>
      <c r="O105" s="71"/>
    </row>
    <row r="106" spans="1:15" ht="25.5">
      <c r="A106" s="105"/>
      <c r="B106" s="96"/>
      <c r="C106" s="96"/>
      <c r="D106" s="169"/>
      <c r="E106" s="169"/>
      <c r="F106" s="412"/>
      <c r="G106" s="169"/>
      <c r="H106" s="170"/>
      <c r="I106" s="169"/>
      <c r="J106" s="171"/>
      <c r="O106" s="71"/>
    </row>
    <row r="107" spans="1:15" ht="26.25"/>
    <row r="108" spans="1:15" ht="27.75">
      <c r="A108" s="915" t="s">
        <v>324</v>
      </c>
      <c r="B108" s="915"/>
      <c r="C108" s="915"/>
      <c r="D108" s="915"/>
      <c r="E108" s="915"/>
      <c r="F108" s="915"/>
      <c r="G108" s="915"/>
      <c r="H108" s="915"/>
      <c r="I108" s="915"/>
      <c r="J108" s="915"/>
    </row>
    <row r="109" spans="1:15" ht="26.25">
      <c r="A109" s="900"/>
      <c r="B109" s="900"/>
    </row>
    <row r="110" spans="1:15" ht="26.25">
      <c r="A110" s="916" t="s">
        <v>165</v>
      </c>
      <c r="B110" s="917"/>
      <c r="C110" s="917"/>
      <c r="D110" s="917"/>
      <c r="E110" s="917"/>
      <c r="F110" s="917"/>
      <c r="G110" s="917"/>
      <c r="H110" s="917"/>
      <c r="I110" s="917"/>
      <c r="J110" s="918"/>
    </row>
    <row r="111" spans="1:15" ht="25.5">
      <c r="A111" s="919"/>
      <c r="B111" s="920"/>
      <c r="C111" s="921"/>
      <c r="D111" s="165"/>
      <c r="E111" s="165"/>
      <c r="F111" s="155"/>
      <c r="G111" s="165"/>
      <c r="H111" s="156"/>
      <c r="I111" s="165"/>
      <c r="J111" s="327"/>
    </row>
    <row r="112" spans="1:15" ht="25.5">
      <c r="A112" s="894" t="s">
        <v>252</v>
      </c>
      <c r="B112" s="895"/>
      <c r="C112" s="896"/>
      <c r="D112" s="146" t="s">
        <v>183</v>
      </c>
      <c r="E112" s="95">
        <f>'15'!F112</f>
        <v>16528</v>
      </c>
      <c r="F112" s="237">
        <v>16591</v>
      </c>
      <c r="G112" s="112">
        <f t="shared" ref="G112:G123" si="8">F112-E112</f>
        <v>63</v>
      </c>
      <c r="H112" s="99">
        <f>G112+'15'!H112</f>
        <v>977.20000000000073</v>
      </c>
      <c r="I112" s="165"/>
      <c r="J112" s="328">
        <f>H112/DAY(B2)</f>
        <v>61.075000000000045</v>
      </c>
    </row>
    <row r="113" spans="1:18" ht="29.25" customHeight="1">
      <c r="A113" s="894" t="s">
        <v>253</v>
      </c>
      <c r="B113" s="895"/>
      <c r="C113" s="896"/>
      <c r="D113" s="146" t="s">
        <v>183</v>
      </c>
      <c r="E113" s="95">
        <f>'15'!F113</f>
        <v>34638</v>
      </c>
      <c r="F113" s="237">
        <v>34792</v>
      </c>
      <c r="G113" s="112">
        <f t="shared" si="8"/>
        <v>154</v>
      </c>
      <c r="H113" s="99">
        <f>G113+'15'!H113</f>
        <v>2341.3300000000017</v>
      </c>
      <c r="I113" s="165"/>
      <c r="J113" s="328">
        <f>H113/DAY(B2)</f>
        <v>146.33312500000011</v>
      </c>
    </row>
    <row r="114" spans="1:18" ht="29.25" customHeight="1">
      <c r="A114" s="894" t="s">
        <v>254</v>
      </c>
      <c r="B114" s="895"/>
      <c r="C114" s="896"/>
      <c r="D114" s="146" t="s">
        <v>183</v>
      </c>
      <c r="E114" s="95">
        <f>'15'!F114</f>
        <v>51085</v>
      </c>
      <c r="F114" s="416">
        <v>51287.9</v>
      </c>
      <c r="G114" s="112">
        <f t="shared" si="8"/>
        <v>202.90000000000146</v>
      </c>
      <c r="H114" s="99">
        <f>G114+'15'!H114</f>
        <v>3321.5999999999985</v>
      </c>
      <c r="I114" s="165"/>
      <c r="J114" s="328">
        <f>H114/DAY(B2)</f>
        <v>207.59999999999991</v>
      </c>
    </row>
    <row r="115" spans="1:18" ht="29.25" customHeight="1">
      <c r="A115" s="894" t="s">
        <v>255</v>
      </c>
      <c r="B115" s="895"/>
      <c r="C115" s="896"/>
      <c r="D115" s="146" t="s">
        <v>183</v>
      </c>
      <c r="E115" s="95">
        <f>'15'!F115</f>
        <v>32683</v>
      </c>
      <c r="F115" s="467">
        <v>32832.6</v>
      </c>
      <c r="G115" s="236">
        <f t="shared" si="8"/>
        <v>149.59999999999854</v>
      </c>
      <c r="H115" s="99">
        <f>G115+'15'!H115</f>
        <v>2396.1999999999971</v>
      </c>
      <c r="I115" s="165"/>
      <c r="J115" s="328">
        <f>H115/DAY(B2)</f>
        <v>149.76249999999982</v>
      </c>
      <c r="N115" s="469" t="s">
        <v>363</v>
      </c>
    </row>
    <row r="116" spans="1:18" ht="29.25" customHeight="1">
      <c r="A116" s="912" t="s">
        <v>96</v>
      </c>
      <c r="B116" s="913"/>
      <c r="C116" s="914"/>
      <c r="D116" s="146" t="s">
        <v>183</v>
      </c>
      <c r="E116" s="95">
        <f>'15'!F116</f>
        <v>128648</v>
      </c>
      <c r="F116" s="237">
        <v>128977.9</v>
      </c>
      <c r="G116" s="112">
        <f t="shared" si="8"/>
        <v>329.89999999999418</v>
      </c>
      <c r="H116" s="99">
        <f>G116+'15'!H116</f>
        <v>6117.6999999999971</v>
      </c>
      <c r="I116" s="165"/>
      <c r="J116" s="328">
        <f>H116/DAY(B2)</f>
        <v>382.35624999999982</v>
      </c>
      <c r="Q116" s="894"/>
      <c r="R116" s="896"/>
    </row>
    <row r="117" spans="1:18" ht="29.25" customHeight="1">
      <c r="A117" s="912" t="s">
        <v>184</v>
      </c>
      <c r="B117" s="913"/>
      <c r="C117" s="914"/>
      <c r="D117" s="146" t="s">
        <v>183</v>
      </c>
      <c r="E117" s="95">
        <f>'15'!F117</f>
        <v>77854</v>
      </c>
      <c r="F117" s="237">
        <v>78130.73</v>
      </c>
      <c r="G117" s="112">
        <f t="shared" si="8"/>
        <v>276.72999999999593</v>
      </c>
      <c r="H117" s="99">
        <f>G117+'15'!H117</f>
        <v>4149.5299999999988</v>
      </c>
      <c r="I117" s="165"/>
      <c r="J117" s="328">
        <f>H117/DAY(B2)</f>
        <v>259.34562499999993</v>
      </c>
      <c r="Q117" s="894"/>
      <c r="R117" s="896"/>
    </row>
    <row r="118" spans="1:18" ht="25.5">
      <c r="A118" s="889" t="s">
        <v>97</v>
      </c>
      <c r="B118" s="889"/>
      <c r="C118" s="889"/>
      <c r="D118" s="151" t="s">
        <v>183</v>
      </c>
      <c r="E118" s="95">
        <f>'15'!F118</f>
        <v>148274</v>
      </c>
      <c r="F118" s="237">
        <v>148906.07999999999</v>
      </c>
      <c r="G118" s="112">
        <f t="shared" si="8"/>
        <v>632.07999999998719</v>
      </c>
      <c r="H118" s="99">
        <f>G118+'15'!H118</f>
        <v>10093.629999999976</v>
      </c>
      <c r="I118" s="165"/>
      <c r="J118" s="328">
        <f>H118/DAY(B2)</f>
        <v>630.85187499999847</v>
      </c>
      <c r="Q118" s="894"/>
      <c r="R118" s="896"/>
    </row>
    <row r="119" spans="1:18" ht="25.5">
      <c r="A119" s="889" t="s">
        <v>98</v>
      </c>
      <c r="B119" s="889"/>
      <c r="C119" s="889"/>
      <c r="D119" s="151" t="s">
        <v>183</v>
      </c>
      <c r="E119" s="95">
        <f>'15'!F119</f>
        <v>43532</v>
      </c>
      <c r="F119" s="467">
        <v>43545.9</v>
      </c>
      <c r="G119" s="112">
        <f t="shared" si="8"/>
        <v>13.900000000001455</v>
      </c>
      <c r="H119" s="99">
        <f>G119+'15'!H119</f>
        <v>192.20000000000437</v>
      </c>
      <c r="I119" s="165"/>
      <c r="J119" s="328">
        <f>H119/DAY(B2)</f>
        <v>12.012500000000273</v>
      </c>
    </row>
    <row r="120" spans="1:18" ht="25.5">
      <c r="A120" s="889" t="s">
        <v>99</v>
      </c>
      <c r="B120" s="889"/>
      <c r="C120" s="889"/>
      <c r="D120" s="151" t="s">
        <v>183</v>
      </c>
      <c r="E120" s="95">
        <f>'15'!F120</f>
        <v>101854</v>
      </c>
      <c r="F120" s="237">
        <v>102273.3</v>
      </c>
      <c r="G120" s="112">
        <f t="shared" si="8"/>
        <v>419.30000000000291</v>
      </c>
      <c r="H120" s="99">
        <f>G120+'15'!H120</f>
        <v>6565.6999999999971</v>
      </c>
      <c r="I120" s="165"/>
      <c r="J120" s="328">
        <f>H120/DAY(B2)</f>
        <v>410.35624999999982</v>
      </c>
    </row>
    <row r="121" spans="1:18" ht="25.5">
      <c r="A121" s="889" t="s">
        <v>100</v>
      </c>
      <c r="B121" s="889"/>
      <c r="C121" s="889"/>
      <c r="D121" s="151" t="s">
        <v>183</v>
      </c>
      <c r="E121" s="95">
        <f>'15'!F121</f>
        <v>114223</v>
      </c>
      <c r="F121" s="237">
        <v>114674.7</v>
      </c>
      <c r="G121" s="112">
        <f t="shared" si="8"/>
        <v>451.69999999999709</v>
      </c>
      <c r="H121" s="99">
        <f>G121+'15'!H121</f>
        <v>6845.6499999999942</v>
      </c>
      <c r="I121" s="165"/>
      <c r="J121" s="328">
        <f>H121/DAY(B2)</f>
        <v>427.85312499999964</v>
      </c>
    </row>
    <row r="122" spans="1:18" ht="25.5">
      <c r="A122" s="889" t="s">
        <v>101</v>
      </c>
      <c r="B122" s="889"/>
      <c r="C122" s="889"/>
      <c r="D122" s="151" t="s">
        <v>183</v>
      </c>
      <c r="E122" s="95">
        <f>'15'!F122</f>
        <v>76265</v>
      </c>
      <c r="F122" s="237">
        <v>76613.600000000006</v>
      </c>
      <c r="G122" s="112">
        <f t="shared" si="8"/>
        <v>348.60000000000582</v>
      </c>
      <c r="H122" s="99">
        <f>G122+'15'!H122</f>
        <v>5575.7000000000116</v>
      </c>
      <c r="I122" s="165"/>
      <c r="J122" s="328">
        <f>H122/DAY(B2)</f>
        <v>348.48125000000073</v>
      </c>
    </row>
    <row r="123" spans="1:18" ht="25.5">
      <c r="A123" s="889" t="s">
        <v>102</v>
      </c>
      <c r="B123" s="889"/>
      <c r="C123" s="889"/>
      <c r="D123" s="151" t="s">
        <v>183</v>
      </c>
      <c r="E123" s="95">
        <f>'15'!F123</f>
        <v>72970</v>
      </c>
      <c r="F123" s="237">
        <v>73275.47</v>
      </c>
      <c r="G123" s="112">
        <f t="shared" si="8"/>
        <v>305.47000000000116</v>
      </c>
      <c r="H123" s="99">
        <f>G123+'15'!H123</f>
        <v>4918.1699999999983</v>
      </c>
      <c r="I123" s="165"/>
      <c r="J123" s="328">
        <f>H123/DAY(B2)</f>
        <v>307.38562499999989</v>
      </c>
    </row>
    <row r="124" spans="1:18" ht="29.25" customHeight="1">
      <c r="A124" s="919"/>
      <c r="B124" s="920"/>
      <c r="C124" s="921"/>
      <c r="D124" s="165"/>
      <c r="E124" s="165"/>
      <c r="F124" s="155"/>
      <c r="G124" s="327"/>
      <c r="H124" s="156"/>
      <c r="I124" s="165"/>
      <c r="J124" s="327"/>
    </row>
    <row r="125" spans="1:18" ht="25.5">
      <c r="A125" s="853" t="s">
        <v>196</v>
      </c>
      <c r="B125" s="854"/>
      <c r="C125" s="245"/>
      <c r="D125" s="307"/>
      <c r="E125" s="308"/>
      <c r="F125" s="308"/>
      <c r="G125" s="309">
        <f>SUM(G112:G124)</f>
        <v>3347.1799999999857</v>
      </c>
      <c r="H125" s="156"/>
      <c r="I125" s="327">
        <f>G125-(G39+G53)</f>
        <v>-724.27999999997701</v>
      </c>
      <c r="J125" s="327"/>
    </row>
    <row r="126" spans="1:18" ht="25.5">
      <c r="A126" s="922" t="s">
        <v>317</v>
      </c>
      <c r="B126" s="922"/>
      <c r="C126" s="922"/>
      <c r="D126" s="922"/>
      <c r="E126" s="922"/>
      <c r="F126" s="922"/>
      <c r="G126" s="922"/>
      <c r="H126" s="922"/>
      <c r="I126" s="922"/>
      <c r="J126" s="922"/>
    </row>
    <row r="127" spans="1:18" ht="25.5">
      <c r="A127" s="923"/>
      <c r="B127" s="923"/>
      <c r="C127" s="245"/>
      <c r="D127" s="307"/>
      <c r="E127" s="308"/>
      <c r="F127" s="308"/>
      <c r="G127" s="309"/>
      <c r="H127" s="99">
        <f>G127+'15'!H127</f>
        <v>0</v>
      </c>
      <c r="I127" s="165"/>
      <c r="J127" s="328">
        <f>H127/DAY(B2)</f>
        <v>0</v>
      </c>
    </row>
    <row r="128" spans="1:18" ht="29.25" customHeight="1">
      <c r="A128" s="894" t="s">
        <v>318</v>
      </c>
      <c r="B128" s="895"/>
      <c r="C128" s="896"/>
      <c r="D128" s="151" t="s">
        <v>183</v>
      </c>
      <c r="E128" s="95">
        <f>'15'!F128</f>
        <v>185101</v>
      </c>
      <c r="F128" s="155">
        <v>185424.55</v>
      </c>
      <c r="G128" s="112">
        <f t="shared" ref="G128:G134" si="9">F128-E128</f>
        <v>323.54999999998836</v>
      </c>
      <c r="H128" s="99">
        <f>G128+'15'!H128</f>
        <v>6012.6999999999825</v>
      </c>
      <c r="I128" s="165"/>
      <c r="J128" s="328">
        <f>H128/DAY(B2)</f>
        <v>375.79374999999891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'15'!F129</f>
        <v>98713</v>
      </c>
      <c r="F129" s="155">
        <v>98878</v>
      </c>
      <c r="G129" s="112">
        <f t="shared" si="9"/>
        <v>165</v>
      </c>
      <c r="H129" s="99">
        <f>G129+'15'!H129</f>
        <v>2848.5</v>
      </c>
      <c r="I129" s="165"/>
      <c r="J129" s="328">
        <f>H129/DAY(B2)</f>
        <v>178.03125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'15'!F130</f>
        <v>257291</v>
      </c>
      <c r="F130" s="157">
        <v>258198.83</v>
      </c>
      <c r="G130" s="112">
        <f t="shared" si="9"/>
        <v>907.82999999998719</v>
      </c>
      <c r="H130" s="99">
        <f>G130+'15'!H130</f>
        <v>11359.079999999987</v>
      </c>
      <c r="I130" s="165"/>
      <c r="J130" s="328">
        <f>H130/DAY(B2)</f>
        <v>709.9424999999992</v>
      </c>
      <c r="N130" s="240"/>
      <c r="O130" s="241"/>
    </row>
    <row r="131" spans="1:15" ht="25.5">
      <c r="A131" s="894" t="s">
        <v>321</v>
      </c>
      <c r="B131" s="895"/>
      <c r="C131" s="896"/>
      <c r="D131" s="151" t="s">
        <v>183</v>
      </c>
      <c r="E131" s="95">
        <f>'15'!F131</f>
        <v>77254</v>
      </c>
      <c r="F131" s="155">
        <v>77407.100000000006</v>
      </c>
      <c r="G131" s="112">
        <f t="shared" si="9"/>
        <v>153.10000000000582</v>
      </c>
      <c r="H131" s="99">
        <f>G131+'15'!H131</f>
        <v>3896.5</v>
      </c>
      <c r="I131" s="165"/>
      <c r="J131" s="328">
        <f>H131/DAY(B2)</f>
        <v>243.53125</v>
      </c>
      <c r="N131" s="240"/>
      <c r="O131" s="241"/>
    </row>
    <row r="132" spans="1:15" ht="25.5">
      <c r="A132" s="894" t="s">
        <v>322</v>
      </c>
      <c r="B132" s="895"/>
      <c r="C132" s="896"/>
      <c r="D132" s="151" t="s">
        <v>183</v>
      </c>
      <c r="E132" s="95">
        <f>'15'!F132</f>
        <v>148274</v>
      </c>
      <c r="F132" s="155">
        <v>148274</v>
      </c>
      <c r="G132" s="112">
        <f t="shared" si="9"/>
        <v>0</v>
      </c>
      <c r="H132" s="99">
        <f>G132+'15'!H132</f>
        <v>1289</v>
      </c>
      <c r="I132" s="165"/>
      <c r="J132" s="328">
        <f>H132/DAY(B2)</f>
        <v>80.5625</v>
      </c>
    </row>
    <row r="133" spans="1:15" ht="25.5">
      <c r="A133" s="894" t="s">
        <v>359</v>
      </c>
      <c r="B133" s="895"/>
      <c r="C133" s="896"/>
      <c r="D133" s="151" t="s">
        <v>183</v>
      </c>
      <c r="E133" s="95">
        <f>'15'!F133</f>
        <v>921349</v>
      </c>
      <c r="F133" s="157">
        <v>922046</v>
      </c>
      <c r="G133" s="112">
        <f t="shared" si="9"/>
        <v>697</v>
      </c>
      <c r="H133" s="99">
        <f>G133+'15'!H133</f>
        <v>11802</v>
      </c>
      <c r="I133" s="165"/>
      <c r="J133" s="328">
        <f>H133/DAY(B2)</f>
        <v>737.625</v>
      </c>
    </row>
    <row r="134" spans="1:15" s="408" customFormat="1" ht="25.5">
      <c r="A134" s="952" t="s">
        <v>340</v>
      </c>
      <c r="B134" s="953"/>
      <c r="C134" s="954"/>
      <c r="D134" s="233" t="s">
        <v>183</v>
      </c>
      <c r="E134" s="405">
        <f>'15'!F134</f>
        <v>81971</v>
      </c>
      <c r="F134" s="157">
        <v>82147.5</v>
      </c>
      <c r="G134" s="236">
        <f t="shared" si="9"/>
        <v>176.5</v>
      </c>
      <c r="H134" s="238">
        <f>G134+'15'!H134</f>
        <v>3387.8999999999942</v>
      </c>
      <c r="I134" s="158"/>
      <c r="J134" s="407">
        <f>H134/DAY(B2)</f>
        <v>211.74374999999964</v>
      </c>
    </row>
    <row r="135" spans="1:15" ht="25.5">
      <c r="A135" s="853" t="s">
        <v>196</v>
      </c>
      <c r="B135" s="854"/>
      <c r="C135" s="331"/>
      <c r="D135" s="151"/>
      <c r="E135" s="95"/>
      <c r="F135" s="155"/>
      <c r="G135" s="112">
        <f>SUM(G128:G134)</f>
        <v>2422.9799999999814</v>
      </c>
      <c r="H135" s="99">
        <f>G135+'10'!H135</f>
        <v>27096.449999999968</v>
      </c>
      <c r="I135" s="327">
        <f>G135-(G35+G49)</f>
        <v>-863.14000000001397</v>
      </c>
      <c r="J135" s="328"/>
    </row>
    <row r="136" spans="1:15" ht="27.75">
      <c r="A136" s="924" t="s">
        <v>325</v>
      </c>
      <c r="B136" s="924"/>
      <c r="C136" s="924"/>
      <c r="D136" s="924"/>
      <c r="E136" s="924"/>
      <c r="F136" s="924"/>
      <c r="G136" s="924"/>
      <c r="H136" s="924"/>
      <c r="I136" s="924"/>
      <c r="J136" s="924"/>
    </row>
    <row r="137" spans="1:15" ht="26.25">
      <c r="A137" s="245"/>
      <c r="B137" s="246"/>
      <c r="C137" s="246"/>
      <c r="D137" s="165"/>
      <c r="E137" s="165"/>
      <c r="F137" s="155"/>
      <c r="G137" s="165"/>
      <c r="H137" s="156"/>
      <c r="I137" s="165"/>
      <c r="J137" s="327"/>
    </row>
    <row r="138" spans="1:15" s="408" customFormat="1" ht="25.5">
      <c r="A138" s="955" t="s">
        <v>185</v>
      </c>
      <c r="B138" s="955"/>
      <c r="C138" s="955"/>
      <c r="D138" s="233" t="s">
        <v>183</v>
      </c>
      <c r="E138" s="405">
        <f>'15'!F138</f>
        <v>8587</v>
      </c>
      <c r="F138" s="753">
        <v>8737</v>
      </c>
      <c r="G138" s="236">
        <f t="shared" ref="G138:G152" si="10">F138-E138</f>
        <v>150</v>
      </c>
      <c r="H138" s="238">
        <f>G138+'15'!H138</f>
        <v>1939</v>
      </c>
      <c r="I138" s="406"/>
      <c r="J138" s="407">
        <f>H138/DAY(B2)</f>
        <v>121.1875</v>
      </c>
    </row>
    <row r="139" spans="1:15" ht="25.5">
      <c r="A139" s="889" t="s">
        <v>186</v>
      </c>
      <c r="B139" s="889"/>
      <c r="C139" s="889"/>
      <c r="D139" s="151" t="s">
        <v>183</v>
      </c>
      <c r="E139" s="120">
        <f>'15'!F139</f>
        <v>929778</v>
      </c>
      <c r="F139" s="147">
        <v>929961</v>
      </c>
      <c r="G139" s="112">
        <f t="shared" si="10"/>
        <v>183</v>
      </c>
      <c r="H139" s="99">
        <f>G139+'15'!H139</f>
        <v>2680</v>
      </c>
      <c r="I139" s="118"/>
      <c r="J139" s="328">
        <f>H139/DAY(B2)</f>
        <v>167.5</v>
      </c>
    </row>
    <row r="140" spans="1:15" ht="25.5">
      <c r="A140" s="889" t="s">
        <v>187</v>
      </c>
      <c r="B140" s="889"/>
      <c r="C140" s="889"/>
      <c r="D140" s="151" t="s">
        <v>183</v>
      </c>
      <c r="E140" s="95">
        <f>'15'!F140</f>
        <v>3673</v>
      </c>
      <c r="F140" s="149">
        <v>3697.2</v>
      </c>
      <c r="G140" s="112">
        <f t="shared" si="10"/>
        <v>24.199999999999818</v>
      </c>
      <c r="H140" s="99">
        <f>G140+'15'!H140</f>
        <v>366.09999999999991</v>
      </c>
      <c r="I140" s="118"/>
      <c r="J140" s="328">
        <f>H140/DAY(B2)</f>
        <v>22.881249999999994</v>
      </c>
    </row>
    <row r="141" spans="1:15" ht="25.5">
      <c r="A141" s="893" t="s">
        <v>188</v>
      </c>
      <c r="B141" s="893"/>
      <c r="C141" s="893"/>
      <c r="D141" s="151" t="s">
        <v>183</v>
      </c>
      <c r="E141" s="95">
        <f>'15'!F141</f>
        <v>121052</v>
      </c>
      <c r="F141" s="149">
        <v>121298.69</v>
      </c>
      <c r="G141" s="112">
        <f t="shared" si="10"/>
        <v>246.69000000000233</v>
      </c>
      <c r="H141" s="99">
        <f>G141+'15'!H141</f>
        <v>3740.7100000000064</v>
      </c>
      <c r="I141" s="118"/>
      <c r="J141" s="328">
        <f>H141/DAY(B2)</f>
        <v>233.7943750000004</v>
      </c>
    </row>
    <row r="142" spans="1:15" ht="25.5">
      <c r="A142" s="893" t="s">
        <v>189</v>
      </c>
      <c r="B142" s="893"/>
      <c r="C142" s="893"/>
      <c r="D142" s="151" t="s">
        <v>183</v>
      </c>
      <c r="E142" s="95">
        <f>'15'!F142</f>
        <v>48921</v>
      </c>
      <c r="F142" s="148">
        <v>49025.63</v>
      </c>
      <c r="G142" s="112">
        <f t="shared" si="10"/>
        <v>104.62999999999738</v>
      </c>
      <c r="H142" s="99">
        <f>G142+'15'!H142</f>
        <v>1521.1299999999974</v>
      </c>
      <c r="I142" s="140"/>
      <c r="J142" s="328">
        <f>H142/DAY(B2)</f>
        <v>95.070624999999836</v>
      </c>
    </row>
    <row r="143" spans="1:15" ht="25.5">
      <c r="A143" s="889" t="s">
        <v>91</v>
      </c>
      <c r="B143" s="889"/>
      <c r="C143" s="889"/>
      <c r="D143" s="151" t="s">
        <v>183</v>
      </c>
      <c r="E143" s="95">
        <f>'15'!F143</f>
        <v>12882</v>
      </c>
      <c r="F143" s="149">
        <v>12911.9</v>
      </c>
      <c r="G143" s="112">
        <f t="shared" si="10"/>
        <v>29.899999999999636</v>
      </c>
      <c r="H143" s="99">
        <f>G143+'15'!H143</f>
        <v>496.5</v>
      </c>
      <c r="I143" s="140"/>
      <c r="J143" s="328">
        <f>H143/DAY(B2)</f>
        <v>31.03125</v>
      </c>
    </row>
    <row r="144" spans="1:15" ht="25.5">
      <c r="A144" s="893" t="s">
        <v>90</v>
      </c>
      <c r="B144" s="893"/>
      <c r="C144" s="893"/>
      <c r="D144" s="151" t="s">
        <v>183</v>
      </c>
      <c r="E144" s="120">
        <f>'15'!F144</f>
        <v>951695</v>
      </c>
      <c r="F144" s="147">
        <v>951935</v>
      </c>
      <c r="G144" s="112">
        <f t="shared" si="10"/>
        <v>240</v>
      </c>
      <c r="H144" s="99">
        <f>G144+'15'!H144</f>
        <v>3737</v>
      </c>
      <c r="I144" s="140"/>
      <c r="J144" s="328">
        <f>H144/DAY(B2)</f>
        <v>233.5625</v>
      </c>
    </row>
    <row r="145" spans="1:14" ht="25.5">
      <c r="A145" s="889" t="s">
        <v>190</v>
      </c>
      <c r="B145" s="889"/>
      <c r="C145" s="889"/>
      <c r="D145" s="152" t="s">
        <v>183</v>
      </c>
      <c r="E145" s="95">
        <f>'15'!F145</f>
        <v>24803</v>
      </c>
      <c r="F145" s="148">
        <v>24979.3</v>
      </c>
      <c r="G145" s="112">
        <f t="shared" si="10"/>
        <v>176.29999999999927</v>
      </c>
      <c r="H145" s="99">
        <f>G145+'15'!H145</f>
        <v>2383.2000000000007</v>
      </c>
      <c r="I145" s="140"/>
      <c r="J145" s="328">
        <f>H145/DAY(B2)</f>
        <v>148.95000000000005</v>
      </c>
    </row>
    <row r="146" spans="1:14" ht="25.5">
      <c r="A146" s="890" t="s">
        <v>191</v>
      </c>
      <c r="B146" s="891"/>
      <c r="C146" s="892"/>
      <c r="D146" s="152" t="s">
        <v>183</v>
      </c>
      <c r="E146" s="95">
        <f>'15'!F146</f>
        <v>787300</v>
      </c>
      <c r="F146" s="148">
        <v>787328</v>
      </c>
      <c r="G146" s="112">
        <f t="shared" si="10"/>
        <v>28</v>
      </c>
      <c r="H146" s="99">
        <f>G146+'15'!H146</f>
        <v>660</v>
      </c>
      <c r="I146" s="140"/>
      <c r="J146" s="328">
        <f>H146/DAY(B2)</f>
        <v>41.25</v>
      </c>
    </row>
    <row r="147" spans="1:14" ht="25.5">
      <c r="A147" s="893" t="s">
        <v>192</v>
      </c>
      <c r="B147" s="893"/>
      <c r="C147" s="893"/>
      <c r="D147" s="152" t="s">
        <v>183</v>
      </c>
      <c r="E147" s="95">
        <f>'15'!F147</f>
        <v>754010</v>
      </c>
      <c r="F147" s="148">
        <v>754413.14</v>
      </c>
      <c r="G147" s="112">
        <f t="shared" si="10"/>
        <v>403.14000000001397</v>
      </c>
      <c r="H147" s="99">
        <f>G147+'15'!H147</f>
        <v>6858.9799999999814</v>
      </c>
      <c r="I147" s="140"/>
      <c r="J147" s="328">
        <f>H147/DAY(B2)</f>
        <v>428.68624999999884</v>
      </c>
    </row>
    <row r="148" spans="1:14" ht="25.5">
      <c r="A148" s="886" t="s">
        <v>193</v>
      </c>
      <c r="B148" s="887"/>
      <c r="C148" s="888"/>
      <c r="D148" s="123" t="s">
        <v>130</v>
      </c>
      <c r="E148" s="95">
        <f>'15'!F148</f>
        <v>790617</v>
      </c>
      <c r="F148" s="164">
        <v>790977.52</v>
      </c>
      <c r="G148" s="112">
        <f t="shared" si="10"/>
        <v>360.52000000001863</v>
      </c>
      <c r="H148" s="99">
        <f>G148+'15'!H148</f>
        <v>6332.5200000000186</v>
      </c>
      <c r="I148" s="124"/>
      <c r="J148" s="328">
        <f>H148/DAY(B2)</f>
        <v>395.78250000000116</v>
      </c>
    </row>
    <row r="149" spans="1:14" ht="25.5">
      <c r="A149" s="886" t="s">
        <v>336</v>
      </c>
      <c r="B149" s="887"/>
      <c r="C149" s="888"/>
      <c r="D149" s="227" t="s">
        <v>130</v>
      </c>
      <c r="E149" s="120">
        <f>'15'!F149</f>
        <v>192543</v>
      </c>
      <c r="F149" s="152">
        <v>193081.37</v>
      </c>
      <c r="G149" s="112">
        <f t="shared" si="10"/>
        <v>538.36999999999534</v>
      </c>
      <c r="H149" s="99">
        <f>G149+'15'!H149</f>
        <v>7784.4799999999814</v>
      </c>
      <c r="I149" s="119"/>
      <c r="J149" s="328">
        <f>H149/DAY(B2)</f>
        <v>486.52999999999884</v>
      </c>
    </row>
    <row r="150" spans="1:14" ht="25.5">
      <c r="A150" s="886" t="s">
        <v>337</v>
      </c>
      <c r="B150" s="887"/>
      <c r="C150" s="888"/>
      <c r="D150" s="117" t="s">
        <v>130</v>
      </c>
      <c r="E150" s="95">
        <f>'15'!F150</f>
        <v>81944</v>
      </c>
      <c r="F150" s="233">
        <v>81396</v>
      </c>
      <c r="G150" s="112">
        <v>230</v>
      </c>
      <c r="H150" s="99">
        <f>G150+'15'!H150</f>
        <v>4507.6999999999971</v>
      </c>
      <c r="I150" s="119"/>
      <c r="J150" s="328">
        <f>H150/DAY(B2)</f>
        <v>281.73124999999982</v>
      </c>
      <c r="N150" s="65" t="s">
        <v>376</v>
      </c>
    </row>
    <row r="151" spans="1:14" ht="25.5">
      <c r="A151" s="886" t="s">
        <v>338</v>
      </c>
      <c r="B151" s="887"/>
      <c r="C151" s="888"/>
      <c r="D151" s="117" t="s">
        <v>130</v>
      </c>
      <c r="E151" s="95">
        <f>'15'!F151</f>
        <v>162058</v>
      </c>
      <c r="F151" s="233">
        <v>162405</v>
      </c>
      <c r="G151" s="112">
        <f t="shared" si="10"/>
        <v>347</v>
      </c>
      <c r="H151" s="99">
        <f>G151+'15'!H151</f>
        <v>4095</v>
      </c>
      <c r="I151" s="119"/>
      <c r="J151" s="328">
        <f>H151/DAY(B2)</f>
        <v>255.9375</v>
      </c>
    </row>
    <row r="152" spans="1:14" ht="25.5">
      <c r="A152" s="886" t="s">
        <v>339</v>
      </c>
      <c r="B152" s="887"/>
      <c r="C152" s="888"/>
      <c r="D152" s="117" t="s">
        <v>130</v>
      </c>
      <c r="E152" s="95">
        <f>'15'!F152</f>
        <v>40636</v>
      </c>
      <c r="F152" s="233">
        <v>40736.800000000003</v>
      </c>
      <c r="G152" s="112">
        <f t="shared" si="10"/>
        <v>100.80000000000291</v>
      </c>
      <c r="H152" s="99">
        <f>G152+'15'!H152</f>
        <v>2120.9000000000015</v>
      </c>
      <c r="I152" s="119"/>
      <c r="J152" s="328">
        <f>H152/DAY(B2)</f>
        <v>132.55625000000009</v>
      </c>
    </row>
    <row r="153" spans="1:14" ht="25.5">
      <c r="A153" s="853" t="s">
        <v>196</v>
      </c>
      <c r="B153" s="854"/>
      <c r="C153" s="365"/>
      <c r="D153" s="358"/>
      <c r="E153" s="360"/>
      <c r="F153" s="361"/>
      <c r="G153" s="362">
        <f>SUM(G138:G152)</f>
        <v>3162.5500000000293</v>
      </c>
      <c r="H153" s="363"/>
      <c r="I153" s="119">
        <f>G153-(G38+G52)</f>
        <v>3161.9600000000619</v>
      </c>
      <c r="J153" s="366"/>
    </row>
    <row r="154" spans="1:14" ht="27.75">
      <c r="A154" s="924" t="s">
        <v>344</v>
      </c>
      <c r="B154" s="924"/>
      <c r="C154" s="924"/>
      <c r="D154" s="924"/>
      <c r="E154" s="924"/>
      <c r="F154" s="924"/>
      <c r="G154" s="924"/>
      <c r="H154" s="924"/>
      <c r="I154" s="924"/>
      <c r="J154" s="924"/>
    </row>
    <row r="155" spans="1:14" ht="27.75">
      <c r="A155" s="893" t="s">
        <v>345</v>
      </c>
      <c r="B155" s="893"/>
      <c r="C155" s="893"/>
      <c r="D155" s="117" t="s">
        <v>130</v>
      </c>
      <c r="E155" s="405">
        <f>'15'!F155</f>
        <v>229326</v>
      </c>
      <c r="F155" s="558">
        <v>229957</v>
      </c>
      <c r="G155" s="236">
        <f>F155-E155</f>
        <v>631</v>
      </c>
      <c r="H155" s="99">
        <f>G155+'15'!H155</f>
        <v>9969.2999999999884</v>
      </c>
      <c r="I155" s="364"/>
      <c r="J155" s="328">
        <f>H155/DAY(B2)</f>
        <v>623.08124999999927</v>
      </c>
    </row>
    <row r="156" spans="1:14" ht="25.5">
      <c r="A156" s="893" t="s">
        <v>347</v>
      </c>
      <c r="B156" s="893"/>
      <c r="C156" s="893"/>
      <c r="D156" s="117" t="s">
        <v>130</v>
      </c>
      <c r="E156" s="405">
        <f>'15'!F156</f>
        <v>27941</v>
      </c>
      <c r="F156" s="157">
        <v>28038.3</v>
      </c>
      <c r="G156" s="236">
        <f t="shared" ref="G156:G158" si="11">F156-E156</f>
        <v>97.299999999999272</v>
      </c>
      <c r="H156" s="99">
        <f>G156+'15'!H156</f>
        <v>1508.0999999999985</v>
      </c>
      <c r="I156" s="165"/>
      <c r="J156" s="328">
        <f>H156/DAY(B2)</f>
        <v>94.256249999999909</v>
      </c>
    </row>
    <row r="157" spans="1:14" ht="25.5">
      <c r="A157" s="886" t="s">
        <v>360</v>
      </c>
      <c r="B157" s="887"/>
      <c r="C157" s="888"/>
      <c r="D157" s="117" t="s">
        <v>130</v>
      </c>
      <c r="E157" s="405">
        <f>'15'!F157</f>
        <v>37559</v>
      </c>
      <c r="F157" s="157">
        <v>37559</v>
      </c>
      <c r="G157" s="236">
        <f t="shared" si="11"/>
        <v>0</v>
      </c>
      <c r="H157" s="99">
        <f>G157+'15'!H157</f>
        <v>0</v>
      </c>
      <c r="I157" s="165"/>
      <c r="J157" s="328">
        <f>H157/DAY(B2)</f>
        <v>0</v>
      </c>
    </row>
    <row r="158" spans="1:14" ht="25.5">
      <c r="A158" s="886" t="s">
        <v>361</v>
      </c>
      <c r="B158" s="887"/>
      <c r="C158" s="888"/>
      <c r="D158" s="117" t="s">
        <v>130</v>
      </c>
      <c r="E158" s="405">
        <f>'15'!F158</f>
        <v>1734</v>
      </c>
      <c r="F158" s="157">
        <v>1734.76</v>
      </c>
      <c r="G158" s="236">
        <f t="shared" si="11"/>
        <v>0.75999999999999091</v>
      </c>
      <c r="H158" s="99">
        <f>G158+'15'!H158</f>
        <v>173.41000000000008</v>
      </c>
      <c r="I158" s="165"/>
      <c r="J158" s="328">
        <f>H158/DAY(B2)</f>
        <v>10.838125000000005</v>
      </c>
    </row>
    <row r="159" spans="1:14" ht="25.5">
      <c r="A159" s="942"/>
      <c r="B159" s="943"/>
      <c r="C159" s="944"/>
      <c r="D159" s="117"/>
      <c r="E159" s="95"/>
      <c r="F159" s="155"/>
      <c r="G159" s="362">
        <f>SUM(G155:G158)</f>
        <v>729.05999999999926</v>
      </c>
      <c r="H159" s="99">
        <f>G159+'15'!H159</f>
        <v>729.05999999999926</v>
      </c>
      <c r="I159" s="165"/>
      <c r="J159" s="328">
        <f>H159/DAY(B2)</f>
        <v>45.566249999999954</v>
      </c>
    </row>
    <row r="160" spans="1:14" ht="27.75">
      <c r="A160" s="924" t="s">
        <v>326</v>
      </c>
      <c r="B160" s="924"/>
      <c r="C160" s="924"/>
      <c r="D160" s="924"/>
      <c r="E160" s="924"/>
      <c r="F160" s="924"/>
      <c r="G160" s="924"/>
      <c r="H160" s="924"/>
      <c r="I160" s="924"/>
      <c r="J160" s="924"/>
    </row>
    <row r="161" spans="1:14" ht="26.25">
      <c r="A161" s="242" t="s">
        <v>92</v>
      </c>
      <c r="B161" s="243"/>
      <c r="C161" s="243"/>
      <c r="D161" s="244" t="s">
        <v>180</v>
      </c>
      <c r="E161" s="95">
        <f>'15'!F161</f>
        <v>505966</v>
      </c>
      <c r="F161" s="235">
        <v>506159.72</v>
      </c>
      <c r="G161" s="238">
        <f t="shared" ref="G161:G165" si="12">F161-E161</f>
        <v>193.71999999997206</v>
      </c>
      <c r="H161" s="99">
        <f>G161+'15'!H161</f>
        <v>2788.5599999999977</v>
      </c>
      <c r="I161" s="236"/>
      <c r="J161" s="239">
        <f>H161/DAY(B2)</f>
        <v>174.28499999999985</v>
      </c>
    </row>
    <row r="162" spans="1:14" ht="26.25">
      <c r="A162" s="242" t="s">
        <v>93</v>
      </c>
      <c r="B162" s="243"/>
      <c r="C162" s="243"/>
      <c r="D162" s="244" t="s">
        <v>180</v>
      </c>
      <c r="E162" s="95">
        <f>'15'!F162</f>
        <v>100245</v>
      </c>
      <c r="F162" s="235">
        <v>275.2</v>
      </c>
      <c r="G162" s="238">
        <v>64</v>
      </c>
      <c r="H162" s="99">
        <f>G162+'15'!H162</f>
        <v>655.39999999999418</v>
      </c>
      <c r="I162" s="236"/>
      <c r="J162" s="239">
        <f>H162/DAY(B2)</f>
        <v>40.962499999999636</v>
      </c>
      <c r="N162" s="65" t="s">
        <v>375</v>
      </c>
    </row>
    <row r="163" spans="1:14" ht="26.25">
      <c r="A163" s="242" t="s">
        <v>197</v>
      </c>
      <c r="B163" s="243"/>
      <c r="C163" s="243"/>
      <c r="D163" s="244" t="s">
        <v>180</v>
      </c>
      <c r="E163" s="95">
        <f>'15'!F163</f>
        <v>0</v>
      </c>
      <c r="F163" s="235">
        <v>0</v>
      </c>
      <c r="G163" s="238">
        <f t="shared" si="12"/>
        <v>0</v>
      </c>
      <c r="H163" s="99">
        <f>G163+'15'!H163</f>
        <v>0</v>
      </c>
      <c r="I163" s="236"/>
      <c r="J163" s="239">
        <f>H163/DAY(B2)</f>
        <v>0</v>
      </c>
    </row>
    <row r="164" spans="1:14" ht="26.25">
      <c r="A164" s="242" t="s">
        <v>197</v>
      </c>
      <c r="B164" s="243"/>
      <c r="C164" s="243"/>
      <c r="D164" s="244" t="s">
        <v>180</v>
      </c>
      <c r="E164" s="95">
        <f>'15'!F164</f>
        <v>7120</v>
      </c>
      <c r="F164" s="235">
        <v>7122.2</v>
      </c>
      <c r="G164" s="238">
        <f t="shared" si="12"/>
        <v>2.1999999999998181</v>
      </c>
      <c r="H164" s="99">
        <f>G164+'15'!H164</f>
        <v>132</v>
      </c>
      <c r="I164" s="236"/>
      <c r="J164" s="239">
        <f>H164/DAY(B2)</f>
        <v>8.25</v>
      </c>
    </row>
    <row r="165" spans="1:14" ht="26.25">
      <c r="A165" s="242" t="s">
        <v>309</v>
      </c>
      <c r="B165" s="243"/>
      <c r="C165" s="243"/>
      <c r="D165" s="244" t="s">
        <v>180</v>
      </c>
      <c r="E165" s="95">
        <f>'15'!F165</f>
        <v>32683</v>
      </c>
      <c r="F165" s="235">
        <v>32691.29</v>
      </c>
      <c r="G165" s="238">
        <f t="shared" si="12"/>
        <v>8.2900000000008731</v>
      </c>
      <c r="H165" s="99">
        <f>G165+'15'!H165</f>
        <v>117.19000000000233</v>
      </c>
      <c r="I165" s="236"/>
      <c r="J165" s="239">
        <f>H165/DAY(B2)</f>
        <v>7.3243750000001455</v>
      </c>
    </row>
    <row r="166" spans="1:14" ht="26.25">
      <c r="A166" s="923"/>
      <c r="B166" s="923"/>
      <c r="C166" s="246"/>
      <c r="D166" s="244" t="s">
        <v>180</v>
      </c>
      <c r="E166" s="95">
        <f>'15'!F166</f>
        <v>0</v>
      </c>
      <c r="F166" s="155"/>
      <c r="G166" s="165"/>
      <c r="H166" s="99">
        <f>G166+'15'!H166</f>
        <v>0</v>
      </c>
      <c r="I166" s="165"/>
      <c r="J166" s="239">
        <f>H166/DAY(B2)</f>
        <v>0</v>
      </c>
    </row>
    <row r="167" spans="1:14" ht="26.25">
      <c r="A167" s="923"/>
      <c r="B167" s="923"/>
      <c r="C167" s="246"/>
      <c r="D167" s="244" t="s">
        <v>180</v>
      </c>
      <c r="E167" s="95">
        <f>'15'!F167</f>
        <v>0</v>
      </c>
      <c r="F167" s="155"/>
      <c r="G167" s="165"/>
      <c r="H167" s="99">
        <f>G167+'15'!H167</f>
        <v>0</v>
      </c>
      <c r="I167" s="165"/>
      <c r="J167" s="239">
        <f>H167/DAY(B2)</f>
        <v>0</v>
      </c>
    </row>
    <row r="168" spans="1:14" ht="26.25">
      <c r="A168" s="923"/>
      <c r="B168" s="923"/>
      <c r="C168" s="246"/>
      <c r="D168" s="244" t="s">
        <v>180</v>
      </c>
      <c r="E168" s="95">
        <f>'15'!F168</f>
        <v>0</v>
      </c>
      <c r="F168" s="155"/>
      <c r="G168" s="165"/>
      <c r="H168" s="99">
        <f>G168+'15'!H168</f>
        <v>0</v>
      </c>
      <c r="I168" s="165"/>
      <c r="J168" s="239">
        <f>H168/DAY(B2)</f>
        <v>0</v>
      </c>
    </row>
    <row r="169" spans="1:14" ht="26.25"/>
    <row r="170" spans="1:14" ht="26.25"/>
    <row r="171" spans="1:14" ht="27.75">
      <c r="A171" s="933" t="s">
        <v>330</v>
      </c>
      <c r="B171" s="934"/>
      <c r="C171" s="934"/>
      <c r="D171" s="934"/>
      <c r="E171" s="934"/>
      <c r="F171" s="934"/>
      <c r="G171" s="934"/>
      <c r="H171" s="934"/>
      <c r="I171" s="934"/>
      <c r="J171" s="935"/>
    </row>
    <row r="172" spans="1:14" ht="25.5">
      <c r="A172" s="929"/>
      <c r="B172" s="930"/>
      <c r="C172" s="332"/>
      <c r="D172" s="228"/>
      <c r="E172" s="155"/>
      <c r="F172" s="155"/>
      <c r="G172" s="155"/>
      <c r="H172" s="156"/>
      <c r="I172" s="155"/>
      <c r="J172" s="178"/>
    </row>
    <row r="173" spans="1:14" ht="25.5">
      <c r="A173" s="841" t="s">
        <v>209</v>
      </c>
      <c r="B173" s="843"/>
      <c r="C173" s="333"/>
      <c r="D173" s="228" t="s">
        <v>142</v>
      </c>
      <c r="E173" s="95">
        <f>'15'!F173</f>
        <v>8600</v>
      </c>
      <c r="F173" s="155">
        <v>8603</v>
      </c>
      <c r="G173" s="155">
        <f>F173-E173</f>
        <v>3</v>
      </c>
      <c r="H173" s="99">
        <f>G173+'15'!H173</f>
        <v>19</v>
      </c>
      <c r="I173" s="155"/>
      <c r="J173" s="178">
        <f>H173/DAY(B2)</f>
        <v>1.1875</v>
      </c>
    </row>
    <row r="174" spans="1:14" ht="25.5">
      <c r="A174" s="841" t="s">
        <v>75</v>
      </c>
      <c r="B174" s="843"/>
      <c r="C174" s="333"/>
      <c r="D174" s="228" t="s">
        <v>142</v>
      </c>
      <c r="E174" s="95">
        <f>'15'!F174</f>
        <v>42842</v>
      </c>
      <c r="F174" s="157">
        <v>42857</v>
      </c>
      <c r="G174" s="155">
        <f t="shared" ref="G174:G175" si="13">F174-E174</f>
        <v>15</v>
      </c>
      <c r="H174" s="99">
        <f>G174+'15'!H174</f>
        <v>188</v>
      </c>
      <c r="I174" s="155"/>
      <c r="J174" s="178">
        <f>H174/DAY(B2)</f>
        <v>11.75</v>
      </c>
    </row>
    <row r="175" spans="1:14" ht="25.5">
      <c r="A175" s="841" t="s">
        <v>76</v>
      </c>
      <c r="B175" s="842"/>
      <c r="C175" s="843"/>
      <c r="D175" s="228" t="s">
        <v>142</v>
      </c>
      <c r="E175" s="95">
        <f>'15'!F175</f>
        <v>25585</v>
      </c>
      <c r="F175" s="155">
        <v>25597</v>
      </c>
      <c r="G175" s="155">
        <f t="shared" si="13"/>
        <v>12</v>
      </c>
      <c r="H175" s="99">
        <f>G175+'15'!H175</f>
        <v>204</v>
      </c>
      <c r="I175" s="155"/>
      <c r="J175" s="178">
        <f>H175/DAY(B2)</f>
        <v>12.75</v>
      </c>
    </row>
    <row r="176" spans="1:14" ht="25.5">
      <c r="A176" s="853" t="s">
        <v>196</v>
      </c>
      <c r="B176" s="854"/>
      <c r="C176" s="333"/>
      <c r="D176" s="228" t="s">
        <v>142</v>
      </c>
      <c r="E176" s="95">
        <f>'15'!F176</f>
        <v>0</v>
      </c>
      <c r="F176" s="155"/>
      <c r="G176" s="155">
        <f>SUM(G173:G175)</f>
        <v>30</v>
      </c>
      <c r="H176" s="99">
        <f>G176+'15'!H176</f>
        <v>411</v>
      </c>
      <c r="I176" s="155"/>
      <c r="J176" s="178">
        <f>H176/DAY(B2)</f>
        <v>25.6875</v>
      </c>
    </row>
    <row r="177" spans="1:11" ht="25.5">
      <c r="A177" s="841" t="s">
        <v>77</v>
      </c>
      <c r="B177" s="843"/>
      <c r="C177" s="333"/>
      <c r="D177" s="228" t="s">
        <v>142</v>
      </c>
      <c r="E177" s="95">
        <f>'15'!F177</f>
        <v>0</v>
      </c>
      <c r="F177" s="155"/>
      <c r="G177" s="155"/>
      <c r="H177" s="99">
        <f>G177+'15'!H177</f>
        <v>0</v>
      </c>
      <c r="I177" s="155"/>
      <c r="J177" s="178">
        <f>H177/DAY(B2)</f>
        <v>0</v>
      </c>
    </row>
    <row r="178" spans="1:11" ht="25.5">
      <c r="A178" s="841" t="s">
        <v>210</v>
      </c>
      <c r="B178" s="843"/>
      <c r="C178" s="333"/>
      <c r="D178" s="228" t="s">
        <v>142</v>
      </c>
      <c r="E178" s="95">
        <f>'15'!F178</f>
        <v>104970</v>
      </c>
      <c r="F178" s="155">
        <v>105120</v>
      </c>
      <c r="G178" s="155">
        <f>F178-E178</f>
        <v>150</v>
      </c>
      <c r="H178" s="99">
        <f>G178+'15'!H178</f>
        <v>1477</v>
      </c>
      <c r="I178" s="155"/>
      <c r="J178" s="178">
        <f>H178/DAY(B2)</f>
        <v>92.3125</v>
      </c>
    </row>
    <row r="179" spans="1:11" ht="25.5">
      <c r="A179" s="841" t="s">
        <v>211</v>
      </c>
      <c r="B179" s="843"/>
      <c r="C179" s="333"/>
      <c r="D179" s="228" t="s">
        <v>142</v>
      </c>
      <c r="E179" s="95">
        <f>'15'!F179</f>
        <v>37501</v>
      </c>
      <c r="F179" s="155">
        <v>37501</v>
      </c>
      <c r="G179" s="155">
        <f t="shared" ref="G179:G180" si="14">F179-E179</f>
        <v>0</v>
      </c>
      <c r="H179" s="99">
        <f>G179+'15'!H179</f>
        <v>0</v>
      </c>
      <c r="I179" s="155"/>
      <c r="J179" s="178">
        <f>H179/DAY(B2)</f>
        <v>0</v>
      </c>
    </row>
    <row r="180" spans="1:11" ht="25.5">
      <c r="A180" s="841" t="s">
        <v>212</v>
      </c>
      <c r="B180" s="843"/>
      <c r="C180" s="333"/>
      <c r="D180" s="228" t="s">
        <v>142</v>
      </c>
      <c r="E180" s="95">
        <f>'15'!F180</f>
        <v>7480</v>
      </c>
      <c r="F180" s="155">
        <v>7480</v>
      </c>
      <c r="G180" s="155">
        <f t="shared" si="14"/>
        <v>0</v>
      </c>
      <c r="H180" s="99">
        <f>G180+'15'!H180</f>
        <v>60</v>
      </c>
      <c r="I180" s="155"/>
      <c r="J180" s="178">
        <f>H180/DAY(B2)</f>
        <v>3.75</v>
      </c>
    </row>
    <row r="181" spans="1:11" ht="25.5">
      <c r="A181" s="927" t="s">
        <v>108</v>
      </c>
      <c r="B181" s="928"/>
      <c r="C181" s="333"/>
      <c r="D181" s="228" t="s">
        <v>142</v>
      </c>
      <c r="E181" s="95">
        <f>'15'!F181</f>
        <v>0</v>
      </c>
      <c r="F181" s="155"/>
      <c r="G181" s="155">
        <f>SUM(G178:G180)</f>
        <v>150</v>
      </c>
      <c r="H181" s="99">
        <f>G181+'15'!H181</f>
        <v>1537</v>
      </c>
      <c r="I181" s="155"/>
      <c r="J181" s="178">
        <f>H181/DAY(B2)</f>
        <v>96.0625</v>
      </c>
    </row>
    <row r="182" spans="1:11" ht="25.5">
      <c r="A182" s="841" t="s">
        <v>213</v>
      </c>
      <c r="B182" s="843"/>
      <c r="C182" s="333"/>
      <c r="D182" s="228" t="s">
        <v>142</v>
      </c>
      <c r="E182" s="95">
        <f>'15'!F182</f>
        <v>0</v>
      </c>
      <c r="F182" s="155"/>
      <c r="G182" s="155"/>
      <c r="H182" s="99">
        <f>G182+'15'!H182</f>
        <v>0</v>
      </c>
      <c r="I182" s="155"/>
      <c r="J182" s="178">
        <f>H182/DAY(B2)</f>
        <v>0</v>
      </c>
    </row>
    <row r="183" spans="1:11" ht="25.5">
      <c r="A183" s="841" t="s">
        <v>214</v>
      </c>
      <c r="B183" s="843"/>
      <c r="C183" s="334"/>
      <c r="D183" s="228" t="s">
        <v>142</v>
      </c>
      <c r="E183" s="95">
        <f>'15'!F183</f>
        <v>18269</v>
      </c>
      <c r="F183" s="157">
        <v>18277</v>
      </c>
      <c r="G183" s="157">
        <f>F183-E183</f>
        <v>8</v>
      </c>
      <c r="H183" s="99">
        <f>G183+'15'!H183</f>
        <v>109</v>
      </c>
      <c r="I183" s="155"/>
      <c r="J183" s="178">
        <f>H183/DAY(B2)</f>
        <v>6.8125</v>
      </c>
    </row>
    <row r="184" spans="1:11" ht="25.5">
      <c r="A184" s="841" t="s">
        <v>215</v>
      </c>
      <c r="B184" s="843"/>
      <c r="C184" s="334"/>
      <c r="D184" s="228" t="s">
        <v>142</v>
      </c>
      <c r="E184" s="95">
        <f>'15'!F184</f>
        <v>12884</v>
      </c>
      <c r="F184" s="157">
        <v>12902</v>
      </c>
      <c r="G184" s="157">
        <f t="shared" ref="G184:G185" si="15">F184-E184</f>
        <v>18</v>
      </c>
      <c r="H184" s="99">
        <f>G184+'15'!H184</f>
        <v>152</v>
      </c>
      <c r="I184" s="155"/>
      <c r="J184" s="178">
        <f>H184/DAY(B2)</f>
        <v>9.5</v>
      </c>
    </row>
    <row r="185" spans="1:11" ht="32.25" customHeight="1">
      <c r="A185" s="841" t="s">
        <v>216</v>
      </c>
      <c r="B185" s="843"/>
      <c r="C185" s="334"/>
      <c r="D185" s="228" t="s">
        <v>142</v>
      </c>
      <c r="E185" s="95">
        <f>'15'!F185</f>
        <v>0</v>
      </c>
      <c r="F185" s="157"/>
      <c r="G185" s="157">
        <f t="shared" si="15"/>
        <v>0</v>
      </c>
      <c r="H185" s="99">
        <f>G185+'15'!H185</f>
        <v>0</v>
      </c>
      <c r="I185" s="155"/>
      <c r="J185" s="178">
        <f>H185/DAY(B2)</f>
        <v>0</v>
      </c>
    </row>
    <row r="186" spans="1:11" ht="25.5">
      <c r="A186" s="853" t="s">
        <v>196</v>
      </c>
      <c r="B186" s="854"/>
      <c r="C186" s="334"/>
      <c r="D186" s="228" t="s">
        <v>142</v>
      </c>
      <c r="E186" s="95">
        <f>'15'!F186</f>
        <v>0</v>
      </c>
      <c r="F186" s="157"/>
      <c r="G186" s="157">
        <f>SUM(G183:G185)</f>
        <v>26</v>
      </c>
      <c r="H186" s="99">
        <f>G186+'15'!H186</f>
        <v>261</v>
      </c>
      <c r="I186" s="157"/>
      <c r="J186" s="178">
        <f>H186/DAY(B2)</f>
        <v>16.3125</v>
      </c>
    </row>
    <row r="187" spans="1:11" ht="25.5">
      <c r="A187" s="931" t="s">
        <v>217</v>
      </c>
      <c r="B187" s="932"/>
      <c r="C187" s="333"/>
      <c r="D187" s="230" t="s">
        <v>142</v>
      </c>
      <c r="E187" s="95">
        <f>'15'!F187</f>
        <v>0</v>
      </c>
      <c r="F187" s="159"/>
      <c r="G187" s="377">
        <f>G62+G19</f>
        <v>213.40000000002328</v>
      </c>
      <c r="H187" s="99">
        <f>G187+'15'!H187</f>
        <v>2751.4000000000233</v>
      </c>
      <c r="I187" s="158"/>
      <c r="J187" s="179">
        <f>H187/DAY(B2)</f>
        <v>171.96250000000146</v>
      </c>
    </row>
    <row r="188" spans="1:11" ht="25.5">
      <c r="A188" s="931" t="s">
        <v>218</v>
      </c>
      <c r="B188" s="932"/>
      <c r="C188" s="333"/>
      <c r="D188" s="230" t="s">
        <v>142</v>
      </c>
      <c r="E188" s="95">
        <f>'15'!F188</f>
        <v>0</v>
      </c>
      <c r="F188" s="159"/>
      <c r="G188" s="377">
        <f>G65+G66+G67+G69+G70</f>
        <v>197</v>
      </c>
      <c r="H188" s="99">
        <f>G188+'15'!H188</f>
        <v>390</v>
      </c>
      <c r="I188" s="158"/>
      <c r="J188" s="179">
        <f>H188/DAY(B2)</f>
        <v>24.375</v>
      </c>
    </row>
    <row r="189" spans="1:11" ht="23.25" customHeight="1">
      <c r="A189" s="931" t="s">
        <v>219</v>
      </c>
      <c r="B189" s="932"/>
      <c r="C189" s="333"/>
      <c r="D189" s="230" t="s">
        <v>142</v>
      </c>
      <c r="E189" s="95">
        <f>'15'!F189</f>
        <v>0</v>
      </c>
      <c r="F189" s="157"/>
      <c r="G189" s="376">
        <f>G181</f>
        <v>150</v>
      </c>
      <c r="H189" s="99">
        <f>G189+'15'!H189</f>
        <v>1537</v>
      </c>
      <c r="I189" s="158"/>
      <c r="J189" s="179">
        <f>H189/DAY(B2)</f>
        <v>96.0625</v>
      </c>
    </row>
    <row r="190" spans="1:11" ht="23.25" customHeight="1">
      <c r="A190" s="956"/>
      <c r="B190" s="957"/>
      <c r="C190" s="426"/>
      <c r="D190" s="395"/>
      <c r="E190" s="395" t="s">
        <v>207</v>
      </c>
      <c r="F190" s="414"/>
      <c r="G190" s="395"/>
      <c r="H190" s="396"/>
      <c r="I190" s="395"/>
      <c r="J190" s="397"/>
    </row>
    <row r="191" spans="1:11" ht="23.25" customHeight="1">
      <c r="A191" s="245" t="s">
        <v>358</v>
      </c>
      <c r="B191" s="246"/>
      <c r="C191" s="246"/>
      <c r="D191" s="165"/>
      <c r="E191" s="165"/>
      <c r="F191" s="155">
        <v>53090</v>
      </c>
      <c r="G191" s="165">
        <v>53289</v>
      </c>
      <c r="H191" s="238">
        <f>G191-F191</f>
        <v>199</v>
      </c>
      <c r="I191" s="99">
        <f>H191+'15'!I191</f>
        <v>199</v>
      </c>
      <c r="J191" s="236"/>
      <c r="K191" s="239" t="e">
        <f>I191/DAY(C28)</f>
        <v>#DIV/0!</v>
      </c>
    </row>
    <row r="192" spans="1:11" ht="23.25" customHeight="1">
      <c r="F192" s="413">
        <v>0</v>
      </c>
      <c r="G192" s="160" t="s">
        <v>366</v>
      </c>
    </row>
    <row r="193" ht="23.25" customHeight="1"/>
    <row r="194" ht="23.25" customHeight="1"/>
    <row r="195" ht="23.25" customHeight="1"/>
    <row r="196" ht="23.25" customHeight="1"/>
    <row r="197" ht="23.25" customHeight="1"/>
    <row r="198" ht="23.25" customHeight="1"/>
    <row r="199" ht="23.25" customHeight="1"/>
    <row r="200" ht="23.25" customHeight="1"/>
    <row r="201" ht="23.25" customHeight="1"/>
    <row r="202" ht="23.25" customHeight="1"/>
    <row r="203" ht="23.25" customHeight="1"/>
    <row r="204" ht="23.25" customHeight="1"/>
    <row r="205" ht="23.25" customHeight="1"/>
    <row r="206" ht="23.25" customHeight="1"/>
    <row r="207" ht="23.25" customHeight="1"/>
    <row r="208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  <row r="239" ht="23.25" customHeight="1"/>
    <row r="240" ht="23.25" customHeight="1"/>
    <row r="241" ht="23.25" customHeight="1"/>
    <row r="242" ht="23.25" customHeight="1"/>
    <row r="243" ht="23.25" customHeight="1"/>
    <row r="244" ht="23.25" customHeight="1"/>
    <row r="245" ht="23.25" customHeight="1"/>
    <row r="246" ht="23.25" customHeight="1"/>
    <row r="247" ht="23.25" customHeight="1"/>
    <row r="248" ht="23.25" customHeight="1"/>
    <row r="249" ht="23.25" customHeight="1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7:C157"/>
    <mergeCell ref="A158:C158"/>
    <mergeCell ref="A159:C159"/>
    <mergeCell ref="A156:C156"/>
    <mergeCell ref="A160:J160"/>
    <mergeCell ref="A189:B189"/>
    <mergeCell ref="A190:B190"/>
    <mergeCell ref="A181:B181"/>
    <mergeCell ref="A185:B185"/>
    <mergeCell ref="A186:B186"/>
    <mergeCell ref="A187:B187"/>
    <mergeCell ref="A188:B188"/>
    <mergeCell ref="A172:B172"/>
    <mergeCell ref="A173:B173"/>
    <mergeCell ref="A174:B174"/>
    <mergeCell ref="A176:B176"/>
    <mergeCell ref="A177:B177"/>
    <mergeCell ref="A183:B183"/>
    <mergeCell ref="A184:B184"/>
    <mergeCell ref="A182:B182"/>
    <mergeCell ref="A179:B179"/>
    <mergeCell ref="A180:B180"/>
    <mergeCell ref="A178:B178"/>
    <mergeCell ref="A175:C175"/>
    <mergeCell ref="A171:J171"/>
    <mergeCell ref="A166:B166"/>
    <mergeCell ref="A167:B167"/>
    <mergeCell ref="Q116:R116"/>
    <mergeCell ref="A117:C117"/>
    <mergeCell ref="Q117:R117"/>
    <mergeCell ref="A118:C118"/>
    <mergeCell ref="Q118:R118"/>
    <mergeCell ref="A132:C132"/>
    <mergeCell ref="A133:C133"/>
    <mergeCell ref="A134:C134"/>
    <mergeCell ref="A125:B125"/>
    <mergeCell ref="A126:J126"/>
    <mergeCell ref="A127:B127"/>
    <mergeCell ref="A128:C128"/>
    <mergeCell ref="A131:C131"/>
    <mergeCell ref="A168:B168"/>
    <mergeCell ref="A154:J154"/>
    <mergeCell ref="A155:C155"/>
    <mergeCell ref="A138:C138"/>
    <mergeCell ref="A145:C145"/>
    <mergeCell ref="A146:C146"/>
    <mergeCell ref="A150:C150"/>
    <mergeCell ref="A151:C151"/>
    <mergeCell ref="A122:C122"/>
    <mergeCell ref="A124:C124"/>
    <mergeCell ref="A136:J136"/>
    <mergeCell ref="A100:C100"/>
    <mergeCell ref="A101:C101"/>
    <mergeCell ref="A123:C123"/>
    <mergeCell ref="A109:B109"/>
    <mergeCell ref="A97:C97"/>
    <mergeCell ref="A98:C98"/>
    <mergeCell ref="A105:C105"/>
    <mergeCell ref="A108:J108"/>
    <mergeCell ref="A110:J110"/>
    <mergeCell ref="A111:C111"/>
    <mergeCell ref="A119:C119"/>
    <mergeCell ref="A120:C120"/>
    <mergeCell ref="A102:C102"/>
    <mergeCell ref="A115:C115"/>
    <mergeCell ref="A116:C116"/>
    <mergeCell ref="A104:C104"/>
    <mergeCell ref="A139:C139"/>
    <mergeCell ref="A140:C140"/>
    <mergeCell ref="A141:C141"/>
    <mergeCell ref="A142:C142"/>
    <mergeCell ref="A149:C149"/>
    <mergeCell ref="A143:C143"/>
    <mergeCell ref="A1:J1"/>
    <mergeCell ref="A6:C6"/>
    <mergeCell ref="A14:C14"/>
    <mergeCell ref="A17:C17"/>
    <mergeCell ref="A18:C18"/>
    <mergeCell ref="E3:F3"/>
    <mergeCell ref="A73:C73"/>
    <mergeCell ref="A74:C74"/>
    <mergeCell ref="A75:C75"/>
    <mergeCell ref="A61:C61"/>
    <mergeCell ref="A62:C62"/>
    <mergeCell ref="A63:C63"/>
    <mergeCell ref="A71:C71"/>
    <mergeCell ref="A72:B72"/>
    <mergeCell ref="A95:C95"/>
    <mergeCell ref="A96:C96"/>
    <mergeCell ref="A99:C99"/>
    <mergeCell ref="A121:C121"/>
    <mergeCell ref="A153:B153"/>
    <mergeCell ref="A135:B135"/>
    <mergeCell ref="A76:C76"/>
    <mergeCell ref="A77:C77"/>
    <mergeCell ref="A79:C79"/>
    <mergeCell ref="A80:C80"/>
    <mergeCell ref="A94:C94"/>
    <mergeCell ref="A19:C19"/>
    <mergeCell ref="A21:C21"/>
    <mergeCell ref="A64:C64"/>
    <mergeCell ref="A65:C65"/>
    <mergeCell ref="A25:C25"/>
    <mergeCell ref="A33:C33"/>
    <mergeCell ref="A78:C78"/>
    <mergeCell ref="A81:C81"/>
    <mergeCell ref="A93:C93"/>
    <mergeCell ref="A147:C147"/>
    <mergeCell ref="A148:C148"/>
    <mergeCell ref="A112:C112"/>
    <mergeCell ref="A113:C113"/>
    <mergeCell ref="A114:C114"/>
    <mergeCell ref="A152:C152"/>
    <mergeCell ref="A103:C103"/>
    <mergeCell ref="A144:C144"/>
  </mergeCells>
  <pageMargins left="0.22" right="0.17" top="0.14000000000000001" bottom="0.2" header="0.2" footer="0.2"/>
  <pageSetup paperSize="5" scale="2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R191"/>
  <sheetViews>
    <sheetView view="pageBreakPreview" topLeftCell="A145" zoomScale="55" zoomScaleSheetLayoutView="55" zoomScalePageLayoutView="60" workbookViewId="0">
      <selection activeCell="F162" sqref="F162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93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867" t="s">
        <v>115</v>
      </c>
      <c r="B1" s="868"/>
      <c r="C1" s="868"/>
      <c r="D1" s="868"/>
      <c r="E1" s="868"/>
      <c r="F1" s="868"/>
      <c r="G1" s="868"/>
      <c r="H1" s="868"/>
      <c r="I1" s="868"/>
      <c r="J1" s="869"/>
    </row>
    <row r="2" spans="1:15" s="57" customFormat="1" ht="27.75" customHeight="1">
      <c r="A2" s="191" t="s">
        <v>349</v>
      </c>
      <c r="B2" s="262">
        <v>44912</v>
      </c>
      <c r="C2" s="348" t="s">
        <v>67</v>
      </c>
      <c r="D2" s="218">
        <v>0.91</v>
      </c>
      <c r="E2" s="100"/>
      <c r="F2" s="100"/>
      <c r="G2" s="47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28</v>
      </c>
      <c r="E3" s="876" t="s">
        <v>119</v>
      </c>
      <c r="F3" s="877"/>
      <c r="G3" s="471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0.79</v>
      </c>
      <c r="E4" s="103"/>
      <c r="F4" s="103"/>
      <c r="G4" s="471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72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870" t="s">
        <v>128</v>
      </c>
      <c r="B6" s="871"/>
      <c r="C6" s="872"/>
      <c r="D6" s="110"/>
      <c r="E6" s="110"/>
      <c r="F6" s="110"/>
      <c r="G6" s="473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'16'!F7</f>
        <v>644019</v>
      </c>
      <c r="F7" s="95">
        <v>669785</v>
      </c>
      <c r="G7" s="474">
        <f>F7-E7</f>
        <v>25766</v>
      </c>
      <c r="H7" s="99">
        <f>G7+'16'!H7</f>
        <v>396102.45</v>
      </c>
      <c r="I7" s="113">
        <f>'1'!I7</f>
        <v>12000</v>
      </c>
      <c r="J7" s="175">
        <f>H7/DAY(B2)</f>
        <v>23300.144117647058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'16'!F8</f>
        <v>823682</v>
      </c>
      <c r="F8" s="114">
        <v>849674</v>
      </c>
      <c r="G8" s="475">
        <f>F8-E8</f>
        <v>25992</v>
      </c>
      <c r="H8" s="99">
        <f>G8+'16'!H8</f>
        <v>398413</v>
      </c>
      <c r="I8" s="116"/>
      <c r="J8" s="175">
        <f>H8/DAY(B2)</f>
        <v>23436.058823529413</v>
      </c>
      <c r="K8" s="172">
        <v>1715917</v>
      </c>
      <c r="L8" s="76">
        <v>1728480</v>
      </c>
      <c r="M8" s="87">
        <f>L8-K8</f>
        <v>12563</v>
      </c>
      <c r="N8" s="87"/>
      <c r="O8" s="71">
        <f>G7-G8</f>
        <v>-226</v>
      </c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'16'!F9</f>
        <v>4233175.9000000004</v>
      </c>
      <c r="F9" s="468">
        <v>4241879.9000000004</v>
      </c>
      <c r="G9" s="474">
        <f>F9-E9</f>
        <v>8704</v>
      </c>
      <c r="H9" s="99">
        <f>G9+'16'!H9</f>
        <v>127709.60000000056</v>
      </c>
      <c r="I9" s="124">
        <f>I7-J7</f>
        <v>-11300.144117647058</v>
      </c>
      <c r="J9" s="175">
        <f>H9/DAY(B2)</f>
        <v>7512.3294117647383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'16'!F10</f>
        <v>3930789.9</v>
      </c>
      <c r="F10" s="353">
        <v>3947157.5</v>
      </c>
      <c r="G10" s="474">
        <f t="shared" ref="G10:G12" si="0">F10-E10</f>
        <v>16367.600000000093</v>
      </c>
      <c r="H10" s="99">
        <f>G10+'16'!H10</f>
        <v>257678.39999999991</v>
      </c>
      <c r="I10" s="282"/>
      <c r="J10" s="175">
        <f>H10/DAY(B2)</f>
        <v>15157.552941176466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'16'!F11</f>
        <v>38120</v>
      </c>
      <c r="F11" s="95">
        <v>38120</v>
      </c>
      <c r="G11" s="474">
        <f t="shared" si="0"/>
        <v>0</v>
      </c>
      <c r="H11" s="99">
        <f>G11+'16'!H11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'16'!F12</f>
        <v>40550</v>
      </c>
      <c r="F12" s="117">
        <v>40550</v>
      </c>
      <c r="G12" s="474">
        <f t="shared" si="0"/>
        <v>0</v>
      </c>
      <c r="H12" s="99">
        <f>G12+'16'!H12</f>
        <v>160</v>
      </c>
      <c r="I12" s="282"/>
      <c r="J12" s="175">
        <f>H12/DAY(B2)</f>
        <v>9.4117647058823533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476">
        <f>G9+G10+G11+G12</f>
        <v>25071.600000000093</v>
      </c>
      <c r="H13" s="99">
        <f>G13+'16'!H13</f>
        <v>389776.70000000019</v>
      </c>
      <c r="I13" s="120">
        <f>G7-G13</f>
        <v>694.39999999990687</v>
      </c>
      <c r="J13" s="175">
        <f>H13/DAY(B2)</f>
        <v>22928.0411764706</v>
      </c>
      <c r="K13" s="79"/>
      <c r="L13" s="66"/>
      <c r="N13" s="87"/>
      <c r="O13" s="71"/>
    </row>
    <row r="14" spans="1:15" ht="27.75" customHeight="1">
      <c r="A14" s="873" t="s">
        <v>137</v>
      </c>
      <c r="B14" s="874"/>
      <c r="C14" s="875"/>
      <c r="D14" s="111"/>
      <c r="E14" s="111"/>
      <c r="F14" s="111"/>
      <c r="G14" s="477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68">
        <f>'16'!F15</f>
        <v>2236278</v>
      </c>
      <c r="F15" s="468">
        <v>2237371</v>
      </c>
      <c r="G15" s="474">
        <f>(F15-E15)</f>
        <v>1093</v>
      </c>
      <c r="H15" s="99">
        <f>G15+'16'!H15</f>
        <v>18430</v>
      </c>
      <c r="I15" s="113">
        <f>'1'!I15</f>
        <v>800</v>
      </c>
      <c r="J15" s="175">
        <f>H15/DAY(B2)</f>
        <v>1084.1176470588234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474"/>
      <c r="H16" s="124"/>
      <c r="I16" s="120">
        <f>I15-J15</f>
        <v>-284.11764705882342</v>
      </c>
      <c r="J16" s="176"/>
      <c r="K16" s="79"/>
      <c r="L16" s="66"/>
      <c r="N16" s="87"/>
      <c r="O16" s="71"/>
    </row>
    <row r="17" spans="1:15" ht="27.75" customHeight="1">
      <c r="A17" s="873" t="s">
        <v>140</v>
      </c>
      <c r="B17" s="874"/>
      <c r="C17" s="875"/>
      <c r="D17" s="111"/>
      <c r="E17" s="111"/>
      <c r="F17" s="111"/>
      <c r="G17" s="477"/>
      <c r="H17" s="111"/>
      <c r="I17" s="111"/>
      <c r="J17" s="174"/>
      <c r="K17" s="79"/>
      <c r="L17" s="66"/>
      <c r="N17" s="87"/>
      <c r="O17" s="71"/>
    </row>
    <row r="18" spans="1:15" ht="27.75" customHeight="1">
      <c r="A18" s="864" t="s">
        <v>141</v>
      </c>
      <c r="B18" s="865"/>
      <c r="C18" s="866"/>
      <c r="D18" s="151" t="s">
        <v>142</v>
      </c>
      <c r="E18" s="95">
        <f>'16'!F18</f>
        <v>27</v>
      </c>
      <c r="F18" s="122">
        <v>31</v>
      </c>
      <c r="G18" s="476">
        <f>F18*10</f>
        <v>310</v>
      </c>
      <c r="H18" s="99">
        <f>G18+'16'!H18</f>
        <v>4730</v>
      </c>
      <c r="I18" s="113">
        <f>'1'!I18</f>
        <v>65</v>
      </c>
      <c r="J18" s="175">
        <f>H18/DAY(B2)</f>
        <v>278.23529411764707</v>
      </c>
      <c r="K18" s="79"/>
      <c r="L18" s="66"/>
      <c r="N18" s="87"/>
      <c r="O18" s="71"/>
    </row>
    <row r="19" spans="1:15" ht="27.75" customHeight="1">
      <c r="A19" s="864" t="s">
        <v>69</v>
      </c>
      <c r="B19" s="865"/>
      <c r="C19" s="866"/>
      <c r="D19" s="151" t="s">
        <v>142</v>
      </c>
      <c r="E19" s="95">
        <f>'16'!F19</f>
        <v>168730</v>
      </c>
      <c r="F19" s="122">
        <v>168773</v>
      </c>
      <c r="G19" s="474">
        <f t="shared" ref="G19" si="1">F19-E19</f>
        <v>43</v>
      </c>
      <c r="H19" s="99">
        <f>G19+'16'!H19</f>
        <v>897</v>
      </c>
      <c r="I19" s="335"/>
      <c r="J19" s="175">
        <f>H19/DAY(B2)</f>
        <v>52.764705882352942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478">
        <f>G18+G19</f>
        <v>353</v>
      </c>
      <c r="H20" s="99">
        <f>G20+'16'!H20</f>
        <v>5627</v>
      </c>
      <c r="I20" s="336">
        <f>I18-J20</f>
        <v>-266</v>
      </c>
      <c r="J20" s="175">
        <f>H20/DAY(B2)</f>
        <v>331</v>
      </c>
      <c r="K20" s="79"/>
      <c r="L20" s="66"/>
      <c r="N20" s="87"/>
      <c r="O20" s="71"/>
    </row>
    <row r="21" spans="1:15" ht="27.75" customHeight="1">
      <c r="A21" s="873" t="s">
        <v>144</v>
      </c>
      <c r="B21" s="874"/>
      <c r="C21" s="875"/>
      <c r="D21" s="111"/>
      <c r="E21" s="111"/>
      <c r="F21" s="111"/>
      <c r="G21" s="477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'16'!F22</f>
        <v>2970</v>
      </c>
      <c r="F22" s="122">
        <v>2970</v>
      </c>
      <c r="G22" s="476">
        <f t="shared" ref="G22" si="2">(F22-E22)</f>
        <v>0</v>
      </c>
      <c r="H22" s="99">
        <f>G22+'16'!H22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f>'16'!F23</f>
        <v>1860</v>
      </c>
      <c r="F23" s="122">
        <v>1860</v>
      </c>
      <c r="G23" s="476">
        <v>0</v>
      </c>
      <c r="H23" s="99">
        <f>G23+'16'!H23</f>
        <v>-100</v>
      </c>
      <c r="I23" s="118"/>
      <c r="J23" s="175">
        <f>H23/DAY(B2)</f>
        <v>-5.882352941176471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'16'!F24</f>
        <v>4970</v>
      </c>
      <c r="F24" s="128">
        <f>SUM(F22:F23)</f>
        <v>4830</v>
      </c>
      <c r="G24" s="476">
        <v>0</v>
      </c>
      <c r="H24" s="99">
        <f>G24+'16'!H24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878" t="s">
        <v>149</v>
      </c>
      <c r="B25" s="879"/>
      <c r="C25" s="880"/>
      <c r="D25" s="110"/>
      <c r="E25" s="110"/>
      <c r="F25" s="110"/>
      <c r="G25" s="47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480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25992</v>
      </c>
      <c r="F27" s="136">
        <v>9</v>
      </c>
      <c r="G27" s="481">
        <f>E27*F27</f>
        <v>233928</v>
      </c>
      <c r="H27" s="99">
        <f>G27+'16'!H27</f>
        <v>3608307.8</v>
      </c>
      <c r="I27" s="138"/>
      <c r="J27" s="175">
        <f>H27/DAY(B2)</f>
        <v>212253.4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1093</v>
      </c>
      <c r="F28" s="136">
        <v>70</v>
      </c>
      <c r="G28" s="481">
        <f>E28*F28</f>
        <v>76510</v>
      </c>
      <c r="H28" s="99">
        <f>G28+'16'!H28</f>
        <v>1300611.7500000005</v>
      </c>
      <c r="I28" s="140"/>
      <c r="J28" s="175">
        <f>H28/DAY(B2)</f>
        <v>76506.573529411791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81">
        <f>E29*F29</f>
        <v>0</v>
      </c>
      <c r="H29" s="99">
        <f>G29+'16'!H29</f>
        <v>6900</v>
      </c>
      <c r="I29" s="140"/>
      <c r="J29" s="175">
        <f>H29/DAY(B2)</f>
        <v>405.88235294117646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43</v>
      </c>
      <c r="F30" s="136">
        <v>151</v>
      </c>
      <c r="G30" s="481">
        <f>E30*F30</f>
        <v>6493</v>
      </c>
      <c r="H30" s="99">
        <f>G30+'16'!H30</f>
        <v>135447</v>
      </c>
      <c r="I30" s="140"/>
      <c r="J30" s="175">
        <f>H30/DAY(B2)</f>
        <v>7967.4705882352937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310</v>
      </c>
      <c r="F31" s="136">
        <v>80</v>
      </c>
      <c r="G31" s="481">
        <f>E31*F31</f>
        <v>24800</v>
      </c>
      <c r="H31" s="99">
        <f>G31+'16'!H31</f>
        <v>378400</v>
      </c>
      <c r="I31" s="140"/>
      <c r="J31" s="175">
        <f>H31/DAY(B2)</f>
        <v>22258.823529411766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482">
        <f>G27+G28+G29+G30+G31</f>
        <v>341731</v>
      </c>
      <c r="H32" s="99">
        <f>G32+'16'!H32</f>
        <v>5429666.5500000007</v>
      </c>
      <c r="I32" s="144"/>
      <c r="J32" s="175">
        <f>H32/DAY(B2)</f>
        <v>319392.15000000002</v>
      </c>
      <c r="K32" s="63"/>
      <c r="L32" s="89"/>
      <c r="N32" s="87"/>
      <c r="O32" s="71"/>
    </row>
    <row r="33" spans="1:15" ht="27.75" customHeight="1">
      <c r="A33" s="881" t="s">
        <v>331</v>
      </c>
      <c r="B33" s="882"/>
      <c r="C33" s="882"/>
      <c r="D33" s="337"/>
      <c r="E33" s="337"/>
      <c r="F33" s="337"/>
      <c r="G33" s="483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484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'16'!F35</f>
        <v>414048.37</v>
      </c>
      <c r="F35" s="145">
        <v>416653.35</v>
      </c>
      <c r="G35" s="474">
        <f t="shared" ref="G35:G46" si="3">F35-E35</f>
        <v>2604.9799999999814</v>
      </c>
      <c r="H35" s="99">
        <f>G35+'16'!H35</f>
        <v>47556.44</v>
      </c>
      <c r="I35" s="95"/>
      <c r="J35" s="175">
        <f>H35/DAY(B2)</f>
        <v>2797.4376470588236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'16'!F36</f>
        <v>339821.79</v>
      </c>
      <c r="F36" s="145">
        <v>340968.81</v>
      </c>
      <c r="G36" s="474">
        <f t="shared" si="3"/>
        <v>1147.0200000000186</v>
      </c>
      <c r="H36" s="99">
        <f>G36+'16'!H36</f>
        <v>18751.700000000012</v>
      </c>
      <c r="I36" s="95"/>
      <c r="J36" s="175">
        <f>H36/DAY(B2)</f>
        <v>1103.0411764705889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'16'!F37</f>
        <v>322998.69</v>
      </c>
      <c r="F37" s="145">
        <v>322998.69</v>
      </c>
      <c r="G37" s="474">
        <f t="shared" si="3"/>
        <v>0</v>
      </c>
      <c r="H37" s="99">
        <f>G37+'16'!H37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'16'!F38</f>
        <v>770899.59</v>
      </c>
      <c r="F38" s="108">
        <v>770899.59</v>
      </c>
      <c r="G38" s="474">
        <f t="shared" si="3"/>
        <v>0</v>
      </c>
      <c r="H38" s="99">
        <f>G38+'16'!H38</f>
        <v>35047.199999999953</v>
      </c>
      <c r="I38" s="95"/>
      <c r="J38" s="175">
        <f>H38/DAY(B2)</f>
        <v>2061.5999999999972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'16'!F39</f>
        <v>591584.18999999994</v>
      </c>
      <c r="F39" s="145">
        <v>591584.18999999994</v>
      </c>
      <c r="G39" s="474">
        <f t="shared" si="3"/>
        <v>0</v>
      </c>
      <c r="H39" s="99">
        <f>G39+'16'!H39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'16'!F40</f>
        <v>203200.13</v>
      </c>
      <c r="F40" s="422">
        <v>203804.95</v>
      </c>
      <c r="G40" s="474">
        <f t="shared" si="3"/>
        <v>604.82000000000698</v>
      </c>
      <c r="H40" s="99">
        <f>G40+'16'!H40</f>
        <v>7074.9800000000105</v>
      </c>
      <c r="I40" s="95"/>
      <c r="J40" s="175">
        <f>H40/DAY(B2)</f>
        <v>416.1752941176477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'16'!F41</f>
        <v>419197.47</v>
      </c>
      <c r="F41" s="145">
        <v>419197.97</v>
      </c>
      <c r="G41" s="474">
        <f t="shared" si="3"/>
        <v>0.5</v>
      </c>
      <c r="H41" s="99">
        <f>G41+'16'!H41</f>
        <v>30.379999999946449</v>
      </c>
      <c r="I41" s="95"/>
      <c r="J41" s="175">
        <f>H41/DAY(B2)</f>
        <v>1.7870588235262617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'16'!F42</f>
        <v>888597.75</v>
      </c>
      <c r="F42" s="145">
        <v>890810.79</v>
      </c>
      <c r="G42" s="474">
        <f t="shared" si="3"/>
        <v>2213.0400000000373</v>
      </c>
      <c r="H42" s="99">
        <f>G42+'16'!H42</f>
        <v>18939.920000000042</v>
      </c>
      <c r="I42" s="95"/>
      <c r="J42" s="175">
        <f>H42/DAY(B2)</f>
        <v>1114.112941176473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'16'!F43</f>
        <v>412113</v>
      </c>
      <c r="F43" s="145">
        <v>414667.59</v>
      </c>
      <c r="G43" s="474">
        <f t="shared" si="3"/>
        <v>2554.5900000000256</v>
      </c>
      <c r="H43" s="99">
        <f>G43+'16'!H43</f>
        <v>7639.5900000000256</v>
      </c>
      <c r="I43" s="95"/>
      <c r="J43" s="175">
        <f>H43/DAY(B2)</f>
        <v>449.38764705882505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'16'!F44</f>
        <v>0</v>
      </c>
      <c r="F44" s="145">
        <v>0</v>
      </c>
      <c r="G44" s="474">
        <f t="shared" si="3"/>
        <v>0</v>
      </c>
      <c r="H44" s="99">
        <f>G44+'16'!H44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'16'!F45</f>
        <v>0</v>
      </c>
      <c r="F45" s="145">
        <v>0</v>
      </c>
      <c r="G45" s="474">
        <f t="shared" si="3"/>
        <v>0</v>
      </c>
      <c r="H45" s="99">
        <f>G45+'16'!H45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'16'!F46</f>
        <v>0</v>
      </c>
      <c r="F46" s="145">
        <v>0</v>
      </c>
      <c r="G46" s="474">
        <f t="shared" si="3"/>
        <v>0</v>
      </c>
      <c r="H46" s="99">
        <f>G46+'16'!H46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476">
        <f>G35+G36+G37+G38+G39+G40+G41+G42+G43+G44+G45+G46</f>
        <v>9124.9500000000698</v>
      </c>
      <c r="H47" s="99">
        <f>G47+'16'!H47</f>
        <v>135040.21</v>
      </c>
      <c r="I47" s="95"/>
      <c r="J47" s="175">
        <f>H47/DAY(B2)</f>
        <v>7943.5417647058821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484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'16'!F49</f>
        <v>800495.75</v>
      </c>
      <c r="F49" s="145">
        <v>801003.11</v>
      </c>
      <c r="G49" s="474">
        <f t="shared" ref="G49:G58" si="4">F49-E49</f>
        <v>507.35999999998603</v>
      </c>
      <c r="H49" s="99">
        <f>G49+'16'!H49</f>
        <v>7380.1600000000326</v>
      </c>
      <c r="I49" s="95"/>
      <c r="J49" s="175">
        <f>H49/DAY(B2)</f>
        <v>434.12705882353134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'16'!F50</f>
        <v>480927.27</v>
      </c>
      <c r="F50" s="145">
        <v>482560.91</v>
      </c>
      <c r="G50" s="474">
        <f t="shared" si="4"/>
        <v>1633.6399999999558</v>
      </c>
      <c r="H50" s="99">
        <f>G50+'16'!H50</f>
        <v>25891.839999999967</v>
      </c>
      <c r="I50" s="95"/>
      <c r="J50" s="175">
        <f>H50/DAY(B2)</f>
        <v>1523.049411764704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'16'!F51</f>
        <v>152352.43</v>
      </c>
      <c r="F51" s="145">
        <v>153398.62</v>
      </c>
      <c r="G51" s="474">
        <f t="shared" si="4"/>
        <v>1046.1900000000023</v>
      </c>
      <c r="H51" s="99">
        <f>G51+'16'!H51</f>
        <v>18154.070000000007</v>
      </c>
      <c r="I51" s="95"/>
      <c r="J51" s="175">
        <f>H51/DAY(B2)</f>
        <v>1067.8864705882356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'16'!F52</f>
        <v>9.76</v>
      </c>
      <c r="F52" s="145">
        <v>9.76</v>
      </c>
      <c r="G52" s="474">
        <f t="shared" si="4"/>
        <v>0</v>
      </c>
      <c r="H52" s="99">
        <f>G52+'16'!H52</f>
        <v>-0.24000000000000021</v>
      </c>
      <c r="I52" s="95"/>
      <c r="J52" s="175">
        <f>H52/DAY(B2)</f>
        <v>-1.4117647058823542E-2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'16'!F53</f>
        <v>611880.27</v>
      </c>
      <c r="F53" s="145">
        <v>616057.79</v>
      </c>
      <c r="G53" s="474">
        <f t="shared" si="4"/>
        <v>4177.5200000000186</v>
      </c>
      <c r="H53" s="99">
        <f>G53+'16'!H53</f>
        <v>69516.520000000019</v>
      </c>
      <c r="I53" s="95"/>
      <c r="J53" s="175">
        <f>H53/DAY(B2)</f>
        <v>4089.2070588235306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'16'!F54</f>
        <v>110391.77</v>
      </c>
      <c r="F54" s="145">
        <v>110553.41</v>
      </c>
      <c r="G54" s="474">
        <f t="shared" si="4"/>
        <v>161.63999999999942</v>
      </c>
      <c r="H54" s="99">
        <f>G54+'16'!H54</f>
        <v>2890.25</v>
      </c>
      <c r="I54" s="95"/>
      <c r="J54" s="175">
        <f>H54/DAY(B2)</f>
        <v>170.01470588235293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'16'!F55</f>
        <v>572879.99</v>
      </c>
      <c r="F55" s="145">
        <v>574978.31000000006</v>
      </c>
      <c r="G55" s="474">
        <f t="shared" si="4"/>
        <v>2098.3200000000652</v>
      </c>
      <c r="H55" s="99">
        <f>G55+'16'!H55</f>
        <v>13493.640000000014</v>
      </c>
      <c r="I55" s="95"/>
      <c r="J55" s="175">
        <f>H55/DAY(B2)</f>
        <v>793.74352941176551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'16'!F56</f>
        <v>308353.45</v>
      </c>
      <c r="F56" s="145">
        <v>309894.59000000003</v>
      </c>
      <c r="G56" s="474">
        <f t="shared" si="4"/>
        <v>1541.140000000014</v>
      </c>
      <c r="H56" s="99">
        <f>G56+'16'!H56</f>
        <v>41779.580000000016</v>
      </c>
      <c r="I56" s="95"/>
      <c r="J56" s="175">
        <f>H56/DAY(B2)</f>
        <v>2457.6223529411773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'16'!F57</f>
        <v>607809</v>
      </c>
      <c r="F57" s="145">
        <v>607809</v>
      </c>
      <c r="G57" s="474">
        <f t="shared" si="4"/>
        <v>0</v>
      </c>
      <c r="H57" s="99">
        <f>G57+'16'!H57</f>
        <v>39230.530000000028</v>
      </c>
      <c r="I57" s="95"/>
      <c r="J57" s="175">
        <f>H57/DAY(B2)</f>
        <v>2307.6782352941191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'16'!F58</f>
        <v>82366.37</v>
      </c>
      <c r="F58" s="422">
        <v>82626.95</v>
      </c>
      <c r="G58" s="474">
        <f t="shared" si="4"/>
        <v>260.58000000000175</v>
      </c>
      <c r="H58" s="99">
        <f>G58+'16'!H58</f>
        <v>3911.2599999999948</v>
      </c>
      <c r="I58" s="95"/>
      <c r="J58" s="175">
        <f>H58/DAY(B2)</f>
        <v>230.07411764705853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476">
        <f>G49+G50+G51+G52+G53+G54+G55+G56+G57+G58</f>
        <v>11426.390000000043</v>
      </c>
      <c r="H59" s="99">
        <f>G59+'16'!H59</f>
        <v>222247.61000000007</v>
      </c>
      <c r="I59" s="95">
        <f>G7-G60</f>
        <v>5214.6599999998871</v>
      </c>
      <c r="J59" s="175">
        <f>H59/DAY(B2)</f>
        <v>13073.388823529416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476">
        <f>G47+G59</f>
        <v>20551.340000000113</v>
      </c>
      <c r="H60" s="99">
        <f>G60+'16'!H60</f>
        <v>357287.82000000018</v>
      </c>
      <c r="I60" s="95">
        <f>G13-G60</f>
        <v>4520.2599999999802</v>
      </c>
      <c r="J60" s="175">
        <f>H60/DAY(B2)</f>
        <v>21016.930588235304</v>
      </c>
      <c r="K60" s="79"/>
      <c r="L60" s="66"/>
      <c r="N60" s="87"/>
      <c r="O60" s="71"/>
    </row>
    <row r="61" spans="1:15" s="68" customFormat="1" ht="27.75" customHeight="1">
      <c r="A61" s="883" t="s">
        <v>332</v>
      </c>
      <c r="B61" s="884"/>
      <c r="C61" s="885"/>
      <c r="D61" s="339"/>
      <c r="E61" s="339"/>
      <c r="F61" s="339"/>
      <c r="G61" s="485"/>
      <c r="H61" s="339"/>
      <c r="I61" s="339"/>
      <c r="J61" s="341"/>
      <c r="K61" s="69"/>
      <c r="L61" s="67"/>
      <c r="N61" s="87"/>
      <c r="O61" s="71"/>
    </row>
    <row r="62" spans="1:15" ht="27.75" customHeight="1">
      <c r="A62" s="864" t="s">
        <v>198</v>
      </c>
      <c r="B62" s="865"/>
      <c r="C62" s="866"/>
      <c r="D62" s="151" t="s">
        <v>142</v>
      </c>
      <c r="E62" s="95">
        <f>'16'!F62</f>
        <v>310211.40000000002</v>
      </c>
      <c r="F62" s="122">
        <v>310375</v>
      </c>
      <c r="G62" s="474">
        <f t="shared" ref="G62:G63" si="5">F62-E62</f>
        <v>163.59999999997672</v>
      </c>
      <c r="H62" s="99">
        <f>G62+'16'!H62</f>
        <v>2061</v>
      </c>
      <c r="I62" s="118"/>
      <c r="J62" s="175">
        <f>H62/DAY(B2)</f>
        <v>121.23529411764706</v>
      </c>
      <c r="K62" s="80"/>
      <c r="L62" s="66"/>
      <c r="N62" s="87"/>
      <c r="O62" s="71"/>
    </row>
    <row r="63" spans="1:15" ht="27.75" customHeight="1">
      <c r="A63" s="864" t="s">
        <v>199</v>
      </c>
      <c r="B63" s="865"/>
      <c r="C63" s="866"/>
      <c r="D63" s="151" t="s">
        <v>142</v>
      </c>
      <c r="E63" s="95">
        <f>'16'!F63</f>
        <v>247832</v>
      </c>
      <c r="F63" s="122">
        <v>247915</v>
      </c>
      <c r="G63" s="474">
        <f t="shared" si="5"/>
        <v>83</v>
      </c>
      <c r="H63" s="99">
        <f>G63+'16'!H63</f>
        <v>986</v>
      </c>
      <c r="I63" s="118"/>
      <c r="J63" s="175">
        <f>H63/DAY(B2)</f>
        <v>58</v>
      </c>
      <c r="K63" s="69"/>
      <c r="L63" s="66"/>
      <c r="N63" s="87"/>
      <c r="O63" s="71"/>
    </row>
    <row r="64" spans="1:15" ht="27.75" customHeight="1">
      <c r="A64" s="861" t="s">
        <v>200</v>
      </c>
      <c r="B64" s="862"/>
      <c r="C64" s="863"/>
      <c r="D64" s="151"/>
      <c r="E64" s="95">
        <f>'16'!F64</f>
        <v>0</v>
      </c>
      <c r="F64" s="122"/>
      <c r="G64" s="474">
        <f>G62+G63</f>
        <v>246.59999999997672</v>
      </c>
      <c r="H64" s="99">
        <f>G64+'16'!H64</f>
        <v>3047</v>
      </c>
      <c r="I64" s="118"/>
      <c r="J64" s="175">
        <f>H64/DAY(B2)</f>
        <v>179.23529411764707</v>
      </c>
      <c r="K64" s="69"/>
      <c r="L64" s="66"/>
      <c r="N64" s="87"/>
      <c r="O64" s="71"/>
    </row>
    <row r="65" spans="1:15" ht="27.75" customHeight="1">
      <c r="A65" s="864" t="s">
        <v>201</v>
      </c>
      <c r="B65" s="865"/>
      <c r="C65" s="866"/>
      <c r="D65" s="151" t="s">
        <v>142</v>
      </c>
      <c r="E65" s="95">
        <f>'16'!F65</f>
        <v>470060</v>
      </c>
      <c r="F65" s="122">
        <v>470213</v>
      </c>
      <c r="G65" s="474">
        <f t="shared" ref="G65:G70" si="6">F65-E65</f>
        <v>153</v>
      </c>
      <c r="H65" s="99">
        <f>G65+'16'!H65</f>
        <v>2312</v>
      </c>
      <c r="I65" s="118"/>
      <c r="J65" s="175">
        <f>H65/DAY(B2)</f>
        <v>136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'16'!F66</f>
        <v>113357</v>
      </c>
      <c r="F66" s="122">
        <v>113371</v>
      </c>
      <c r="G66" s="474">
        <f t="shared" si="6"/>
        <v>14</v>
      </c>
      <c r="H66" s="99">
        <f>G66+'16'!H66</f>
        <v>55624</v>
      </c>
      <c r="I66" s="118"/>
      <c r="J66" s="175">
        <f>H66/DAY(B2)</f>
        <v>3272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'16'!F67</f>
        <v>116180</v>
      </c>
      <c r="F67" s="122">
        <v>116213</v>
      </c>
      <c r="G67" s="474">
        <f t="shared" si="6"/>
        <v>33</v>
      </c>
      <c r="H67" s="99">
        <f>G67+'16'!H67</f>
        <v>358</v>
      </c>
      <c r="I67" s="118"/>
      <c r="J67" s="175">
        <f>H67/DAY(B2)</f>
        <v>21.058823529411764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'16'!F68</f>
        <v>168994</v>
      </c>
      <c r="F68" s="122">
        <v>169033</v>
      </c>
      <c r="G68" s="474">
        <f t="shared" si="6"/>
        <v>39</v>
      </c>
      <c r="H68" s="99">
        <f>G68+'16'!H68</f>
        <v>526</v>
      </c>
      <c r="I68" s="118"/>
      <c r="J68" s="175">
        <f>H68/DAY(B2)</f>
        <v>30.941176470588236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'16'!F69</f>
        <v>12890</v>
      </c>
      <c r="F69" s="122">
        <v>12902</v>
      </c>
      <c r="G69" s="474">
        <f t="shared" si="6"/>
        <v>12</v>
      </c>
      <c r="H69" s="99">
        <f>G69+'16'!H69</f>
        <v>92</v>
      </c>
      <c r="I69" s="118"/>
      <c r="J69" s="175">
        <f>H69/DAY(B2)</f>
        <v>5.4117647058823533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'16'!F70</f>
        <v>10894</v>
      </c>
      <c r="F70" s="122">
        <v>10900</v>
      </c>
      <c r="G70" s="474">
        <f t="shared" si="6"/>
        <v>6</v>
      </c>
      <c r="H70" s="99">
        <f>G70+'16'!H70</f>
        <v>121</v>
      </c>
      <c r="I70" s="118"/>
      <c r="J70" s="175">
        <f>H70/DAY(B2)</f>
        <v>7.117647058823529</v>
      </c>
      <c r="K70" s="69"/>
      <c r="L70" s="66"/>
      <c r="N70" s="87"/>
      <c r="O70" s="71"/>
    </row>
    <row r="71" spans="1:15" ht="27.75" customHeight="1">
      <c r="A71" s="861" t="s">
        <v>208</v>
      </c>
      <c r="B71" s="862"/>
      <c r="C71" s="863"/>
      <c r="D71" s="152"/>
      <c r="E71" s="152"/>
      <c r="F71" s="152"/>
      <c r="G71" s="486">
        <f>SUM(G65:G70)</f>
        <v>257</v>
      </c>
      <c r="H71" s="99">
        <f>G71+'16'!H71</f>
        <v>59033</v>
      </c>
      <c r="I71" s="154"/>
      <c r="J71" s="175">
        <f>H71/DAY(B2)</f>
        <v>3472.5294117647059</v>
      </c>
      <c r="K71" s="69"/>
      <c r="L71" s="66"/>
      <c r="N71" s="87"/>
      <c r="O71" s="71"/>
    </row>
    <row r="72" spans="1:15" s="88" customFormat="1" ht="27.75" customHeight="1">
      <c r="A72" s="904"/>
      <c r="B72" s="896"/>
      <c r="C72" s="347"/>
      <c r="D72" s="180"/>
      <c r="E72" s="180" t="s">
        <v>207</v>
      </c>
      <c r="F72" s="180"/>
      <c r="G72" s="487"/>
      <c r="H72" s="181"/>
      <c r="I72" s="180"/>
      <c r="J72" s="182"/>
      <c r="N72" s="87"/>
      <c r="O72" s="71"/>
    </row>
    <row r="73" spans="1:15" ht="27.75" customHeight="1">
      <c r="A73" s="909" t="s">
        <v>333</v>
      </c>
      <c r="B73" s="910"/>
      <c r="C73" s="911"/>
      <c r="D73" s="339"/>
      <c r="E73" s="339"/>
      <c r="F73" s="339"/>
      <c r="G73" s="485"/>
      <c r="H73" s="342"/>
      <c r="I73" s="342"/>
      <c r="J73" s="343"/>
      <c r="K73" s="69"/>
      <c r="L73" s="66"/>
      <c r="N73" s="87"/>
      <c r="O73" s="71"/>
    </row>
    <row r="74" spans="1:15" ht="27.75" customHeight="1">
      <c r="A74" s="864" t="s">
        <v>220</v>
      </c>
      <c r="B74" s="865"/>
      <c r="C74" s="866"/>
      <c r="D74" s="151" t="s">
        <v>139</v>
      </c>
      <c r="E74" s="95">
        <f>'16'!F74</f>
        <v>998038</v>
      </c>
      <c r="F74" s="117">
        <v>998337.35</v>
      </c>
      <c r="G74" s="474">
        <f t="shared" ref="G74:G78" si="7">F74-E74</f>
        <v>299.34999999997672</v>
      </c>
      <c r="H74" s="99">
        <f>G74+'16'!H74</f>
        <v>4978.3199999999488</v>
      </c>
      <c r="I74" s="154"/>
      <c r="J74" s="175">
        <f>H74/DAY(B2)</f>
        <v>292.84235294117343</v>
      </c>
      <c r="K74" s="69"/>
      <c r="L74" s="66"/>
      <c r="N74" s="87"/>
      <c r="O74" s="71"/>
    </row>
    <row r="75" spans="1:15" ht="27.75" customHeight="1">
      <c r="A75" s="864" t="s">
        <v>221</v>
      </c>
      <c r="B75" s="865"/>
      <c r="C75" s="866"/>
      <c r="D75" s="151" t="s">
        <v>139</v>
      </c>
      <c r="E75" s="95">
        <f>'16'!F75</f>
        <v>73586.8</v>
      </c>
      <c r="F75" s="123">
        <v>73586.8</v>
      </c>
      <c r="G75" s="474">
        <f t="shared" si="7"/>
        <v>0</v>
      </c>
      <c r="H75" s="99">
        <f>G75+'16'!H75</f>
        <v>0.80000000000291038</v>
      </c>
      <c r="I75" s="154"/>
      <c r="J75" s="175">
        <f>H75/DAY(B2)</f>
        <v>4.705882352958296E-2</v>
      </c>
      <c r="K75" s="69"/>
      <c r="L75" s="66"/>
      <c r="N75" s="87"/>
      <c r="O75" s="71"/>
    </row>
    <row r="76" spans="1:15" ht="27.75" customHeight="1">
      <c r="A76" s="905" t="s">
        <v>222</v>
      </c>
      <c r="B76" s="891"/>
      <c r="C76" s="892"/>
      <c r="D76" s="151" t="s">
        <v>139</v>
      </c>
      <c r="E76" s="95">
        <f>'16'!F76</f>
        <v>205745.98</v>
      </c>
      <c r="F76" s="123">
        <v>205872</v>
      </c>
      <c r="G76" s="474">
        <f t="shared" si="7"/>
        <v>126.01999999998952</v>
      </c>
      <c r="H76" s="99">
        <f>G76+'16'!H76</f>
        <v>2210</v>
      </c>
      <c r="I76" s="154"/>
      <c r="J76" s="175">
        <f>H76/DAY(B2)</f>
        <v>130</v>
      </c>
      <c r="K76" s="69"/>
      <c r="L76" s="66"/>
      <c r="N76" s="87"/>
      <c r="O76" s="71"/>
    </row>
    <row r="77" spans="1:15" ht="27.75" customHeight="1">
      <c r="A77" s="905" t="s">
        <v>223</v>
      </c>
      <c r="B77" s="891"/>
      <c r="C77" s="892"/>
      <c r="D77" s="151" t="s">
        <v>139</v>
      </c>
      <c r="E77" s="95">
        <f>'16'!F77</f>
        <v>57377</v>
      </c>
      <c r="F77" s="409">
        <v>57425</v>
      </c>
      <c r="G77" s="474">
        <f t="shared" si="7"/>
        <v>48</v>
      </c>
      <c r="H77" s="99">
        <f>G77+'16'!H77</f>
        <v>903</v>
      </c>
      <c r="I77" s="154"/>
      <c r="J77" s="175">
        <f>H77/DAY(B2)</f>
        <v>53.117647058823529</v>
      </c>
      <c r="K77" s="69"/>
      <c r="L77" s="66"/>
      <c r="N77" s="87"/>
      <c r="O77" s="71"/>
    </row>
    <row r="78" spans="1:15" ht="27.75" customHeight="1">
      <c r="A78" s="905" t="s">
        <v>224</v>
      </c>
      <c r="B78" s="891"/>
      <c r="C78" s="892"/>
      <c r="D78" s="151" t="s">
        <v>139</v>
      </c>
      <c r="E78" s="95">
        <f>'16'!F78</f>
        <v>9564</v>
      </c>
      <c r="F78" s="123">
        <v>9564</v>
      </c>
      <c r="G78" s="474">
        <f t="shared" si="7"/>
        <v>0</v>
      </c>
      <c r="H78" s="99">
        <f>G78+'16'!H78</f>
        <v>-0.3999999999996362</v>
      </c>
      <c r="I78" s="118"/>
      <c r="J78" s="175">
        <f>H78/DAY(B2)</f>
        <v>-2.3529411764684482E-2</v>
      </c>
      <c r="K78" s="69"/>
      <c r="L78" s="66"/>
      <c r="N78" s="87"/>
      <c r="O78" s="71"/>
    </row>
    <row r="79" spans="1:15" s="57" customFormat="1" ht="27.75" customHeight="1">
      <c r="A79" s="905" t="s">
        <v>225</v>
      </c>
      <c r="B79" s="891"/>
      <c r="C79" s="892"/>
      <c r="D79" s="151"/>
      <c r="E79" s="95">
        <f>'16'!F79</f>
        <v>0</v>
      </c>
      <c r="F79" s="123"/>
      <c r="G79" s="474">
        <f>G15-SUM(G74:G78)</f>
        <v>619.63000000003376</v>
      </c>
      <c r="H79" s="99">
        <f>G79+'16'!H79</f>
        <v>10338.280000000048</v>
      </c>
      <c r="I79" s="118"/>
      <c r="J79" s="175"/>
      <c r="K79" s="59"/>
      <c r="L79" s="58"/>
      <c r="N79" s="87"/>
      <c r="O79" s="71"/>
    </row>
    <row r="80" spans="1:15" s="57" customFormat="1" ht="27.75" customHeight="1">
      <c r="A80" s="861" t="s">
        <v>329</v>
      </c>
      <c r="B80" s="862"/>
      <c r="C80" s="863"/>
      <c r="D80" s="151"/>
      <c r="E80" s="117"/>
      <c r="F80" s="117"/>
      <c r="G80" s="474">
        <f>SUM(G74:G79)</f>
        <v>1093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897" t="s">
        <v>226</v>
      </c>
      <c r="B81" s="898"/>
      <c r="C81" s="899"/>
      <c r="D81" s="110"/>
      <c r="E81" s="110"/>
      <c r="F81" s="110"/>
      <c r="G81" s="488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'16'!F82</f>
        <v>0</v>
      </c>
      <c r="F82" s="122">
        <v>0</v>
      </c>
      <c r="G82" s="474">
        <f t="shared" ref="G82:G92" si="8">F82-E82</f>
        <v>0</v>
      </c>
      <c r="H82" s="99">
        <f>G82+'16'!H82</f>
        <v>0</v>
      </c>
      <c r="I82" s="545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'16'!F83</f>
        <v>0</v>
      </c>
      <c r="F83" s="122">
        <v>0</v>
      </c>
      <c r="G83" s="474">
        <f t="shared" si="8"/>
        <v>0</v>
      </c>
      <c r="H83" s="99">
        <f>G83+'16'!H83</f>
        <v>0</v>
      </c>
      <c r="I83" s="545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'16'!F84</f>
        <v>45540.35</v>
      </c>
      <c r="F84" s="164">
        <v>45540.35</v>
      </c>
      <c r="G84" s="474">
        <f t="shared" si="8"/>
        <v>0</v>
      </c>
      <c r="H84" s="99">
        <f>G84+'16'!H84</f>
        <v>2000.1399999999994</v>
      </c>
      <c r="I84" s="545"/>
      <c r="J84" s="175">
        <f>H84/DAY(B2)</f>
        <v>117.65529411764703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'16'!F85</f>
        <v>5757.43</v>
      </c>
      <c r="F85" s="164">
        <v>5768.28</v>
      </c>
      <c r="G85" s="474">
        <f t="shared" si="8"/>
        <v>10.849999999999454</v>
      </c>
      <c r="H85" s="99">
        <f>G85+'16'!H85</f>
        <v>84.279999999999745</v>
      </c>
      <c r="I85" s="545"/>
      <c r="J85" s="175">
        <f>H85/DAY(B2)</f>
        <v>4.9576470588235146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'16'!F86</f>
        <v>46811.07</v>
      </c>
      <c r="F86" s="164">
        <v>46811.07</v>
      </c>
      <c r="G86" s="474">
        <f t="shared" si="8"/>
        <v>0</v>
      </c>
      <c r="H86" s="99">
        <f>G86+'16'!H86</f>
        <v>77.069999999999709</v>
      </c>
      <c r="I86" s="545"/>
      <c r="J86" s="175">
        <f>H86/DAY(B2)</f>
        <v>4.5335294117646887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'16'!F87</f>
        <v>36829.230000000003</v>
      </c>
      <c r="F87" s="164">
        <v>36840.400000000001</v>
      </c>
      <c r="G87" s="474">
        <f t="shared" si="8"/>
        <v>11.169999999998254</v>
      </c>
      <c r="H87" s="99">
        <f>G87+'16'!H87</f>
        <v>290.19000000000233</v>
      </c>
      <c r="I87" s="545">
        <f>G84+G85+G86+G87</f>
        <v>22.019999999997708</v>
      </c>
      <c r="J87" s="175">
        <f>H87/DAY(B2)</f>
        <v>17.070000000000135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'16'!F88</f>
        <v>24511.8</v>
      </c>
      <c r="F88" s="164">
        <v>24511.8</v>
      </c>
      <c r="G88" s="474">
        <f t="shared" si="8"/>
        <v>0</v>
      </c>
      <c r="H88" s="99">
        <f>G88+'16'!H88</f>
        <v>0</v>
      </c>
      <c r="I88" s="545"/>
      <c r="J88" s="175">
        <f>H88/DAY(B2)</f>
        <v>0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'16'!F89</f>
        <v>28661.919999999998</v>
      </c>
      <c r="F89" s="164">
        <v>28672.14</v>
      </c>
      <c r="G89" s="474">
        <f t="shared" si="8"/>
        <v>10.220000000001164</v>
      </c>
      <c r="H89" s="99">
        <f>G89+'16'!H89</f>
        <v>170.43999999999869</v>
      </c>
      <c r="I89" s="545">
        <f>G88+G89</f>
        <v>10.220000000001164</v>
      </c>
      <c r="J89" s="175">
        <f>H89/DAY(B2)</f>
        <v>10.0258823529411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'16'!F90</f>
        <v>74046.47</v>
      </c>
      <c r="F90" s="164">
        <v>74058.429999999993</v>
      </c>
      <c r="G90" s="474">
        <f t="shared" si="8"/>
        <v>11.959999999991851</v>
      </c>
      <c r="H90" s="99">
        <f>G90+'16'!H90</f>
        <v>197.82999999998719</v>
      </c>
      <c r="I90" s="545">
        <f>G90</f>
        <v>11.959999999991851</v>
      </c>
      <c r="J90" s="175">
        <f>H90/DAY(B2)</f>
        <v>11.637058823528658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'16'!F91</f>
        <v>5497.88</v>
      </c>
      <c r="F91" s="122">
        <v>5509</v>
      </c>
      <c r="G91" s="474">
        <f t="shared" si="8"/>
        <v>11.119999999999891</v>
      </c>
      <c r="H91" s="99">
        <f>G91+'16'!H91</f>
        <v>156.22999999999956</v>
      </c>
      <c r="I91" s="546"/>
      <c r="J91" s="175">
        <f>H91/DAY(B2)</f>
        <v>9.1899999999999746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'16'!F92</f>
        <v>7031.67</v>
      </c>
      <c r="F92" s="122">
        <v>7031.67</v>
      </c>
      <c r="G92" s="474">
        <f t="shared" si="8"/>
        <v>0</v>
      </c>
      <c r="H92" s="99">
        <f>G92+'16'!H92</f>
        <v>31.670000000000073</v>
      </c>
      <c r="I92" s="547">
        <f>G91+G92</f>
        <v>11.119999999999891</v>
      </c>
      <c r="J92" s="175">
        <f>H92/DAY(B2)</f>
        <v>1.8629411764705925</v>
      </c>
      <c r="O92" s="71"/>
    </row>
    <row r="93" spans="1:15" ht="27.75" customHeight="1">
      <c r="A93" s="906" t="s">
        <v>239</v>
      </c>
      <c r="B93" s="907"/>
      <c r="C93" s="908"/>
      <c r="D93" s="111"/>
      <c r="E93" s="111"/>
      <c r="F93" s="111"/>
      <c r="G93" s="477"/>
      <c r="H93" s="121"/>
      <c r="I93" s="121"/>
      <c r="J93" s="183"/>
      <c r="K93" s="69"/>
      <c r="L93" s="66"/>
      <c r="O93" s="71"/>
    </row>
    <row r="94" spans="1:15" ht="27.75" customHeight="1">
      <c r="A94" s="864" t="s">
        <v>240</v>
      </c>
      <c r="B94" s="865"/>
      <c r="C94" s="866"/>
      <c r="D94" s="151" t="s">
        <v>130</v>
      </c>
      <c r="E94" s="151"/>
      <c r="F94" s="151"/>
      <c r="G94" s="489">
        <f>G35+G43+G49+G57</f>
        <v>5666.929999999993</v>
      </c>
      <c r="H94" s="99">
        <f>G94+'16'!H94</f>
        <v>101806.72000000009</v>
      </c>
      <c r="I94" s="118"/>
      <c r="J94" s="175">
        <f>H94/DAY(B2)</f>
        <v>5988.630588235299</v>
      </c>
      <c r="K94" s="69"/>
      <c r="L94" s="66"/>
      <c r="O94" s="71"/>
    </row>
    <row r="95" spans="1:15" ht="27.75" customHeight="1">
      <c r="A95" s="864" t="s">
        <v>241</v>
      </c>
      <c r="B95" s="865"/>
      <c r="C95" s="866"/>
      <c r="D95" s="151" t="s">
        <v>23</v>
      </c>
      <c r="E95" s="146"/>
      <c r="F95" s="146"/>
      <c r="G95" s="490">
        <f>G94/G7</f>
        <v>0.21993829077078292</v>
      </c>
      <c r="H95" s="99">
        <f>G95+'16'!H95</f>
        <v>4.3673256624994403</v>
      </c>
      <c r="I95" s="167"/>
      <c r="J95" s="175">
        <f>H95/DAY(B2)</f>
        <v>0.2569015095587906</v>
      </c>
      <c r="K95" s="69"/>
      <c r="L95" s="66"/>
      <c r="O95" s="71"/>
    </row>
    <row r="96" spans="1:15" ht="27.75" customHeight="1">
      <c r="A96" s="864" t="s">
        <v>242</v>
      </c>
      <c r="B96" s="865"/>
      <c r="C96" s="866"/>
      <c r="D96" s="151" t="s">
        <v>130</v>
      </c>
      <c r="E96" s="95"/>
      <c r="F96" s="95"/>
      <c r="G96" s="489">
        <f>G41+G42+G55+G56</f>
        <v>5853.0000000001164</v>
      </c>
      <c r="H96" s="99">
        <f>G96+'16'!H96</f>
        <v>74243.520000000019</v>
      </c>
      <c r="I96" s="118"/>
      <c r="J96" s="175">
        <f>H96/DAY(B2)</f>
        <v>4367.2658823529418</v>
      </c>
      <c r="K96" s="69"/>
      <c r="L96" s="66"/>
      <c r="O96" s="71"/>
    </row>
    <row r="97" spans="1:15" ht="27.75" customHeight="1">
      <c r="A97" s="864" t="s">
        <v>243</v>
      </c>
      <c r="B97" s="865"/>
      <c r="C97" s="866"/>
      <c r="D97" s="151" t="s">
        <v>23</v>
      </c>
      <c r="E97" s="95"/>
      <c r="F97" s="95"/>
      <c r="G97" s="490">
        <f>G96/G7</f>
        <v>0.22715982302259241</v>
      </c>
      <c r="H97" s="99">
        <f>G97+'16'!H97</f>
        <v>3.154971285045165</v>
      </c>
      <c r="I97" s="167"/>
      <c r="J97" s="175">
        <f>H97/DAY(B2)</f>
        <v>0.18558654617912734</v>
      </c>
      <c r="K97" s="69"/>
      <c r="L97" s="66"/>
      <c r="O97" s="71"/>
    </row>
    <row r="98" spans="1:15" ht="27.75" customHeight="1">
      <c r="A98" s="864" t="s">
        <v>244</v>
      </c>
      <c r="B98" s="865"/>
      <c r="C98" s="866"/>
      <c r="D98" s="151" t="s">
        <v>130</v>
      </c>
      <c r="E98" s="95"/>
      <c r="F98" s="95"/>
      <c r="G98" s="489">
        <f>G39+G53</f>
        <v>4177.5200000000186</v>
      </c>
      <c r="H98" s="99">
        <f>G98+'16'!H98</f>
        <v>69516.520000000019</v>
      </c>
      <c r="I98" s="168"/>
      <c r="J98" s="175">
        <f>H98/DAY(B2)</f>
        <v>4089.2070588235306</v>
      </c>
      <c r="K98" s="69"/>
      <c r="L98" s="66"/>
      <c r="O98" s="71"/>
    </row>
    <row r="99" spans="1:15" ht="27.75" customHeight="1">
      <c r="A99" s="864" t="s">
        <v>245</v>
      </c>
      <c r="B99" s="865"/>
      <c r="C99" s="866"/>
      <c r="D99" s="151" t="s">
        <v>23</v>
      </c>
      <c r="E99" s="95"/>
      <c r="F99" s="95"/>
      <c r="G99" s="490">
        <f>G98/G7</f>
        <v>0.16213304354575869</v>
      </c>
      <c r="H99" s="99">
        <f>G99+'16'!H99</f>
        <v>2.9908223018877762</v>
      </c>
      <c r="I99" s="168"/>
      <c r="J99" s="175">
        <f>H99/DAY(B2)</f>
        <v>0.17593072364045742</v>
      </c>
      <c r="O99" s="71"/>
    </row>
    <row r="100" spans="1:15" ht="27.75" customHeight="1">
      <c r="A100" s="864" t="s">
        <v>246</v>
      </c>
      <c r="B100" s="865"/>
      <c r="C100" s="866"/>
      <c r="D100" s="151" t="s">
        <v>180</v>
      </c>
      <c r="E100" s="95"/>
      <c r="F100" s="95"/>
      <c r="G100" s="489">
        <f>G38+G52</f>
        <v>0</v>
      </c>
      <c r="H100" s="99">
        <f>G100+'16'!H100</f>
        <v>35046.959999999955</v>
      </c>
      <c r="I100" s="118"/>
      <c r="J100" s="175">
        <f>H100/DAY(B2)</f>
        <v>2061.5858823529384</v>
      </c>
      <c r="K100" s="70"/>
      <c r="O100" s="71"/>
    </row>
    <row r="101" spans="1:15" ht="27.75" customHeight="1">
      <c r="A101" s="864" t="s">
        <v>247</v>
      </c>
      <c r="B101" s="865"/>
      <c r="C101" s="866"/>
      <c r="D101" s="151" t="s">
        <v>23</v>
      </c>
      <c r="E101" s="95"/>
      <c r="F101" s="95"/>
      <c r="G101" s="490">
        <f>G100/G7</f>
        <v>0</v>
      </c>
      <c r="H101" s="99">
        <f>G101+'16'!H101</f>
        <v>1.523478303120791</v>
      </c>
      <c r="I101" s="168"/>
      <c r="J101" s="175">
        <f>H101/DAY(B2)</f>
        <v>8.9616370771811241E-2</v>
      </c>
      <c r="O101" s="71"/>
    </row>
    <row r="102" spans="1:15" ht="27.75" customHeight="1">
      <c r="A102" s="864" t="s">
        <v>248</v>
      </c>
      <c r="B102" s="865"/>
      <c r="C102" s="866"/>
      <c r="D102" s="151" t="s">
        <v>180</v>
      </c>
      <c r="E102" s="95"/>
      <c r="F102" s="95"/>
      <c r="G102" s="489">
        <f>G36+G50</f>
        <v>2780.6599999999744</v>
      </c>
      <c r="H102" s="99">
        <f>G102+'16'!H102</f>
        <v>44643.539999999979</v>
      </c>
      <c r="I102" s="168"/>
      <c r="J102" s="175">
        <f>H102/DAY(B2)</f>
        <v>2626.0905882352927</v>
      </c>
      <c r="O102" s="71"/>
    </row>
    <row r="103" spans="1:15" ht="27.75" customHeight="1">
      <c r="A103" s="864" t="s">
        <v>249</v>
      </c>
      <c r="B103" s="865"/>
      <c r="C103" s="866"/>
      <c r="D103" s="151" t="s">
        <v>23</v>
      </c>
      <c r="E103" s="95"/>
      <c r="F103" s="95"/>
      <c r="G103" s="490">
        <f>G102/G7</f>
        <v>0.10791973919118118</v>
      </c>
      <c r="H103" s="99">
        <f>G103+'16'!H103</f>
        <v>1.9174846162950192</v>
      </c>
      <c r="I103" s="118"/>
      <c r="J103" s="175">
        <f>H103/DAY(B2)</f>
        <v>0.11279321272323642</v>
      </c>
      <c r="O103" s="71"/>
    </row>
    <row r="104" spans="1:15" ht="27.75" customHeight="1">
      <c r="A104" s="864" t="s">
        <v>250</v>
      </c>
      <c r="B104" s="865"/>
      <c r="C104" s="866"/>
      <c r="D104" s="151" t="s">
        <v>180</v>
      </c>
      <c r="E104" s="95"/>
      <c r="F104" s="95"/>
      <c r="G104" s="489">
        <f>G37+G51</f>
        <v>1046.1900000000023</v>
      </c>
      <c r="H104" s="99">
        <f>G104+'16'!H104</f>
        <v>18154.070000000007</v>
      </c>
      <c r="I104" s="118"/>
      <c r="J104" s="175">
        <f>H104/DAY(B2)</f>
        <v>1067.8864705882356</v>
      </c>
      <c r="O104" s="71"/>
    </row>
    <row r="105" spans="1:15" ht="27.75" customHeight="1" thickBot="1">
      <c r="A105" s="901" t="s">
        <v>251</v>
      </c>
      <c r="B105" s="902"/>
      <c r="C105" s="903"/>
      <c r="D105" s="231" t="s">
        <v>23</v>
      </c>
      <c r="E105" s="185"/>
      <c r="F105" s="185"/>
      <c r="G105" s="491">
        <f>G104/G7</f>
        <v>4.0603508499573171E-2</v>
      </c>
      <c r="H105" s="99">
        <f>G105+'16'!H105</f>
        <v>0.78077122199734128</v>
      </c>
      <c r="I105" s="187"/>
      <c r="J105" s="188">
        <f>H105/DAY(B2)</f>
        <v>4.5927718941020074E-2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492"/>
      <c r="H106" s="170"/>
      <c r="I106" s="169"/>
      <c r="J106" s="171"/>
      <c r="O106" s="71"/>
    </row>
    <row r="108" spans="1:15" ht="27.75" customHeight="1">
      <c r="A108" s="915" t="s">
        <v>324</v>
      </c>
      <c r="B108" s="915"/>
      <c r="C108" s="915"/>
      <c r="D108" s="915"/>
      <c r="E108" s="915"/>
      <c r="F108" s="915"/>
      <c r="G108" s="915"/>
      <c r="H108" s="915"/>
      <c r="I108" s="915"/>
      <c r="J108" s="915"/>
    </row>
    <row r="109" spans="1:15" ht="27.75" customHeight="1">
      <c r="A109" s="900"/>
      <c r="B109" s="900"/>
    </row>
    <row r="110" spans="1:15" ht="27.75" customHeight="1">
      <c r="A110" s="916" t="s">
        <v>165</v>
      </c>
      <c r="B110" s="917"/>
      <c r="C110" s="917"/>
      <c r="D110" s="917"/>
      <c r="E110" s="917"/>
      <c r="F110" s="917"/>
      <c r="G110" s="917"/>
      <c r="H110" s="917"/>
      <c r="I110" s="917"/>
      <c r="J110" s="918"/>
    </row>
    <row r="111" spans="1:15" ht="27.75" customHeight="1">
      <c r="A111" s="919"/>
      <c r="B111" s="920"/>
      <c r="C111" s="921"/>
      <c r="D111" s="165"/>
      <c r="E111" s="165"/>
      <c r="F111" s="165"/>
      <c r="G111" s="494"/>
      <c r="H111" s="156"/>
      <c r="I111" s="165"/>
      <c r="J111" s="327"/>
    </row>
    <row r="112" spans="1:15" ht="27.75" customHeight="1">
      <c r="A112" s="894" t="s">
        <v>252</v>
      </c>
      <c r="B112" s="895"/>
      <c r="C112" s="896"/>
      <c r="D112" s="146" t="s">
        <v>183</v>
      </c>
      <c r="E112" s="95">
        <f>'16'!F112</f>
        <v>16591</v>
      </c>
      <c r="F112" s="237">
        <v>16655.3</v>
      </c>
      <c r="G112" s="474">
        <f t="shared" ref="G112:G123" si="9">F112-E112</f>
        <v>64.299999999999272</v>
      </c>
      <c r="H112" s="99">
        <f>G112+'16'!H112</f>
        <v>1041.5</v>
      </c>
      <c r="I112" s="165"/>
      <c r="J112" s="328">
        <f>H112/DAY(B2)</f>
        <v>61.264705882352942</v>
      </c>
    </row>
    <row r="113" spans="1:18" ht="27.75" customHeight="1">
      <c r="A113" s="894" t="s">
        <v>253</v>
      </c>
      <c r="B113" s="895"/>
      <c r="C113" s="896"/>
      <c r="D113" s="146" t="s">
        <v>183</v>
      </c>
      <c r="E113" s="95">
        <f>'16'!F113</f>
        <v>34792</v>
      </c>
      <c r="F113" s="237">
        <v>34952.800000000003</v>
      </c>
      <c r="G113" s="474">
        <f t="shared" si="9"/>
        <v>160.80000000000291</v>
      </c>
      <c r="H113" s="99">
        <f>G113+'16'!H113</f>
        <v>2502.1300000000047</v>
      </c>
      <c r="I113" s="165"/>
      <c r="J113" s="328">
        <f>H113/DAY(B2)</f>
        <v>147.18411764705911</v>
      </c>
    </row>
    <row r="114" spans="1:18" ht="27.75" customHeight="1">
      <c r="A114" s="894" t="s">
        <v>254</v>
      </c>
      <c r="B114" s="895"/>
      <c r="C114" s="896"/>
      <c r="D114" s="146" t="s">
        <v>183</v>
      </c>
      <c r="E114" s="95">
        <f>'16'!F114</f>
        <v>51287.9</v>
      </c>
      <c r="F114" s="416">
        <v>51492</v>
      </c>
      <c r="G114" s="474">
        <f t="shared" si="9"/>
        <v>204.09999999999854</v>
      </c>
      <c r="H114" s="99">
        <f>G114+'16'!H114</f>
        <v>3525.6999999999971</v>
      </c>
      <c r="I114" s="165"/>
      <c r="J114" s="328">
        <f>H114/DAY(B2)</f>
        <v>207.39411764705866</v>
      </c>
    </row>
    <row r="115" spans="1:18" ht="27.75" customHeight="1">
      <c r="A115" s="894" t="s">
        <v>255</v>
      </c>
      <c r="B115" s="895"/>
      <c r="C115" s="896"/>
      <c r="D115" s="146" t="s">
        <v>183</v>
      </c>
      <c r="E115" s="95">
        <f>'16'!F115</f>
        <v>32832.6</v>
      </c>
      <c r="F115" s="237">
        <v>32994.6</v>
      </c>
      <c r="G115" s="474">
        <f t="shared" si="9"/>
        <v>162</v>
      </c>
      <c r="H115" s="99">
        <f>G115+'16'!H115</f>
        <v>2558.1999999999971</v>
      </c>
      <c r="I115" s="165"/>
      <c r="J115" s="328">
        <f>H115/DAY(B2)</f>
        <v>150.48235294117629</v>
      </c>
    </row>
    <row r="116" spans="1:18" ht="27.75" customHeight="1">
      <c r="A116" s="912" t="s">
        <v>96</v>
      </c>
      <c r="B116" s="913"/>
      <c r="C116" s="914"/>
      <c r="D116" s="146" t="s">
        <v>183</v>
      </c>
      <c r="E116" s="95">
        <f>'16'!F116</f>
        <v>128977.9</v>
      </c>
      <c r="F116" s="237">
        <v>129333.4</v>
      </c>
      <c r="G116" s="474">
        <f t="shared" si="9"/>
        <v>355.5</v>
      </c>
      <c r="H116" s="99">
        <f>G116+'16'!H116</f>
        <v>6473.1999999999971</v>
      </c>
      <c r="I116" s="165"/>
      <c r="J116" s="328">
        <f>H116/DAY(B2)</f>
        <v>380.7764705882351</v>
      </c>
      <c r="Q116" s="894"/>
      <c r="R116" s="896"/>
    </row>
    <row r="117" spans="1:18" ht="27.75" customHeight="1">
      <c r="A117" s="912" t="s">
        <v>184</v>
      </c>
      <c r="B117" s="913"/>
      <c r="C117" s="914"/>
      <c r="D117" s="146" t="s">
        <v>183</v>
      </c>
      <c r="E117" s="95">
        <f>'16'!F117</f>
        <v>78130.73</v>
      </c>
      <c r="F117" s="237">
        <v>78382.899999999994</v>
      </c>
      <c r="G117" s="474">
        <f t="shared" si="9"/>
        <v>252.16999999999825</v>
      </c>
      <c r="H117" s="99">
        <f>G117+'16'!H117</f>
        <v>4401.6999999999971</v>
      </c>
      <c r="I117" s="165"/>
      <c r="J117" s="328">
        <f>H117/DAY(B2)</f>
        <v>258.92352941176455</v>
      </c>
      <c r="Q117" s="894"/>
      <c r="R117" s="896"/>
    </row>
    <row r="118" spans="1:18" ht="27.75" customHeight="1">
      <c r="A118" s="889" t="s">
        <v>97</v>
      </c>
      <c r="B118" s="889"/>
      <c r="C118" s="889"/>
      <c r="D118" s="151" t="s">
        <v>183</v>
      </c>
      <c r="E118" s="95">
        <f>'16'!F118</f>
        <v>148906.07999999999</v>
      </c>
      <c r="F118" s="237">
        <v>149527.5</v>
      </c>
      <c r="G118" s="474">
        <f t="shared" si="9"/>
        <v>621.42000000001281</v>
      </c>
      <c r="H118" s="99">
        <f>G118+'16'!H118</f>
        <v>10715.049999999988</v>
      </c>
      <c r="I118" s="165"/>
      <c r="J118" s="328">
        <f>H118/DAY(B2)</f>
        <v>630.29705882352869</v>
      </c>
      <c r="Q118" s="894"/>
      <c r="R118" s="896"/>
    </row>
    <row r="119" spans="1:18" ht="27.75" customHeight="1">
      <c r="A119" s="889" t="s">
        <v>98</v>
      </c>
      <c r="B119" s="889"/>
      <c r="C119" s="889"/>
      <c r="D119" s="151" t="s">
        <v>183</v>
      </c>
      <c r="E119" s="95">
        <f>'16'!F119</f>
        <v>43545.9</v>
      </c>
      <c r="F119" s="237">
        <v>43560.2</v>
      </c>
      <c r="G119" s="474">
        <f t="shared" si="9"/>
        <v>14.299999999995634</v>
      </c>
      <c r="H119" s="99">
        <f>G119+'16'!H119</f>
        <v>206.5</v>
      </c>
      <c r="I119" s="165"/>
      <c r="J119" s="328">
        <f>H119/DAY(B2)</f>
        <v>12.147058823529411</v>
      </c>
    </row>
    <row r="120" spans="1:18" ht="27.75" customHeight="1">
      <c r="A120" s="889" t="s">
        <v>99</v>
      </c>
      <c r="B120" s="889"/>
      <c r="C120" s="889"/>
      <c r="D120" s="151" t="s">
        <v>183</v>
      </c>
      <c r="E120" s="95">
        <f>'16'!F120</f>
        <v>102273.3</v>
      </c>
      <c r="F120" s="237">
        <v>102711.67999999999</v>
      </c>
      <c r="G120" s="474">
        <f t="shared" si="9"/>
        <v>438.3799999999901</v>
      </c>
      <c r="H120" s="99">
        <f>G120+'16'!H120</f>
        <v>7004.0799999999872</v>
      </c>
      <c r="I120" s="165"/>
      <c r="J120" s="328">
        <f>H120/DAY(B2)</f>
        <v>412.0047058823522</v>
      </c>
    </row>
    <row r="121" spans="1:18" ht="27.75" customHeight="1">
      <c r="A121" s="889" t="s">
        <v>100</v>
      </c>
      <c r="B121" s="889"/>
      <c r="C121" s="889"/>
      <c r="D121" s="151" t="s">
        <v>183</v>
      </c>
      <c r="E121" s="95">
        <f>'16'!F121</f>
        <v>114674.7</v>
      </c>
      <c r="F121" s="237">
        <v>115147.2</v>
      </c>
      <c r="G121" s="474">
        <f t="shared" si="9"/>
        <v>472.5</v>
      </c>
      <c r="H121" s="99">
        <f>G121+'16'!H121</f>
        <v>7318.1499999999942</v>
      </c>
      <c r="I121" s="165"/>
      <c r="J121" s="328">
        <f>H121/DAY(B2)</f>
        <v>430.47941176470556</v>
      </c>
    </row>
    <row r="122" spans="1:18" ht="27.75" customHeight="1">
      <c r="A122" s="889" t="s">
        <v>101</v>
      </c>
      <c r="B122" s="889"/>
      <c r="C122" s="889"/>
      <c r="D122" s="151" t="s">
        <v>183</v>
      </c>
      <c r="E122" s="95">
        <f>'16'!F122</f>
        <v>76613.600000000006</v>
      </c>
      <c r="F122" s="237">
        <v>76951.100000000006</v>
      </c>
      <c r="G122" s="474">
        <f t="shared" si="9"/>
        <v>337.5</v>
      </c>
      <c r="H122" s="99">
        <f>G122+'16'!H122</f>
        <v>5913.2000000000116</v>
      </c>
      <c r="I122" s="165"/>
      <c r="J122" s="328">
        <f>H122/DAY(B2)</f>
        <v>347.83529411764772</v>
      </c>
    </row>
    <row r="123" spans="1:18" ht="27.75" customHeight="1">
      <c r="A123" s="889" t="s">
        <v>102</v>
      </c>
      <c r="B123" s="889"/>
      <c r="C123" s="889"/>
      <c r="D123" s="151" t="s">
        <v>183</v>
      </c>
      <c r="E123" s="95">
        <f>'16'!F123</f>
        <v>73275.47</v>
      </c>
      <c r="F123" s="237">
        <v>73594.399999999994</v>
      </c>
      <c r="G123" s="474">
        <f t="shared" si="9"/>
        <v>318.92999999999302</v>
      </c>
      <c r="H123" s="99">
        <f>G123+'16'!H123</f>
        <v>5237.0999999999913</v>
      </c>
      <c r="I123" s="165"/>
      <c r="J123" s="328">
        <f>H123/DAY(B2)</f>
        <v>308.06470588235243</v>
      </c>
    </row>
    <row r="124" spans="1:18" ht="27.75" customHeight="1">
      <c r="A124" s="919"/>
      <c r="B124" s="920"/>
      <c r="C124" s="921"/>
      <c r="D124" s="165"/>
      <c r="E124" s="95">
        <f>'16'!F124</f>
        <v>0</v>
      </c>
      <c r="F124" s="165"/>
      <c r="G124" s="494"/>
      <c r="H124" s="99">
        <f>G124+'16'!H124</f>
        <v>0</v>
      </c>
      <c r="I124" s="165"/>
      <c r="J124" s="327"/>
    </row>
    <row r="125" spans="1:18" ht="27.75" customHeight="1">
      <c r="A125" s="853" t="s">
        <v>196</v>
      </c>
      <c r="B125" s="854"/>
      <c r="C125" s="245"/>
      <c r="D125" s="307"/>
      <c r="E125" s="308"/>
      <c r="F125" s="308"/>
      <c r="G125" s="495">
        <f>SUM(G112:G124)</f>
        <v>3401.8999999999905</v>
      </c>
      <c r="H125" s="156"/>
      <c r="I125" s="327">
        <f>G125-(G39+G53)</f>
        <v>-775.62000000002809</v>
      </c>
      <c r="J125" s="327"/>
    </row>
    <row r="126" spans="1:18" ht="27.75" customHeight="1">
      <c r="A126" s="922" t="s">
        <v>317</v>
      </c>
      <c r="B126" s="922"/>
      <c r="C126" s="922"/>
      <c r="D126" s="922"/>
      <c r="E126" s="922"/>
      <c r="F126" s="922"/>
      <c r="G126" s="922"/>
      <c r="H126" s="922"/>
      <c r="I126" s="922"/>
      <c r="J126" s="922"/>
    </row>
    <row r="127" spans="1:18" ht="27.75" customHeight="1">
      <c r="A127" s="923"/>
      <c r="B127" s="923"/>
      <c r="C127" s="245"/>
      <c r="D127" s="307"/>
      <c r="E127" s="308"/>
      <c r="F127" s="308"/>
      <c r="G127" s="495"/>
      <c r="H127" s="99">
        <f>G127+'16'!H127</f>
        <v>0</v>
      </c>
      <c r="I127" s="165"/>
      <c r="J127" s="328">
        <f>H127/DAY(B2)</f>
        <v>0</v>
      </c>
    </row>
    <row r="128" spans="1:18" ht="27.75" customHeight="1">
      <c r="A128" s="894" t="s">
        <v>318</v>
      </c>
      <c r="B128" s="895"/>
      <c r="C128" s="896"/>
      <c r="D128" s="151" t="s">
        <v>183</v>
      </c>
      <c r="E128" s="95">
        <f>'16'!F128</f>
        <v>185424.55</v>
      </c>
      <c r="F128" s="165">
        <v>185781.35</v>
      </c>
      <c r="G128" s="474">
        <f t="shared" ref="G128:G133" si="10">F128-E128</f>
        <v>356.80000000001746</v>
      </c>
      <c r="H128" s="99">
        <f>G128+'16'!H128</f>
        <v>6369.5</v>
      </c>
      <c r="I128" s="165"/>
      <c r="J128" s="328">
        <f>H128/DAY(B2)</f>
        <v>374.6764705882353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'16'!F129</f>
        <v>98878</v>
      </c>
      <c r="F129" s="165">
        <v>99049.16</v>
      </c>
      <c r="G129" s="474">
        <f t="shared" si="10"/>
        <v>171.16000000000349</v>
      </c>
      <c r="H129" s="99">
        <f>G129+'16'!H129</f>
        <v>3019.6600000000035</v>
      </c>
      <c r="I129" s="165"/>
      <c r="J129" s="328">
        <f>H129/DAY(B2)</f>
        <v>177.62705882352961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'16'!F130</f>
        <v>258198.83</v>
      </c>
      <c r="F130" s="165">
        <v>258862.99</v>
      </c>
      <c r="G130" s="474">
        <f t="shared" si="10"/>
        <v>664.16000000000349</v>
      </c>
      <c r="H130" s="99">
        <f>G130+'16'!H130</f>
        <v>12023.239999999991</v>
      </c>
      <c r="I130" s="165"/>
      <c r="J130" s="328">
        <f>H130/DAY(B2)</f>
        <v>707.24941176470531</v>
      </c>
      <c r="N130" s="240"/>
      <c r="O130" s="241"/>
    </row>
    <row r="131" spans="1:15" ht="27.75" customHeight="1">
      <c r="A131" s="894" t="s">
        <v>321</v>
      </c>
      <c r="B131" s="895"/>
      <c r="C131" s="896"/>
      <c r="D131" s="151" t="s">
        <v>183</v>
      </c>
      <c r="E131" s="95">
        <f>'16'!F131</f>
        <v>77407.100000000006</v>
      </c>
      <c r="F131" s="165">
        <v>77639.399999999994</v>
      </c>
      <c r="G131" s="474">
        <f t="shared" si="10"/>
        <v>232.29999999998836</v>
      </c>
      <c r="H131" s="99">
        <f>G131+'16'!H131</f>
        <v>4128.7999999999884</v>
      </c>
      <c r="I131" s="165"/>
      <c r="J131" s="328">
        <f>H131/DAY(B2)</f>
        <v>242.87058823529344</v>
      </c>
      <c r="N131" s="240"/>
      <c r="O131" s="241"/>
    </row>
    <row r="132" spans="1:15" ht="27.75" customHeight="1">
      <c r="A132" s="894" t="s">
        <v>322</v>
      </c>
      <c r="B132" s="895"/>
      <c r="C132" s="896"/>
      <c r="D132" s="151" t="s">
        <v>183</v>
      </c>
      <c r="E132" s="95">
        <f>'16'!F132</f>
        <v>148274</v>
      </c>
      <c r="F132" s="165">
        <v>148274</v>
      </c>
      <c r="G132" s="474">
        <f t="shared" si="10"/>
        <v>0</v>
      </c>
      <c r="H132" s="99">
        <f>G132+'16'!H132</f>
        <v>1289</v>
      </c>
      <c r="I132" s="165"/>
      <c r="J132" s="328">
        <f>H132/DAY(B2)</f>
        <v>75.82352941176471</v>
      </c>
    </row>
    <row r="133" spans="1:15" ht="27.75" customHeight="1">
      <c r="A133" s="894" t="s">
        <v>359</v>
      </c>
      <c r="B133" s="895"/>
      <c r="C133" s="896"/>
      <c r="D133" s="151" t="s">
        <v>183</v>
      </c>
      <c r="E133" s="95">
        <f>'16'!F133</f>
        <v>922046</v>
      </c>
      <c r="F133" s="165">
        <v>922864</v>
      </c>
      <c r="G133" s="474">
        <f t="shared" si="10"/>
        <v>818</v>
      </c>
      <c r="H133" s="99">
        <f>G133+'16'!H133</f>
        <v>12620</v>
      </c>
      <c r="I133" s="165"/>
      <c r="J133" s="328">
        <f>H133/DAY(B2)</f>
        <v>742.35294117647061</v>
      </c>
    </row>
    <row r="134" spans="1:15" ht="27.75" customHeight="1">
      <c r="A134" s="894" t="s">
        <v>340</v>
      </c>
      <c r="B134" s="895"/>
      <c r="C134" s="896"/>
      <c r="D134" s="151" t="s">
        <v>183</v>
      </c>
      <c r="E134" s="95">
        <f>'16'!F134</f>
        <v>82147.5</v>
      </c>
      <c r="F134" s="165">
        <v>82328</v>
      </c>
      <c r="G134" s="474">
        <f>F134-E134</f>
        <v>180.5</v>
      </c>
      <c r="H134" s="99">
        <f>G134+'16'!H134</f>
        <v>3568.3999999999942</v>
      </c>
      <c r="I134" s="165"/>
      <c r="J134" s="328">
        <f>H134/DAY(B2)</f>
        <v>209.90588235294084</v>
      </c>
    </row>
    <row r="135" spans="1:15" ht="27.75" customHeight="1">
      <c r="A135" s="853" t="s">
        <v>196</v>
      </c>
      <c r="B135" s="854"/>
      <c r="C135" s="331"/>
      <c r="D135" s="151"/>
      <c r="E135" s="95"/>
      <c r="F135" s="165"/>
      <c r="G135" s="474">
        <f>SUM(G128:G134)</f>
        <v>2422.9200000000128</v>
      </c>
      <c r="H135" s="99">
        <f>G135+'10'!H135</f>
        <v>27096.39</v>
      </c>
      <c r="I135" s="327">
        <f>G135-(G35+G49)</f>
        <v>-689.4199999999546</v>
      </c>
      <c r="J135" s="328"/>
    </row>
    <row r="136" spans="1:15" ht="27.75" customHeight="1">
      <c r="A136" s="924" t="s">
        <v>325</v>
      </c>
      <c r="B136" s="924"/>
      <c r="C136" s="924"/>
      <c r="D136" s="924"/>
      <c r="E136" s="924"/>
      <c r="F136" s="924"/>
      <c r="G136" s="924"/>
      <c r="H136" s="924"/>
      <c r="I136" s="924"/>
      <c r="J136" s="924"/>
    </row>
    <row r="137" spans="1:15" ht="27.75" customHeight="1">
      <c r="A137" s="245"/>
      <c r="B137" s="246"/>
      <c r="C137" s="246"/>
      <c r="D137" s="165"/>
      <c r="E137" s="165"/>
      <c r="F137" s="165"/>
      <c r="G137" s="494"/>
      <c r="H137" s="156"/>
      <c r="I137" s="165"/>
      <c r="J137" s="327"/>
    </row>
    <row r="138" spans="1:15" ht="27.75" customHeight="1">
      <c r="A138" s="955" t="s">
        <v>185</v>
      </c>
      <c r="B138" s="955"/>
      <c r="C138" s="955"/>
      <c r="D138" s="233" t="s">
        <v>183</v>
      </c>
      <c r="E138" s="405">
        <v>907566</v>
      </c>
      <c r="F138" s="148">
        <v>907716</v>
      </c>
      <c r="G138" s="548">
        <f t="shared" ref="G138:G152" si="11">F138-E138</f>
        <v>150</v>
      </c>
      <c r="H138" s="238">
        <f>G138+'16'!H138</f>
        <v>2089</v>
      </c>
      <c r="I138" s="406"/>
      <c r="J138" s="407">
        <f>H138/DAY(B2)</f>
        <v>122.88235294117646</v>
      </c>
    </row>
    <row r="139" spans="1:15" ht="27.75" customHeight="1">
      <c r="A139" s="955" t="s">
        <v>186</v>
      </c>
      <c r="B139" s="955"/>
      <c r="C139" s="955"/>
      <c r="D139" s="233" t="s">
        <v>183</v>
      </c>
      <c r="E139" s="405">
        <f>'16'!F139</f>
        <v>929961</v>
      </c>
      <c r="F139" s="148">
        <v>930145</v>
      </c>
      <c r="G139" s="548">
        <f t="shared" si="11"/>
        <v>184</v>
      </c>
      <c r="H139" s="238">
        <f>G139+'16'!H139</f>
        <v>2864</v>
      </c>
      <c r="I139" s="406"/>
      <c r="J139" s="407">
        <f>H139/DAY(B2)</f>
        <v>168.47058823529412</v>
      </c>
    </row>
    <row r="140" spans="1:15" ht="27.75" customHeight="1">
      <c r="A140" s="955" t="s">
        <v>187</v>
      </c>
      <c r="B140" s="955"/>
      <c r="C140" s="955"/>
      <c r="D140" s="233" t="s">
        <v>183</v>
      </c>
      <c r="E140" s="405">
        <f>'16'!F140</f>
        <v>3697.2</v>
      </c>
      <c r="F140" s="148">
        <v>3719.4</v>
      </c>
      <c r="G140" s="548">
        <f t="shared" si="11"/>
        <v>22.200000000000273</v>
      </c>
      <c r="H140" s="238">
        <f>G140+'16'!H140</f>
        <v>388.30000000000018</v>
      </c>
      <c r="I140" s="406"/>
      <c r="J140" s="407">
        <f>H140/DAY(B2)</f>
        <v>22.841176470588245</v>
      </c>
    </row>
    <row r="141" spans="1:15" ht="27.75" customHeight="1">
      <c r="A141" s="962" t="s">
        <v>188</v>
      </c>
      <c r="B141" s="962"/>
      <c r="C141" s="962"/>
      <c r="D141" s="233" t="s">
        <v>183</v>
      </c>
      <c r="E141" s="405">
        <f>'16'!F141</f>
        <v>121298.69</v>
      </c>
      <c r="F141" s="148">
        <v>121535.7</v>
      </c>
      <c r="G141" s="548">
        <f t="shared" si="11"/>
        <v>237.00999999999476</v>
      </c>
      <c r="H141" s="238">
        <f>G141+'16'!H141</f>
        <v>3977.7200000000012</v>
      </c>
      <c r="I141" s="406"/>
      <c r="J141" s="407">
        <f>H141/DAY(B2)</f>
        <v>233.98352941176478</v>
      </c>
    </row>
    <row r="142" spans="1:15" ht="27.75" customHeight="1">
      <c r="A142" s="962" t="s">
        <v>189</v>
      </c>
      <c r="B142" s="962"/>
      <c r="C142" s="962"/>
      <c r="D142" s="233" t="s">
        <v>183</v>
      </c>
      <c r="E142" s="405">
        <f>'16'!F142</f>
        <v>49025.63</v>
      </c>
      <c r="F142" s="148">
        <v>49161.120000000003</v>
      </c>
      <c r="G142" s="548">
        <f t="shared" si="11"/>
        <v>135.49000000000524</v>
      </c>
      <c r="H142" s="238">
        <f>G142+'16'!H142</f>
        <v>1656.6200000000026</v>
      </c>
      <c r="I142" s="536"/>
      <c r="J142" s="407">
        <f>H142/DAY(B2)</f>
        <v>97.448235294117808</v>
      </c>
    </row>
    <row r="143" spans="1:15" ht="27.75" customHeight="1">
      <c r="A143" s="955" t="s">
        <v>91</v>
      </c>
      <c r="B143" s="955"/>
      <c r="C143" s="955"/>
      <c r="D143" s="233" t="s">
        <v>183</v>
      </c>
      <c r="E143" s="405">
        <f>'16'!F143</f>
        <v>12911.9</v>
      </c>
      <c r="F143" s="148">
        <v>12939.8</v>
      </c>
      <c r="G143" s="548">
        <f t="shared" si="11"/>
        <v>27.899999999999636</v>
      </c>
      <c r="H143" s="238">
        <f>G143+'16'!H143</f>
        <v>524.39999999999964</v>
      </c>
      <c r="I143" s="536"/>
      <c r="J143" s="407">
        <f>H143/DAY(B2)</f>
        <v>30.847058823529391</v>
      </c>
    </row>
    <row r="144" spans="1:15" ht="27.75" customHeight="1">
      <c r="A144" s="962" t="s">
        <v>90</v>
      </c>
      <c r="B144" s="962"/>
      <c r="C144" s="962"/>
      <c r="D144" s="233" t="s">
        <v>183</v>
      </c>
      <c r="E144" s="405">
        <f>'16'!F144</f>
        <v>951935</v>
      </c>
      <c r="F144" s="148">
        <v>952189</v>
      </c>
      <c r="G144" s="548">
        <f t="shared" si="11"/>
        <v>254</v>
      </c>
      <c r="H144" s="238">
        <f>G144+'16'!H144</f>
        <v>3991</v>
      </c>
      <c r="I144" s="536"/>
      <c r="J144" s="407">
        <f>H144/DAY(B2)</f>
        <v>234.76470588235293</v>
      </c>
    </row>
    <row r="145" spans="1:10" ht="27.75" customHeight="1">
      <c r="A145" s="955" t="s">
        <v>190</v>
      </c>
      <c r="B145" s="955"/>
      <c r="C145" s="955"/>
      <c r="D145" s="233" t="s">
        <v>183</v>
      </c>
      <c r="E145" s="405">
        <f>'16'!F145</f>
        <v>24979.3</v>
      </c>
      <c r="F145" s="148">
        <v>25164</v>
      </c>
      <c r="G145" s="548">
        <f t="shared" si="11"/>
        <v>184.70000000000073</v>
      </c>
      <c r="H145" s="238">
        <f>G145+'16'!H145</f>
        <v>2567.9000000000015</v>
      </c>
      <c r="I145" s="536"/>
      <c r="J145" s="407">
        <f>H145/DAY(B2)</f>
        <v>151.05294117647068</v>
      </c>
    </row>
    <row r="146" spans="1:10" ht="27.75" customHeight="1">
      <c r="A146" s="968" t="s">
        <v>191</v>
      </c>
      <c r="B146" s="969"/>
      <c r="C146" s="970"/>
      <c r="D146" s="233" t="s">
        <v>183</v>
      </c>
      <c r="E146" s="405">
        <f>'16'!F146</f>
        <v>787328</v>
      </c>
      <c r="F146" s="148">
        <v>787364</v>
      </c>
      <c r="G146" s="548">
        <f t="shared" si="11"/>
        <v>36</v>
      </c>
      <c r="H146" s="238">
        <f>G146+'16'!H146</f>
        <v>696</v>
      </c>
      <c r="I146" s="536"/>
      <c r="J146" s="407">
        <f>H146/DAY(B2)</f>
        <v>40.941176470588232</v>
      </c>
    </row>
    <row r="147" spans="1:10" ht="27.75" customHeight="1">
      <c r="A147" s="962" t="s">
        <v>192</v>
      </c>
      <c r="B147" s="962"/>
      <c r="C147" s="962"/>
      <c r="D147" s="233" t="s">
        <v>183</v>
      </c>
      <c r="E147" s="405">
        <f>'16'!F147</f>
        <v>754413.14</v>
      </c>
      <c r="F147" s="148">
        <v>754807.77</v>
      </c>
      <c r="G147" s="548">
        <f t="shared" si="11"/>
        <v>394.63000000000466</v>
      </c>
      <c r="H147" s="238">
        <f>G147+'16'!H147</f>
        <v>7253.609999999986</v>
      </c>
      <c r="I147" s="536"/>
      <c r="J147" s="407">
        <f>H147/DAY(B2)</f>
        <v>426.68294117646974</v>
      </c>
    </row>
    <row r="148" spans="1:10" ht="27.75" customHeight="1">
      <c r="A148" s="959" t="s">
        <v>193</v>
      </c>
      <c r="B148" s="960"/>
      <c r="C148" s="961"/>
      <c r="D148" s="409" t="s">
        <v>130</v>
      </c>
      <c r="E148" s="405">
        <f>'16'!F148</f>
        <v>790977.52</v>
      </c>
      <c r="F148" s="164">
        <v>791425.33</v>
      </c>
      <c r="G148" s="548">
        <f t="shared" si="11"/>
        <v>447.80999999993946</v>
      </c>
      <c r="H148" s="238">
        <f>G148+'16'!H148</f>
        <v>6780.3299999999581</v>
      </c>
      <c r="I148" s="238"/>
      <c r="J148" s="407">
        <f>H148/DAY(B2)</f>
        <v>398.84294117646812</v>
      </c>
    </row>
    <row r="149" spans="1:10" ht="27.75" customHeight="1">
      <c r="A149" s="959" t="s">
        <v>336</v>
      </c>
      <c r="B149" s="960"/>
      <c r="C149" s="961"/>
      <c r="D149" s="415" t="s">
        <v>130</v>
      </c>
      <c r="E149" s="405">
        <f>'16'!F149</f>
        <v>193081.37</v>
      </c>
      <c r="F149" s="415">
        <v>193681.3</v>
      </c>
      <c r="G149" s="548">
        <f t="shared" si="11"/>
        <v>599.92999999999302</v>
      </c>
      <c r="H149" s="238">
        <f>G149+'16'!H149</f>
        <v>8384.4099999999744</v>
      </c>
      <c r="I149" s="236"/>
      <c r="J149" s="407">
        <f>H149/DAY(B2)</f>
        <v>493.20058823529263</v>
      </c>
    </row>
    <row r="150" spans="1:10" ht="27.75" customHeight="1">
      <c r="A150" s="959" t="s">
        <v>337</v>
      </c>
      <c r="B150" s="960"/>
      <c r="C150" s="961"/>
      <c r="D150" s="409" t="s">
        <v>130</v>
      </c>
      <c r="E150" s="405">
        <f>'16'!F150</f>
        <v>81396</v>
      </c>
      <c r="F150" s="233">
        <v>81593.100000000006</v>
      </c>
      <c r="G150" s="548">
        <f t="shared" si="11"/>
        <v>197.10000000000582</v>
      </c>
      <c r="H150" s="238">
        <f>G150+'16'!H150</f>
        <v>4704.8000000000029</v>
      </c>
      <c r="I150" s="236"/>
      <c r="J150" s="407">
        <f>H150/DAY(B2)</f>
        <v>276.75294117647076</v>
      </c>
    </row>
    <row r="151" spans="1:10" ht="27.75" customHeight="1">
      <c r="A151" s="959" t="s">
        <v>338</v>
      </c>
      <c r="B151" s="960"/>
      <c r="C151" s="961"/>
      <c r="D151" s="409" t="s">
        <v>130</v>
      </c>
      <c r="E151" s="405">
        <f>'16'!F151</f>
        <v>162405</v>
      </c>
      <c r="F151" s="233">
        <v>162698</v>
      </c>
      <c r="G151" s="548">
        <f t="shared" si="11"/>
        <v>293</v>
      </c>
      <c r="H151" s="238">
        <f>G151+'16'!H151</f>
        <v>4388</v>
      </c>
      <c r="I151" s="236"/>
      <c r="J151" s="407">
        <f>H151/DAY(B2)</f>
        <v>258.11764705882354</v>
      </c>
    </row>
    <row r="152" spans="1:10" ht="27.75" customHeight="1">
      <c r="A152" s="959" t="s">
        <v>339</v>
      </c>
      <c r="B152" s="960"/>
      <c r="C152" s="961"/>
      <c r="D152" s="409" t="s">
        <v>130</v>
      </c>
      <c r="E152" s="405">
        <f>'16'!F152</f>
        <v>40736.800000000003</v>
      </c>
      <c r="F152" s="233">
        <v>40871.5</v>
      </c>
      <c r="G152" s="548">
        <f t="shared" si="11"/>
        <v>134.69999999999709</v>
      </c>
      <c r="H152" s="238">
        <f>G152+'16'!H152</f>
        <v>2255.5999999999985</v>
      </c>
      <c r="I152" s="236"/>
      <c r="J152" s="407">
        <f>H152/DAY(B2)</f>
        <v>132.68235294117639</v>
      </c>
    </row>
    <row r="153" spans="1:10" ht="27.75" customHeight="1">
      <c r="A153" s="963" t="s">
        <v>196</v>
      </c>
      <c r="B153" s="964"/>
      <c r="C153" s="537"/>
      <c r="D153" s="538"/>
      <c r="E153" s="539"/>
      <c r="F153" s="361"/>
      <c r="G153" s="549">
        <f>SUM(G138:G152)</f>
        <v>3298.4699999999407</v>
      </c>
      <c r="H153" s="540"/>
      <c r="I153" s="236">
        <f>G153-(G38+G52)</f>
        <v>3298.4699999999407</v>
      </c>
      <c r="J153" s="541"/>
    </row>
    <row r="154" spans="1:10" ht="27.75" customHeight="1">
      <c r="A154" s="958" t="s">
        <v>344</v>
      </c>
      <c r="B154" s="958"/>
      <c r="C154" s="958"/>
      <c r="D154" s="958"/>
      <c r="E154" s="958"/>
      <c r="F154" s="958"/>
      <c r="G154" s="958"/>
      <c r="H154" s="958"/>
      <c r="I154" s="958"/>
      <c r="J154" s="958"/>
    </row>
    <row r="155" spans="1:10" ht="27.75" customHeight="1">
      <c r="A155" s="962" t="s">
        <v>345</v>
      </c>
      <c r="B155" s="962"/>
      <c r="C155" s="962"/>
      <c r="D155" s="409" t="s">
        <v>130</v>
      </c>
      <c r="E155" s="405">
        <f>'16'!F155</f>
        <v>229957</v>
      </c>
      <c r="F155" s="558">
        <v>230587</v>
      </c>
      <c r="G155" s="548">
        <f t="shared" ref="G155:G156" si="12">F155-E155</f>
        <v>630</v>
      </c>
      <c r="H155" s="238">
        <f>G155+'16'!H155</f>
        <v>10599.299999999988</v>
      </c>
      <c r="I155" s="542"/>
      <c r="J155" s="407">
        <f>H155/DAY(B2)</f>
        <v>623.48823529411698</v>
      </c>
    </row>
    <row r="156" spans="1:10" ht="27.75" customHeight="1">
      <c r="A156" s="962" t="s">
        <v>347</v>
      </c>
      <c r="B156" s="962"/>
      <c r="C156" s="962"/>
      <c r="D156" s="409" t="s">
        <v>130</v>
      </c>
      <c r="E156" s="405">
        <f>'16'!F156</f>
        <v>28038.3</v>
      </c>
      <c r="F156" s="559">
        <v>28123.3</v>
      </c>
      <c r="G156" s="548">
        <f t="shared" si="12"/>
        <v>85</v>
      </c>
      <c r="H156" s="238">
        <f>G156+'16'!H156</f>
        <v>1593.0999999999985</v>
      </c>
      <c r="I156" s="158"/>
      <c r="J156" s="407">
        <f>H156/DAY(B2)</f>
        <v>93.711764705882274</v>
      </c>
    </row>
    <row r="157" spans="1:10" ht="27.75" customHeight="1">
      <c r="A157" s="959" t="s">
        <v>360</v>
      </c>
      <c r="B157" s="960"/>
      <c r="C157" s="961"/>
      <c r="D157" s="409" t="s">
        <v>130</v>
      </c>
      <c r="E157" s="405">
        <f>'16'!F157</f>
        <v>37559</v>
      </c>
      <c r="F157" s="157">
        <v>37559</v>
      </c>
      <c r="G157" s="548">
        <f>F157-E157</f>
        <v>0</v>
      </c>
      <c r="H157" s="238">
        <f>G157+'16'!H157</f>
        <v>0</v>
      </c>
      <c r="I157" s="158"/>
      <c r="J157" s="407">
        <f>H157/DAY(B2)</f>
        <v>0</v>
      </c>
    </row>
    <row r="158" spans="1:10" ht="27.75" customHeight="1">
      <c r="A158" s="959" t="s">
        <v>361</v>
      </c>
      <c r="B158" s="960"/>
      <c r="C158" s="961"/>
      <c r="D158" s="409" t="s">
        <v>130</v>
      </c>
      <c r="E158" s="405">
        <f>'16'!F158</f>
        <v>1734.76</v>
      </c>
      <c r="F158" s="158">
        <v>1736.17</v>
      </c>
      <c r="G158" s="548">
        <f>F158-E158</f>
        <v>1.4100000000000819</v>
      </c>
      <c r="H158" s="238">
        <f>G158+'16'!H158</f>
        <v>174.82000000000016</v>
      </c>
      <c r="I158" s="158"/>
      <c r="J158" s="407">
        <f>H158/DAY(B2)</f>
        <v>10.283529411764716</v>
      </c>
    </row>
    <row r="159" spans="1:10" ht="27.75" customHeight="1">
      <c r="A159" s="965"/>
      <c r="B159" s="966"/>
      <c r="C159" s="967"/>
      <c r="D159" s="409"/>
      <c r="E159" s="405"/>
      <c r="F159" s="158"/>
      <c r="G159" s="548"/>
      <c r="H159" s="238"/>
      <c r="I159" s="158"/>
      <c r="J159" s="407"/>
    </row>
    <row r="160" spans="1:10" ht="27.75" customHeight="1">
      <c r="A160" s="958" t="s">
        <v>326</v>
      </c>
      <c r="B160" s="958"/>
      <c r="C160" s="958"/>
      <c r="D160" s="958"/>
      <c r="E160" s="958"/>
      <c r="F160" s="958"/>
      <c r="G160" s="958"/>
      <c r="H160" s="958"/>
      <c r="I160" s="958"/>
      <c r="J160" s="958"/>
    </row>
    <row r="161" spans="1:10" ht="27.75" customHeight="1">
      <c r="A161" s="242" t="s">
        <v>92</v>
      </c>
      <c r="B161" s="243"/>
      <c r="C161" s="243"/>
      <c r="D161" s="244" t="s">
        <v>180</v>
      </c>
      <c r="E161" s="405">
        <f>'16'!F161</f>
        <v>506159.72</v>
      </c>
      <c r="F161" s="235">
        <v>506367</v>
      </c>
      <c r="G161" s="497">
        <f t="shared" ref="G161:G165" si="13">F161-E161</f>
        <v>207.28000000002794</v>
      </c>
      <c r="H161" s="238">
        <f>G161+'16'!H161</f>
        <v>2995.8400000000256</v>
      </c>
      <c r="I161" s="236"/>
      <c r="J161" s="239">
        <f>H161/DAY(B2)</f>
        <v>176.22588235294268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95">
        <f>'16'!F162</f>
        <v>275.2</v>
      </c>
      <c r="F162" s="235">
        <v>322.5</v>
      </c>
      <c r="G162" s="497">
        <f t="shared" si="13"/>
        <v>47.300000000000011</v>
      </c>
      <c r="H162" s="99">
        <f>G162+'16'!H162</f>
        <v>702.69999999999413</v>
      </c>
      <c r="I162" s="236"/>
      <c r="J162" s="239">
        <f>H162/DAY(B2)</f>
        <v>41.335294117646711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95">
        <f>'16'!F163</f>
        <v>0</v>
      </c>
      <c r="F163" s="235">
        <v>0</v>
      </c>
      <c r="G163" s="497">
        <f t="shared" si="13"/>
        <v>0</v>
      </c>
      <c r="H163" s="99">
        <f>G163+'16'!H163</f>
        <v>0</v>
      </c>
      <c r="I163" s="236"/>
      <c r="J163" s="239">
        <f>H163/DAY(B2)</f>
        <v>0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95">
        <f>'16'!F164</f>
        <v>7122.2</v>
      </c>
      <c r="F164" s="235">
        <v>7125.9</v>
      </c>
      <c r="G164" s="497">
        <f t="shared" si="13"/>
        <v>3.6999999999998181</v>
      </c>
      <c r="H164" s="99">
        <f>G164+'16'!H164</f>
        <v>135.69999999999982</v>
      </c>
      <c r="I164" s="236"/>
      <c r="J164" s="239">
        <f>H164/DAY(B2)</f>
        <v>7.98235294117646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95">
        <f>'16'!F165</f>
        <v>32691.29</v>
      </c>
      <c r="F165" s="235">
        <v>32698</v>
      </c>
      <c r="G165" s="497">
        <f t="shared" si="13"/>
        <v>6.7099999999991269</v>
      </c>
      <c r="H165" s="99">
        <f>G165+'16'!H165</f>
        <v>123.90000000000146</v>
      </c>
      <c r="I165" s="236"/>
      <c r="J165" s="239">
        <f>H165/DAY(B2)</f>
        <v>7.2882352941177331</v>
      </c>
    </row>
    <row r="166" spans="1:10" ht="27.75" customHeight="1">
      <c r="A166" s="923"/>
      <c r="B166" s="923"/>
      <c r="C166" s="246"/>
      <c r="D166" s="244"/>
      <c r="E166" s="95"/>
      <c r="F166" s="165"/>
      <c r="G166" s="494"/>
      <c r="H166" s="99"/>
      <c r="I166" s="165"/>
      <c r="J166" s="239"/>
    </row>
    <row r="167" spans="1:10" ht="27.75" customHeight="1">
      <c r="A167" s="923"/>
      <c r="B167" s="923"/>
      <c r="C167" s="246"/>
      <c r="D167" s="244"/>
      <c r="E167" s="95"/>
      <c r="F167" s="165"/>
      <c r="G167" s="494"/>
      <c r="H167" s="99"/>
      <c r="I167" s="165"/>
      <c r="J167" s="239"/>
    </row>
    <row r="168" spans="1:10" ht="27.75" customHeight="1">
      <c r="A168" s="923"/>
      <c r="B168" s="923"/>
      <c r="C168" s="246"/>
      <c r="D168" s="244"/>
      <c r="E168" s="95"/>
      <c r="F168" s="165"/>
      <c r="G168" s="494"/>
      <c r="H168" s="99"/>
      <c r="I168" s="165"/>
      <c r="J168" s="239"/>
    </row>
    <row r="171" spans="1:10" ht="27.75" customHeight="1">
      <c r="A171" s="933" t="s">
        <v>330</v>
      </c>
      <c r="B171" s="934"/>
      <c r="C171" s="934"/>
      <c r="D171" s="934"/>
      <c r="E171" s="934"/>
      <c r="F171" s="934"/>
      <c r="G171" s="934"/>
      <c r="H171" s="934"/>
      <c r="I171" s="934"/>
      <c r="J171" s="935"/>
    </row>
    <row r="172" spans="1:10" ht="27.75" customHeight="1">
      <c r="A172" s="929"/>
      <c r="B172" s="930"/>
      <c r="C172" s="332"/>
      <c r="D172" s="228"/>
      <c r="E172" s="155"/>
      <c r="F172" s="155"/>
      <c r="G172" s="498"/>
      <c r="H172" s="156"/>
      <c r="I172" s="155"/>
      <c r="J172" s="178"/>
    </row>
    <row r="173" spans="1:10" ht="27.75" customHeight="1">
      <c r="A173" s="841" t="s">
        <v>209</v>
      </c>
      <c r="B173" s="843"/>
      <c r="C173" s="333"/>
      <c r="D173" s="228" t="s">
        <v>142</v>
      </c>
      <c r="E173" s="95">
        <f>'16'!F173</f>
        <v>8603</v>
      </c>
      <c r="F173" s="157">
        <v>8605</v>
      </c>
      <c r="G173" s="498">
        <f>F173-E173</f>
        <v>2</v>
      </c>
      <c r="H173" s="99">
        <f>G173+'16'!H173</f>
        <v>21</v>
      </c>
      <c r="I173" s="155"/>
      <c r="J173" s="178">
        <f>H173/DAY(B2)</f>
        <v>1.2352941176470589</v>
      </c>
    </row>
    <row r="174" spans="1:10" ht="27.75" customHeight="1">
      <c r="A174" s="841" t="s">
        <v>75</v>
      </c>
      <c r="B174" s="843"/>
      <c r="C174" s="333"/>
      <c r="D174" s="228" t="s">
        <v>142</v>
      </c>
      <c r="E174" s="95">
        <f>'16'!F174</f>
        <v>42857</v>
      </c>
      <c r="F174" s="157">
        <v>42868</v>
      </c>
      <c r="G174" s="498">
        <f t="shared" ref="G174:G175" si="14">F174-E174</f>
        <v>11</v>
      </c>
      <c r="H174" s="99">
        <f>G174+'16'!H174</f>
        <v>199</v>
      </c>
      <c r="I174" s="155"/>
      <c r="J174" s="178">
        <f>H174/DAY(B2)</f>
        <v>11.705882352941176</v>
      </c>
    </row>
    <row r="175" spans="1:10" ht="27.75" customHeight="1">
      <c r="A175" s="841" t="s">
        <v>76</v>
      </c>
      <c r="B175" s="842"/>
      <c r="C175" s="843"/>
      <c r="D175" s="228" t="s">
        <v>142</v>
      </c>
      <c r="E175" s="95">
        <f>'16'!F175</f>
        <v>25597</v>
      </c>
      <c r="F175" s="155">
        <v>25611</v>
      </c>
      <c r="G175" s="498">
        <f t="shared" si="14"/>
        <v>14</v>
      </c>
      <c r="H175" s="99">
        <f>G175+'16'!H175</f>
        <v>218</v>
      </c>
      <c r="I175" s="155"/>
      <c r="J175" s="178">
        <f>H175/DAY(B2)</f>
        <v>12.823529411764707</v>
      </c>
    </row>
    <row r="176" spans="1:10" ht="27.75" customHeight="1">
      <c r="A176" s="853" t="s">
        <v>196</v>
      </c>
      <c r="B176" s="854"/>
      <c r="C176" s="333"/>
      <c r="D176" s="228" t="s">
        <v>142</v>
      </c>
      <c r="E176" s="95"/>
      <c r="F176" s="155"/>
      <c r="G176" s="498">
        <f>SUM(G173:G175)</f>
        <v>27</v>
      </c>
      <c r="H176" s="99">
        <f>G176+'16'!H176</f>
        <v>438</v>
      </c>
      <c r="I176" s="155"/>
      <c r="J176" s="178">
        <f>H176/DAY(B2)</f>
        <v>25.764705882352942</v>
      </c>
    </row>
    <row r="177" spans="1:11" ht="27.75" customHeight="1">
      <c r="A177" s="841" t="s">
        <v>77</v>
      </c>
      <c r="B177" s="843"/>
      <c r="C177" s="333"/>
      <c r="D177" s="228" t="s">
        <v>142</v>
      </c>
      <c r="E177" s="95"/>
      <c r="F177" s="155"/>
      <c r="G177" s="498"/>
      <c r="H177" s="99">
        <f>G177+'16'!H177</f>
        <v>0</v>
      </c>
      <c r="I177" s="155"/>
      <c r="J177" s="178">
        <f>H177/DAY(B2)</f>
        <v>0</v>
      </c>
    </row>
    <row r="178" spans="1:11" ht="27.75" customHeight="1">
      <c r="A178" s="841" t="s">
        <v>210</v>
      </c>
      <c r="B178" s="843"/>
      <c r="C178" s="333"/>
      <c r="D178" s="228" t="s">
        <v>142</v>
      </c>
      <c r="E178" s="95">
        <f>'16'!F178</f>
        <v>105120</v>
      </c>
      <c r="F178" s="155">
        <v>105260</v>
      </c>
      <c r="G178" s="498">
        <f>F178-E178</f>
        <v>140</v>
      </c>
      <c r="H178" s="99">
        <f>G178+'16'!H178</f>
        <v>1617</v>
      </c>
      <c r="I178" s="155"/>
      <c r="J178" s="178">
        <f>H178/DAY(B2)</f>
        <v>95.117647058823536</v>
      </c>
    </row>
    <row r="179" spans="1:11" ht="27.75" customHeight="1">
      <c r="A179" s="841" t="s">
        <v>211</v>
      </c>
      <c r="B179" s="843"/>
      <c r="C179" s="333"/>
      <c r="D179" s="228" t="s">
        <v>142</v>
      </c>
      <c r="E179" s="95">
        <f>'16'!F179</f>
        <v>37501</v>
      </c>
      <c r="F179" s="155">
        <v>37501</v>
      </c>
      <c r="G179" s="498">
        <f t="shared" ref="G179:G180" si="15">F179-E179</f>
        <v>0</v>
      </c>
      <c r="H179" s="99">
        <f>G179+'16'!H179</f>
        <v>0</v>
      </c>
      <c r="I179" s="155"/>
      <c r="J179" s="178">
        <f>H179/DAY(B2)</f>
        <v>0</v>
      </c>
    </row>
    <row r="180" spans="1:11" ht="27.75" customHeight="1">
      <c r="A180" s="841" t="s">
        <v>212</v>
      </c>
      <c r="B180" s="843"/>
      <c r="C180" s="333"/>
      <c r="D180" s="228" t="s">
        <v>142</v>
      </c>
      <c r="E180" s="95">
        <f>'16'!F180</f>
        <v>7480</v>
      </c>
      <c r="F180" s="155">
        <v>7480</v>
      </c>
      <c r="G180" s="498">
        <f t="shared" si="15"/>
        <v>0</v>
      </c>
      <c r="H180" s="99">
        <f>G180+'16'!H180</f>
        <v>60</v>
      </c>
      <c r="I180" s="155"/>
      <c r="J180" s="178">
        <f>H180/DAY(B2)</f>
        <v>3.5294117647058822</v>
      </c>
    </row>
    <row r="181" spans="1:11" ht="27.75" customHeight="1">
      <c r="A181" s="927" t="s">
        <v>108</v>
      </c>
      <c r="B181" s="928"/>
      <c r="C181" s="333"/>
      <c r="D181" s="228" t="s">
        <v>142</v>
      </c>
      <c r="E181" s="95"/>
      <c r="F181" s="155"/>
      <c r="G181" s="498">
        <f>SUM(G178:G180)</f>
        <v>140</v>
      </c>
      <c r="H181" s="99">
        <f>G181+'16'!H181</f>
        <v>1677</v>
      </c>
      <c r="I181" s="155"/>
      <c r="J181" s="178">
        <f>H181/DAY(B2)</f>
        <v>98.647058823529406</v>
      </c>
    </row>
    <row r="182" spans="1:11" ht="27.75" customHeight="1">
      <c r="A182" s="841" t="s">
        <v>213</v>
      </c>
      <c r="B182" s="843"/>
      <c r="C182" s="333"/>
      <c r="D182" s="228" t="s">
        <v>142</v>
      </c>
      <c r="E182" s="95"/>
      <c r="F182" s="155"/>
      <c r="G182" s="498"/>
      <c r="H182" s="99">
        <f>G182+'16'!H182</f>
        <v>0</v>
      </c>
      <c r="I182" s="155"/>
      <c r="J182" s="178">
        <f>H182/DAY(B2)</f>
        <v>0</v>
      </c>
    </row>
    <row r="183" spans="1:11" ht="27.75" customHeight="1">
      <c r="A183" s="841" t="s">
        <v>214</v>
      </c>
      <c r="B183" s="843"/>
      <c r="C183" s="334"/>
      <c r="D183" s="228" t="s">
        <v>142</v>
      </c>
      <c r="E183" s="95">
        <f>'16'!F183</f>
        <v>18277</v>
      </c>
      <c r="F183" s="157">
        <v>18292</v>
      </c>
      <c r="G183" s="499">
        <f>F183-E183</f>
        <v>15</v>
      </c>
      <c r="H183" s="99">
        <f>G183+'16'!H183</f>
        <v>124</v>
      </c>
      <c r="I183" s="155"/>
      <c r="J183" s="178">
        <f>H183/DAY(B2)</f>
        <v>7.2941176470588234</v>
      </c>
    </row>
    <row r="184" spans="1:11" ht="27.75" customHeight="1">
      <c r="A184" s="841" t="s">
        <v>215</v>
      </c>
      <c r="B184" s="843"/>
      <c r="C184" s="334"/>
      <c r="D184" s="228" t="s">
        <v>142</v>
      </c>
      <c r="E184" s="95">
        <f>'16'!F184</f>
        <v>12902</v>
      </c>
      <c r="F184" s="157">
        <v>12902</v>
      </c>
      <c r="G184" s="499">
        <f t="shared" ref="G184:G185" si="16">F184-E184</f>
        <v>0</v>
      </c>
      <c r="H184" s="99">
        <f>G184+'16'!H184</f>
        <v>152</v>
      </c>
      <c r="I184" s="155"/>
      <c r="J184" s="178">
        <f>H184/DAY(B2)</f>
        <v>8.9411764705882355</v>
      </c>
    </row>
    <row r="185" spans="1:11" ht="27.75" customHeight="1">
      <c r="A185" s="841" t="s">
        <v>216</v>
      </c>
      <c r="B185" s="843"/>
      <c r="C185" s="334"/>
      <c r="D185" s="228" t="s">
        <v>142</v>
      </c>
      <c r="E185" s="95">
        <f>'16'!F185</f>
        <v>0</v>
      </c>
      <c r="F185" s="157"/>
      <c r="G185" s="499">
        <f t="shared" si="16"/>
        <v>0</v>
      </c>
      <c r="H185" s="99">
        <f>G185+'16'!H185</f>
        <v>0</v>
      </c>
      <c r="I185" s="155"/>
      <c r="J185" s="178">
        <f>H185/DAY(B2)</f>
        <v>0</v>
      </c>
    </row>
    <row r="186" spans="1:11" ht="27.75" customHeight="1">
      <c r="A186" s="853" t="s">
        <v>196</v>
      </c>
      <c r="B186" s="854"/>
      <c r="C186" s="334"/>
      <c r="D186" s="228" t="s">
        <v>142</v>
      </c>
      <c r="E186" s="95"/>
      <c r="F186" s="157"/>
      <c r="G186" s="499">
        <f>SUM(G183:G185)</f>
        <v>15</v>
      </c>
      <c r="H186" s="99">
        <f>G186+'16'!H186</f>
        <v>276</v>
      </c>
      <c r="I186" s="157"/>
      <c r="J186" s="178">
        <f>H186/DAY(B2)</f>
        <v>16.235294117647058</v>
      </c>
    </row>
    <row r="187" spans="1:11" ht="27.75" customHeight="1">
      <c r="A187" s="931" t="s">
        <v>217</v>
      </c>
      <c r="B187" s="932"/>
      <c r="C187" s="333"/>
      <c r="D187" s="228" t="s">
        <v>142</v>
      </c>
      <c r="E187" s="95"/>
      <c r="F187" s="159"/>
      <c r="G187" s="500">
        <f>G62+G19</f>
        <v>206.59999999997672</v>
      </c>
      <c r="H187" s="99">
        <f>G187+'16'!H187</f>
        <v>2958</v>
      </c>
      <c r="I187" s="158"/>
      <c r="J187" s="179">
        <f>H187/DAY(B2)</f>
        <v>174</v>
      </c>
    </row>
    <row r="188" spans="1:11" ht="27.75" customHeight="1">
      <c r="A188" s="931" t="s">
        <v>218</v>
      </c>
      <c r="B188" s="932"/>
      <c r="C188" s="333"/>
      <c r="D188" s="230" t="s">
        <v>142</v>
      </c>
      <c r="E188" s="95"/>
      <c r="F188" s="159"/>
      <c r="G188" s="500">
        <f>G65+G66+G67+G69+G70</f>
        <v>218</v>
      </c>
      <c r="H188" s="99">
        <f>G188+'16'!H188</f>
        <v>608</v>
      </c>
      <c r="I188" s="158"/>
      <c r="J188" s="179">
        <f>H188/DAY(B2)</f>
        <v>35.764705882352942</v>
      </c>
    </row>
    <row r="189" spans="1:11" ht="27.75" customHeight="1">
      <c r="A189" s="931" t="s">
        <v>219</v>
      </c>
      <c r="B189" s="932"/>
      <c r="C189" s="333"/>
      <c r="D189" s="230" t="s">
        <v>142</v>
      </c>
      <c r="E189" s="95"/>
      <c r="F189" s="157"/>
      <c r="G189" s="500">
        <f>G181</f>
        <v>140</v>
      </c>
      <c r="H189" s="99">
        <f>G189+'16'!H189</f>
        <v>1677</v>
      </c>
      <c r="I189" s="158"/>
      <c r="J189" s="179">
        <f>H189/DAY(B2)</f>
        <v>98.647058823529406</v>
      </c>
    </row>
    <row r="190" spans="1:11" ht="27.75" customHeight="1">
      <c r="A190" s="925"/>
      <c r="B190" s="926"/>
      <c r="C190" s="398"/>
      <c r="D190" s="395"/>
      <c r="E190" s="395"/>
      <c r="F190" s="395"/>
      <c r="G190" s="550"/>
      <c r="H190" s="396"/>
      <c r="I190" s="395"/>
      <c r="J190" s="397"/>
    </row>
    <row r="191" spans="1:11" ht="23.25" customHeight="1">
      <c r="A191" s="245"/>
      <c r="B191" s="246"/>
      <c r="C191" s="246"/>
      <c r="D191" s="165"/>
      <c r="E191" s="165"/>
      <c r="F191" s="155"/>
      <c r="G191" s="494"/>
      <c r="H191" s="238"/>
      <c r="I191" s="99"/>
      <c r="J191" s="236"/>
      <c r="K191" s="239" t="e">
        <f>I191/DAY(C28)</f>
        <v>#DIV/0!</v>
      </c>
    </row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2:B182"/>
    <mergeCell ref="A183:B183"/>
    <mergeCell ref="A184:B184"/>
    <mergeCell ref="A180:B180"/>
    <mergeCell ref="A181:B181"/>
    <mergeCell ref="A175:C175"/>
    <mergeCell ref="A177:B177"/>
    <mergeCell ref="A178:B178"/>
    <mergeCell ref="A179:B179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1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 tint="0.79998168889431442"/>
    <pageSetUpPr fitToPage="1"/>
  </sheetPr>
  <dimension ref="A1:R190"/>
  <sheetViews>
    <sheetView view="pageBreakPreview" topLeftCell="A136" zoomScale="55" zoomScaleNormal="68" zoomScaleSheetLayoutView="55" workbookViewId="0">
      <selection activeCell="F162" sqref="F162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5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867" t="s">
        <v>115</v>
      </c>
      <c r="B1" s="868"/>
      <c r="C1" s="868"/>
      <c r="D1" s="868"/>
      <c r="E1" s="868"/>
      <c r="F1" s="868"/>
      <c r="G1" s="868"/>
      <c r="H1" s="868"/>
      <c r="I1" s="868"/>
      <c r="J1" s="869"/>
    </row>
    <row r="2" spans="1:15" s="57" customFormat="1" ht="27.75" customHeight="1">
      <c r="A2" s="191" t="s">
        <v>349</v>
      </c>
      <c r="B2" s="262">
        <v>44913</v>
      </c>
      <c r="C2" s="348" t="s">
        <v>67</v>
      </c>
      <c r="D2" s="218">
        <v>0.75</v>
      </c>
      <c r="E2" s="100"/>
      <c r="F2" s="100"/>
      <c r="G2" s="427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29</v>
      </c>
      <c r="E3" s="876" t="s">
        <v>119</v>
      </c>
      <c r="F3" s="877"/>
      <c r="G3" s="428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0.79</v>
      </c>
      <c r="E4" s="103"/>
      <c r="F4" s="103"/>
      <c r="G4" s="428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29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870" t="s">
        <v>128</v>
      </c>
      <c r="B6" s="871"/>
      <c r="C6" s="872"/>
      <c r="D6" s="110"/>
      <c r="E6" s="110"/>
      <c r="F6" s="110"/>
      <c r="G6" s="430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'17'!F7</f>
        <v>669785</v>
      </c>
      <c r="F7" s="95">
        <v>694333</v>
      </c>
      <c r="G7" s="431">
        <f>F7-E7</f>
        <v>24548</v>
      </c>
      <c r="H7" s="99">
        <f>G7+'17'!H7</f>
        <v>420650.45</v>
      </c>
      <c r="I7" s="113">
        <f>'1'!I7</f>
        <v>12000</v>
      </c>
      <c r="J7" s="175">
        <f>H7/DAY(B2)</f>
        <v>23369.469444444447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'17'!F8</f>
        <v>849674</v>
      </c>
      <c r="F8" s="114">
        <v>874405</v>
      </c>
      <c r="G8" s="432">
        <f>F8-E8</f>
        <v>24731</v>
      </c>
      <c r="H8" s="99">
        <f>G8+'17'!H8</f>
        <v>423144</v>
      </c>
      <c r="I8" s="116"/>
      <c r="J8" s="175">
        <f>H8/DAY(B2)</f>
        <v>23508</v>
      </c>
      <c r="K8" s="172">
        <v>1715917</v>
      </c>
      <c r="L8" s="76">
        <v>1728480</v>
      </c>
      <c r="M8" s="87">
        <f>L8-K8</f>
        <v>12563</v>
      </c>
      <c r="N8" s="87">
        <f>G8-64</f>
        <v>24667</v>
      </c>
      <c r="O8" s="71">
        <f>G7-N8</f>
        <v>-119</v>
      </c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'17'!F9</f>
        <v>4241879.9000000004</v>
      </c>
      <c r="F9" s="468">
        <v>4248671.9000000004</v>
      </c>
      <c r="G9" s="431">
        <f>F9-E9</f>
        <v>6792</v>
      </c>
      <c r="H9" s="99">
        <f>G9+'17'!H9</f>
        <v>134501.60000000056</v>
      </c>
      <c r="I9" s="124">
        <f>I7-J7</f>
        <v>-11369.469444444447</v>
      </c>
      <c r="J9" s="175">
        <f>H9/DAY(B2)</f>
        <v>7472.3111111111421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'17'!F10</f>
        <v>3947157.5</v>
      </c>
      <c r="F10" s="353">
        <v>3964283</v>
      </c>
      <c r="G10" s="431">
        <f>F10-E10</f>
        <v>17125.5</v>
      </c>
      <c r="H10" s="99">
        <f>G10+'17'!H10</f>
        <v>274803.89999999991</v>
      </c>
      <c r="I10" s="282"/>
      <c r="J10" s="175">
        <f>H10/DAY(B2)</f>
        <v>15266.883333333328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'17'!F11</f>
        <v>38120</v>
      </c>
      <c r="F11" s="95">
        <v>38120</v>
      </c>
      <c r="G11" s="431">
        <f t="shared" ref="G11:G12" si="0">F11-E11</f>
        <v>0</v>
      </c>
      <c r="H11" s="99">
        <f>G11+'17'!H11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'17'!F12</f>
        <v>40550</v>
      </c>
      <c r="F12" s="117">
        <v>40550</v>
      </c>
      <c r="G12" s="431">
        <f t="shared" si="0"/>
        <v>0</v>
      </c>
      <c r="H12" s="99">
        <f>G12+'17'!H12</f>
        <v>160</v>
      </c>
      <c r="I12" s="282"/>
      <c r="J12" s="175">
        <f>H12/DAY(B2)</f>
        <v>8.8888888888888893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433">
        <f>G9+G10+G11+G12</f>
        <v>23917.5</v>
      </c>
      <c r="H13" s="99">
        <f>G13+'17'!H13</f>
        <v>413694.20000000019</v>
      </c>
      <c r="I13" s="120">
        <f>G7-G13</f>
        <v>630.5</v>
      </c>
      <c r="J13" s="175">
        <f>H13/DAY(B2)</f>
        <v>22983.011111111122</v>
      </c>
      <c r="K13" s="79"/>
      <c r="L13" s="66"/>
      <c r="N13" s="87"/>
      <c r="O13" s="71"/>
    </row>
    <row r="14" spans="1:15" ht="27.75" customHeight="1">
      <c r="A14" s="873" t="s">
        <v>137</v>
      </c>
      <c r="B14" s="874"/>
      <c r="C14" s="875"/>
      <c r="D14" s="111"/>
      <c r="E14" s="111"/>
      <c r="F14" s="111"/>
      <c r="G14" s="434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68">
        <f>'17'!F15</f>
        <v>2237371</v>
      </c>
      <c r="F15" s="468">
        <v>2238535</v>
      </c>
      <c r="G15" s="431">
        <f>(F15-E15)</f>
        <v>1164</v>
      </c>
      <c r="H15" s="99">
        <f>G15+'17'!H15</f>
        <v>19594</v>
      </c>
      <c r="I15" s="113">
        <f>'1'!I15</f>
        <v>800</v>
      </c>
      <c r="J15" s="175">
        <f>H15/DAY(B2)</f>
        <v>1088.5555555555557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431"/>
      <c r="H16" s="124"/>
      <c r="I16" s="120">
        <f>I15-J15</f>
        <v>-288.55555555555566</v>
      </c>
      <c r="J16" s="176"/>
      <c r="K16" s="79"/>
      <c r="L16" s="66"/>
      <c r="N16" s="87"/>
      <c r="O16" s="71"/>
    </row>
    <row r="17" spans="1:15" ht="27.75" customHeight="1">
      <c r="A17" s="873" t="s">
        <v>140</v>
      </c>
      <c r="B17" s="874"/>
      <c r="C17" s="875"/>
      <c r="D17" s="111"/>
      <c r="E17" s="111"/>
      <c r="F17" s="111"/>
      <c r="G17" s="434"/>
      <c r="H17" s="111"/>
      <c r="I17" s="111"/>
      <c r="J17" s="174"/>
      <c r="K17" s="79"/>
      <c r="L17" s="66"/>
      <c r="N17" s="87"/>
      <c r="O17" s="71"/>
    </row>
    <row r="18" spans="1:15" ht="27.75" customHeight="1">
      <c r="A18" s="864" t="s">
        <v>141</v>
      </c>
      <c r="B18" s="865"/>
      <c r="C18" s="866"/>
      <c r="D18" s="151" t="s">
        <v>142</v>
      </c>
      <c r="E18" s="95">
        <f>'17'!F18</f>
        <v>31</v>
      </c>
      <c r="F18" s="164">
        <v>25</v>
      </c>
      <c r="G18" s="433">
        <f>F18*10</f>
        <v>250</v>
      </c>
      <c r="H18" s="99">
        <f>G18+'17'!H18</f>
        <v>4980</v>
      </c>
      <c r="I18" s="113">
        <f>'1'!I18</f>
        <v>65</v>
      </c>
      <c r="J18" s="175">
        <f>H18/DAY(B2)</f>
        <v>276.66666666666669</v>
      </c>
      <c r="K18" s="79"/>
      <c r="L18" s="66"/>
      <c r="N18" s="87"/>
      <c r="O18" s="71"/>
    </row>
    <row r="19" spans="1:15" ht="27.75" customHeight="1">
      <c r="A19" s="864" t="s">
        <v>69</v>
      </c>
      <c r="B19" s="865"/>
      <c r="C19" s="866"/>
      <c r="D19" s="151" t="s">
        <v>142</v>
      </c>
      <c r="E19" s="95">
        <f>'17'!F19</f>
        <v>168773</v>
      </c>
      <c r="F19" s="122">
        <v>168830</v>
      </c>
      <c r="G19" s="431">
        <f t="shared" ref="G19" si="1">F19-E19</f>
        <v>57</v>
      </c>
      <c r="H19" s="99">
        <f>G19+'17'!H19</f>
        <v>954</v>
      </c>
      <c r="I19" s="335"/>
      <c r="J19" s="175">
        <f>H19/DAY(B2)</f>
        <v>53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435">
        <f>G18+G19</f>
        <v>307</v>
      </c>
      <c r="H20" s="99">
        <f>G20+'17'!H20</f>
        <v>5934</v>
      </c>
      <c r="I20" s="336">
        <f>I18-J20</f>
        <v>-264.66666666666669</v>
      </c>
      <c r="J20" s="175">
        <f>H20/DAY(B2)</f>
        <v>329.66666666666669</v>
      </c>
      <c r="K20" s="79"/>
      <c r="L20" s="66"/>
      <c r="N20" s="87"/>
      <c r="O20" s="71"/>
    </row>
    <row r="21" spans="1:15" ht="27.75" customHeight="1">
      <c r="A21" s="873" t="s">
        <v>144</v>
      </c>
      <c r="B21" s="874"/>
      <c r="C21" s="875"/>
      <c r="D21" s="111"/>
      <c r="E21" s="111"/>
      <c r="F21" s="111"/>
      <c r="G21" s="434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'17'!F22</f>
        <v>2970</v>
      </c>
      <c r="F22" s="122">
        <v>2970</v>
      </c>
      <c r="G22" s="433">
        <f>(F22-E22)</f>
        <v>0</v>
      </c>
      <c r="H22" s="99">
        <f>G22+'17'!H22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405">
        <f>'17'!F23</f>
        <v>1860</v>
      </c>
      <c r="F23" s="122">
        <v>1860</v>
      </c>
      <c r="G23" s="520">
        <f>-(F23-E23)</f>
        <v>0</v>
      </c>
      <c r="H23" s="99">
        <f>G23+'17'!H23</f>
        <v>-100</v>
      </c>
      <c r="I23" s="118"/>
      <c r="J23" s="175">
        <f>H23/DAY(B2)</f>
        <v>-5.5555555555555554</v>
      </c>
      <c r="K23" s="79"/>
      <c r="L23" s="66"/>
      <c r="N23" s="521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SUM(E22:E23)</f>
        <v>4830</v>
      </c>
      <c r="F24" s="128">
        <f>SUM(F22:F23)</f>
        <v>4830</v>
      </c>
      <c r="G24" s="433">
        <f>SUM(G22:G23)</f>
        <v>0</v>
      </c>
      <c r="H24" s="99">
        <f>G24+'17'!H24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878" t="s">
        <v>149</v>
      </c>
      <c r="B25" s="879"/>
      <c r="C25" s="880"/>
      <c r="D25" s="110"/>
      <c r="E25" s="110"/>
      <c r="F25" s="110"/>
      <c r="G25" s="436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437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24731</v>
      </c>
      <c r="F27" s="136">
        <v>9</v>
      </c>
      <c r="G27" s="438">
        <f>E27*F27</f>
        <v>222579</v>
      </c>
      <c r="H27" s="99">
        <f>G27+'17'!H27</f>
        <v>3830886.8</v>
      </c>
      <c r="I27" s="138"/>
      <c r="J27" s="175">
        <f>H27/DAY(B2)</f>
        <v>212827.04444444444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1164</v>
      </c>
      <c r="F28" s="136">
        <v>70</v>
      </c>
      <c r="G28" s="438">
        <f>E28*F28</f>
        <v>81480</v>
      </c>
      <c r="H28" s="99">
        <f>G28+'17'!H28</f>
        <v>1382091.7500000005</v>
      </c>
      <c r="I28" s="140"/>
      <c r="J28" s="175">
        <f>H28/DAY(B2)</f>
        <v>76782.875000000029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38">
        <f>E29*F29</f>
        <v>0</v>
      </c>
      <c r="H29" s="99">
        <f>G29+'17'!H29</f>
        <v>6900</v>
      </c>
      <c r="I29" s="140"/>
      <c r="J29" s="175">
        <f>H29/DAY(B2)</f>
        <v>383.33333333333331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57</v>
      </c>
      <c r="F30" s="136">
        <v>151</v>
      </c>
      <c r="G30" s="438">
        <f>E30*F30</f>
        <v>8607</v>
      </c>
      <c r="H30" s="99">
        <f>G30+'17'!H30</f>
        <v>144054</v>
      </c>
      <c r="I30" s="140"/>
      <c r="J30" s="175">
        <f>H30/DAY(B2)</f>
        <v>8003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250</v>
      </c>
      <c r="F31" s="136">
        <v>80</v>
      </c>
      <c r="G31" s="438">
        <f>E31*F31</f>
        <v>20000</v>
      </c>
      <c r="H31" s="99">
        <f>G31+'17'!H31</f>
        <v>398400</v>
      </c>
      <c r="I31" s="140"/>
      <c r="J31" s="175">
        <f>H31/DAY(B2)</f>
        <v>22133.333333333332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439">
        <f>G27+G28+G29+G30+G31</f>
        <v>332666</v>
      </c>
      <c r="H32" s="99">
        <f>G32+'17'!H32</f>
        <v>5762332.5500000007</v>
      </c>
      <c r="I32" s="144"/>
      <c r="J32" s="175">
        <f>H32/DAY(B2)</f>
        <v>320129.58611111116</v>
      </c>
      <c r="K32" s="63"/>
      <c r="L32" s="89"/>
      <c r="N32" s="87"/>
      <c r="O32" s="71"/>
    </row>
    <row r="33" spans="1:15" ht="27.75" customHeight="1">
      <c r="A33" s="881" t="s">
        <v>331</v>
      </c>
      <c r="B33" s="882"/>
      <c r="C33" s="882"/>
      <c r="D33" s="337"/>
      <c r="E33" s="337"/>
      <c r="F33" s="337"/>
      <c r="G33" s="440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441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'17'!F35</f>
        <v>416653.35</v>
      </c>
      <c r="F35" s="145">
        <v>419324.75</v>
      </c>
      <c r="G35" s="431">
        <f t="shared" ref="G35:G46" si="2">F35-E35</f>
        <v>2671.4000000000233</v>
      </c>
      <c r="H35" s="99">
        <f>G35+'17'!H35</f>
        <v>50227.840000000026</v>
      </c>
      <c r="I35" s="95"/>
      <c r="J35" s="175">
        <f>H35/DAY(B2)</f>
        <v>2790.4355555555571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'17'!F36</f>
        <v>340968.81</v>
      </c>
      <c r="F36" s="145">
        <v>342413.9</v>
      </c>
      <c r="G36" s="431">
        <f t="shared" si="2"/>
        <v>1445.0900000000256</v>
      </c>
      <c r="H36" s="99">
        <f>G36+'17'!H36</f>
        <v>20196.790000000037</v>
      </c>
      <c r="I36" s="95"/>
      <c r="J36" s="175">
        <f>H36/DAY(B2)</f>
        <v>1122.0438888888909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'17'!F37</f>
        <v>322998.69</v>
      </c>
      <c r="F37" s="145">
        <v>322998.69</v>
      </c>
      <c r="G37" s="431">
        <f t="shared" si="2"/>
        <v>0</v>
      </c>
      <c r="H37" s="99">
        <f>G37+'17'!H37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'17'!F38</f>
        <v>770899.59</v>
      </c>
      <c r="F38" s="108">
        <v>770899.59</v>
      </c>
      <c r="G38" s="431">
        <f t="shared" si="2"/>
        <v>0</v>
      </c>
      <c r="H38" s="99">
        <f>G38+'17'!H38</f>
        <v>35047.199999999953</v>
      </c>
      <c r="I38" s="95"/>
      <c r="J38" s="175">
        <f>H38/DAY(B2)</f>
        <v>1947.0666666666641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'17'!F39</f>
        <v>591584.18999999994</v>
      </c>
      <c r="F39" s="145">
        <v>591584.18999999994</v>
      </c>
      <c r="G39" s="431">
        <f t="shared" si="2"/>
        <v>0</v>
      </c>
      <c r="H39" s="99">
        <f>G39+'17'!H39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'17'!F40</f>
        <v>203804.95</v>
      </c>
      <c r="F40" s="422">
        <v>204220.19</v>
      </c>
      <c r="G40" s="520">
        <f t="shared" si="2"/>
        <v>415.23999999999069</v>
      </c>
      <c r="H40" s="99">
        <f>G40+'17'!H40</f>
        <v>7490.2200000000012</v>
      </c>
      <c r="I40" s="95"/>
      <c r="J40" s="175">
        <f>H40/DAY(B2)</f>
        <v>416.12333333333339</v>
      </c>
      <c r="K40" s="80"/>
      <c r="L40" s="66"/>
      <c r="N40" s="87">
        <v>7285</v>
      </c>
      <c r="O40" s="71" t="s">
        <v>364</v>
      </c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'17'!F41</f>
        <v>419197.97</v>
      </c>
      <c r="F41" s="145">
        <v>419197</v>
      </c>
      <c r="G41" s="431">
        <f t="shared" si="2"/>
        <v>-0.96999999997206032</v>
      </c>
      <c r="H41" s="99">
        <f>G41+'17'!H41</f>
        <v>29.409999999974389</v>
      </c>
      <c r="I41" s="95"/>
      <c r="J41" s="175">
        <f>H41/DAY(B2)</f>
        <v>1.6338888888874661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'17'!F42</f>
        <v>890810.79</v>
      </c>
      <c r="F42" s="145">
        <v>890910.79</v>
      </c>
      <c r="G42" s="431">
        <f t="shared" si="2"/>
        <v>100</v>
      </c>
      <c r="H42" s="99">
        <f>G42+'17'!H42</f>
        <v>19039.920000000042</v>
      </c>
      <c r="I42" s="95"/>
      <c r="J42" s="175">
        <f>H42/DAY(B2)</f>
        <v>1057.7733333333356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'17'!F43</f>
        <v>414667.59</v>
      </c>
      <c r="F43" s="145">
        <v>417507.07</v>
      </c>
      <c r="G43" s="431">
        <f t="shared" si="2"/>
        <v>2839.4799999999814</v>
      </c>
      <c r="H43" s="99">
        <f>G43+'17'!H43</f>
        <v>10479.070000000007</v>
      </c>
      <c r="I43" s="95"/>
      <c r="J43" s="175">
        <f>H43/DAY(B2)</f>
        <v>582.17055555555589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'17'!F44</f>
        <v>0</v>
      </c>
      <c r="F44" s="145">
        <v>0</v>
      </c>
      <c r="G44" s="431">
        <f t="shared" si="2"/>
        <v>0</v>
      </c>
      <c r="H44" s="99">
        <f>G44+'17'!H44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'17'!F45</f>
        <v>0</v>
      </c>
      <c r="F45" s="145">
        <v>0</v>
      </c>
      <c r="G45" s="431">
        <f t="shared" si="2"/>
        <v>0</v>
      </c>
      <c r="H45" s="99">
        <f>G45+'17'!H45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'17'!F46</f>
        <v>0</v>
      </c>
      <c r="F46" s="145">
        <v>0</v>
      </c>
      <c r="G46" s="431">
        <f t="shared" si="2"/>
        <v>0</v>
      </c>
      <c r="H46" s="99">
        <f>G46+'17'!H46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433">
        <f>G35+G36+G37+G38+G39+G40+G41+G42+G43+G44+G45+G46</f>
        <v>7470.2400000000489</v>
      </c>
      <c r="H47" s="99">
        <f>G47+'17'!H47</f>
        <v>142510.45000000004</v>
      </c>
      <c r="I47" s="95"/>
      <c r="J47" s="175">
        <f>H47/DAY(B2)</f>
        <v>7917.2472222222241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441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'17'!F49</f>
        <v>801003.11</v>
      </c>
      <c r="F49" s="145">
        <v>801473.19</v>
      </c>
      <c r="G49" s="431">
        <f t="shared" ref="G49:G58" si="3">F49-E49</f>
        <v>470.07999999995809</v>
      </c>
      <c r="H49" s="99">
        <f>G49+'17'!H49</f>
        <v>7850.2399999999907</v>
      </c>
      <c r="I49" s="95"/>
      <c r="J49" s="175">
        <f>H49/DAY(B2)</f>
        <v>436.12444444444395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'17'!F50</f>
        <v>482560.91</v>
      </c>
      <c r="F50" s="145">
        <v>483822</v>
      </c>
      <c r="G50" s="431">
        <f t="shared" si="3"/>
        <v>1261.0900000000256</v>
      </c>
      <c r="H50" s="99">
        <f>G50+'17'!H50</f>
        <v>27152.929999999993</v>
      </c>
      <c r="I50" s="95"/>
      <c r="J50" s="175">
        <f>H50/DAY(B2)</f>
        <v>1508.4961111111106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'17'!F51</f>
        <v>153398.62</v>
      </c>
      <c r="F51" s="145">
        <v>154422.91</v>
      </c>
      <c r="G51" s="431">
        <f t="shared" si="3"/>
        <v>1024.2900000000081</v>
      </c>
      <c r="H51" s="99">
        <f>G51+'17'!H51</f>
        <v>19178.360000000015</v>
      </c>
      <c r="I51" s="95"/>
      <c r="J51" s="175">
        <f>H51/DAY(B2)</f>
        <v>1065.4644444444452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'17'!F52</f>
        <v>9.76</v>
      </c>
      <c r="F52" s="145">
        <v>9.76</v>
      </c>
      <c r="G52" s="431">
        <f t="shared" si="3"/>
        <v>0</v>
      </c>
      <c r="H52" s="99">
        <f>G52+'17'!H52</f>
        <v>-0.24000000000000021</v>
      </c>
      <c r="I52" s="95"/>
      <c r="J52" s="175">
        <f>H52/DAY(B2)</f>
        <v>-1.3333333333333345E-2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'17'!F53</f>
        <v>616057.79</v>
      </c>
      <c r="F53" s="145">
        <v>620123</v>
      </c>
      <c r="G53" s="431">
        <f t="shared" si="3"/>
        <v>4065.2099999999627</v>
      </c>
      <c r="H53" s="99">
        <f>G53+'17'!H53</f>
        <v>73581.729999999981</v>
      </c>
      <c r="I53" s="95"/>
      <c r="J53" s="175">
        <f>H53/DAY(B2)</f>
        <v>4087.8738888888879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'17'!F54</f>
        <v>110553.41</v>
      </c>
      <c r="F54" s="145">
        <v>110713.3</v>
      </c>
      <c r="G54" s="431">
        <f t="shared" si="3"/>
        <v>159.88999999999942</v>
      </c>
      <c r="H54" s="99">
        <f>G54+'17'!H54</f>
        <v>3050.1399999999994</v>
      </c>
      <c r="I54" s="95"/>
      <c r="J54" s="175">
        <f>H54/DAY(B2)</f>
        <v>169.45222222222219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'17'!F55</f>
        <v>574978.31000000006</v>
      </c>
      <c r="F55" s="145">
        <v>575800.11</v>
      </c>
      <c r="G55" s="431">
        <f t="shared" si="3"/>
        <v>821.79999999993015</v>
      </c>
      <c r="H55" s="99">
        <f>G55+'17'!H55</f>
        <v>14315.439999999944</v>
      </c>
      <c r="I55" s="95"/>
      <c r="J55" s="175">
        <f>H55/DAY(B2)</f>
        <v>795.30222222221914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'17'!F56</f>
        <v>309894.59000000003</v>
      </c>
      <c r="F56" s="145">
        <v>313666.09000000003</v>
      </c>
      <c r="G56" s="431">
        <f t="shared" si="3"/>
        <v>3771.5</v>
      </c>
      <c r="H56" s="99">
        <f>G56+'17'!H56</f>
        <v>45551.080000000016</v>
      </c>
      <c r="I56" s="95"/>
      <c r="J56" s="175">
        <f>H56/DAY(B2)</f>
        <v>2530.6155555555565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'17'!F57</f>
        <v>607809</v>
      </c>
      <c r="F57" s="145">
        <v>607809</v>
      </c>
      <c r="G57" s="431">
        <f t="shared" si="3"/>
        <v>0</v>
      </c>
      <c r="H57" s="99">
        <f>G57+'17'!H57</f>
        <v>39230.530000000028</v>
      </c>
      <c r="I57" s="95"/>
      <c r="J57" s="175">
        <f>H57/DAY(B2)</f>
        <v>2179.4738888888905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'17'!F58</f>
        <v>82626.95</v>
      </c>
      <c r="F58" s="422">
        <v>82868.600000000006</v>
      </c>
      <c r="G58" s="431">
        <f t="shared" si="3"/>
        <v>241.65000000000873</v>
      </c>
      <c r="H58" s="99">
        <f>G58+'17'!H58</f>
        <v>4152.9100000000035</v>
      </c>
      <c r="I58" s="95"/>
      <c r="J58" s="175">
        <f>H58/DAY(B2)</f>
        <v>230.7172222222224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433">
        <f>G49+G50+G51+G52+G53+G54+G55+G56+G57+G58</f>
        <v>11815.509999999893</v>
      </c>
      <c r="H59" s="99">
        <f>G59+'17'!H59</f>
        <v>234063.11999999997</v>
      </c>
      <c r="I59" s="95">
        <f>G7-G60</f>
        <v>5262.2500000000582</v>
      </c>
      <c r="J59" s="175">
        <f>H59/DAY(B2)</f>
        <v>13003.506666666664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433">
        <f>G47+G59</f>
        <v>19285.749999999942</v>
      </c>
      <c r="H60" s="99">
        <f>G60+'17'!H60</f>
        <v>376573.57000000012</v>
      </c>
      <c r="I60" s="95">
        <f>G13-G60</f>
        <v>4631.7500000000582</v>
      </c>
      <c r="J60" s="175">
        <f>H60/DAY(B2)</f>
        <v>20920.753888888896</v>
      </c>
      <c r="K60" s="79"/>
      <c r="L60" s="66"/>
      <c r="N60" s="87"/>
      <c r="O60" s="71"/>
    </row>
    <row r="61" spans="1:15" s="68" customFormat="1" ht="27.75" customHeight="1">
      <c r="A61" s="883" t="s">
        <v>332</v>
      </c>
      <c r="B61" s="884"/>
      <c r="C61" s="885"/>
      <c r="D61" s="339"/>
      <c r="E61" s="339"/>
      <c r="F61" s="339"/>
      <c r="G61" s="442"/>
      <c r="H61" s="339"/>
      <c r="I61" s="339"/>
      <c r="J61" s="341"/>
      <c r="K61" s="69"/>
      <c r="L61" s="67"/>
      <c r="N61" s="87"/>
      <c r="O61" s="71"/>
    </row>
    <row r="62" spans="1:15" ht="27.75" customHeight="1">
      <c r="A62" s="864" t="s">
        <v>198</v>
      </c>
      <c r="B62" s="865"/>
      <c r="C62" s="866"/>
      <c r="D62" s="151" t="s">
        <v>142</v>
      </c>
      <c r="E62" s="95">
        <f>'17'!F62</f>
        <v>310375</v>
      </c>
      <c r="F62" s="164">
        <v>310487.5</v>
      </c>
      <c r="G62" s="431">
        <f t="shared" ref="G62:G63" si="4">F62-E62</f>
        <v>112.5</v>
      </c>
      <c r="H62" s="99">
        <f>G62+'17'!H62</f>
        <v>2173.5</v>
      </c>
      <c r="I62" s="118"/>
      <c r="J62" s="175">
        <f>H62/DAY(B2)</f>
        <v>120.75</v>
      </c>
      <c r="K62" s="80"/>
      <c r="L62" s="66"/>
      <c r="N62" s="87"/>
      <c r="O62" s="71"/>
    </row>
    <row r="63" spans="1:15" ht="27.75" customHeight="1">
      <c r="A63" s="864" t="s">
        <v>199</v>
      </c>
      <c r="B63" s="865"/>
      <c r="C63" s="866"/>
      <c r="D63" s="151" t="s">
        <v>142</v>
      </c>
      <c r="E63" s="95">
        <f>'17'!F63</f>
        <v>247915</v>
      </c>
      <c r="F63" s="122">
        <v>247991</v>
      </c>
      <c r="G63" s="431">
        <f t="shared" si="4"/>
        <v>76</v>
      </c>
      <c r="H63" s="99">
        <f>G63+'17'!H63</f>
        <v>1062</v>
      </c>
      <c r="I63" s="118"/>
      <c r="J63" s="175">
        <f>H63/DAY(B2)</f>
        <v>59</v>
      </c>
      <c r="K63" s="69"/>
      <c r="L63" s="66"/>
      <c r="N63" s="87"/>
      <c r="O63" s="71"/>
    </row>
    <row r="64" spans="1:15" ht="27.75" customHeight="1">
      <c r="A64" s="861" t="s">
        <v>200</v>
      </c>
      <c r="B64" s="862"/>
      <c r="C64" s="863"/>
      <c r="D64" s="151"/>
      <c r="E64" s="95">
        <f>'17'!F64</f>
        <v>0</v>
      </c>
      <c r="F64" s="122"/>
      <c r="G64" s="431">
        <f>G62+G63</f>
        <v>188.5</v>
      </c>
      <c r="H64" s="99">
        <f>G64+'17'!H64</f>
        <v>3235.5</v>
      </c>
      <c r="I64" s="118"/>
      <c r="J64" s="175">
        <f>H64/DAY(B2)</f>
        <v>179.75</v>
      </c>
      <c r="K64" s="69"/>
      <c r="L64" s="66"/>
      <c r="N64" s="87"/>
      <c r="O64" s="71"/>
    </row>
    <row r="65" spans="1:15" ht="27.75" customHeight="1">
      <c r="A65" s="864" t="s">
        <v>201</v>
      </c>
      <c r="B65" s="865"/>
      <c r="C65" s="866"/>
      <c r="D65" s="151" t="s">
        <v>142</v>
      </c>
      <c r="E65" s="95">
        <f>'17'!F65</f>
        <v>470213</v>
      </c>
      <c r="F65" s="122">
        <v>470353</v>
      </c>
      <c r="G65" s="431">
        <f t="shared" ref="G65:G70" si="5">F65-E65</f>
        <v>140</v>
      </c>
      <c r="H65" s="99">
        <f>G65+'17'!H65</f>
        <v>2452</v>
      </c>
      <c r="I65" s="118"/>
      <c r="J65" s="175">
        <f>H65/DAY(B2)</f>
        <v>136.22222222222223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'17'!F66</f>
        <v>113371</v>
      </c>
      <c r="F66" s="122">
        <v>113381</v>
      </c>
      <c r="G66" s="431">
        <f t="shared" si="5"/>
        <v>10</v>
      </c>
      <c r="H66" s="99">
        <f>G66+'17'!H66</f>
        <v>55634</v>
      </c>
      <c r="I66" s="118"/>
      <c r="J66" s="175">
        <f>H66/DAY(B2)</f>
        <v>3090.7777777777778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'17'!F67</f>
        <v>116213</v>
      </c>
      <c r="F67" s="122">
        <v>116235</v>
      </c>
      <c r="G67" s="431">
        <f t="shared" si="5"/>
        <v>22</v>
      </c>
      <c r="H67" s="99">
        <f>G67+'17'!H67</f>
        <v>380</v>
      </c>
      <c r="I67" s="118"/>
      <c r="J67" s="175">
        <f>H67/DAY(B2)</f>
        <v>21.111111111111111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'17'!F68</f>
        <v>169033</v>
      </c>
      <c r="F68" s="122">
        <v>169054</v>
      </c>
      <c r="G68" s="431">
        <f t="shared" si="5"/>
        <v>21</v>
      </c>
      <c r="H68" s="99">
        <f>G68+'17'!H68</f>
        <v>547</v>
      </c>
      <c r="I68" s="118"/>
      <c r="J68" s="175">
        <f>H68/DAY(B2)</f>
        <v>30.388888888888889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'17'!F69</f>
        <v>12902</v>
      </c>
      <c r="F69" s="122">
        <v>12907</v>
      </c>
      <c r="G69" s="431">
        <f t="shared" si="5"/>
        <v>5</v>
      </c>
      <c r="H69" s="99">
        <f>G69+'17'!H69</f>
        <v>97</v>
      </c>
      <c r="I69" s="118"/>
      <c r="J69" s="175">
        <f>H69/DAY(B2)</f>
        <v>5.3888888888888893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'17'!F70</f>
        <v>10900</v>
      </c>
      <c r="F70" s="122">
        <v>10907</v>
      </c>
      <c r="G70" s="431">
        <f t="shared" si="5"/>
        <v>7</v>
      </c>
      <c r="H70" s="99">
        <f>G70+'17'!H70</f>
        <v>128</v>
      </c>
      <c r="I70" s="118"/>
      <c r="J70" s="175">
        <f>H70/DAY(B2)</f>
        <v>7.1111111111111107</v>
      </c>
      <c r="K70" s="69"/>
      <c r="L70" s="66"/>
      <c r="N70" s="87"/>
      <c r="O70" s="71"/>
    </row>
    <row r="71" spans="1:15" ht="27.75" customHeight="1">
      <c r="A71" s="861" t="s">
        <v>208</v>
      </c>
      <c r="B71" s="862"/>
      <c r="C71" s="863"/>
      <c r="D71" s="152"/>
      <c r="E71" s="152"/>
      <c r="F71" s="152"/>
      <c r="G71" s="443">
        <f>SUM(G65:G70)</f>
        <v>205</v>
      </c>
      <c r="H71" s="99">
        <f>G71+'17'!H71</f>
        <v>59238</v>
      </c>
      <c r="I71" s="154"/>
      <c r="J71" s="175">
        <f>H71/DAY(B2)</f>
        <v>3291</v>
      </c>
      <c r="K71" s="69"/>
      <c r="L71" s="66"/>
      <c r="N71" s="87"/>
      <c r="O71" s="71"/>
    </row>
    <row r="72" spans="1:15" s="88" customFormat="1" ht="27.75" customHeight="1">
      <c r="A72" s="904"/>
      <c r="B72" s="896"/>
      <c r="C72" s="347"/>
      <c r="D72" s="180"/>
      <c r="E72" s="180" t="s">
        <v>207</v>
      </c>
      <c r="F72" s="180"/>
      <c r="G72" s="444"/>
      <c r="H72" s="181"/>
      <c r="I72" s="180"/>
      <c r="J72" s="182"/>
      <c r="N72" s="87"/>
      <c r="O72" s="71"/>
    </row>
    <row r="73" spans="1:15" ht="27.75" customHeight="1">
      <c r="A73" s="909" t="s">
        <v>333</v>
      </c>
      <c r="B73" s="910"/>
      <c r="C73" s="911"/>
      <c r="D73" s="339"/>
      <c r="E73" s="339"/>
      <c r="F73" s="339"/>
      <c r="G73" s="442"/>
      <c r="H73" s="342"/>
      <c r="I73" s="342"/>
      <c r="J73" s="343"/>
      <c r="K73" s="69"/>
      <c r="L73" s="66"/>
      <c r="N73" s="87"/>
      <c r="O73" s="71"/>
    </row>
    <row r="74" spans="1:15" ht="27.75" customHeight="1">
      <c r="A74" s="864" t="s">
        <v>220</v>
      </c>
      <c r="B74" s="865"/>
      <c r="C74" s="866"/>
      <c r="D74" s="151" t="s">
        <v>139</v>
      </c>
      <c r="E74" s="95">
        <f>'17'!F74</f>
        <v>998337.35</v>
      </c>
      <c r="F74" s="123">
        <v>998629.53</v>
      </c>
      <c r="G74" s="431">
        <f>F74-E74</f>
        <v>292.18000000005122</v>
      </c>
      <c r="H74" s="99">
        <f>G74+'17'!H74</f>
        <v>5270.5</v>
      </c>
      <c r="I74" s="154"/>
      <c r="J74" s="175">
        <f>H74/DAY(B2)</f>
        <v>292.80555555555554</v>
      </c>
      <c r="K74" s="69"/>
      <c r="L74" s="66"/>
      <c r="N74" s="87"/>
      <c r="O74" s="71"/>
    </row>
    <row r="75" spans="1:15" ht="27.75" customHeight="1">
      <c r="A75" s="864" t="s">
        <v>221</v>
      </c>
      <c r="B75" s="865"/>
      <c r="C75" s="866"/>
      <c r="D75" s="151" t="s">
        <v>139</v>
      </c>
      <c r="E75" s="95">
        <f>'17'!F75</f>
        <v>73586.8</v>
      </c>
      <c r="F75" s="409">
        <v>73586.8</v>
      </c>
      <c r="G75" s="431">
        <f t="shared" ref="G75:G78" si="6">F75-E75</f>
        <v>0</v>
      </c>
      <c r="H75" s="99">
        <f>G75+'17'!H75</f>
        <v>0.80000000000291038</v>
      </c>
      <c r="I75" s="154"/>
      <c r="J75" s="175">
        <f>H75/DAY(B2)</f>
        <v>4.4444444444606129E-2</v>
      </c>
      <c r="K75" s="69"/>
      <c r="L75" s="66"/>
      <c r="N75" s="87"/>
      <c r="O75" s="71"/>
    </row>
    <row r="76" spans="1:15" ht="27.75" customHeight="1">
      <c r="A76" s="905" t="s">
        <v>222</v>
      </c>
      <c r="B76" s="891"/>
      <c r="C76" s="892"/>
      <c r="D76" s="151" t="s">
        <v>139</v>
      </c>
      <c r="E76" s="95">
        <f>'17'!F76</f>
        <v>205872</v>
      </c>
      <c r="F76" s="123">
        <v>206020</v>
      </c>
      <c r="G76" s="431">
        <f>F76-E76</f>
        <v>148</v>
      </c>
      <c r="H76" s="99">
        <f>G76+'17'!H76</f>
        <v>2358</v>
      </c>
      <c r="I76" s="154"/>
      <c r="J76" s="175">
        <f>H76/DAY(B2)</f>
        <v>131</v>
      </c>
      <c r="K76" s="69"/>
      <c r="L76" s="66"/>
      <c r="N76" s="87"/>
      <c r="O76" s="71"/>
    </row>
    <row r="77" spans="1:15" ht="27.75" customHeight="1">
      <c r="A77" s="905" t="s">
        <v>223</v>
      </c>
      <c r="B77" s="891"/>
      <c r="C77" s="892"/>
      <c r="D77" s="151" t="s">
        <v>139</v>
      </c>
      <c r="E77" s="95">
        <f>'17'!F77</f>
        <v>57425</v>
      </c>
      <c r="F77" s="123">
        <v>57480</v>
      </c>
      <c r="G77" s="431">
        <f t="shared" si="6"/>
        <v>55</v>
      </c>
      <c r="H77" s="99">
        <f>G77+'17'!H77</f>
        <v>958</v>
      </c>
      <c r="I77" s="154"/>
      <c r="J77" s="175">
        <f>H77/DAY(B2)</f>
        <v>53.222222222222221</v>
      </c>
      <c r="K77" s="69"/>
      <c r="L77" s="66"/>
      <c r="N77" s="87"/>
      <c r="O77" s="71"/>
    </row>
    <row r="78" spans="1:15" ht="27.75" customHeight="1">
      <c r="A78" s="905" t="s">
        <v>224</v>
      </c>
      <c r="B78" s="891"/>
      <c r="C78" s="892"/>
      <c r="D78" s="151" t="s">
        <v>139</v>
      </c>
      <c r="E78" s="95">
        <f>'17'!F78</f>
        <v>9564</v>
      </c>
      <c r="F78" s="123">
        <v>9564</v>
      </c>
      <c r="G78" s="431">
        <f t="shared" si="6"/>
        <v>0</v>
      </c>
      <c r="H78" s="99">
        <f>G78+'17'!H78</f>
        <v>-0.3999999999996362</v>
      </c>
      <c r="I78" s="118"/>
      <c r="J78" s="175">
        <f>H78/DAY(B2)</f>
        <v>-2.222222222220201E-2</v>
      </c>
      <c r="K78" s="69"/>
      <c r="L78" s="66"/>
      <c r="N78" s="87"/>
      <c r="O78" s="71"/>
    </row>
    <row r="79" spans="1:15" s="57" customFormat="1" ht="27.75" customHeight="1">
      <c r="A79" s="905" t="s">
        <v>225</v>
      </c>
      <c r="B79" s="891"/>
      <c r="C79" s="892"/>
      <c r="D79" s="151"/>
      <c r="E79" s="95">
        <f>'17'!F79</f>
        <v>0</v>
      </c>
      <c r="F79" s="123">
        <v>0</v>
      </c>
      <c r="G79" s="431">
        <f>G15-SUM(G74:G78)</f>
        <v>668.81999999994878</v>
      </c>
      <c r="H79" s="99">
        <f>G79+'17'!H79</f>
        <v>11007.099999999997</v>
      </c>
      <c r="I79" s="118"/>
      <c r="J79" s="175"/>
      <c r="K79" s="59"/>
      <c r="L79" s="58"/>
      <c r="N79" s="87"/>
      <c r="O79" s="71"/>
    </row>
    <row r="80" spans="1:15" s="57" customFormat="1" ht="27.75" customHeight="1">
      <c r="A80" s="861" t="s">
        <v>329</v>
      </c>
      <c r="B80" s="862"/>
      <c r="C80" s="863"/>
      <c r="D80" s="151"/>
      <c r="E80" s="117"/>
      <c r="F80" s="117"/>
      <c r="G80" s="431">
        <f>SUM(G74:G79)</f>
        <v>1164</v>
      </c>
      <c r="H80" s="99">
        <f>G80+'17'!H80</f>
        <v>1164</v>
      </c>
      <c r="I80" s="118"/>
      <c r="J80" s="175"/>
      <c r="K80" s="59"/>
      <c r="L80" s="58"/>
      <c r="N80" s="87"/>
      <c r="O80" s="71"/>
    </row>
    <row r="81" spans="1:15" ht="27.75" customHeight="1">
      <c r="A81" s="897" t="s">
        <v>226</v>
      </c>
      <c r="B81" s="898"/>
      <c r="C81" s="899"/>
      <c r="D81" s="110"/>
      <c r="E81" s="110"/>
      <c r="F81" s="110"/>
      <c r="G81" s="445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'17'!F82</f>
        <v>0</v>
      </c>
      <c r="F82" s="122">
        <v>0</v>
      </c>
      <c r="G82" s="431">
        <f t="shared" ref="G82:G92" si="7">F82-E82</f>
        <v>0</v>
      </c>
      <c r="H82" s="99">
        <f>G82+'17'!H82</f>
        <v>0</v>
      </c>
      <c r="I82" s="545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'17'!F83</f>
        <v>0</v>
      </c>
      <c r="F83" s="122">
        <v>0</v>
      </c>
      <c r="G83" s="431">
        <f t="shared" si="7"/>
        <v>0</v>
      </c>
      <c r="H83" s="99">
        <f>G83+'17'!H83</f>
        <v>0</v>
      </c>
      <c r="I83" s="545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'17'!F84</f>
        <v>45540.35</v>
      </c>
      <c r="F84" s="164">
        <v>45540.35</v>
      </c>
      <c r="G84" s="431">
        <f>F84-E84</f>
        <v>0</v>
      </c>
      <c r="H84" s="99">
        <f>G84+'17'!H84</f>
        <v>2000.1399999999994</v>
      </c>
      <c r="I84" s="545"/>
      <c r="J84" s="175">
        <f>H84/DAY(B2)</f>
        <v>111.11888888888886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'17'!F85</f>
        <v>5768.28</v>
      </c>
      <c r="F85" s="164">
        <v>5768.28</v>
      </c>
      <c r="G85" s="431">
        <f t="shared" si="7"/>
        <v>0</v>
      </c>
      <c r="H85" s="99">
        <f>G85+'17'!H85</f>
        <v>84.279999999999745</v>
      </c>
      <c r="I85" s="545"/>
      <c r="J85" s="175">
        <f>H85/DAY(B2)</f>
        <v>4.6822222222222081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'17'!F86</f>
        <v>46811.07</v>
      </c>
      <c r="F86" s="164">
        <v>46811.07</v>
      </c>
      <c r="G86" s="431">
        <f t="shared" si="7"/>
        <v>0</v>
      </c>
      <c r="H86" s="99">
        <f>G86+'17'!H86</f>
        <v>77.069999999999709</v>
      </c>
      <c r="I86" s="545"/>
      <c r="J86" s="175">
        <f>H86/DAY(B2)</f>
        <v>4.2816666666666503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'17'!F87</f>
        <v>36840.400000000001</v>
      </c>
      <c r="F87" s="164">
        <v>36864.35</v>
      </c>
      <c r="G87" s="431">
        <f t="shared" si="7"/>
        <v>23.94999999999709</v>
      </c>
      <c r="H87" s="99">
        <f>G87+'17'!H87</f>
        <v>314.13999999999942</v>
      </c>
      <c r="I87" s="545">
        <f>G84+G85+G86+G87</f>
        <v>23.94999999999709</v>
      </c>
      <c r="J87" s="175">
        <f>H87/DAY(B2)</f>
        <v>17.45222222222219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'17'!F88</f>
        <v>24511.8</v>
      </c>
      <c r="F88" s="164">
        <v>24511.8</v>
      </c>
      <c r="G88" s="431">
        <f t="shared" si="7"/>
        <v>0</v>
      </c>
      <c r="H88" s="99">
        <f>G88+'17'!H88</f>
        <v>0</v>
      </c>
      <c r="I88" s="545"/>
      <c r="J88" s="175">
        <f>H88/DAY(B2)</f>
        <v>0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'17'!F89</f>
        <v>28672.14</v>
      </c>
      <c r="F89" s="164">
        <v>28683.18</v>
      </c>
      <c r="G89" s="431">
        <f t="shared" si="7"/>
        <v>11.040000000000873</v>
      </c>
      <c r="H89" s="99">
        <f>G89+'17'!H89</f>
        <v>181.47999999999956</v>
      </c>
      <c r="I89" s="545">
        <f>G88+G89</f>
        <v>11.040000000000873</v>
      </c>
      <c r="J89" s="175">
        <f>H89/DAY(B2)</f>
        <v>10.082222222222198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'17'!F90</f>
        <v>74058.429999999993</v>
      </c>
      <c r="F90" s="164">
        <v>74070</v>
      </c>
      <c r="G90" s="431">
        <f t="shared" si="7"/>
        <v>11.570000000006985</v>
      </c>
      <c r="H90" s="99">
        <f>G90+'17'!H90</f>
        <v>209.39999999999418</v>
      </c>
      <c r="I90" s="545">
        <f>G90</f>
        <v>11.570000000006985</v>
      </c>
      <c r="J90" s="175">
        <f>H90/DAY(B2)</f>
        <v>11.63333333333301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'17'!F91</f>
        <v>5509</v>
      </c>
      <c r="F91" s="164">
        <v>5520.66</v>
      </c>
      <c r="G91" s="431">
        <f t="shared" si="7"/>
        <v>11.659999999999854</v>
      </c>
      <c r="H91" s="99">
        <f>G91+'17'!H91</f>
        <v>167.88999999999942</v>
      </c>
      <c r="I91" s="546"/>
      <c r="J91" s="175">
        <f>H91/DAY(B2)</f>
        <v>9.3272222222221899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'17'!F92</f>
        <v>7031.67</v>
      </c>
      <c r="F92" s="164">
        <v>7031.67</v>
      </c>
      <c r="G92" s="431">
        <f t="shared" si="7"/>
        <v>0</v>
      </c>
      <c r="H92" s="99">
        <f>G92+'17'!H92</f>
        <v>31.670000000000073</v>
      </c>
      <c r="I92" s="547">
        <f>G91+G92</f>
        <v>11.659999999999854</v>
      </c>
      <c r="J92" s="175">
        <f>H92/DAY(B2)</f>
        <v>1.7594444444444486</v>
      </c>
      <c r="O92" s="71"/>
    </row>
    <row r="93" spans="1:15" ht="27.75" customHeight="1">
      <c r="A93" s="906" t="s">
        <v>239</v>
      </c>
      <c r="B93" s="907"/>
      <c r="C93" s="908"/>
      <c r="D93" s="111"/>
      <c r="E93" s="111"/>
      <c r="F93" s="111"/>
      <c r="G93" s="434"/>
      <c r="H93" s="121"/>
      <c r="I93" s="121"/>
      <c r="J93" s="183"/>
      <c r="K93" s="69"/>
      <c r="L93" s="66"/>
      <c r="O93" s="71"/>
    </row>
    <row r="94" spans="1:15" ht="27.75" customHeight="1">
      <c r="A94" s="864" t="s">
        <v>240</v>
      </c>
      <c r="B94" s="865"/>
      <c r="C94" s="866"/>
      <c r="D94" s="151" t="s">
        <v>130</v>
      </c>
      <c r="E94" s="151"/>
      <c r="F94" s="151"/>
      <c r="G94" s="446">
        <f>G35+G43+G49+G57</f>
        <v>5980.9599999999627</v>
      </c>
      <c r="H94" s="99">
        <f>G94+'17'!H94</f>
        <v>107787.68000000005</v>
      </c>
      <c r="I94" s="118"/>
      <c r="J94" s="175">
        <f>H94/DAY(B2)</f>
        <v>5988.2044444444473</v>
      </c>
      <c r="K94" s="69"/>
      <c r="L94" s="66"/>
      <c r="O94" s="71"/>
    </row>
    <row r="95" spans="1:15" ht="27.75" customHeight="1">
      <c r="A95" s="864" t="s">
        <v>241</v>
      </c>
      <c r="B95" s="865"/>
      <c r="C95" s="866"/>
      <c r="D95" s="151" t="s">
        <v>23</v>
      </c>
      <c r="E95" s="146"/>
      <c r="F95" s="146"/>
      <c r="G95" s="447">
        <f>G94/G7</f>
        <v>0.24364347401010114</v>
      </c>
      <c r="H95" s="99">
        <f>G95+'17'!H95</f>
        <v>4.6109691365095413</v>
      </c>
      <c r="I95" s="167"/>
      <c r="J95" s="175">
        <f>H95/DAY(B2)</f>
        <v>0.25616495202830786</v>
      </c>
      <c r="K95" s="69"/>
      <c r="L95" s="66"/>
      <c r="O95" s="71"/>
    </row>
    <row r="96" spans="1:15" ht="27.75" customHeight="1">
      <c r="A96" s="864" t="s">
        <v>242</v>
      </c>
      <c r="B96" s="865"/>
      <c r="C96" s="866"/>
      <c r="D96" s="151" t="s">
        <v>130</v>
      </c>
      <c r="E96" s="95"/>
      <c r="F96" s="95"/>
      <c r="G96" s="446">
        <f>G41+G42+G55+G56</f>
        <v>4692.3299999999581</v>
      </c>
      <c r="H96" s="99">
        <f>G96+'17'!H96</f>
        <v>78935.849999999977</v>
      </c>
      <c r="I96" s="118"/>
      <c r="J96" s="175">
        <f>H96/DAY(B2)</f>
        <v>4385.3249999999989</v>
      </c>
      <c r="K96" s="69"/>
      <c r="L96" s="66"/>
      <c r="O96" s="71"/>
    </row>
    <row r="97" spans="1:15" ht="27.75" customHeight="1">
      <c r="A97" s="864" t="s">
        <v>243</v>
      </c>
      <c r="B97" s="865"/>
      <c r="C97" s="866"/>
      <c r="D97" s="151" t="s">
        <v>23</v>
      </c>
      <c r="E97" s="95"/>
      <c r="F97" s="95"/>
      <c r="G97" s="447">
        <f>G96/G7</f>
        <v>0.19114917712237078</v>
      </c>
      <c r="H97" s="99">
        <f>G97+'17'!H97</f>
        <v>3.3461204621675358</v>
      </c>
      <c r="I97" s="167"/>
      <c r="J97" s="175">
        <f>H97/DAY(B2)</f>
        <v>0.18589558123152977</v>
      </c>
      <c r="K97" s="69"/>
      <c r="L97" s="66"/>
      <c r="O97" s="71"/>
    </row>
    <row r="98" spans="1:15" ht="27.75" customHeight="1">
      <c r="A98" s="864" t="s">
        <v>244</v>
      </c>
      <c r="B98" s="865"/>
      <c r="C98" s="866"/>
      <c r="D98" s="151" t="s">
        <v>130</v>
      </c>
      <c r="E98" s="95"/>
      <c r="F98" s="95"/>
      <c r="G98" s="446">
        <f>G39+G53</f>
        <v>4065.2099999999627</v>
      </c>
      <c r="H98" s="99">
        <f>G98+'17'!H98</f>
        <v>73581.729999999981</v>
      </c>
      <c r="I98" s="168"/>
      <c r="J98" s="175">
        <f>H98/DAY(B2)</f>
        <v>4087.8738888888879</v>
      </c>
      <c r="K98" s="69"/>
      <c r="L98" s="66"/>
      <c r="O98" s="71"/>
    </row>
    <row r="99" spans="1:15" ht="27.75" customHeight="1">
      <c r="A99" s="864" t="s">
        <v>245</v>
      </c>
      <c r="B99" s="865"/>
      <c r="C99" s="866"/>
      <c r="D99" s="151" t="s">
        <v>23</v>
      </c>
      <c r="E99" s="95"/>
      <c r="F99" s="95"/>
      <c r="G99" s="447">
        <f>G98/G7</f>
        <v>0.16560249307479072</v>
      </c>
      <c r="H99" s="99">
        <f>G99+'17'!H99</f>
        <v>3.1564247949625668</v>
      </c>
      <c r="I99" s="168"/>
      <c r="J99" s="175">
        <f>H99/DAY(B2)</f>
        <v>0.17535693305347594</v>
      </c>
      <c r="O99" s="71"/>
    </row>
    <row r="100" spans="1:15" ht="27.75" customHeight="1">
      <c r="A100" s="864" t="s">
        <v>246</v>
      </c>
      <c r="B100" s="865"/>
      <c r="C100" s="866"/>
      <c r="D100" s="151" t="s">
        <v>180</v>
      </c>
      <c r="E100" s="95"/>
      <c r="F100" s="95"/>
      <c r="G100" s="446">
        <f>G38+G52</f>
        <v>0</v>
      </c>
      <c r="H100" s="99">
        <f>G100+'17'!H100</f>
        <v>35046.959999999955</v>
      </c>
      <c r="I100" s="118"/>
      <c r="J100" s="175">
        <f>H100/DAY(B2)</f>
        <v>1947.0533333333308</v>
      </c>
      <c r="K100" s="70"/>
      <c r="O100" s="71"/>
    </row>
    <row r="101" spans="1:15" ht="27.75" customHeight="1">
      <c r="A101" s="864" t="s">
        <v>247</v>
      </c>
      <c r="B101" s="865"/>
      <c r="C101" s="866"/>
      <c r="D101" s="151" t="s">
        <v>23</v>
      </c>
      <c r="E101" s="95"/>
      <c r="F101" s="95"/>
      <c r="G101" s="447">
        <f>G100/G7</f>
        <v>0</v>
      </c>
      <c r="H101" s="99">
        <f>G101+'17'!H101</f>
        <v>1.523478303120791</v>
      </c>
      <c r="I101" s="168"/>
      <c r="J101" s="175">
        <f>H101/DAY(B2)</f>
        <v>8.4637683506710609E-2</v>
      </c>
      <c r="O101" s="71"/>
    </row>
    <row r="102" spans="1:15" ht="27.75" customHeight="1">
      <c r="A102" s="864" t="s">
        <v>248</v>
      </c>
      <c r="B102" s="865"/>
      <c r="C102" s="866"/>
      <c r="D102" s="151" t="s">
        <v>180</v>
      </c>
      <c r="E102" s="95"/>
      <c r="F102" s="95"/>
      <c r="G102" s="446">
        <f>G36+G50</f>
        <v>2706.1800000000512</v>
      </c>
      <c r="H102" s="99">
        <f>G102+'17'!H102</f>
        <v>47349.72000000003</v>
      </c>
      <c r="I102" s="168"/>
      <c r="J102" s="175">
        <f>H102/DAY(B2)</f>
        <v>2630.5400000000018</v>
      </c>
      <c r="O102" s="71"/>
    </row>
    <row r="103" spans="1:15" ht="27.75" customHeight="1">
      <c r="A103" s="864" t="s">
        <v>249</v>
      </c>
      <c r="B103" s="865"/>
      <c r="C103" s="866"/>
      <c r="D103" s="151" t="s">
        <v>23</v>
      </c>
      <c r="E103" s="95"/>
      <c r="F103" s="95"/>
      <c r="G103" s="447">
        <f>G102/G7</f>
        <v>0.11024034544565957</v>
      </c>
      <c r="H103" s="99">
        <f>G103+'17'!H103</f>
        <v>2.0277249617406787</v>
      </c>
      <c r="I103" s="118"/>
      <c r="J103" s="175">
        <f>H103/DAY(B2)</f>
        <v>0.11265138676337104</v>
      </c>
      <c r="O103" s="71"/>
    </row>
    <row r="104" spans="1:15" ht="27.75" customHeight="1">
      <c r="A104" s="864" t="s">
        <v>250</v>
      </c>
      <c r="B104" s="865"/>
      <c r="C104" s="866"/>
      <c r="D104" s="151" t="s">
        <v>180</v>
      </c>
      <c r="E104" s="95"/>
      <c r="F104" s="95"/>
      <c r="G104" s="446">
        <f>G37+G51</f>
        <v>1024.2900000000081</v>
      </c>
      <c r="H104" s="99">
        <f>G104+'17'!H104</f>
        <v>19178.360000000015</v>
      </c>
      <c r="I104" s="118"/>
      <c r="J104" s="175">
        <f>H104/DAY(B2)</f>
        <v>1065.4644444444452</v>
      </c>
      <c r="O104" s="71"/>
    </row>
    <row r="105" spans="1:15" ht="27.75" customHeight="1" thickBot="1">
      <c r="A105" s="901" t="s">
        <v>251</v>
      </c>
      <c r="B105" s="902"/>
      <c r="C105" s="903"/>
      <c r="D105" s="231" t="s">
        <v>23</v>
      </c>
      <c r="E105" s="185"/>
      <c r="F105" s="185"/>
      <c r="G105" s="448">
        <f>G104/G7</f>
        <v>4.1726006191950799E-2</v>
      </c>
      <c r="H105" s="99">
        <f>G105+'17'!H105</f>
        <v>0.82249722818929205</v>
      </c>
      <c r="I105" s="187"/>
      <c r="J105" s="188">
        <f>H105/DAY(B2)</f>
        <v>4.5694290454960672E-2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449"/>
      <c r="H106" s="170"/>
      <c r="I106" s="169"/>
      <c r="J106" s="171"/>
      <c r="O106" s="71"/>
    </row>
    <row r="108" spans="1:15" ht="27.75" customHeight="1">
      <c r="A108" s="915" t="s">
        <v>324</v>
      </c>
      <c r="B108" s="915"/>
      <c r="C108" s="915"/>
      <c r="D108" s="915"/>
      <c r="E108" s="915"/>
      <c r="F108" s="915"/>
      <c r="G108" s="915"/>
      <c r="H108" s="915"/>
      <c r="I108" s="915"/>
      <c r="J108" s="915"/>
    </row>
    <row r="109" spans="1:15" ht="27.75" customHeight="1">
      <c r="A109" s="900"/>
      <c r="B109" s="900"/>
    </row>
    <row r="110" spans="1:15" ht="27.75" customHeight="1">
      <c r="A110" s="916" t="s">
        <v>165</v>
      </c>
      <c r="B110" s="917"/>
      <c r="C110" s="917"/>
      <c r="D110" s="917"/>
      <c r="E110" s="917"/>
      <c r="F110" s="917"/>
      <c r="G110" s="917"/>
      <c r="H110" s="917"/>
      <c r="I110" s="917"/>
      <c r="J110" s="918"/>
    </row>
    <row r="111" spans="1:15" ht="27.75" customHeight="1">
      <c r="A111" s="919"/>
      <c r="B111" s="920"/>
      <c r="C111" s="921"/>
      <c r="D111" s="165"/>
      <c r="E111" s="165"/>
      <c r="F111" s="165"/>
      <c r="G111" s="451"/>
      <c r="H111" s="156"/>
      <c r="I111" s="165"/>
      <c r="J111" s="327"/>
    </row>
    <row r="112" spans="1:15" ht="27.75" customHeight="1">
      <c r="A112" s="894" t="s">
        <v>252</v>
      </c>
      <c r="B112" s="895"/>
      <c r="C112" s="896"/>
      <c r="D112" s="146" t="s">
        <v>183</v>
      </c>
      <c r="E112" s="95">
        <f>'17'!F112</f>
        <v>16655.3</v>
      </c>
      <c r="F112" s="237">
        <v>16716</v>
      </c>
      <c r="G112" s="431">
        <f t="shared" ref="G112:G123" si="8">F112-E112</f>
        <v>60.700000000000728</v>
      </c>
      <c r="H112" s="99">
        <f>G112+'17'!H112</f>
        <v>1102.2000000000007</v>
      </c>
      <c r="I112" s="165"/>
      <c r="J112" s="328">
        <f>H112/DAY(B2)</f>
        <v>61.233333333333377</v>
      </c>
    </row>
    <row r="113" spans="1:18" ht="27.75" customHeight="1">
      <c r="A113" s="894" t="s">
        <v>253</v>
      </c>
      <c r="B113" s="895"/>
      <c r="C113" s="896"/>
      <c r="D113" s="146" t="s">
        <v>183</v>
      </c>
      <c r="E113" s="95">
        <f>'17'!F113</f>
        <v>34952.800000000003</v>
      </c>
      <c r="F113" s="237">
        <v>35103.1</v>
      </c>
      <c r="G113" s="431">
        <f t="shared" si="8"/>
        <v>150.29999999999563</v>
      </c>
      <c r="H113" s="99">
        <f>G113+'17'!H113</f>
        <v>2652.4300000000003</v>
      </c>
      <c r="I113" s="165"/>
      <c r="J113" s="328">
        <f>H113/DAY(B2)</f>
        <v>147.35722222222225</v>
      </c>
    </row>
    <row r="114" spans="1:18" ht="27.75" customHeight="1">
      <c r="A114" s="894" t="s">
        <v>254</v>
      </c>
      <c r="B114" s="895"/>
      <c r="C114" s="896"/>
      <c r="D114" s="146" t="s">
        <v>183</v>
      </c>
      <c r="E114" s="95">
        <f>'17'!F114</f>
        <v>51492</v>
      </c>
      <c r="F114" s="237">
        <v>51687.8</v>
      </c>
      <c r="G114" s="431">
        <f t="shared" si="8"/>
        <v>195.80000000000291</v>
      </c>
      <c r="H114" s="99">
        <f>G114+'17'!H114</f>
        <v>3721.5</v>
      </c>
      <c r="I114" s="165"/>
      <c r="J114" s="328">
        <f>H114/DAY(B2)</f>
        <v>206.75</v>
      </c>
    </row>
    <row r="115" spans="1:18" ht="27.75" customHeight="1">
      <c r="A115" s="894" t="s">
        <v>255</v>
      </c>
      <c r="B115" s="895"/>
      <c r="C115" s="896"/>
      <c r="D115" s="146" t="s">
        <v>183</v>
      </c>
      <c r="E115" s="95">
        <f>'17'!F115</f>
        <v>32994.6</v>
      </c>
      <c r="F115" s="237">
        <v>33149.4</v>
      </c>
      <c r="G115" s="431">
        <f t="shared" si="8"/>
        <v>154.80000000000291</v>
      </c>
      <c r="H115" s="99">
        <f>G115+'17'!H115</f>
        <v>2713</v>
      </c>
      <c r="I115" s="165"/>
      <c r="J115" s="328">
        <f>H115/DAY(B2)</f>
        <v>150.72222222222223</v>
      </c>
    </row>
    <row r="116" spans="1:18" ht="27.75" customHeight="1">
      <c r="A116" s="912" t="s">
        <v>96</v>
      </c>
      <c r="B116" s="913"/>
      <c r="C116" s="914"/>
      <c r="D116" s="146" t="s">
        <v>183</v>
      </c>
      <c r="E116" s="95">
        <f>'17'!F116</f>
        <v>129333.4</v>
      </c>
      <c r="F116" s="237">
        <v>129753</v>
      </c>
      <c r="G116" s="431">
        <f t="shared" si="8"/>
        <v>419.60000000000582</v>
      </c>
      <c r="H116" s="99">
        <f>G116+'17'!H116</f>
        <v>6892.8000000000029</v>
      </c>
      <c r="I116" s="165"/>
      <c r="J116" s="328">
        <f>H116/DAY(B2)</f>
        <v>382.93333333333351</v>
      </c>
      <c r="Q116" s="894" t="s">
        <v>311</v>
      </c>
      <c r="R116" s="896"/>
    </row>
    <row r="117" spans="1:18" ht="27.75" customHeight="1">
      <c r="A117" s="912" t="s">
        <v>184</v>
      </c>
      <c r="B117" s="913"/>
      <c r="C117" s="914"/>
      <c r="D117" s="146" t="s">
        <v>183</v>
      </c>
      <c r="E117" s="95">
        <f>'17'!F117</f>
        <v>78382.899999999994</v>
      </c>
      <c r="F117" s="237">
        <v>78641.899999999994</v>
      </c>
      <c r="G117" s="431">
        <f t="shared" si="8"/>
        <v>259</v>
      </c>
      <c r="H117" s="99">
        <f>G117+'17'!H117</f>
        <v>4660.6999999999971</v>
      </c>
      <c r="I117" s="165"/>
      <c r="J117" s="328">
        <f>H117/DAY(B2)</f>
        <v>258.92777777777764</v>
      </c>
      <c r="Q117" s="894" t="s">
        <v>312</v>
      </c>
      <c r="R117" s="896"/>
    </row>
    <row r="118" spans="1:18" ht="27.75" customHeight="1">
      <c r="A118" s="889" t="s">
        <v>97</v>
      </c>
      <c r="B118" s="889"/>
      <c r="C118" s="889"/>
      <c r="D118" s="151" t="s">
        <v>183</v>
      </c>
      <c r="E118" s="95">
        <f>'17'!F118</f>
        <v>149527.5</v>
      </c>
      <c r="F118" s="237">
        <v>150122</v>
      </c>
      <c r="G118" s="431">
        <f t="shared" si="8"/>
        <v>594.5</v>
      </c>
      <c r="H118" s="99">
        <f>G118+'17'!H118</f>
        <v>11309.549999999988</v>
      </c>
      <c r="I118" s="165"/>
      <c r="J118" s="328">
        <f>H118/DAY(B2)</f>
        <v>628.30833333333271</v>
      </c>
      <c r="Q118" s="894" t="s">
        <v>311</v>
      </c>
      <c r="R118" s="896"/>
    </row>
    <row r="119" spans="1:18" ht="27.75" customHeight="1">
      <c r="A119" s="889" t="s">
        <v>98</v>
      </c>
      <c r="B119" s="889"/>
      <c r="C119" s="889"/>
      <c r="D119" s="151" t="s">
        <v>183</v>
      </c>
      <c r="E119" s="95">
        <f>'17'!F119</f>
        <v>43560.2</v>
      </c>
      <c r="F119" s="237">
        <v>43573</v>
      </c>
      <c r="G119" s="431">
        <f t="shared" si="8"/>
        <v>12.80000000000291</v>
      </c>
      <c r="H119" s="99">
        <f>G119+'17'!H119</f>
        <v>219.30000000000291</v>
      </c>
      <c r="I119" s="165"/>
      <c r="J119" s="328">
        <f>H119/DAY(B2)</f>
        <v>12.183333333333495</v>
      </c>
    </row>
    <row r="120" spans="1:18" ht="27.75" customHeight="1">
      <c r="A120" s="889" t="s">
        <v>99</v>
      </c>
      <c r="B120" s="889"/>
      <c r="C120" s="889"/>
      <c r="D120" s="151" t="s">
        <v>183</v>
      </c>
      <c r="E120" s="95">
        <f>'17'!F120</f>
        <v>102711.67999999999</v>
      </c>
      <c r="F120" s="237">
        <v>103139</v>
      </c>
      <c r="G120" s="431">
        <f t="shared" si="8"/>
        <v>427.32000000000698</v>
      </c>
      <c r="H120" s="99">
        <f>G120+'17'!H120</f>
        <v>7431.3999999999942</v>
      </c>
      <c r="I120" s="165"/>
      <c r="J120" s="328">
        <f>H120/DAY(B2)</f>
        <v>412.85555555555521</v>
      </c>
    </row>
    <row r="121" spans="1:18" ht="27.75" customHeight="1">
      <c r="A121" s="889" t="s">
        <v>100</v>
      </c>
      <c r="B121" s="889"/>
      <c r="C121" s="889"/>
      <c r="D121" s="151" t="s">
        <v>183</v>
      </c>
      <c r="E121" s="95">
        <f>'17'!F121</f>
        <v>115147.2</v>
      </c>
      <c r="F121" s="237">
        <v>115588</v>
      </c>
      <c r="G121" s="431">
        <f t="shared" si="8"/>
        <v>440.80000000000291</v>
      </c>
      <c r="H121" s="99">
        <f>G121+'17'!H121</f>
        <v>7758.9499999999971</v>
      </c>
      <c r="I121" s="165"/>
      <c r="J121" s="328">
        <f>H121/DAY(B2)</f>
        <v>431.05277777777764</v>
      </c>
    </row>
    <row r="122" spans="1:18" ht="27.75" customHeight="1">
      <c r="A122" s="889" t="s">
        <v>101</v>
      </c>
      <c r="B122" s="889"/>
      <c r="C122" s="889"/>
      <c r="D122" s="151" t="s">
        <v>183</v>
      </c>
      <c r="E122" s="95">
        <f>'17'!F122</f>
        <v>76951.100000000006</v>
      </c>
      <c r="F122" s="237">
        <v>77251.100000000006</v>
      </c>
      <c r="G122" s="431">
        <f t="shared" si="8"/>
        <v>300</v>
      </c>
      <c r="H122" s="99">
        <f>G122+'17'!H122</f>
        <v>6213.2000000000116</v>
      </c>
      <c r="I122" s="165"/>
      <c r="J122" s="328">
        <f>H122/DAY(B2)</f>
        <v>345.17777777777843</v>
      </c>
    </row>
    <row r="123" spans="1:18" ht="27.75" customHeight="1">
      <c r="A123" s="889" t="s">
        <v>102</v>
      </c>
      <c r="B123" s="889"/>
      <c r="C123" s="889"/>
      <c r="D123" s="151" t="s">
        <v>183</v>
      </c>
      <c r="E123" s="95">
        <f>'17'!F123</f>
        <v>73594.399999999994</v>
      </c>
      <c r="F123" s="237">
        <v>73903.600000000006</v>
      </c>
      <c r="G123" s="431">
        <f t="shared" si="8"/>
        <v>309.20000000001164</v>
      </c>
      <c r="H123" s="99">
        <f>G123+'17'!H123</f>
        <v>5546.3000000000029</v>
      </c>
      <c r="I123" s="165"/>
      <c r="J123" s="328">
        <f>H123/DAY(B2)</f>
        <v>308.12777777777796</v>
      </c>
    </row>
    <row r="124" spans="1:18" ht="27.75" customHeight="1">
      <c r="A124" s="919"/>
      <c r="B124" s="920"/>
      <c r="C124" s="921"/>
      <c r="D124" s="165"/>
      <c r="E124" s="95">
        <f>'17'!F124</f>
        <v>0</v>
      </c>
      <c r="F124" s="165"/>
      <c r="G124" s="451"/>
      <c r="H124" s="99">
        <f>G124+'17'!H124</f>
        <v>0</v>
      </c>
      <c r="I124" s="165"/>
      <c r="J124" s="327"/>
    </row>
    <row r="125" spans="1:18" ht="27.75" customHeight="1">
      <c r="A125" s="853" t="s">
        <v>196</v>
      </c>
      <c r="B125" s="854"/>
      <c r="C125" s="245"/>
      <c r="D125" s="307"/>
      <c r="E125" s="308"/>
      <c r="F125" s="308"/>
      <c r="G125" s="452">
        <f>SUM(G112:G124)</f>
        <v>3324.8200000000325</v>
      </c>
      <c r="H125" s="156"/>
      <c r="I125" s="327">
        <f>G125-(G39+G53)</f>
        <v>-740.3899999999303</v>
      </c>
      <c r="J125" s="327"/>
    </row>
    <row r="126" spans="1:18" ht="27.75" customHeight="1">
      <c r="A126" s="922" t="s">
        <v>317</v>
      </c>
      <c r="B126" s="922"/>
      <c r="C126" s="922"/>
      <c r="D126" s="922"/>
      <c r="E126" s="922"/>
      <c r="F126" s="922"/>
      <c r="G126" s="922"/>
      <c r="H126" s="922"/>
      <c r="I126" s="922"/>
      <c r="J126" s="922"/>
    </row>
    <row r="127" spans="1:18" ht="27.75" customHeight="1">
      <c r="A127" s="923"/>
      <c r="B127" s="923"/>
      <c r="C127" s="245"/>
      <c r="D127" s="307"/>
      <c r="E127" s="308"/>
      <c r="F127" s="308"/>
      <c r="G127" s="452"/>
      <c r="H127" s="99">
        <f>G127+'17'!H127</f>
        <v>0</v>
      </c>
      <c r="I127" s="165"/>
      <c r="J127" s="328">
        <f>H127/DAY(B2)</f>
        <v>0</v>
      </c>
    </row>
    <row r="128" spans="1:18" ht="27.75" customHeight="1">
      <c r="A128" s="894" t="s">
        <v>318</v>
      </c>
      <c r="B128" s="895"/>
      <c r="C128" s="896"/>
      <c r="D128" s="151" t="s">
        <v>183</v>
      </c>
      <c r="E128" s="95">
        <f>'17'!F128</f>
        <v>185781.35</v>
      </c>
      <c r="F128" s="165">
        <v>186176.85</v>
      </c>
      <c r="G128" s="431">
        <f t="shared" ref="G128:G134" si="9">F128-E128</f>
        <v>395.5</v>
      </c>
      <c r="H128" s="99">
        <f>G128+'17'!H128</f>
        <v>6765</v>
      </c>
      <c r="I128" s="165"/>
      <c r="J128" s="328">
        <f>H128/DAY(B2)</f>
        <v>375.83333333333331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'17'!F129</f>
        <v>99049.16</v>
      </c>
      <c r="F129" s="165">
        <v>99190</v>
      </c>
      <c r="G129" s="431">
        <f t="shared" si="9"/>
        <v>140.83999999999651</v>
      </c>
      <c r="H129" s="99">
        <f>G129+'17'!H129</f>
        <v>3160.5</v>
      </c>
      <c r="I129" s="165"/>
      <c r="J129" s="328">
        <f>H129/DAY(B2)</f>
        <v>175.58333333333334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'17'!F130</f>
        <v>258862.99</v>
      </c>
      <c r="F130" s="165">
        <v>259568.6</v>
      </c>
      <c r="G130" s="431">
        <f t="shared" si="9"/>
        <v>705.61000000001513</v>
      </c>
      <c r="H130" s="99">
        <f>G130+'17'!H130</f>
        <v>12728.850000000006</v>
      </c>
      <c r="I130" s="165"/>
      <c r="J130" s="328">
        <f>H130/DAY(B2)</f>
        <v>707.15833333333364</v>
      </c>
      <c r="N130" s="240"/>
      <c r="O130" s="241"/>
    </row>
    <row r="131" spans="1:15" ht="27.75" customHeight="1">
      <c r="A131" s="894" t="s">
        <v>321</v>
      </c>
      <c r="B131" s="895"/>
      <c r="C131" s="896"/>
      <c r="D131" s="151" t="s">
        <v>183</v>
      </c>
      <c r="E131" s="95">
        <f>'17'!F131</f>
        <v>77639.399999999994</v>
      </c>
      <c r="F131" s="158">
        <v>77779</v>
      </c>
      <c r="G131" s="431">
        <f t="shared" si="9"/>
        <v>139.60000000000582</v>
      </c>
      <c r="H131" s="99">
        <f>G131+'17'!H131</f>
        <v>4268.3999999999942</v>
      </c>
      <c r="I131" s="165"/>
      <c r="J131" s="328">
        <f>H131/DAY(B2)</f>
        <v>237.13333333333301</v>
      </c>
      <c r="N131" s="240"/>
      <c r="O131" s="241"/>
    </row>
    <row r="132" spans="1:15" ht="27.75" customHeight="1">
      <c r="A132" s="894" t="s">
        <v>322</v>
      </c>
      <c r="B132" s="895"/>
      <c r="C132" s="896"/>
      <c r="D132" s="151" t="s">
        <v>183</v>
      </c>
      <c r="E132" s="95">
        <f>'17'!F132</f>
        <v>148274</v>
      </c>
      <c r="F132" s="158">
        <v>148274</v>
      </c>
      <c r="G132" s="431">
        <f t="shared" si="9"/>
        <v>0</v>
      </c>
      <c r="H132" s="99">
        <f>G132+'17'!H132</f>
        <v>1289</v>
      </c>
      <c r="I132" s="165"/>
      <c r="J132" s="328">
        <f>H132/DAY(B2)</f>
        <v>71.611111111111114</v>
      </c>
    </row>
    <row r="133" spans="1:15" ht="27.75" customHeight="1">
      <c r="A133" s="894" t="s">
        <v>359</v>
      </c>
      <c r="B133" s="895"/>
      <c r="C133" s="896"/>
      <c r="D133" s="151" t="s">
        <v>183</v>
      </c>
      <c r="E133" s="95">
        <f>'17'!F133</f>
        <v>922864</v>
      </c>
      <c r="F133" s="158">
        <v>923695</v>
      </c>
      <c r="G133" s="431">
        <f t="shared" si="9"/>
        <v>831</v>
      </c>
      <c r="H133" s="99">
        <f>G133+'17'!H133</f>
        <v>13451</v>
      </c>
      <c r="I133" s="165"/>
      <c r="J133" s="328">
        <f>H133/DAY(B2)</f>
        <v>747.27777777777783</v>
      </c>
    </row>
    <row r="134" spans="1:15" ht="27.75" customHeight="1">
      <c r="A134" s="894" t="s">
        <v>340</v>
      </c>
      <c r="B134" s="895"/>
      <c r="C134" s="896"/>
      <c r="D134" s="151" t="s">
        <v>183</v>
      </c>
      <c r="E134" s="95">
        <f>'17'!F134</f>
        <v>82328</v>
      </c>
      <c r="F134" s="158">
        <v>82808.600000000006</v>
      </c>
      <c r="G134" s="431">
        <f t="shared" si="9"/>
        <v>480.60000000000582</v>
      </c>
      <c r="H134" s="99">
        <f>G134+'17'!H134</f>
        <v>4049</v>
      </c>
      <c r="I134" s="165"/>
      <c r="J134" s="328">
        <f>H134/DAY(B2)</f>
        <v>224.94444444444446</v>
      </c>
    </row>
    <row r="135" spans="1:15" ht="27.75" customHeight="1">
      <c r="A135" s="853" t="s">
        <v>196</v>
      </c>
      <c r="B135" s="854"/>
      <c r="C135" s="331"/>
      <c r="D135" s="151"/>
      <c r="E135" s="95"/>
      <c r="F135" s="165"/>
      <c r="G135" s="431">
        <f>SUM(G128:G134)</f>
        <v>2693.1500000000233</v>
      </c>
      <c r="H135" s="99">
        <f>G135+'10'!H135</f>
        <v>27366.62000000001</v>
      </c>
      <c r="I135" s="327">
        <f>G135-(G35+G49)</f>
        <v>-448.32999999995809</v>
      </c>
      <c r="J135" s="328"/>
    </row>
    <row r="136" spans="1:15" ht="27.75" customHeight="1">
      <c r="A136" s="924" t="s">
        <v>325</v>
      </c>
      <c r="B136" s="924"/>
      <c r="C136" s="924"/>
      <c r="D136" s="924"/>
      <c r="E136" s="924"/>
      <c r="F136" s="924"/>
      <c r="G136" s="924"/>
      <c r="H136" s="924"/>
      <c r="I136" s="924"/>
      <c r="J136" s="924"/>
    </row>
    <row r="137" spans="1:15" ht="27.75" customHeight="1">
      <c r="A137" s="245"/>
      <c r="B137" s="246"/>
      <c r="C137" s="246"/>
      <c r="D137" s="165"/>
      <c r="E137" s="165"/>
      <c r="F137" s="165"/>
      <c r="G137" s="451"/>
      <c r="H137" s="156"/>
      <c r="I137" s="165"/>
      <c r="J137" s="327"/>
    </row>
    <row r="138" spans="1:15" ht="27.75" customHeight="1">
      <c r="A138" s="889" t="s">
        <v>185</v>
      </c>
      <c r="B138" s="889"/>
      <c r="C138" s="889"/>
      <c r="D138" s="151" t="s">
        <v>183</v>
      </c>
      <c r="E138" s="95">
        <f>'17'!F138</f>
        <v>907716</v>
      </c>
      <c r="F138" s="147">
        <v>907874</v>
      </c>
      <c r="G138" s="431">
        <f t="shared" ref="G138:G152" si="10">F138-E138</f>
        <v>158</v>
      </c>
      <c r="H138" s="99">
        <f>G138+'17'!H138</f>
        <v>2247</v>
      </c>
      <c r="I138" s="118"/>
      <c r="J138" s="328">
        <f>H138/DAY(B2)</f>
        <v>124.83333333333333</v>
      </c>
    </row>
    <row r="139" spans="1:15" ht="27.75" customHeight="1">
      <c r="A139" s="889" t="s">
        <v>186</v>
      </c>
      <c r="B139" s="889"/>
      <c r="C139" s="889"/>
      <c r="D139" s="151" t="s">
        <v>183</v>
      </c>
      <c r="E139" s="95">
        <f>'17'!F139</f>
        <v>930145</v>
      </c>
      <c r="F139" s="148">
        <v>930311</v>
      </c>
      <c r="G139" s="431">
        <f t="shared" si="10"/>
        <v>166</v>
      </c>
      <c r="H139" s="99">
        <f>G139+'17'!H139</f>
        <v>3030</v>
      </c>
      <c r="I139" s="118"/>
      <c r="J139" s="328">
        <f>H139/DAY(B2)</f>
        <v>168.33333333333334</v>
      </c>
    </row>
    <row r="140" spans="1:15" ht="27.75" customHeight="1">
      <c r="A140" s="889" t="s">
        <v>187</v>
      </c>
      <c r="B140" s="889"/>
      <c r="C140" s="889"/>
      <c r="D140" s="151" t="s">
        <v>183</v>
      </c>
      <c r="E140" s="95">
        <f>'17'!F140</f>
        <v>3719.4</v>
      </c>
      <c r="F140" s="149">
        <v>3740.5</v>
      </c>
      <c r="G140" s="431">
        <f t="shared" si="10"/>
        <v>21.099999999999909</v>
      </c>
      <c r="H140" s="99">
        <f>G140+'17'!H140</f>
        <v>409.40000000000009</v>
      </c>
      <c r="I140" s="118"/>
      <c r="J140" s="328">
        <f>H140/DAY(B2)</f>
        <v>22.744444444444451</v>
      </c>
    </row>
    <row r="141" spans="1:15" ht="27.75" customHeight="1">
      <c r="A141" s="893" t="s">
        <v>188</v>
      </c>
      <c r="B141" s="893"/>
      <c r="C141" s="893"/>
      <c r="D141" s="151" t="s">
        <v>183</v>
      </c>
      <c r="E141" s="95">
        <f>'17'!F141</f>
        <v>121535.7</v>
      </c>
      <c r="F141" s="149">
        <v>121769.60000000001</v>
      </c>
      <c r="G141" s="431">
        <f t="shared" si="10"/>
        <v>233.90000000000873</v>
      </c>
      <c r="H141" s="99">
        <f>G141+'17'!H141</f>
        <v>4211.6200000000099</v>
      </c>
      <c r="I141" s="118"/>
      <c r="J141" s="328">
        <f>H141/DAY(B2)</f>
        <v>233.97888888888943</v>
      </c>
    </row>
    <row r="142" spans="1:15" ht="27.75" customHeight="1">
      <c r="A142" s="893" t="s">
        <v>189</v>
      </c>
      <c r="B142" s="893"/>
      <c r="C142" s="893"/>
      <c r="D142" s="151" t="s">
        <v>183</v>
      </c>
      <c r="E142" s="95">
        <f>'17'!F142</f>
        <v>49161.120000000003</v>
      </c>
      <c r="F142" s="148">
        <v>49256.800000000003</v>
      </c>
      <c r="G142" s="431">
        <f t="shared" si="10"/>
        <v>95.680000000000291</v>
      </c>
      <c r="H142" s="99">
        <f>G142+'17'!H142</f>
        <v>1752.3000000000029</v>
      </c>
      <c r="I142" s="140"/>
      <c r="J142" s="328">
        <f>H142/DAY(B2)</f>
        <v>97.350000000000165</v>
      </c>
    </row>
    <row r="143" spans="1:15" ht="27.75" customHeight="1">
      <c r="A143" s="889" t="s">
        <v>91</v>
      </c>
      <c r="B143" s="889"/>
      <c r="C143" s="889"/>
      <c r="D143" s="151" t="s">
        <v>183</v>
      </c>
      <c r="E143" s="95">
        <f>'17'!F143</f>
        <v>12939.8</v>
      </c>
      <c r="F143" s="149">
        <v>12972.2</v>
      </c>
      <c r="G143" s="431">
        <f t="shared" si="10"/>
        <v>32.400000000001455</v>
      </c>
      <c r="H143" s="99">
        <f>G143+'17'!H143</f>
        <v>556.80000000000109</v>
      </c>
      <c r="I143" s="140"/>
      <c r="J143" s="328">
        <f>H143/DAY(B2)</f>
        <v>30.933333333333394</v>
      </c>
    </row>
    <row r="144" spans="1:15" ht="27.75" customHeight="1">
      <c r="A144" s="893" t="s">
        <v>90</v>
      </c>
      <c r="B144" s="893"/>
      <c r="C144" s="893"/>
      <c r="D144" s="151" t="s">
        <v>183</v>
      </c>
      <c r="E144" s="95">
        <f>'17'!F144</f>
        <v>952189</v>
      </c>
      <c r="F144" s="148">
        <v>952427</v>
      </c>
      <c r="G144" s="431">
        <f t="shared" si="10"/>
        <v>238</v>
      </c>
      <c r="H144" s="99">
        <f>G144+'17'!H144</f>
        <v>4229</v>
      </c>
      <c r="I144" s="140"/>
      <c r="J144" s="328">
        <f>H144/DAY(B2)</f>
        <v>234.94444444444446</v>
      </c>
    </row>
    <row r="145" spans="1:10" ht="27.75" customHeight="1">
      <c r="A145" s="889" t="s">
        <v>190</v>
      </c>
      <c r="B145" s="889"/>
      <c r="C145" s="889"/>
      <c r="D145" s="152" t="s">
        <v>183</v>
      </c>
      <c r="E145" s="95">
        <f>'17'!F145</f>
        <v>25164</v>
      </c>
      <c r="F145" s="149">
        <v>25343.599999999999</v>
      </c>
      <c r="G145" s="431">
        <f t="shared" si="10"/>
        <v>179.59999999999854</v>
      </c>
      <c r="H145" s="99">
        <f>G145+'17'!H145</f>
        <v>2747.5</v>
      </c>
      <c r="I145" s="140"/>
      <c r="J145" s="328">
        <f>H145/DAY(B2)</f>
        <v>152.63888888888889</v>
      </c>
    </row>
    <row r="146" spans="1:10" ht="27.75" customHeight="1">
      <c r="A146" s="890" t="s">
        <v>191</v>
      </c>
      <c r="B146" s="891"/>
      <c r="C146" s="892"/>
      <c r="D146" s="152" t="s">
        <v>183</v>
      </c>
      <c r="E146" s="95">
        <f>'17'!F146</f>
        <v>787364</v>
      </c>
      <c r="F146" s="148">
        <v>787400</v>
      </c>
      <c r="G146" s="431">
        <f t="shared" si="10"/>
        <v>36</v>
      </c>
      <c r="H146" s="99">
        <f>G146+'17'!H146</f>
        <v>732</v>
      </c>
      <c r="I146" s="140"/>
      <c r="J146" s="328">
        <f>H146/DAY(B2)</f>
        <v>40.666666666666664</v>
      </c>
    </row>
    <row r="147" spans="1:10" ht="27.75" customHeight="1">
      <c r="A147" s="893" t="s">
        <v>192</v>
      </c>
      <c r="B147" s="893"/>
      <c r="C147" s="893"/>
      <c r="D147" s="152" t="s">
        <v>183</v>
      </c>
      <c r="E147" s="95">
        <f>'17'!F147</f>
        <v>754807.77</v>
      </c>
      <c r="F147" s="148">
        <v>755233.04</v>
      </c>
      <c r="G147" s="431">
        <f t="shared" si="10"/>
        <v>425.27000000001863</v>
      </c>
      <c r="H147" s="99">
        <f>G147+'17'!H147</f>
        <v>7678.8800000000047</v>
      </c>
      <c r="I147" s="140"/>
      <c r="J147" s="328">
        <f>H147/DAY(B2)</f>
        <v>426.60444444444471</v>
      </c>
    </row>
    <row r="148" spans="1:10" ht="27.75" customHeight="1">
      <c r="A148" s="886" t="s">
        <v>193</v>
      </c>
      <c r="B148" s="887"/>
      <c r="C148" s="888"/>
      <c r="D148" s="123" t="s">
        <v>130</v>
      </c>
      <c r="E148" s="95">
        <f>'17'!F148</f>
        <v>791425.33</v>
      </c>
      <c r="F148" s="150">
        <v>792000.88</v>
      </c>
      <c r="G148" s="431">
        <f t="shared" si="10"/>
        <v>575.55000000004657</v>
      </c>
      <c r="H148" s="99">
        <f>G148+'17'!H148</f>
        <v>7355.8800000000047</v>
      </c>
      <c r="I148" s="124"/>
      <c r="J148" s="328">
        <f>H148/DAY(B2)</f>
        <v>408.66000000000025</v>
      </c>
    </row>
    <row r="149" spans="1:10" ht="27.75" customHeight="1">
      <c r="A149" s="886" t="s">
        <v>336</v>
      </c>
      <c r="B149" s="887"/>
      <c r="C149" s="888"/>
      <c r="D149" s="227" t="s">
        <v>130</v>
      </c>
      <c r="E149" s="95">
        <f>'17'!F149</f>
        <v>193681.3</v>
      </c>
      <c r="F149" s="415">
        <v>194169</v>
      </c>
      <c r="G149" s="431">
        <f t="shared" si="10"/>
        <v>487.70000000001164</v>
      </c>
      <c r="H149" s="99">
        <f>G149+'17'!H149</f>
        <v>8872.109999999986</v>
      </c>
      <c r="I149" s="119"/>
      <c r="J149" s="328">
        <f>H149/DAY(B2)</f>
        <v>492.89499999999924</v>
      </c>
    </row>
    <row r="150" spans="1:10" ht="27.75" customHeight="1">
      <c r="A150" s="886" t="s">
        <v>337</v>
      </c>
      <c r="B150" s="887"/>
      <c r="C150" s="888"/>
      <c r="D150" s="117" t="s">
        <v>130</v>
      </c>
      <c r="E150" s="95">
        <f>'17'!F150</f>
        <v>81593.100000000006</v>
      </c>
      <c r="F150" s="233">
        <v>81821.600000000006</v>
      </c>
      <c r="G150" s="431">
        <f t="shared" si="10"/>
        <v>228.5</v>
      </c>
      <c r="H150" s="99">
        <f>G150+'17'!H150</f>
        <v>4933.3000000000029</v>
      </c>
      <c r="I150" s="119"/>
      <c r="J150" s="328">
        <f>H150/DAY(B2)</f>
        <v>274.07222222222236</v>
      </c>
    </row>
    <row r="151" spans="1:10" ht="27.75" customHeight="1">
      <c r="A151" s="886" t="s">
        <v>338</v>
      </c>
      <c r="B151" s="887"/>
      <c r="C151" s="888"/>
      <c r="D151" s="117" t="s">
        <v>130</v>
      </c>
      <c r="E151" s="95">
        <f>'17'!F151</f>
        <v>162698</v>
      </c>
      <c r="F151" s="233">
        <v>163007</v>
      </c>
      <c r="G151" s="431">
        <f t="shared" si="10"/>
        <v>309</v>
      </c>
      <c r="H151" s="99">
        <f>G151+'17'!H151</f>
        <v>4697</v>
      </c>
      <c r="I151" s="119"/>
      <c r="J151" s="328">
        <f>H151/DAY(B2)</f>
        <v>260.94444444444446</v>
      </c>
    </row>
    <row r="152" spans="1:10" ht="27.75" customHeight="1">
      <c r="A152" s="886" t="s">
        <v>339</v>
      </c>
      <c r="B152" s="887"/>
      <c r="C152" s="888"/>
      <c r="D152" s="117" t="s">
        <v>130</v>
      </c>
      <c r="E152" s="95">
        <f>'17'!F152</f>
        <v>40871.5</v>
      </c>
      <c r="F152" s="233">
        <v>41011</v>
      </c>
      <c r="G152" s="431">
        <f t="shared" si="10"/>
        <v>139.5</v>
      </c>
      <c r="H152" s="99">
        <f>G152+'17'!H152</f>
        <v>2395.0999999999985</v>
      </c>
      <c r="I152" s="119"/>
      <c r="J152" s="328">
        <f>H152/DAY(B2)</f>
        <v>133.06111111111102</v>
      </c>
    </row>
    <row r="153" spans="1:10" ht="27.75" customHeight="1">
      <c r="A153" s="853" t="s">
        <v>196</v>
      </c>
      <c r="B153" s="854"/>
      <c r="C153" s="365"/>
      <c r="D153" s="358"/>
      <c r="E153" s="360"/>
      <c r="F153" s="361"/>
      <c r="G153" s="453">
        <f>SUM(G138:G152)</f>
        <v>3326.2000000000858</v>
      </c>
      <c r="H153" s="363"/>
      <c r="I153" s="119">
        <f>G153-(G38+G52)</f>
        <v>3326.2000000000858</v>
      </c>
      <c r="J153" s="366"/>
    </row>
    <row r="154" spans="1:10" ht="27.75" customHeight="1">
      <c r="A154" s="924" t="s">
        <v>344</v>
      </c>
      <c r="B154" s="924"/>
      <c r="C154" s="924"/>
      <c r="D154" s="924"/>
      <c r="E154" s="924"/>
      <c r="F154" s="924"/>
      <c r="G154" s="924"/>
      <c r="H154" s="924"/>
      <c r="I154" s="924"/>
      <c r="J154" s="924"/>
    </row>
    <row r="155" spans="1:10" ht="27.75" customHeight="1">
      <c r="A155" s="893" t="s">
        <v>345</v>
      </c>
      <c r="B155" s="893"/>
      <c r="C155" s="893"/>
      <c r="D155" s="117" t="s">
        <v>130</v>
      </c>
      <c r="E155" s="95">
        <f>'17'!F155</f>
        <v>230587</v>
      </c>
      <c r="F155" s="388">
        <v>231259.79</v>
      </c>
      <c r="G155" s="431">
        <f t="shared" ref="G155:G157" si="11">F155-E155</f>
        <v>672.79000000000815</v>
      </c>
      <c r="H155" s="99">
        <f>G155+'17'!H155</f>
        <v>11272.089999999997</v>
      </c>
      <c r="I155" s="364"/>
      <c r="J155" s="328">
        <f>H155/DAY(B2)</f>
        <v>626.22722222222205</v>
      </c>
    </row>
    <row r="156" spans="1:10" ht="27.75" customHeight="1">
      <c r="A156" s="893" t="s">
        <v>347</v>
      </c>
      <c r="B156" s="893"/>
      <c r="C156" s="893"/>
      <c r="D156" s="117" t="s">
        <v>130</v>
      </c>
      <c r="E156" s="95">
        <f>'17'!F156</f>
        <v>28123.3</v>
      </c>
      <c r="F156" s="155">
        <v>28233.23</v>
      </c>
      <c r="G156" s="431">
        <f t="shared" si="11"/>
        <v>109.93000000000029</v>
      </c>
      <c r="H156" s="99">
        <f>G156+'17'!H156</f>
        <v>1703.0299999999988</v>
      </c>
      <c r="I156" s="165"/>
      <c r="J156" s="328">
        <f>H156/DAY(B2)</f>
        <v>94.612777777777708</v>
      </c>
    </row>
    <row r="157" spans="1:10" ht="27.75" customHeight="1">
      <c r="A157" s="886" t="s">
        <v>360</v>
      </c>
      <c r="B157" s="887"/>
      <c r="C157" s="888"/>
      <c r="D157" s="117" t="s">
        <v>130</v>
      </c>
      <c r="E157" s="95">
        <f>'17'!F157</f>
        <v>37559</v>
      </c>
      <c r="F157" s="155">
        <v>37559</v>
      </c>
      <c r="G157" s="431">
        <f t="shared" si="11"/>
        <v>0</v>
      </c>
      <c r="H157" s="99">
        <f>G157+'17'!H157</f>
        <v>0</v>
      </c>
      <c r="I157" s="165"/>
      <c r="J157" s="328">
        <f>H157/DAY(B2)</f>
        <v>0</v>
      </c>
    </row>
    <row r="158" spans="1:10" ht="27.75" customHeight="1">
      <c r="A158" s="886" t="s">
        <v>361</v>
      </c>
      <c r="B158" s="887"/>
      <c r="C158" s="888"/>
      <c r="D158" s="117" t="s">
        <v>130</v>
      </c>
      <c r="E158" s="95">
        <f>'17'!F158</f>
        <v>1736.17</v>
      </c>
      <c r="F158" s="155">
        <v>1739.09</v>
      </c>
      <c r="G158" s="431">
        <f t="shared" ref="G158" si="12">F158-E158</f>
        <v>2.9199999999998454</v>
      </c>
      <c r="H158" s="99">
        <f>G158+'17'!H158</f>
        <v>177.74</v>
      </c>
      <c r="I158" s="165"/>
      <c r="J158" s="328">
        <f>H158/DAY(B2)</f>
        <v>9.8744444444444444</v>
      </c>
    </row>
    <row r="159" spans="1:10" ht="27.75" customHeight="1">
      <c r="A159" s="942"/>
      <c r="B159" s="943"/>
      <c r="C159" s="944"/>
      <c r="D159" s="117"/>
      <c r="E159" s="95"/>
      <c r="F159" s="165"/>
      <c r="G159" s="431"/>
      <c r="H159" s="99"/>
      <c r="I159" s="165"/>
      <c r="J159" s="328"/>
    </row>
    <row r="160" spans="1:10" ht="27.75" customHeight="1">
      <c r="A160" s="924" t="s">
        <v>326</v>
      </c>
      <c r="B160" s="924"/>
      <c r="C160" s="924"/>
      <c r="D160" s="924"/>
      <c r="E160" s="924"/>
      <c r="F160" s="924"/>
      <c r="G160" s="924"/>
      <c r="H160" s="924"/>
      <c r="I160" s="924"/>
      <c r="J160" s="924"/>
    </row>
    <row r="161" spans="1:10" ht="27.75" customHeight="1">
      <c r="A161" s="242" t="s">
        <v>92</v>
      </c>
      <c r="B161" s="243"/>
      <c r="C161" s="243"/>
      <c r="D161" s="244" t="s">
        <v>180</v>
      </c>
      <c r="E161" s="95">
        <f>'17'!F161</f>
        <v>506367</v>
      </c>
      <c r="F161" s="235">
        <v>506439.16</v>
      </c>
      <c r="G161" s="454">
        <f t="shared" ref="G161:G165" si="13">F161-E161</f>
        <v>72.159999999974389</v>
      </c>
      <c r="H161" s="99">
        <f>G161+'17'!H161</f>
        <v>3068</v>
      </c>
      <c r="I161" s="236"/>
      <c r="J161" s="239">
        <f>H161/DAY(B2)</f>
        <v>170.44444444444446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95">
        <f>'17'!F162</f>
        <v>322.5</v>
      </c>
      <c r="F162" s="235">
        <v>348.5</v>
      </c>
      <c r="G162" s="454">
        <f t="shared" si="13"/>
        <v>26</v>
      </c>
      <c r="H162" s="99">
        <f>G162+'17'!H162</f>
        <v>728.69999999999413</v>
      </c>
      <c r="I162" s="236"/>
      <c r="J162" s="239">
        <f>H162/DAY(B2)</f>
        <v>40.483333333333007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95">
        <f>'17'!F163</f>
        <v>0</v>
      </c>
      <c r="F163" s="235">
        <v>0</v>
      </c>
      <c r="G163" s="454">
        <f t="shared" si="13"/>
        <v>0</v>
      </c>
      <c r="H163" s="99">
        <f>G163+'17'!H163</f>
        <v>0</v>
      </c>
      <c r="I163" s="236"/>
      <c r="J163" s="239">
        <f>H163/DAY(B2)</f>
        <v>0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95">
        <f>'17'!F164</f>
        <v>7125.9</v>
      </c>
      <c r="F164" s="235">
        <v>7129.6</v>
      </c>
      <c r="G164" s="454">
        <f t="shared" si="13"/>
        <v>3.7000000000007276</v>
      </c>
      <c r="H164" s="99">
        <f>G164+'17'!H164</f>
        <v>139.40000000000055</v>
      </c>
      <c r="I164" s="236"/>
      <c r="J164" s="239">
        <f>H164/DAY(B2)</f>
        <v>7.7444444444444747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95">
        <f>'17'!F165</f>
        <v>32698</v>
      </c>
      <c r="F165" s="235">
        <v>32700.9</v>
      </c>
      <c r="G165" s="454">
        <f t="shared" si="13"/>
        <v>2.9000000000014552</v>
      </c>
      <c r="H165" s="99">
        <f>G165+'17'!H165</f>
        <v>126.80000000000291</v>
      </c>
      <c r="I165" s="236"/>
      <c r="J165" s="239">
        <f>H165/DAY(B2)</f>
        <v>7.0444444444446059</v>
      </c>
    </row>
    <row r="166" spans="1:10" ht="27.75" customHeight="1">
      <c r="A166" s="923"/>
      <c r="B166" s="923"/>
      <c r="C166" s="246"/>
      <c r="D166" s="244" t="s">
        <v>180</v>
      </c>
      <c r="E166" s="95">
        <f>'17'!F166</f>
        <v>0</v>
      </c>
      <c r="F166" s="165"/>
      <c r="G166" s="451"/>
      <c r="H166" s="99">
        <f>G166+'17'!H166</f>
        <v>0</v>
      </c>
      <c r="I166" s="165"/>
      <c r="J166" s="239">
        <f>H166/DAY(B2)</f>
        <v>0</v>
      </c>
    </row>
    <row r="167" spans="1:10" ht="27.75" customHeight="1">
      <c r="A167" s="923"/>
      <c r="B167" s="923"/>
      <c r="C167" s="246"/>
      <c r="D167" s="244" t="s">
        <v>180</v>
      </c>
      <c r="E167" s="95">
        <f>'17'!F167</f>
        <v>0</v>
      </c>
      <c r="F167" s="165"/>
      <c r="G167" s="451"/>
      <c r="H167" s="99">
        <f>G167+'17'!H167</f>
        <v>0</v>
      </c>
      <c r="I167" s="165"/>
      <c r="J167" s="239">
        <f>H167/DAY(B2)</f>
        <v>0</v>
      </c>
    </row>
    <row r="168" spans="1:10" ht="27.75" customHeight="1">
      <c r="A168" s="923"/>
      <c r="B168" s="923"/>
      <c r="C168" s="246"/>
      <c r="D168" s="244" t="s">
        <v>180</v>
      </c>
      <c r="E168" s="95">
        <f>'17'!F168</f>
        <v>0</v>
      </c>
      <c r="F168" s="165"/>
      <c r="G168" s="451"/>
      <c r="H168" s="99">
        <f>G168+'17'!H168</f>
        <v>0</v>
      </c>
      <c r="I168" s="165"/>
      <c r="J168" s="239">
        <f>H168/DAY(B2)</f>
        <v>0</v>
      </c>
    </row>
    <row r="171" spans="1:10" ht="27.75" customHeight="1">
      <c r="A171" s="933" t="s">
        <v>330</v>
      </c>
      <c r="B171" s="934"/>
      <c r="C171" s="934"/>
      <c r="D171" s="934"/>
      <c r="E171" s="934"/>
      <c r="F171" s="934"/>
      <c r="G171" s="934"/>
      <c r="H171" s="934"/>
      <c r="I171" s="934"/>
      <c r="J171" s="935"/>
    </row>
    <row r="172" spans="1:10" ht="27.75" customHeight="1">
      <c r="A172" s="929"/>
      <c r="B172" s="930"/>
      <c r="C172" s="332"/>
      <c r="D172" s="228"/>
      <c r="E172" s="155"/>
      <c r="F172" s="155"/>
      <c r="G172" s="455"/>
      <c r="H172" s="156"/>
      <c r="I172" s="155"/>
      <c r="J172" s="178"/>
    </row>
    <row r="173" spans="1:10" ht="27.75" customHeight="1">
      <c r="A173" s="841" t="s">
        <v>209</v>
      </c>
      <c r="B173" s="843"/>
      <c r="C173" s="333"/>
      <c r="D173" s="228" t="s">
        <v>142</v>
      </c>
      <c r="E173" s="95">
        <f>'17'!F173</f>
        <v>8605</v>
      </c>
      <c r="F173" s="155">
        <v>8607</v>
      </c>
      <c r="G173" s="455">
        <f>F173-E173</f>
        <v>2</v>
      </c>
      <c r="H173" s="99">
        <f>G173+'17'!H173</f>
        <v>23</v>
      </c>
      <c r="I173" s="155"/>
      <c r="J173" s="178">
        <f>H173/DAY(B2)</f>
        <v>1.2777777777777777</v>
      </c>
    </row>
    <row r="174" spans="1:10" ht="27.75" customHeight="1">
      <c r="A174" s="841" t="s">
        <v>75</v>
      </c>
      <c r="B174" s="843"/>
      <c r="C174" s="333"/>
      <c r="D174" s="228" t="s">
        <v>142</v>
      </c>
      <c r="E174" s="95">
        <f>'17'!F174</f>
        <v>42868</v>
      </c>
      <c r="F174" s="157">
        <v>42880</v>
      </c>
      <c r="G174" s="455">
        <f t="shared" ref="G174:G175" si="14">F174-E174</f>
        <v>12</v>
      </c>
      <c r="H174" s="99">
        <f>G174+'17'!H174</f>
        <v>211</v>
      </c>
      <c r="I174" s="155"/>
      <c r="J174" s="178">
        <f>H174/DAY(B2)</f>
        <v>11.722222222222221</v>
      </c>
    </row>
    <row r="175" spans="1:10" ht="27.75" customHeight="1">
      <c r="A175" s="841" t="s">
        <v>76</v>
      </c>
      <c r="B175" s="842"/>
      <c r="C175" s="843"/>
      <c r="D175" s="228" t="s">
        <v>142</v>
      </c>
      <c r="E175" s="95">
        <f>'17'!F175</f>
        <v>25611</v>
      </c>
      <c r="F175" s="155">
        <v>25624</v>
      </c>
      <c r="G175" s="455">
        <f t="shared" si="14"/>
        <v>13</v>
      </c>
      <c r="H175" s="99">
        <f>G175+'17'!H175</f>
        <v>231</v>
      </c>
      <c r="I175" s="155"/>
      <c r="J175" s="178">
        <f>H175/DAY(B2)</f>
        <v>12.833333333333334</v>
      </c>
    </row>
    <row r="176" spans="1:10" ht="27.75" customHeight="1">
      <c r="A176" s="853" t="s">
        <v>196</v>
      </c>
      <c r="B176" s="854"/>
      <c r="C176" s="400"/>
      <c r="D176" s="228" t="s">
        <v>142</v>
      </c>
      <c r="E176" s="95"/>
      <c r="F176" s="155"/>
      <c r="G176" s="455">
        <f>SUM(G173:G175)</f>
        <v>27</v>
      </c>
      <c r="H176" s="99">
        <f>G176+'17'!H176</f>
        <v>465</v>
      </c>
      <c r="I176" s="155"/>
      <c r="J176" s="178">
        <f>H176/DAY(B2)</f>
        <v>25.833333333333332</v>
      </c>
    </row>
    <row r="177" spans="1:11" ht="27.75" customHeight="1">
      <c r="A177" s="841" t="s">
        <v>77</v>
      </c>
      <c r="B177" s="843"/>
      <c r="C177" s="333"/>
      <c r="D177" s="228" t="s">
        <v>142</v>
      </c>
      <c r="E177" s="95"/>
      <c r="F177" s="155"/>
      <c r="G177" s="455"/>
      <c r="H177" s="99">
        <f>G177+'17'!H177</f>
        <v>0</v>
      </c>
      <c r="I177" s="155"/>
      <c r="J177" s="178">
        <f>H177/DAY(B2)</f>
        <v>0</v>
      </c>
    </row>
    <row r="178" spans="1:11" ht="27.75" customHeight="1">
      <c r="A178" s="841" t="s">
        <v>210</v>
      </c>
      <c r="B178" s="843"/>
      <c r="C178" s="333"/>
      <c r="D178" s="228" t="s">
        <v>142</v>
      </c>
      <c r="E178" s="95">
        <f>'17'!F178</f>
        <v>105260</v>
      </c>
      <c r="F178" s="155">
        <v>105443</v>
      </c>
      <c r="G178" s="455">
        <f>F178-E178</f>
        <v>183</v>
      </c>
      <c r="H178" s="99">
        <f>G178+'17'!H178</f>
        <v>1800</v>
      </c>
      <c r="I178" s="155"/>
      <c r="J178" s="178">
        <f>H178/DAY(B2)</f>
        <v>100</v>
      </c>
    </row>
    <row r="179" spans="1:11" ht="27.75" customHeight="1">
      <c r="A179" s="841" t="s">
        <v>211</v>
      </c>
      <c r="B179" s="843"/>
      <c r="C179" s="333"/>
      <c r="D179" s="228" t="s">
        <v>142</v>
      </c>
      <c r="E179" s="95">
        <f>'17'!F179</f>
        <v>37501</v>
      </c>
      <c r="F179" s="155">
        <v>37501</v>
      </c>
      <c r="G179" s="455">
        <f t="shared" ref="G179:G180" si="15">F179-E179</f>
        <v>0</v>
      </c>
      <c r="H179" s="99">
        <f>G179+'17'!H179</f>
        <v>0</v>
      </c>
      <c r="I179" s="155"/>
      <c r="J179" s="178">
        <f>H179/DAY(B2)</f>
        <v>0</v>
      </c>
    </row>
    <row r="180" spans="1:11" ht="27.75" customHeight="1">
      <c r="A180" s="841" t="s">
        <v>212</v>
      </c>
      <c r="B180" s="843"/>
      <c r="C180" s="333"/>
      <c r="D180" s="228" t="s">
        <v>142</v>
      </c>
      <c r="E180" s="95">
        <f>'17'!F180</f>
        <v>7480</v>
      </c>
      <c r="F180" s="155">
        <v>7480</v>
      </c>
      <c r="G180" s="455">
        <f t="shared" si="15"/>
        <v>0</v>
      </c>
      <c r="H180" s="99">
        <f>G180+'17'!H180</f>
        <v>60</v>
      </c>
      <c r="I180" s="155"/>
      <c r="J180" s="178">
        <f>H180/DAY(B2)</f>
        <v>3.3333333333333335</v>
      </c>
    </row>
    <row r="181" spans="1:11" ht="27.75" customHeight="1">
      <c r="A181" s="927" t="s">
        <v>108</v>
      </c>
      <c r="B181" s="928"/>
      <c r="C181" s="400"/>
      <c r="D181" s="228" t="s">
        <v>142</v>
      </c>
      <c r="E181" s="95"/>
      <c r="F181" s="155"/>
      <c r="G181" s="455">
        <f>SUM(G178:G180)</f>
        <v>183</v>
      </c>
      <c r="H181" s="99">
        <f>G181+'17'!H181</f>
        <v>1860</v>
      </c>
      <c r="I181" s="155"/>
      <c r="J181" s="178">
        <f>H181/DAY(B2)</f>
        <v>103.33333333333333</v>
      </c>
    </row>
    <row r="182" spans="1:11" ht="27.75" customHeight="1">
      <c r="A182" s="841" t="s">
        <v>213</v>
      </c>
      <c r="B182" s="843"/>
      <c r="C182" s="333"/>
      <c r="D182" s="228" t="s">
        <v>142</v>
      </c>
      <c r="E182" s="95"/>
      <c r="F182" s="155"/>
      <c r="G182" s="455"/>
      <c r="H182" s="99">
        <f>G182+'17'!H182</f>
        <v>0</v>
      </c>
      <c r="I182" s="155"/>
      <c r="J182" s="178">
        <f>H182/DAY(B2)</f>
        <v>0</v>
      </c>
    </row>
    <row r="183" spans="1:11" ht="27.75" customHeight="1">
      <c r="A183" s="841" t="s">
        <v>214</v>
      </c>
      <c r="B183" s="843"/>
      <c r="C183" s="334"/>
      <c r="D183" s="228" t="s">
        <v>142</v>
      </c>
      <c r="E183" s="95">
        <f>'17'!F183</f>
        <v>18292</v>
      </c>
      <c r="F183" s="157">
        <v>18296</v>
      </c>
      <c r="G183" s="456">
        <f>F183-E183</f>
        <v>4</v>
      </c>
      <c r="H183" s="99">
        <f>G183+'17'!H183</f>
        <v>128</v>
      </c>
      <c r="I183" s="155"/>
      <c r="J183" s="178">
        <f>H183/DAY(B2)</f>
        <v>7.1111111111111107</v>
      </c>
    </row>
    <row r="184" spans="1:11" ht="27.75" customHeight="1">
      <c r="A184" s="841" t="s">
        <v>215</v>
      </c>
      <c r="B184" s="843"/>
      <c r="C184" s="334"/>
      <c r="D184" s="228" t="s">
        <v>142</v>
      </c>
      <c r="E184" s="95">
        <v>12883</v>
      </c>
      <c r="F184" s="157">
        <v>12888</v>
      </c>
      <c r="G184" s="456">
        <f t="shared" ref="G184:G185" si="16">F184-E184</f>
        <v>5</v>
      </c>
      <c r="H184" s="99">
        <f>G184+'17'!H184</f>
        <v>157</v>
      </c>
      <c r="I184" s="155"/>
      <c r="J184" s="178">
        <f>H184/DAY(B2)</f>
        <v>8.7222222222222214</v>
      </c>
    </row>
    <row r="185" spans="1:11" ht="27.75" customHeight="1">
      <c r="A185" s="841" t="s">
        <v>216</v>
      </c>
      <c r="B185" s="843"/>
      <c r="C185" s="334"/>
      <c r="D185" s="228" t="s">
        <v>142</v>
      </c>
      <c r="E185" s="95">
        <f>'17'!F185</f>
        <v>0</v>
      </c>
      <c r="F185" s="157"/>
      <c r="G185" s="456">
        <f t="shared" si="16"/>
        <v>0</v>
      </c>
      <c r="H185" s="99">
        <f>G185+'17'!H185</f>
        <v>0</v>
      </c>
      <c r="I185" s="155"/>
      <c r="J185" s="178">
        <f>H185/DAY(B2)</f>
        <v>0</v>
      </c>
    </row>
    <row r="186" spans="1:11" ht="27.75" customHeight="1">
      <c r="A186" s="853" t="s">
        <v>196</v>
      </c>
      <c r="B186" s="854"/>
      <c r="C186" s="399"/>
      <c r="D186" s="228" t="s">
        <v>142</v>
      </c>
      <c r="E186" s="95"/>
      <c r="F186" s="157"/>
      <c r="G186" s="456">
        <f>SUM(G183:G185)</f>
        <v>9</v>
      </c>
      <c r="H186" s="99">
        <f>G186+'17'!H186</f>
        <v>285</v>
      </c>
      <c r="I186" s="157"/>
      <c r="J186" s="178">
        <f>H186/DAY(B2)</f>
        <v>15.833333333333334</v>
      </c>
    </row>
    <row r="187" spans="1:11" ht="27.75" customHeight="1">
      <c r="A187" s="931" t="s">
        <v>217</v>
      </c>
      <c r="B187" s="932"/>
      <c r="C187" s="333"/>
      <c r="D187" s="230" t="s">
        <v>142</v>
      </c>
      <c r="E187" s="95"/>
      <c r="F187" s="159"/>
      <c r="G187" s="457">
        <f>G62+G19</f>
        <v>169.5</v>
      </c>
      <c r="H187" s="99">
        <f>G187+'17'!H187</f>
        <v>3127.5</v>
      </c>
      <c r="I187" s="158"/>
      <c r="J187" s="179">
        <f>H187/DAY(B2)</f>
        <v>173.75</v>
      </c>
    </row>
    <row r="188" spans="1:11" ht="27.75" customHeight="1">
      <c r="A188" s="931" t="s">
        <v>218</v>
      </c>
      <c r="B188" s="932"/>
      <c r="C188" s="333"/>
      <c r="D188" s="230" t="s">
        <v>142</v>
      </c>
      <c r="E188" s="95"/>
      <c r="F188" s="159"/>
      <c r="G188" s="457">
        <f>G65+G66+G67+G69+G70</f>
        <v>184</v>
      </c>
      <c r="H188" s="99">
        <f>G188+'17'!H188</f>
        <v>792</v>
      </c>
      <c r="I188" s="158"/>
      <c r="J188" s="179">
        <f>H188/DAY(B2)</f>
        <v>44</v>
      </c>
    </row>
    <row r="189" spans="1:11" ht="27.75" customHeight="1">
      <c r="A189" s="931" t="s">
        <v>219</v>
      </c>
      <c r="B189" s="932"/>
      <c r="C189" s="333"/>
      <c r="D189" s="230" t="s">
        <v>142</v>
      </c>
      <c r="E189" s="95"/>
      <c r="F189" s="157"/>
      <c r="G189" s="457">
        <f>G181</f>
        <v>183</v>
      </c>
      <c r="H189" s="99">
        <f>G189+'17'!H189</f>
        <v>1860</v>
      </c>
      <c r="I189" s="158"/>
      <c r="J189" s="179">
        <f>H189/DAY(B2)</f>
        <v>103.33333333333333</v>
      </c>
    </row>
    <row r="190" spans="1:11" ht="23.25" customHeight="1">
      <c r="A190" s="245"/>
      <c r="B190" s="246"/>
      <c r="C190" s="246"/>
      <c r="D190" s="165"/>
      <c r="E190" s="165"/>
      <c r="F190" s="155"/>
      <c r="G190" s="451"/>
      <c r="H190" s="238"/>
      <c r="I190" s="99"/>
      <c r="J190" s="236"/>
      <c r="K190" s="239" t="e">
        <f>I190/DAY(C27)</f>
        <v>#DIV/0!</v>
      </c>
    </row>
  </sheetData>
  <mergeCells count="114">
    <mergeCell ref="A172:B172"/>
    <mergeCell ref="A173:B173"/>
    <mergeCell ref="A174:B174"/>
    <mergeCell ref="A176:B176"/>
    <mergeCell ref="A188:B188"/>
    <mergeCell ref="A189:B189"/>
    <mergeCell ref="A182:B182"/>
    <mergeCell ref="A183:B183"/>
    <mergeCell ref="A185:B185"/>
    <mergeCell ref="A186:B186"/>
    <mergeCell ref="A187:B187"/>
    <mergeCell ref="A177:B177"/>
    <mergeCell ref="A178:B178"/>
    <mergeCell ref="A179:B179"/>
    <mergeCell ref="A180:B180"/>
    <mergeCell ref="A181:B181"/>
    <mergeCell ref="A184:B184"/>
    <mergeCell ref="A142:C142"/>
    <mergeCell ref="A160:J160"/>
    <mergeCell ref="A166:B166"/>
    <mergeCell ref="A167:B167"/>
    <mergeCell ref="A168:B168"/>
    <mergeCell ref="A175:C175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71:J171"/>
    <mergeCell ref="A136:J136"/>
    <mergeCell ref="A138:C138"/>
    <mergeCell ref="A139:C139"/>
    <mergeCell ref="A140:C140"/>
    <mergeCell ref="A141:C141"/>
    <mergeCell ref="A131:C131"/>
    <mergeCell ref="A132:C132"/>
    <mergeCell ref="A133:C133"/>
    <mergeCell ref="A134:C134"/>
    <mergeCell ref="A135:B135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9:C119"/>
    <mergeCell ref="A120:C120"/>
    <mergeCell ref="A121:C121"/>
    <mergeCell ref="A122:C122"/>
    <mergeCell ref="A123:C123"/>
    <mergeCell ref="A116:C116"/>
    <mergeCell ref="A100:C100"/>
    <mergeCell ref="A79:C79"/>
    <mergeCell ref="A80:C80"/>
    <mergeCell ref="A81:C81"/>
    <mergeCell ref="A95:C95"/>
    <mergeCell ref="A96:C96"/>
    <mergeCell ref="A93:C93"/>
    <mergeCell ref="A94:C94"/>
    <mergeCell ref="A124:C124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09:B109"/>
    <mergeCell ref="A110:J110"/>
    <mergeCell ref="A111:C111"/>
    <mergeCell ref="A112:C112"/>
    <mergeCell ref="A113:C113"/>
    <mergeCell ref="A102:C102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</mergeCells>
  <pageMargins left="0.22" right="0.17" top="0.14000000000000001" bottom="0.2" header="0.2" footer="0.2"/>
  <pageSetup paperSize="5" scale="1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R270"/>
  <sheetViews>
    <sheetView view="pageBreakPreview" topLeftCell="A142" zoomScale="55" zoomScaleNormal="40" zoomScaleSheetLayoutView="55" zoomScalePageLayoutView="60" workbookViewId="0">
      <selection activeCell="F12" sqref="F12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93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67" t="s">
        <v>115</v>
      </c>
      <c r="B1" s="868"/>
      <c r="C1" s="868"/>
      <c r="D1" s="868"/>
      <c r="E1" s="868"/>
      <c r="F1" s="868"/>
      <c r="G1" s="868"/>
      <c r="H1" s="868"/>
      <c r="I1" s="868"/>
      <c r="J1" s="869"/>
    </row>
    <row r="2" spans="1:15" s="57" customFormat="1" ht="23.25">
      <c r="A2" s="191" t="s">
        <v>349</v>
      </c>
      <c r="B2" s="262">
        <v>44914</v>
      </c>
      <c r="C2" s="348" t="s">
        <v>67</v>
      </c>
      <c r="D2" s="218">
        <v>0.82</v>
      </c>
      <c r="E2" s="100"/>
      <c r="F2" s="100"/>
      <c r="G2" s="47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29</v>
      </c>
      <c r="E3" s="876" t="s">
        <v>119</v>
      </c>
      <c r="F3" s="877"/>
      <c r="G3" s="47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471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72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0" t="s">
        <v>128</v>
      </c>
      <c r="B6" s="871"/>
      <c r="C6" s="872"/>
      <c r="D6" s="110"/>
      <c r="E6" s="110"/>
      <c r="F6" s="110"/>
      <c r="G6" s="473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'18 '!F7</f>
        <v>694333</v>
      </c>
      <c r="F7" s="95">
        <v>716876.23</v>
      </c>
      <c r="G7" s="474">
        <f>F7-E7</f>
        <v>22543.229999999981</v>
      </c>
      <c r="H7" s="99">
        <f>G7+'18 '!H7</f>
        <v>443193.68</v>
      </c>
      <c r="I7" s="113">
        <f>'1'!I7</f>
        <v>12000</v>
      </c>
      <c r="J7" s="175">
        <f>H7/DAY(B2)</f>
        <v>23325.983157894738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'18 '!F8</f>
        <v>874405</v>
      </c>
      <c r="F8" s="114">
        <v>897022.7</v>
      </c>
      <c r="G8" s="475">
        <f>F8-E8</f>
        <v>22617.699999999953</v>
      </c>
      <c r="H8" s="99">
        <f>G8+'18 '!H8</f>
        <v>445761.69999999995</v>
      </c>
      <c r="I8" s="116"/>
      <c r="J8" s="175">
        <f>H8/DAY(B2)</f>
        <v>23461.142105263156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'18 '!F9</f>
        <v>4248671.9000000004</v>
      </c>
      <c r="F9" s="468">
        <v>4254676.3</v>
      </c>
      <c r="G9" s="474">
        <f>F9-E9</f>
        <v>6004.3999999994412</v>
      </c>
      <c r="H9" s="99">
        <f>G9+'18 '!H9</f>
        <v>140506</v>
      </c>
      <c r="I9" s="124">
        <f>I7-J7</f>
        <v>-11325.983157894738</v>
      </c>
      <c r="J9" s="175">
        <f>H9/DAY(B2)</f>
        <v>7395.0526315789475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'18 '!F10</f>
        <v>3964283</v>
      </c>
      <c r="F10" s="353">
        <v>3980287.9</v>
      </c>
      <c r="G10" s="474">
        <f t="shared" ref="G10:G12" si="0">F10-E10</f>
        <v>16004.899999999907</v>
      </c>
      <c r="H10" s="99">
        <f>G10+'18 '!H10</f>
        <v>290808.79999999981</v>
      </c>
      <c r="I10" s="282"/>
      <c r="J10" s="175">
        <f>H10/DAY(B2)</f>
        <v>15305.726315789463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'18 '!F11</f>
        <v>38120</v>
      </c>
      <c r="F11" s="95">
        <v>38120</v>
      </c>
      <c r="G11" s="474">
        <f t="shared" si="0"/>
        <v>0</v>
      </c>
      <c r="H11" s="99">
        <f>G11+'18 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'18 '!F12</f>
        <v>40550</v>
      </c>
      <c r="F12" s="117">
        <v>40550</v>
      </c>
      <c r="G12" s="474">
        <f t="shared" si="0"/>
        <v>0</v>
      </c>
      <c r="H12" s="99">
        <f>G12+'18 '!H12</f>
        <v>160</v>
      </c>
      <c r="I12" s="282"/>
      <c r="J12" s="175">
        <f>H12/DAY(B2)</f>
        <v>8.4210526315789469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476">
        <f>G9+G10+G11+G12</f>
        <v>22009.299999999348</v>
      </c>
      <c r="H13" s="99">
        <f>G13+'18 '!H13</f>
        <v>435703.49999999953</v>
      </c>
      <c r="I13" s="120">
        <f>G7-G13</f>
        <v>533.9300000006333</v>
      </c>
      <c r="J13" s="175">
        <f>H13/DAY(B2)</f>
        <v>22931.763157894711</v>
      </c>
      <c r="K13" s="79"/>
      <c r="L13" s="66"/>
      <c r="N13" s="87"/>
      <c r="O13" s="71"/>
    </row>
    <row r="14" spans="1:15" ht="26.25">
      <c r="A14" s="873" t="s">
        <v>137</v>
      </c>
      <c r="B14" s="874"/>
      <c r="C14" s="875"/>
      <c r="D14" s="111"/>
      <c r="E14" s="111"/>
      <c r="F14" s="111"/>
      <c r="G14" s="477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8">
        <f>'18 '!F15</f>
        <v>2238535</v>
      </c>
      <c r="F15" s="468">
        <v>2239557</v>
      </c>
      <c r="G15" s="474">
        <f>(F15-E15)</f>
        <v>1022</v>
      </c>
      <c r="H15" s="99">
        <f>G15+'18 '!H15</f>
        <v>20616</v>
      </c>
      <c r="I15" s="113">
        <f>'1'!I15</f>
        <v>800</v>
      </c>
      <c r="J15" s="175">
        <f>H15/DAY(B2)</f>
        <v>1085.0526315789473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474" t="s">
        <v>207</v>
      </c>
      <c r="H16" s="124"/>
      <c r="I16" s="120">
        <f>I15-J15</f>
        <v>-285.05263157894728</v>
      </c>
      <c r="J16" s="176"/>
      <c r="K16" s="79"/>
      <c r="L16" s="66"/>
      <c r="N16" s="87"/>
      <c r="O16" s="71"/>
    </row>
    <row r="17" spans="1:15" ht="26.25">
      <c r="A17" s="873" t="s">
        <v>140</v>
      </c>
      <c r="B17" s="874"/>
      <c r="C17" s="875"/>
      <c r="D17" s="111"/>
      <c r="E17" s="111"/>
      <c r="F17" s="111"/>
      <c r="G17" s="477"/>
      <c r="H17" s="111"/>
      <c r="I17" s="111"/>
      <c r="J17" s="174"/>
      <c r="K17" s="79"/>
      <c r="L17" s="66"/>
      <c r="N17" s="87"/>
      <c r="O17" s="71"/>
    </row>
    <row r="18" spans="1:15" ht="25.5">
      <c r="A18" s="864" t="s">
        <v>141</v>
      </c>
      <c r="B18" s="865"/>
      <c r="C18" s="866"/>
      <c r="D18" s="151" t="s">
        <v>142</v>
      </c>
      <c r="E18" s="95">
        <f>'18 '!F18</f>
        <v>25</v>
      </c>
      <c r="F18" s="122">
        <v>33</v>
      </c>
      <c r="G18" s="476">
        <f>F18*10</f>
        <v>330</v>
      </c>
      <c r="H18" s="99">
        <f>G18+'18 '!H18</f>
        <v>5310</v>
      </c>
      <c r="I18" s="113">
        <f>'1'!I18</f>
        <v>65</v>
      </c>
      <c r="J18" s="175">
        <f>H18/DAY(B2)</f>
        <v>279.4736842105263</v>
      </c>
      <c r="K18" s="79"/>
      <c r="L18" s="66"/>
      <c r="N18" s="87"/>
      <c r="O18" s="71"/>
    </row>
    <row r="19" spans="1:15" ht="25.5">
      <c r="A19" s="864" t="s">
        <v>69</v>
      </c>
      <c r="B19" s="865"/>
      <c r="C19" s="866"/>
      <c r="D19" s="151" t="s">
        <v>142</v>
      </c>
      <c r="E19" s="95">
        <f>'18 '!F19</f>
        <v>168830</v>
      </c>
      <c r="F19" s="755">
        <v>168888</v>
      </c>
      <c r="G19" s="474">
        <f t="shared" ref="G19" si="1">F19-E19</f>
        <v>58</v>
      </c>
      <c r="H19" s="99">
        <f>G19+'18 '!H19</f>
        <v>1012</v>
      </c>
      <c r="I19" s="335"/>
      <c r="J19" s="175">
        <f>H19/DAY(B2)</f>
        <v>53.263157894736842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478">
        <f>G18+G19</f>
        <v>388</v>
      </c>
      <c r="H20" s="99">
        <f>G20+'18 '!H20</f>
        <v>6322</v>
      </c>
      <c r="I20" s="336">
        <f>I18-J20</f>
        <v>-267.73684210526318</v>
      </c>
      <c r="J20" s="175">
        <f>H20/DAY(B2)</f>
        <v>332.73684210526318</v>
      </c>
      <c r="K20" s="79"/>
      <c r="L20" s="66"/>
      <c r="N20" s="87"/>
      <c r="O20" s="71"/>
    </row>
    <row r="21" spans="1:15" ht="26.25">
      <c r="A21" s="873" t="s">
        <v>144</v>
      </c>
      <c r="B21" s="874"/>
      <c r="C21" s="875"/>
      <c r="D21" s="111"/>
      <c r="E21" s="111"/>
      <c r="F21" s="111"/>
      <c r="G21" s="477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'18 '!F22</f>
        <v>2970</v>
      </c>
      <c r="F22" s="122">
        <v>2970</v>
      </c>
      <c r="G22" s="476">
        <f t="shared" ref="G22" si="2">(F22-E22)</f>
        <v>0</v>
      </c>
      <c r="H22" s="99">
        <f>G22+'18 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'18 '!F23</f>
        <v>1860</v>
      </c>
      <c r="F23" s="122">
        <v>1860</v>
      </c>
      <c r="G23" s="476">
        <v>0</v>
      </c>
      <c r="H23" s="99">
        <f>G23+'18 '!H23</f>
        <v>-100</v>
      </c>
      <c r="I23" s="118"/>
      <c r="J23" s="175">
        <f>H23/DAY(B2)</f>
        <v>-5.2631578947368425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'18 '!F24</f>
        <v>4830</v>
      </c>
      <c r="F24" s="128">
        <f>SUM(F22:F23)</f>
        <v>4830</v>
      </c>
      <c r="G24" s="476">
        <v>0</v>
      </c>
      <c r="H24" s="99">
        <f>G24+'18 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78" t="s">
        <v>149</v>
      </c>
      <c r="B25" s="879"/>
      <c r="C25" s="880"/>
      <c r="D25" s="110"/>
      <c r="E25" s="110"/>
      <c r="F25" s="110"/>
      <c r="G25" s="47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480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22617.699999999953</v>
      </c>
      <c r="F27" s="136">
        <v>9</v>
      </c>
      <c r="G27" s="481">
        <f>E27*F27</f>
        <v>203559.29999999958</v>
      </c>
      <c r="H27" s="99">
        <f>G27+'18 '!H27</f>
        <v>4034446.0999999996</v>
      </c>
      <c r="I27" s="138"/>
      <c r="J27" s="175">
        <f>H27/DAY(B2)</f>
        <v>212339.26842105261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1022</v>
      </c>
      <c r="F28" s="136">
        <v>70</v>
      </c>
      <c r="G28" s="481">
        <f>E28*F28</f>
        <v>71540</v>
      </c>
      <c r="H28" s="99">
        <f>G28+'18 '!H28</f>
        <v>1453631.7500000005</v>
      </c>
      <c r="I28" s="140"/>
      <c r="J28" s="175">
        <f>H28/DAY(B2)</f>
        <v>76506.934210526335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81">
        <f>E29*F29</f>
        <v>0</v>
      </c>
      <c r="H29" s="99">
        <f>G29+'18 '!H29</f>
        <v>6900</v>
      </c>
      <c r="I29" s="140"/>
      <c r="J29" s="175">
        <f>H29/DAY(B2)</f>
        <v>363.15789473684208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58</v>
      </c>
      <c r="F30" s="136">
        <v>151</v>
      </c>
      <c r="G30" s="481">
        <f>E30*F30</f>
        <v>8758</v>
      </c>
      <c r="H30" s="99">
        <f>G30+'18 '!H30</f>
        <v>152812</v>
      </c>
      <c r="I30" s="140"/>
      <c r="J30" s="175">
        <f>H30/DAY(B2)</f>
        <v>8042.7368421052633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330</v>
      </c>
      <c r="F31" s="136">
        <v>80</v>
      </c>
      <c r="G31" s="481">
        <f>E31*F31</f>
        <v>26400</v>
      </c>
      <c r="H31" s="99">
        <f>G31+'18 '!H31</f>
        <v>424800</v>
      </c>
      <c r="I31" s="140"/>
      <c r="J31" s="175">
        <f>H31/DAY(B2)</f>
        <v>22357.894736842107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482">
        <f>G27+G28+G29+G30+G31</f>
        <v>310257.29999999958</v>
      </c>
      <c r="H32" s="99">
        <f>G32+'18 '!H32</f>
        <v>6072589.8500000006</v>
      </c>
      <c r="I32" s="144"/>
      <c r="J32" s="175">
        <f>H32/DAY(B2)</f>
        <v>319609.99210526317</v>
      </c>
      <c r="K32" s="63"/>
      <c r="L32" s="89"/>
      <c r="N32" s="87"/>
      <c r="O32" s="71"/>
    </row>
    <row r="33" spans="1:15" ht="25.5" customHeight="1">
      <c r="A33" s="881" t="s">
        <v>331</v>
      </c>
      <c r="B33" s="882"/>
      <c r="C33" s="882"/>
      <c r="D33" s="337"/>
      <c r="E33" s="337"/>
      <c r="F33" s="337"/>
      <c r="G33" s="483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484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'18 '!F35</f>
        <v>419324.75</v>
      </c>
      <c r="F35" s="145">
        <v>422109.11</v>
      </c>
      <c r="G35" s="474">
        <f t="shared" ref="G35:G46" si="3">F35-E35</f>
        <v>2784.359999999986</v>
      </c>
      <c r="H35" s="99">
        <f>G35+'18 '!H35</f>
        <v>53012.200000000012</v>
      </c>
      <c r="I35" s="95"/>
      <c r="J35" s="175">
        <f>H35/DAY(B2)</f>
        <v>2790.1157894736848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'18 '!F36</f>
        <v>342413.9</v>
      </c>
      <c r="F36" s="145">
        <v>343370.5</v>
      </c>
      <c r="G36" s="474">
        <f t="shared" si="3"/>
        <v>956.59999999997672</v>
      </c>
      <c r="H36" s="99">
        <f>G36+'18 '!H36</f>
        <v>21153.390000000014</v>
      </c>
      <c r="I36" s="95"/>
      <c r="J36" s="175">
        <f>H36/DAY(B2)</f>
        <v>1113.3363157894744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'18 '!F37</f>
        <v>322998.69</v>
      </c>
      <c r="F37" s="145">
        <v>322998.69</v>
      </c>
      <c r="G37" s="474">
        <f t="shared" si="3"/>
        <v>0</v>
      </c>
      <c r="H37" s="99">
        <f>G37+'18 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'18 '!F38</f>
        <v>770899.59</v>
      </c>
      <c r="F38" s="108">
        <v>770899.59</v>
      </c>
      <c r="G38" s="474">
        <f t="shared" si="3"/>
        <v>0</v>
      </c>
      <c r="H38" s="99">
        <f>G38+'18 '!H38</f>
        <v>35047.199999999953</v>
      </c>
      <c r="I38" s="95"/>
      <c r="J38" s="175">
        <f>H38/DAY(B2)</f>
        <v>1844.5894736842081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'18 '!F39</f>
        <v>591584.18999999994</v>
      </c>
      <c r="F39" s="145">
        <v>591584.18999999994</v>
      </c>
      <c r="G39" s="474">
        <f t="shared" si="3"/>
        <v>0</v>
      </c>
      <c r="H39" s="99">
        <f>G39+'18 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'18 '!F40</f>
        <v>204220.19</v>
      </c>
      <c r="F40" s="418">
        <v>204632.29</v>
      </c>
      <c r="G40" s="474">
        <f t="shared" si="3"/>
        <v>412.10000000000582</v>
      </c>
      <c r="H40" s="99">
        <f>G40+'18 '!H40</f>
        <v>7902.320000000007</v>
      </c>
      <c r="I40" s="95"/>
      <c r="J40" s="175">
        <f>H40/DAY(B2)</f>
        <v>415.91157894736881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'18 '!F41</f>
        <v>419197</v>
      </c>
      <c r="F41" s="145">
        <v>419197.47</v>
      </c>
      <c r="G41" s="474">
        <f t="shared" si="3"/>
        <v>0.46999999997206032</v>
      </c>
      <c r="H41" s="99">
        <f>G41+'18 '!H41</f>
        <v>29.879999999946449</v>
      </c>
      <c r="I41" s="95"/>
      <c r="J41" s="175">
        <f>H41/DAY(B2)</f>
        <v>1.57263157894455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'18 '!F42</f>
        <v>890910.79</v>
      </c>
      <c r="F42" s="145">
        <v>890910.79</v>
      </c>
      <c r="G42" s="474">
        <f t="shared" si="3"/>
        <v>0</v>
      </c>
      <c r="H42" s="99">
        <f>G42+'18 '!H42</f>
        <v>19039.920000000042</v>
      </c>
      <c r="I42" s="95"/>
      <c r="J42" s="175">
        <f>H42/DAY(B2)</f>
        <v>1002.1010526315812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'18 '!F43</f>
        <v>417507.07</v>
      </c>
      <c r="F43" s="145">
        <v>419915.19</v>
      </c>
      <c r="G43" s="474">
        <f t="shared" si="3"/>
        <v>2408.1199999999953</v>
      </c>
      <c r="H43" s="99">
        <f>G43+'18 '!H43</f>
        <v>12887.190000000002</v>
      </c>
      <c r="I43" s="95"/>
      <c r="J43" s="175">
        <f>H43/DAY(B2)</f>
        <v>678.27315789473698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'18 '!F44</f>
        <v>0</v>
      </c>
      <c r="F44" s="145">
        <v>0</v>
      </c>
      <c r="G44" s="474">
        <f t="shared" si="3"/>
        <v>0</v>
      </c>
      <c r="H44" s="99">
        <f>G44+'18 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'18 '!F45</f>
        <v>0</v>
      </c>
      <c r="F45" s="145">
        <v>0</v>
      </c>
      <c r="G45" s="474">
        <f t="shared" si="3"/>
        <v>0</v>
      </c>
      <c r="H45" s="99">
        <f>G45+'18 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'18 '!F46</f>
        <v>0</v>
      </c>
      <c r="F46" s="145">
        <v>0</v>
      </c>
      <c r="G46" s="474">
        <f t="shared" si="3"/>
        <v>0</v>
      </c>
      <c r="H46" s="99">
        <f>G46+'18 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476">
        <f>G35+G36+G37+G38+G39+G40+G41+G42+G43+G44+G45+G46</f>
        <v>6561.649999999936</v>
      </c>
      <c r="H47" s="99">
        <f>G47+'18 '!H47</f>
        <v>149072.09999999998</v>
      </c>
      <c r="I47" s="95"/>
      <c r="J47" s="175">
        <f>H47/DAY(B2)</f>
        <v>7845.8999999999987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484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'18 '!F49</f>
        <v>801473.19</v>
      </c>
      <c r="F49" s="145">
        <v>801968.4</v>
      </c>
      <c r="G49" s="474">
        <f t="shared" ref="G49:G58" si="4">F49-E49</f>
        <v>495.21000000007916</v>
      </c>
      <c r="H49" s="99">
        <f>G49+'18 '!H49</f>
        <v>8345.4500000000698</v>
      </c>
      <c r="I49" s="95"/>
      <c r="J49" s="175">
        <f>H49/DAY(B2)</f>
        <v>439.23421052631949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'18 '!F50</f>
        <v>483822</v>
      </c>
      <c r="F50" s="145">
        <v>485151.59</v>
      </c>
      <c r="G50" s="474">
        <f t="shared" si="4"/>
        <v>1329.5900000000256</v>
      </c>
      <c r="H50" s="99">
        <f>G50+'18 '!H50</f>
        <v>28482.520000000019</v>
      </c>
      <c r="I50" s="95"/>
      <c r="J50" s="175">
        <f>H50/DAY(B2)</f>
        <v>1499.0800000000011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'18 '!F51</f>
        <v>154422.91</v>
      </c>
      <c r="F51" s="145">
        <v>155456.35999999999</v>
      </c>
      <c r="G51" s="474">
        <f t="shared" si="4"/>
        <v>1033.4499999999825</v>
      </c>
      <c r="H51" s="99">
        <f>G51+'18 '!H51</f>
        <v>20211.809999999998</v>
      </c>
      <c r="I51" s="95"/>
      <c r="J51" s="175">
        <f>H51/DAY(B2)</f>
        <v>1063.7794736842104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'18 '!F52</f>
        <v>9.76</v>
      </c>
      <c r="F52" s="145">
        <v>9.76</v>
      </c>
      <c r="G52" s="474">
        <f t="shared" si="4"/>
        <v>0</v>
      </c>
      <c r="H52" s="99">
        <f>G52+'18 '!H52</f>
        <v>-0.24000000000000021</v>
      </c>
      <c r="I52" s="95"/>
      <c r="J52" s="175">
        <f>H52/DAY(B2)</f>
        <v>-1.2631578947368433E-2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'18 '!F53</f>
        <v>620123</v>
      </c>
      <c r="F53" s="145">
        <v>624223.43000000005</v>
      </c>
      <c r="G53" s="474">
        <f t="shared" si="4"/>
        <v>4100.4300000000512</v>
      </c>
      <c r="H53" s="99">
        <f>G53+'18 '!H53</f>
        <v>77682.160000000033</v>
      </c>
      <c r="I53" s="95"/>
      <c r="J53" s="175">
        <f>H53/DAY(B2)</f>
        <v>4088.5347368421071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'18 '!F54</f>
        <v>110713.3</v>
      </c>
      <c r="F54" s="145">
        <v>110875.52</v>
      </c>
      <c r="G54" s="474">
        <f t="shared" si="4"/>
        <v>162.22000000000116</v>
      </c>
      <c r="H54" s="99">
        <f>G54+'18 '!H54</f>
        <v>3212.3600000000006</v>
      </c>
      <c r="I54" s="95"/>
      <c r="J54" s="175">
        <f>H54/DAY(B2)</f>
        <v>169.07157894736847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'18 '!F55</f>
        <v>575800.11</v>
      </c>
      <c r="F55" s="145">
        <v>575800.11</v>
      </c>
      <c r="G55" s="474">
        <f t="shared" si="4"/>
        <v>0</v>
      </c>
      <c r="H55" s="99">
        <f>G55+'18 '!H55</f>
        <v>14315.439999999944</v>
      </c>
      <c r="I55" s="95"/>
      <c r="J55" s="175">
        <f>H55/DAY(B2)</f>
        <v>753.44421052631287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'18 '!F56</f>
        <v>313666.09000000003</v>
      </c>
      <c r="F56" s="145">
        <v>317423.7</v>
      </c>
      <c r="G56" s="474">
        <f t="shared" si="4"/>
        <v>3757.609999999986</v>
      </c>
      <c r="H56" s="99">
        <f>G56+'18 '!H56</f>
        <v>49308.69</v>
      </c>
      <c r="I56" s="95"/>
      <c r="J56" s="175">
        <f>H56/DAY(B2)</f>
        <v>2595.1942105263161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v>0</v>
      </c>
      <c r="F57" s="145">
        <v>0</v>
      </c>
      <c r="G57" s="474">
        <f t="shared" si="4"/>
        <v>0</v>
      </c>
      <c r="H57" s="99">
        <f>G57+'18 '!H57</f>
        <v>39230.530000000028</v>
      </c>
      <c r="I57" s="95"/>
      <c r="J57" s="175">
        <f>H57/DAY(B2)</f>
        <v>2064.7647368421067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'18 '!F58</f>
        <v>82868.600000000006</v>
      </c>
      <c r="F58" s="145">
        <v>83125</v>
      </c>
      <c r="G58" s="474">
        <f t="shared" si="4"/>
        <v>256.39999999999418</v>
      </c>
      <c r="H58" s="99">
        <f>G58+'18 '!H58</f>
        <v>4409.3099999999977</v>
      </c>
      <c r="I58" s="95"/>
      <c r="J58" s="175">
        <f>H58/DAY(B2)</f>
        <v>232.06894736842094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476">
        <f>G49+G50+G51+G52+G53+G54+G55+G56+G57+G58</f>
        <v>11134.91000000012</v>
      </c>
      <c r="H59" s="99">
        <f>G59+'18 '!H59</f>
        <v>245198.03000000009</v>
      </c>
      <c r="I59" s="95">
        <f>G7-G60</f>
        <v>4846.6699999999255</v>
      </c>
      <c r="J59" s="175">
        <f>H59/DAY(B2)</f>
        <v>12905.159473684214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476">
        <f>G47+G59</f>
        <v>17696.560000000056</v>
      </c>
      <c r="H60" s="99">
        <f>G60+'18 '!H60</f>
        <v>394270.13000000018</v>
      </c>
      <c r="I60" s="95">
        <f>G13-G60</f>
        <v>4312.7399999992922</v>
      </c>
      <c r="J60" s="175">
        <f>H60/DAY(B2)</f>
        <v>20751.059473684221</v>
      </c>
      <c r="K60" s="79"/>
      <c r="L60" s="66"/>
      <c r="N60" s="87"/>
      <c r="O60" s="71"/>
    </row>
    <row r="61" spans="1:15" s="68" customFormat="1" ht="26.25">
      <c r="A61" s="883" t="s">
        <v>332</v>
      </c>
      <c r="B61" s="884"/>
      <c r="C61" s="885"/>
      <c r="D61" s="339"/>
      <c r="E61" s="339"/>
      <c r="F61" s="339"/>
      <c r="G61" s="485"/>
      <c r="H61" s="339"/>
      <c r="I61" s="339"/>
      <c r="J61" s="341"/>
      <c r="K61" s="69"/>
      <c r="L61" s="67"/>
      <c r="N61" s="87"/>
      <c r="O61" s="71"/>
    </row>
    <row r="62" spans="1:15" ht="25.5">
      <c r="A62" s="864" t="s">
        <v>198</v>
      </c>
      <c r="B62" s="865"/>
      <c r="C62" s="866"/>
      <c r="D62" s="151" t="s">
        <v>142</v>
      </c>
      <c r="E62" s="95">
        <f>'18 '!F62</f>
        <v>310487.5</v>
      </c>
      <c r="F62" s="122">
        <v>310590</v>
      </c>
      <c r="G62" s="474">
        <f t="shared" ref="G62:G63" si="5">F62-E62</f>
        <v>102.5</v>
      </c>
      <c r="H62" s="99">
        <f>G62+'18 '!H62</f>
        <v>2276</v>
      </c>
      <c r="I62" s="118"/>
      <c r="J62" s="175">
        <f>H62/DAY(B2)</f>
        <v>119.78947368421052</v>
      </c>
      <c r="K62" s="80"/>
      <c r="L62" s="66"/>
      <c r="N62" s="87"/>
      <c r="O62" s="71"/>
    </row>
    <row r="63" spans="1:15" ht="25.5">
      <c r="A63" s="864" t="s">
        <v>199</v>
      </c>
      <c r="B63" s="865"/>
      <c r="C63" s="866"/>
      <c r="D63" s="151" t="s">
        <v>142</v>
      </c>
      <c r="E63" s="95">
        <f>'18 '!F63</f>
        <v>247991</v>
      </c>
      <c r="F63" s="122">
        <v>248034</v>
      </c>
      <c r="G63" s="474">
        <f t="shared" si="5"/>
        <v>43</v>
      </c>
      <c r="H63" s="99">
        <f>G63+'18 '!H63</f>
        <v>1105</v>
      </c>
      <c r="I63" s="118"/>
      <c r="J63" s="175">
        <f>H63/DAY(B2)</f>
        <v>58.157894736842103</v>
      </c>
      <c r="K63" s="69"/>
      <c r="L63" s="66"/>
      <c r="N63" s="87"/>
      <c r="O63" s="71"/>
    </row>
    <row r="64" spans="1:15" ht="26.25">
      <c r="A64" s="861" t="s">
        <v>200</v>
      </c>
      <c r="B64" s="862"/>
      <c r="C64" s="863"/>
      <c r="D64" s="151"/>
      <c r="E64" s="95">
        <f>'18 '!F64</f>
        <v>0</v>
      </c>
      <c r="F64" s="122"/>
      <c r="G64" s="474">
        <f>G62+G63</f>
        <v>145.5</v>
      </c>
      <c r="H64" s="99">
        <f>G64+'18 '!H64</f>
        <v>3381</v>
      </c>
      <c r="I64" s="118"/>
      <c r="J64" s="175">
        <f>H64/DAY(B2)</f>
        <v>177.94736842105263</v>
      </c>
      <c r="K64" s="69"/>
      <c r="L64" s="66"/>
      <c r="N64" s="87"/>
      <c r="O64" s="71"/>
    </row>
    <row r="65" spans="1:15" ht="25.5">
      <c r="A65" s="864" t="s">
        <v>201</v>
      </c>
      <c r="B65" s="865"/>
      <c r="C65" s="866"/>
      <c r="D65" s="151" t="s">
        <v>142</v>
      </c>
      <c r="E65" s="95">
        <f>'18 '!F65</f>
        <v>470353</v>
      </c>
      <c r="F65" s="122">
        <v>470474</v>
      </c>
      <c r="G65" s="474">
        <f t="shared" ref="G65:G70" si="6">F65-E65</f>
        <v>121</v>
      </c>
      <c r="H65" s="99">
        <f>G65+'18 '!H65</f>
        <v>2573</v>
      </c>
      <c r="I65" s="118"/>
      <c r="J65" s="175">
        <f>H65/DAY(B2)</f>
        <v>135.42105263157896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'18 '!F66</f>
        <v>113381</v>
      </c>
      <c r="F66" s="122">
        <v>113389</v>
      </c>
      <c r="G66" s="474">
        <f t="shared" si="6"/>
        <v>8</v>
      </c>
      <c r="H66" s="99">
        <f>G66+'18 '!H66</f>
        <v>55642</v>
      </c>
      <c r="I66" s="118"/>
      <c r="J66" s="175">
        <f>H66/DAY(B2)</f>
        <v>2928.5263157894738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'18 '!F67</f>
        <v>116235</v>
      </c>
      <c r="F67" s="122">
        <v>116254</v>
      </c>
      <c r="G67" s="474">
        <f t="shared" si="6"/>
        <v>19</v>
      </c>
      <c r="H67" s="99">
        <f>G67+'18 '!H67</f>
        <v>399</v>
      </c>
      <c r="I67" s="118"/>
      <c r="J67" s="175">
        <f>H67/DAY(B2)</f>
        <v>21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'18 '!F68</f>
        <v>169054</v>
      </c>
      <c r="F68" s="122">
        <v>169080</v>
      </c>
      <c r="G68" s="474">
        <f t="shared" si="6"/>
        <v>26</v>
      </c>
      <c r="H68" s="99">
        <f>G68+'18 '!H68</f>
        <v>573</v>
      </c>
      <c r="I68" s="118"/>
      <c r="J68" s="175">
        <f>H68/DAY(B2)</f>
        <v>30.157894736842106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'18 '!F69</f>
        <v>12907</v>
      </c>
      <c r="F69" s="122">
        <v>12912</v>
      </c>
      <c r="G69" s="474">
        <f t="shared" si="6"/>
        <v>5</v>
      </c>
      <c r="H69" s="99">
        <f>G69+'18 '!H69</f>
        <v>102</v>
      </c>
      <c r="I69" s="118"/>
      <c r="J69" s="175">
        <f>H69/DAY(B2)</f>
        <v>5.3684210526315788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'18 '!F70</f>
        <v>10907</v>
      </c>
      <c r="F70" s="122">
        <v>10914</v>
      </c>
      <c r="G70" s="474">
        <f t="shared" si="6"/>
        <v>7</v>
      </c>
      <c r="H70" s="99">
        <f>G70+'18 '!H70</f>
        <v>135</v>
      </c>
      <c r="I70" s="118"/>
      <c r="J70" s="175">
        <f>H70/DAY(B2)</f>
        <v>7.1052631578947372</v>
      </c>
      <c r="K70" s="69"/>
      <c r="L70" s="66"/>
      <c r="N70" s="87"/>
      <c r="O70" s="71"/>
    </row>
    <row r="71" spans="1:15" ht="26.25">
      <c r="A71" s="861" t="s">
        <v>208</v>
      </c>
      <c r="B71" s="862"/>
      <c r="C71" s="863"/>
      <c r="D71" s="152"/>
      <c r="E71" s="95">
        <f>'18 '!F71</f>
        <v>0</v>
      </c>
      <c r="F71" s="152"/>
      <c r="G71" s="486">
        <f>SUM(G65:G70)</f>
        <v>186</v>
      </c>
      <c r="H71" s="99">
        <f>G71+'18 '!H71</f>
        <v>59424</v>
      </c>
      <c r="I71" s="154"/>
      <c r="J71" s="175">
        <f>H71/DAY(B2)</f>
        <v>3127.5789473684213</v>
      </c>
      <c r="K71" s="69"/>
      <c r="L71" s="66"/>
      <c r="N71" s="87"/>
      <c r="O71" s="71"/>
    </row>
    <row r="72" spans="1:15" s="88" customFormat="1" ht="25.5">
      <c r="A72" s="904"/>
      <c r="B72" s="896"/>
      <c r="C72" s="347"/>
      <c r="D72" s="180"/>
      <c r="E72" s="180" t="s">
        <v>207</v>
      </c>
      <c r="F72" s="180"/>
      <c r="G72" s="487"/>
      <c r="H72" s="181"/>
      <c r="I72" s="180"/>
      <c r="J72" s="182"/>
      <c r="N72" s="87"/>
      <c r="O72" s="71"/>
    </row>
    <row r="73" spans="1:15" ht="26.25">
      <c r="A73" s="909" t="s">
        <v>333</v>
      </c>
      <c r="B73" s="910"/>
      <c r="C73" s="911"/>
      <c r="D73" s="339"/>
      <c r="E73" s="339"/>
      <c r="F73" s="339"/>
      <c r="G73" s="485"/>
      <c r="H73" s="342"/>
      <c r="I73" s="342"/>
      <c r="J73" s="343"/>
      <c r="K73" s="69"/>
      <c r="L73" s="66"/>
      <c r="N73" s="87"/>
      <c r="O73" s="71"/>
    </row>
    <row r="74" spans="1:15" ht="25.5">
      <c r="A74" s="864" t="s">
        <v>220</v>
      </c>
      <c r="B74" s="865"/>
      <c r="C74" s="866"/>
      <c r="D74" s="151" t="s">
        <v>139</v>
      </c>
      <c r="E74" s="95">
        <f>'18 '!F74</f>
        <v>998629.53</v>
      </c>
      <c r="F74" s="117">
        <v>998927.89</v>
      </c>
      <c r="G74" s="474">
        <f t="shared" ref="G74:G78" si="7">F74-E74</f>
        <v>298.35999999998603</v>
      </c>
      <c r="H74" s="99">
        <f>G74+'18 '!H74</f>
        <v>5568.859999999986</v>
      </c>
      <c r="I74" s="154"/>
      <c r="J74" s="175">
        <f>H74/DAY(B2)</f>
        <v>293.0978947368414</v>
      </c>
      <c r="K74" s="69"/>
      <c r="L74" s="66"/>
      <c r="N74" s="87"/>
      <c r="O74" s="71"/>
    </row>
    <row r="75" spans="1:15" ht="25.5">
      <c r="A75" s="864" t="s">
        <v>221</v>
      </c>
      <c r="B75" s="865"/>
      <c r="C75" s="866"/>
      <c r="D75" s="151" t="s">
        <v>139</v>
      </c>
      <c r="E75" s="95">
        <f>'18 '!F75</f>
        <v>73586.8</v>
      </c>
      <c r="F75" s="123">
        <v>73586.8</v>
      </c>
      <c r="G75" s="474">
        <f t="shared" si="7"/>
        <v>0</v>
      </c>
      <c r="H75" s="99">
        <f>G75+'18 '!H75</f>
        <v>0.80000000000291038</v>
      </c>
      <c r="I75" s="154"/>
      <c r="J75" s="175">
        <f>H75/DAY(B2)</f>
        <v>4.2105263158047912E-2</v>
      </c>
      <c r="K75" s="69"/>
      <c r="L75" s="66"/>
      <c r="N75" s="87"/>
      <c r="O75" s="71"/>
    </row>
    <row r="76" spans="1:15" ht="25.5">
      <c r="A76" s="905" t="s">
        <v>222</v>
      </c>
      <c r="B76" s="891"/>
      <c r="C76" s="892"/>
      <c r="D76" s="151" t="s">
        <v>139</v>
      </c>
      <c r="E76" s="95">
        <f>'18 '!F76</f>
        <v>206020</v>
      </c>
      <c r="F76" s="123">
        <v>206111</v>
      </c>
      <c r="G76" s="474">
        <f t="shared" si="7"/>
        <v>91</v>
      </c>
      <c r="H76" s="99">
        <f>G76+'18 '!H76</f>
        <v>2449</v>
      </c>
      <c r="I76" s="154"/>
      <c r="J76" s="175">
        <f>H76/DAY(B2)</f>
        <v>128.89473684210526</v>
      </c>
      <c r="K76" s="69"/>
      <c r="L76" s="66"/>
      <c r="N76" s="87"/>
      <c r="O76" s="71"/>
    </row>
    <row r="77" spans="1:15" ht="25.5">
      <c r="A77" s="905" t="s">
        <v>223</v>
      </c>
      <c r="B77" s="891"/>
      <c r="C77" s="892"/>
      <c r="D77" s="151" t="s">
        <v>139</v>
      </c>
      <c r="E77" s="95">
        <f>'18 '!F77</f>
        <v>57480</v>
      </c>
      <c r="F77" s="123">
        <v>57536</v>
      </c>
      <c r="G77" s="474">
        <f t="shared" si="7"/>
        <v>56</v>
      </c>
      <c r="H77" s="99">
        <f>G77+'18 '!H77</f>
        <v>1014</v>
      </c>
      <c r="I77" s="154"/>
      <c r="J77" s="175">
        <f>H77/DAY(B2)</f>
        <v>53.368421052631582</v>
      </c>
      <c r="K77" s="69"/>
      <c r="L77" s="66"/>
      <c r="N77" s="87"/>
      <c r="O77" s="71"/>
    </row>
    <row r="78" spans="1:15" ht="25.5">
      <c r="A78" s="905" t="s">
        <v>224</v>
      </c>
      <c r="B78" s="891"/>
      <c r="C78" s="892"/>
      <c r="D78" s="151" t="s">
        <v>139</v>
      </c>
      <c r="E78" s="95">
        <f>'18 '!F78</f>
        <v>9564</v>
      </c>
      <c r="F78" s="123">
        <v>9564</v>
      </c>
      <c r="G78" s="474">
        <f t="shared" si="7"/>
        <v>0</v>
      </c>
      <c r="H78" s="99">
        <f>G78+'18 '!H78</f>
        <v>-0.3999999999996362</v>
      </c>
      <c r="I78" s="118"/>
      <c r="J78" s="175">
        <f>H78/DAY(B2)</f>
        <v>-2.105263157892822E-2</v>
      </c>
      <c r="K78" s="69"/>
      <c r="L78" s="66"/>
      <c r="N78" s="87"/>
      <c r="O78" s="71"/>
    </row>
    <row r="79" spans="1:15" s="57" customFormat="1" ht="25.5">
      <c r="A79" s="905" t="s">
        <v>225</v>
      </c>
      <c r="B79" s="891"/>
      <c r="C79" s="892"/>
      <c r="D79" s="151"/>
      <c r="E79" s="95">
        <f>'18 '!F79</f>
        <v>0</v>
      </c>
      <c r="F79" s="123"/>
      <c r="G79" s="474">
        <f>G15-SUM(G74:G78)</f>
        <v>576.64000000001397</v>
      </c>
      <c r="H79" s="99">
        <f>G79+'18 '!H79</f>
        <v>11583.740000000011</v>
      </c>
      <c r="I79" s="118"/>
      <c r="J79" s="175"/>
      <c r="K79" s="59"/>
      <c r="L79" s="58"/>
      <c r="N79" s="87"/>
      <c r="O79" s="71"/>
    </row>
    <row r="80" spans="1:15" s="57" customFormat="1" ht="26.25">
      <c r="A80" s="861" t="s">
        <v>329</v>
      </c>
      <c r="B80" s="862"/>
      <c r="C80" s="863"/>
      <c r="D80" s="151"/>
      <c r="E80" s="117"/>
      <c r="F80" s="117"/>
      <c r="G80" s="474">
        <f>SUM(G74:G79)</f>
        <v>1022</v>
      </c>
      <c r="H80" s="99"/>
      <c r="I80" s="118"/>
      <c r="J80" s="175"/>
      <c r="K80" s="59"/>
      <c r="L80" s="58"/>
      <c r="N80" s="87"/>
      <c r="O80" s="71"/>
    </row>
    <row r="81" spans="1:15" ht="25.5">
      <c r="A81" s="897" t="s">
        <v>226</v>
      </c>
      <c r="B81" s="898"/>
      <c r="C81" s="899"/>
      <c r="D81" s="110"/>
      <c r="E81" s="110"/>
      <c r="F81" s="110"/>
      <c r="G81" s="488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'18 '!F82</f>
        <v>0</v>
      </c>
      <c r="F82" s="122">
        <v>0</v>
      </c>
      <c r="G82" s="474">
        <f t="shared" ref="G82:G92" si="8">F82-E82</f>
        <v>0</v>
      </c>
      <c r="H82" s="99">
        <f>G82+'18 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'18 '!F83</f>
        <v>0</v>
      </c>
      <c r="F83" s="122">
        <v>0</v>
      </c>
      <c r="G83" s="474">
        <f t="shared" si="8"/>
        <v>0</v>
      </c>
      <c r="H83" s="99">
        <f>G83+'18 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'18 '!F84</f>
        <v>45540.35</v>
      </c>
      <c r="F84" s="164">
        <v>45540.35</v>
      </c>
      <c r="G84" s="474">
        <f t="shared" si="8"/>
        <v>0</v>
      </c>
      <c r="H84" s="99">
        <f>G84+'18 '!H84</f>
        <v>2000.1399999999994</v>
      </c>
      <c r="I84" s="545"/>
      <c r="J84" s="175">
        <f>H84/DAY(B2)</f>
        <v>105.27052631578944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'18 '!F85</f>
        <v>5768.28</v>
      </c>
      <c r="F85" s="164">
        <v>5768.28</v>
      </c>
      <c r="G85" s="474">
        <f t="shared" si="8"/>
        <v>0</v>
      </c>
      <c r="H85" s="99">
        <f>G85+'18 '!H85</f>
        <v>84.279999999999745</v>
      </c>
      <c r="I85" s="545"/>
      <c r="J85" s="175">
        <f>H85/DAY(B2)</f>
        <v>4.4357894736841974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'18 '!F86</f>
        <v>46811.07</v>
      </c>
      <c r="F86" s="164">
        <v>46811.07</v>
      </c>
      <c r="G86" s="474">
        <f t="shared" si="8"/>
        <v>0</v>
      </c>
      <c r="H86" s="99">
        <f>G86+'18 '!H86</f>
        <v>77.069999999999709</v>
      </c>
      <c r="I86" s="545"/>
      <c r="J86" s="175">
        <f>H86/DAY(B2)</f>
        <v>4.0563157894736692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'18 '!F87</f>
        <v>36864.35</v>
      </c>
      <c r="F87" s="164">
        <v>36888</v>
      </c>
      <c r="G87" s="474">
        <f t="shared" si="8"/>
        <v>23.650000000001455</v>
      </c>
      <c r="H87" s="99">
        <f>G87+'18 '!H87</f>
        <v>337.79000000000087</v>
      </c>
      <c r="I87" s="545">
        <f>G84+G85+G86+G87</f>
        <v>23.650000000001455</v>
      </c>
      <c r="J87" s="175">
        <f>H87/DAY(B2)</f>
        <v>17.778421052631625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'18 '!F88</f>
        <v>24511.8</v>
      </c>
      <c r="F88" s="164">
        <v>24511.8</v>
      </c>
      <c r="G88" s="474">
        <f t="shared" si="8"/>
        <v>0</v>
      </c>
      <c r="H88" s="99">
        <f>G88+'18 '!H88</f>
        <v>0</v>
      </c>
      <c r="I88" s="545"/>
      <c r="J88" s="175">
        <f>H88/DAY(B2)</f>
        <v>0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'18 '!F89</f>
        <v>28683.18</v>
      </c>
      <c r="F89" s="164">
        <v>28693.49</v>
      </c>
      <c r="G89" s="474">
        <f t="shared" si="8"/>
        <v>10.31000000000131</v>
      </c>
      <c r="H89" s="99">
        <f>G89+'18 '!H89</f>
        <v>191.79000000000087</v>
      </c>
      <c r="I89" s="545">
        <f>G88+G89</f>
        <v>10.31000000000131</v>
      </c>
      <c r="J89" s="175">
        <f>H89/DAY(B2)</f>
        <v>10.094210526315836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'18 '!F90</f>
        <v>74070</v>
      </c>
      <c r="F90" s="164">
        <v>74080.78</v>
      </c>
      <c r="G90" s="474">
        <f t="shared" si="8"/>
        <v>10.779999999998836</v>
      </c>
      <c r="H90" s="99">
        <f>G90+'18 '!H90</f>
        <v>220.17999999999302</v>
      </c>
      <c r="I90" s="545">
        <f>G90</f>
        <v>10.779999999998836</v>
      </c>
      <c r="J90" s="175">
        <f>H90/DAY(B2)</f>
        <v>11.588421052631212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'18 '!F91</f>
        <v>5520.66</v>
      </c>
      <c r="F91" s="122">
        <v>5532.14</v>
      </c>
      <c r="G91" s="474">
        <f t="shared" si="8"/>
        <v>11.480000000000473</v>
      </c>
      <c r="H91" s="99">
        <f>G91+'18 '!H91</f>
        <v>179.36999999999989</v>
      </c>
      <c r="I91" s="546"/>
      <c r="J91" s="175">
        <f>H91/DAY(B2)</f>
        <v>9.4405263157894677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'18 '!F92</f>
        <v>7031.67</v>
      </c>
      <c r="F92" s="122">
        <v>7031.67</v>
      </c>
      <c r="G92" s="474">
        <f t="shared" si="8"/>
        <v>0</v>
      </c>
      <c r="H92" s="99">
        <f>G92+'18 '!H92</f>
        <v>31.670000000000073</v>
      </c>
      <c r="I92" s="547">
        <f>G91+G92</f>
        <v>11.480000000000473</v>
      </c>
      <c r="J92" s="175">
        <f>H92/DAY(B2)</f>
        <v>1.6668421052631617</v>
      </c>
      <c r="O92" s="71"/>
    </row>
    <row r="93" spans="1:15" ht="26.25">
      <c r="A93" s="906" t="s">
        <v>239</v>
      </c>
      <c r="B93" s="907"/>
      <c r="C93" s="908"/>
      <c r="D93" s="111"/>
      <c r="E93" s="111"/>
      <c r="F93" s="111"/>
      <c r="G93" s="477"/>
      <c r="H93" s="121"/>
      <c r="I93" s="121"/>
      <c r="J93" s="183"/>
      <c r="K93" s="69"/>
      <c r="L93" s="66"/>
      <c r="O93" s="71"/>
    </row>
    <row r="94" spans="1:15" ht="25.5">
      <c r="A94" s="864" t="s">
        <v>240</v>
      </c>
      <c r="B94" s="865"/>
      <c r="C94" s="866"/>
      <c r="D94" s="151" t="s">
        <v>130</v>
      </c>
      <c r="E94" s="151"/>
      <c r="F94" s="151"/>
      <c r="G94" s="489">
        <f>G35+G43+G49+G57</f>
        <v>5687.6900000000605</v>
      </c>
      <c r="H94" s="99">
        <f>G94+'18 '!H94</f>
        <v>113475.37000000011</v>
      </c>
      <c r="I94" s="118"/>
      <c r="J94" s="175">
        <f>H94/DAY(B2)</f>
        <v>5972.3878947368476</v>
      </c>
      <c r="K94" s="69"/>
      <c r="L94" s="66"/>
      <c r="O94" s="71"/>
    </row>
    <row r="95" spans="1:15" ht="25.5">
      <c r="A95" s="864" t="s">
        <v>241</v>
      </c>
      <c r="B95" s="865"/>
      <c r="C95" s="866"/>
      <c r="D95" s="151" t="s">
        <v>23</v>
      </c>
      <c r="E95" s="146"/>
      <c r="F95" s="146"/>
      <c r="G95" s="490">
        <f>G94/G7</f>
        <v>0.25230146700362216</v>
      </c>
      <c r="H95" s="99">
        <f>G95+'18 '!H95</f>
        <v>4.8632706035131639</v>
      </c>
      <c r="I95" s="167"/>
      <c r="J95" s="175">
        <f>H95/DAY(B2)</f>
        <v>0.25596161071121915</v>
      </c>
      <c r="K95" s="69"/>
      <c r="L95" s="66"/>
      <c r="O95" s="71"/>
    </row>
    <row r="96" spans="1:15" ht="25.5">
      <c r="A96" s="864" t="s">
        <v>242</v>
      </c>
      <c r="B96" s="865"/>
      <c r="C96" s="866"/>
      <c r="D96" s="151" t="s">
        <v>130</v>
      </c>
      <c r="E96" s="95"/>
      <c r="F96" s="95"/>
      <c r="G96" s="489">
        <f>G41+G42+G55+G56</f>
        <v>3758.0799999999581</v>
      </c>
      <c r="H96" s="99">
        <f>G96+'18 '!H96</f>
        <v>82693.929999999935</v>
      </c>
      <c r="I96" s="118"/>
      <c r="J96" s="175">
        <f>H96/DAY(B2)</f>
        <v>4352.3121052631541</v>
      </c>
      <c r="K96" s="69"/>
      <c r="L96" s="66"/>
      <c r="O96" s="71"/>
    </row>
    <row r="97" spans="1:15" ht="25.5">
      <c r="A97" s="864" t="s">
        <v>243</v>
      </c>
      <c r="B97" s="865"/>
      <c r="C97" s="866"/>
      <c r="D97" s="151" t="s">
        <v>23</v>
      </c>
      <c r="E97" s="95"/>
      <c r="F97" s="95"/>
      <c r="G97" s="490">
        <f>G96/G7</f>
        <v>0.1667054809803192</v>
      </c>
      <c r="H97" s="99">
        <f>G97+'18 '!H97</f>
        <v>3.5128259431478548</v>
      </c>
      <c r="I97" s="167"/>
      <c r="J97" s="175">
        <f>H97/DAY(B2)</f>
        <v>0.18488557595515026</v>
      </c>
      <c r="K97" s="69"/>
      <c r="L97" s="66"/>
      <c r="O97" s="71"/>
    </row>
    <row r="98" spans="1:15" ht="25.5">
      <c r="A98" s="864" t="s">
        <v>244</v>
      </c>
      <c r="B98" s="865"/>
      <c r="C98" s="866"/>
      <c r="D98" s="151" t="s">
        <v>130</v>
      </c>
      <c r="E98" s="95"/>
      <c r="F98" s="95"/>
      <c r="G98" s="489">
        <f>G39+G53</f>
        <v>4100.4300000000512</v>
      </c>
      <c r="H98" s="99">
        <f>G98+'18 '!H98</f>
        <v>77682.160000000033</v>
      </c>
      <c r="I98" s="168"/>
      <c r="J98" s="175">
        <f>H98/DAY(B2)</f>
        <v>4088.5347368421071</v>
      </c>
      <c r="K98" s="69"/>
      <c r="L98" s="66"/>
      <c r="O98" s="71"/>
    </row>
    <row r="99" spans="1:15" ht="25.5">
      <c r="A99" s="864" t="s">
        <v>245</v>
      </c>
      <c r="B99" s="865"/>
      <c r="C99" s="866"/>
      <c r="D99" s="151" t="s">
        <v>23</v>
      </c>
      <c r="E99" s="95"/>
      <c r="F99" s="95"/>
      <c r="G99" s="490">
        <f>G98/G7</f>
        <v>0.18189185844264796</v>
      </c>
      <c r="H99" s="99">
        <f>G99+'18 '!H99</f>
        <v>3.3383166534052147</v>
      </c>
      <c r="I99" s="168"/>
      <c r="J99" s="175">
        <f>H99/DAY(B2)</f>
        <v>0.17570087649501129</v>
      </c>
      <c r="O99" s="71"/>
    </row>
    <row r="100" spans="1:15" ht="26.25">
      <c r="A100" s="864" t="s">
        <v>246</v>
      </c>
      <c r="B100" s="865"/>
      <c r="C100" s="866"/>
      <c r="D100" s="151" t="s">
        <v>180</v>
      </c>
      <c r="E100" s="95"/>
      <c r="F100" s="95"/>
      <c r="G100" s="489">
        <f>G38+G52</f>
        <v>0</v>
      </c>
      <c r="H100" s="99">
        <f>G100+'18 '!H100</f>
        <v>35046.959999999955</v>
      </c>
      <c r="I100" s="118"/>
      <c r="J100" s="175">
        <f>H100/DAY(B2)</f>
        <v>1844.5768421052608</v>
      </c>
      <c r="K100" s="70"/>
      <c r="O100" s="71"/>
    </row>
    <row r="101" spans="1:15" ht="25.5">
      <c r="A101" s="864" t="s">
        <v>247</v>
      </c>
      <c r="B101" s="865"/>
      <c r="C101" s="866"/>
      <c r="D101" s="151" t="s">
        <v>23</v>
      </c>
      <c r="E101" s="95"/>
      <c r="F101" s="95"/>
      <c r="G101" s="490">
        <f>G100/G7</f>
        <v>0</v>
      </c>
      <c r="H101" s="99">
        <f>G101+'18 '!H101</f>
        <v>1.523478303120791</v>
      </c>
      <c r="I101" s="168"/>
      <c r="J101" s="175">
        <f>H101/DAY(B2)</f>
        <v>8.0183068585304787E-2</v>
      </c>
      <c r="O101" s="71"/>
    </row>
    <row r="102" spans="1:15" ht="25.5">
      <c r="A102" s="864" t="s">
        <v>248</v>
      </c>
      <c r="B102" s="865"/>
      <c r="C102" s="866"/>
      <c r="D102" s="151" t="s">
        <v>180</v>
      </c>
      <c r="E102" s="95"/>
      <c r="F102" s="95"/>
      <c r="G102" s="489">
        <f>G36+G50</f>
        <v>2286.1900000000023</v>
      </c>
      <c r="H102" s="99">
        <f>G102+'18 '!H102</f>
        <v>49635.910000000033</v>
      </c>
      <c r="I102" s="168"/>
      <c r="J102" s="175">
        <f>H102/DAY(B2)</f>
        <v>2612.4163157894754</v>
      </c>
      <c r="O102" s="71"/>
    </row>
    <row r="103" spans="1:15" ht="25.5">
      <c r="A103" s="864" t="s">
        <v>249</v>
      </c>
      <c r="B103" s="865"/>
      <c r="C103" s="866"/>
      <c r="D103" s="151" t="s">
        <v>23</v>
      </c>
      <c r="E103" s="95"/>
      <c r="F103" s="95"/>
      <c r="G103" s="490">
        <f>G102/G7</f>
        <v>0.10141359512368034</v>
      </c>
      <c r="H103" s="99">
        <f>G103+'18 '!H103</f>
        <v>2.1291385568643593</v>
      </c>
      <c r="I103" s="118"/>
      <c r="J103" s="175">
        <f>H103/DAY(B2)</f>
        <v>0.11205992404549259</v>
      </c>
      <c r="O103" s="71"/>
    </row>
    <row r="104" spans="1:15" ht="25.5">
      <c r="A104" s="864" t="s">
        <v>250</v>
      </c>
      <c r="B104" s="865"/>
      <c r="C104" s="866"/>
      <c r="D104" s="151" t="s">
        <v>180</v>
      </c>
      <c r="E104" s="95"/>
      <c r="F104" s="95"/>
      <c r="G104" s="489">
        <f>G37+G51</f>
        <v>1033.4499999999825</v>
      </c>
      <c r="H104" s="99">
        <f>G104+'18 '!H104</f>
        <v>20211.809999999998</v>
      </c>
      <c r="I104" s="118"/>
      <c r="J104" s="175">
        <f>H104/DAY(B2)</f>
        <v>1063.7794736842104</v>
      </c>
      <c r="O104" s="71"/>
    </row>
    <row r="105" spans="1:15" ht="26.25" thickBot="1">
      <c r="A105" s="901" t="s">
        <v>251</v>
      </c>
      <c r="B105" s="902"/>
      <c r="C105" s="903"/>
      <c r="D105" s="231" t="s">
        <v>23</v>
      </c>
      <c r="E105" s="185"/>
      <c r="F105" s="185"/>
      <c r="G105" s="491">
        <f>G104/G7</f>
        <v>4.5843031366844207E-2</v>
      </c>
      <c r="H105" s="99">
        <f>G105+'18 '!H105</f>
        <v>0.86834025955613625</v>
      </c>
      <c r="I105" s="187"/>
      <c r="J105" s="188">
        <f>H105/DAY(B2)</f>
        <v>4.5702118924007169E-2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492"/>
      <c r="H106" s="170"/>
      <c r="I106" s="169"/>
      <c r="J106" s="171"/>
      <c r="O106" s="71"/>
    </row>
    <row r="107" spans="1:15" ht="26.25"/>
    <row r="108" spans="1:15" ht="27.75">
      <c r="A108" s="915" t="s">
        <v>324</v>
      </c>
      <c r="B108" s="915"/>
      <c r="C108" s="915"/>
      <c r="D108" s="915"/>
      <c r="E108" s="915"/>
      <c r="F108" s="915"/>
      <c r="G108" s="915"/>
      <c r="H108" s="915"/>
      <c r="I108" s="915"/>
      <c r="J108" s="915"/>
    </row>
    <row r="109" spans="1:15" ht="26.25">
      <c r="A109" s="900"/>
      <c r="B109" s="900"/>
    </row>
    <row r="110" spans="1:15" ht="26.25">
      <c r="A110" s="916" t="s">
        <v>165</v>
      </c>
      <c r="B110" s="917"/>
      <c r="C110" s="917"/>
      <c r="D110" s="917"/>
      <c r="E110" s="917"/>
      <c r="F110" s="917"/>
      <c r="G110" s="917"/>
      <c r="H110" s="917"/>
      <c r="I110" s="917"/>
      <c r="J110" s="918"/>
    </row>
    <row r="111" spans="1:15" ht="25.5">
      <c r="A111" s="919"/>
      <c r="B111" s="920"/>
      <c r="C111" s="921"/>
      <c r="D111" s="165"/>
      <c r="E111" s="165"/>
      <c r="F111" s="165"/>
      <c r="G111" s="494"/>
      <c r="H111" s="156"/>
      <c r="I111" s="165"/>
      <c r="J111" s="327"/>
    </row>
    <row r="112" spans="1:15" ht="25.5">
      <c r="A112" s="894" t="s">
        <v>252</v>
      </c>
      <c r="B112" s="895"/>
      <c r="C112" s="896"/>
      <c r="D112" s="146" t="s">
        <v>183</v>
      </c>
      <c r="E112" s="95">
        <f>'18 '!F112</f>
        <v>16716</v>
      </c>
      <c r="F112" s="237">
        <v>16781.5</v>
      </c>
      <c r="G112" s="474">
        <f t="shared" ref="G112:G123" si="9">F112-E112</f>
        <v>65.5</v>
      </c>
      <c r="H112" s="99">
        <f>G112+'18 '!H112</f>
        <v>1167.7000000000007</v>
      </c>
      <c r="I112" s="165"/>
      <c r="J112" s="328">
        <f>H112/DAY(B2)</f>
        <v>61.457894736842142</v>
      </c>
    </row>
    <row r="113" spans="1:18" ht="29.25" customHeight="1">
      <c r="A113" s="894" t="s">
        <v>253</v>
      </c>
      <c r="B113" s="895"/>
      <c r="C113" s="896"/>
      <c r="D113" s="146" t="s">
        <v>183</v>
      </c>
      <c r="E113" s="95">
        <f>'18 '!F113</f>
        <v>35103.1</v>
      </c>
      <c r="F113" s="237">
        <v>35260</v>
      </c>
      <c r="G113" s="474">
        <f t="shared" si="9"/>
        <v>156.90000000000146</v>
      </c>
      <c r="H113" s="99">
        <f>G113+'18 '!H113</f>
        <v>2809.3300000000017</v>
      </c>
      <c r="I113" s="165"/>
      <c r="J113" s="328">
        <f>H113/DAY(B2)</f>
        <v>147.85947368421063</v>
      </c>
    </row>
    <row r="114" spans="1:18" ht="29.25" customHeight="1">
      <c r="A114" s="894" t="s">
        <v>254</v>
      </c>
      <c r="B114" s="895"/>
      <c r="C114" s="896"/>
      <c r="D114" s="146" t="s">
        <v>183</v>
      </c>
      <c r="E114" s="95">
        <f>'18 '!F114</f>
        <v>51687.8</v>
      </c>
      <c r="F114" s="237">
        <v>51891.9</v>
      </c>
      <c r="G114" s="474">
        <f t="shared" si="9"/>
        <v>204.09999999999854</v>
      </c>
      <c r="H114" s="99">
        <f>G114+'18 '!H114</f>
        <v>3925.5999999999985</v>
      </c>
      <c r="I114" s="165"/>
      <c r="J114" s="328">
        <f>H114/DAY(B2)</f>
        <v>206.6105263157894</v>
      </c>
    </row>
    <row r="115" spans="1:18" ht="29.25" customHeight="1">
      <c r="A115" s="894" t="s">
        <v>255</v>
      </c>
      <c r="B115" s="895"/>
      <c r="C115" s="896"/>
      <c r="D115" s="146" t="s">
        <v>183</v>
      </c>
      <c r="E115" s="95">
        <f>'18 '!F115</f>
        <v>33149.4</v>
      </c>
      <c r="F115" s="237">
        <v>33265.9</v>
      </c>
      <c r="G115" s="474">
        <f t="shared" si="9"/>
        <v>116.5</v>
      </c>
      <c r="H115" s="99">
        <f>G115+'18 '!H115</f>
        <v>2829.5</v>
      </c>
      <c r="I115" s="165"/>
      <c r="J115" s="328">
        <f>H115/DAY(B2)</f>
        <v>148.92105263157896</v>
      </c>
    </row>
    <row r="116" spans="1:18" ht="29.25" customHeight="1">
      <c r="A116" s="912" t="s">
        <v>96</v>
      </c>
      <c r="B116" s="913"/>
      <c r="C116" s="914"/>
      <c r="D116" s="146" t="s">
        <v>183</v>
      </c>
      <c r="E116" s="95">
        <f>'18 '!F116</f>
        <v>129753</v>
      </c>
      <c r="F116" s="237">
        <v>130013.4</v>
      </c>
      <c r="G116" s="474">
        <f t="shared" si="9"/>
        <v>260.39999999999418</v>
      </c>
      <c r="H116" s="99">
        <f>G116+'18 '!H116</f>
        <v>7153.1999999999971</v>
      </c>
      <c r="I116" s="165"/>
      <c r="J116" s="328">
        <f>H116/DAY(B2)</f>
        <v>376.48421052631562</v>
      </c>
      <c r="Q116" s="894"/>
      <c r="R116" s="896"/>
    </row>
    <row r="117" spans="1:18" ht="29.25" customHeight="1">
      <c r="A117" s="912" t="s">
        <v>184</v>
      </c>
      <c r="B117" s="913"/>
      <c r="C117" s="914"/>
      <c r="D117" s="146" t="s">
        <v>183</v>
      </c>
      <c r="E117" s="95">
        <f>'18 '!F117</f>
        <v>78641.899999999994</v>
      </c>
      <c r="F117" s="237">
        <v>78912</v>
      </c>
      <c r="G117" s="474">
        <f t="shared" si="9"/>
        <v>270.10000000000582</v>
      </c>
      <c r="H117" s="99">
        <f>G117+'18 '!H117</f>
        <v>4930.8000000000029</v>
      </c>
      <c r="I117" s="165"/>
      <c r="J117" s="328">
        <f>H117/DAY(B2)</f>
        <v>259.51578947368438</v>
      </c>
      <c r="Q117" s="894"/>
      <c r="R117" s="896"/>
    </row>
    <row r="118" spans="1:18" ht="25.5">
      <c r="A118" s="889" t="s">
        <v>97</v>
      </c>
      <c r="B118" s="889"/>
      <c r="C118" s="889"/>
      <c r="D118" s="151" t="s">
        <v>183</v>
      </c>
      <c r="E118" s="95">
        <f>'18 '!F118</f>
        <v>150122</v>
      </c>
      <c r="F118" s="237">
        <v>150802.29999999999</v>
      </c>
      <c r="G118" s="474">
        <f t="shared" si="9"/>
        <v>680.29999999998836</v>
      </c>
      <c r="H118" s="99">
        <f>G118+'18 '!H118</f>
        <v>11989.849999999977</v>
      </c>
      <c r="I118" s="165"/>
      <c r="J118" s="328">
        <f>H118/DAY(B2)</f>
        <v>631.04473684210404</v>
      </c>
      <c r="Q118" s="894"/>
      <c r="R118" s="896"/>
    </row>
    <row r="119" spans="1:18" ht="25.5">
      <c r="A119" s="889" t="s">
        <v>98</v>
      </c>
      <c r="B119" s="889"/>
      <c r="C119" s="889"/>
      <c r="D119" s="151" t="s">
        <v>183</v>
      </c>
      <c r="E119" s="95">
        <f>'18 '!F119</f>
        <v>43573</v>
      </c>
      <c r="F119" s="237">
        <v>43593</v>
      </c>
      <c r="G119" s="474">
        <f t="shared" si="9"/>
        <v>20</v>
      </c>
      <c r="H119" s="99">
        <f>G119+'18 '!H119</f>
        <v>239.30000000000291</v>
      </c>
      <c r="I119" s="165"/>
      <c r="J119" s="328">
        <f>H119/DAY(B2)</f>
        <v>12.594736842105416</v>
      </c>
    </row>
    <row r="120" spans="1:18" ht="25.5">
      <c r="A120" s="889" t="s">
        <v>99</v>
      </c>
      <c r="B120" s="889"/>
      <c r="C120" s="889"/>
      <c r="D120" s="151" t="s">
        <v>183</v>
      </c>
      <c r="E120" s="95">
        <f>'18 '!F120</f>
        <v>103139</v>
      </c>
      <c r="F120" s="237">
        <v>103564.8</v>
      </c>
      <c r="G120" s="474">
        <f t="shared" si="9"/>
        <v>425.80000000000291</v>
      </c>
      <c r="H120" s="99">
        <f>G120+'18 '!H120</f>
        <v>7857.1999999999971</v>
      </c>
      <c r="I120" s="165"/>
      <c r="J120" s="328">
        <f>H120/DAY(B2)</f>
        <v>413.53684210526302</v>
      </c>
    </row>
    <row r="121" spans="1:18" ht="25.5">
      <c r="A121" s="889" t="s">
        <v>100</v>
      </c>
      <c r="B121" s="889"/>
      <c r="C121" s="889"/>
      <c r="D121" s="151" t="s">
        <v>183</v>
      </c>
      <c r="E121" s="95">
        <f>'18 '!F121</f>
        <v>115588</v>
      </c>
      <c r="F121" s="237">
        <v>116028</v>
      </c>
      <c r="G121" s="474">
        <f t="shared" si="9"/>
        <v>440</v>
      </c>
      <c r="H121" s="99">
        <f>G121+'18 '!H121</f>
        <v>8198.9499999999971</v>
      </c>
      <c r="I121" s="165"/>
      <c r="J121" s="328">
        <f>H121/DAY(B2)</f>
        <v>431.52368421052614</v>
      </c>
    </row>
    <row r="122" spans="1:18" ht="25.5">
      <c r="A122" s="889" t="s">
        <v>101</v>
      </c>
      <c r="B122" s="889"/>
      <c r="C122" s="889"/>
      <c r="D122" s="151" t="s">
        <v>183</v>
      </c>
      <c r="E122" s="95">
        <f>'18 '!F122</f>
        <v>77251.100000000006</v>
      </c>
      <c r="F122" s="237">
        <v>77612.600000000006</v>
      </c>
      <c r="G122" s="474">
        <f t="shared" si="9"/>
        <v>361.5</v>
      </c>
      <c r="H122" s="99">
        <f>G122+'18 '!H122</f>
        <v>6574.7000000000116</v>
      </c>
      <c r="I122" s="165"/>
      <c r="J122" s="328">
        <f>H122/DAY(B2)</f>
        <v>346.03684210526376</v>
      </c>
    </row>
    <row r="123" spans="1:18" ht="25.5">
      <c r="A123" s="889" t="s">
        <v>102</v>
      </c>
      <c r="B123" s="889"/>
      <c r="C123" s="889"/>
      <c r="D123" s="151" t="s">
        <v>183</v>
      </c>
      <c r="E123" s="95">
        <f>'18 '!F123</f>
        <v>73903.600000000006</v>
      </c>
      <c r="F123" s="237">
        <v>74228</v>
      </c>
      <c r="G123" s="474">
        <f t="shared" si="9"/>
        <v>324.39999999999418</v>
      </c>
      <c r="H123" s="99">
        <f>G123+'18 '!H123</f>
        <v>5870.6999999999971</v>
      </c>
      <c r="I123" s="165"/>
      <c r="J123" s="328">
        <f>H123/DAY(B2)</f>
        <v>308.98421052631562</v>
      </c>
    </row>
    <row r="124" spans="1:18" ht="29.25" customHeight="1">
      <c r="A124" s="919"/>
      <c r="B124" s="920"/>
      <c r="C124" s="921"/>
      <c r="D124" s="165"/>
      <c r="E124" s="95">
        <f>'18 '!F124</f>
        <v>0</v>
      </c>
      <c r="F124" s="165"/>
      <c r="G124" s="494"/>
      <c r="H124" s="156"/>
      <c r="I124" s="165"/>
      <c r="J124" s="327"/>
    </row>
    <row r="125" spans="1:18" ht="25.5">
      <c r="A125" s="853" t="s">
        <v>196</v>
      </c>
      <c r="B125" s="854"/>
      <c r="C125" s="245"/>
      <c r="D125" s="307"/>
      <c r="E125" s="308"/>
      <c r="F125" s="308"/>
      <c r="G125" s="495">
        <f>SUM(G112:G124)</f>
        <v>3325.4999999999854</v>
      </c>
      <c r="H125" s="156"/>
      <c r="I125" s="327">
        <f>G125-(G39+G53)</f>
        <v>-774.93000000006577</v>
      </c>
      <c r="J125" s="327"/>
    </row>
    <row r="126" spans="1:18" ht="25.5">
      <c r="A126" s="922" t="s">
        <v>317</v>
      </c>
      <c r="B126" s="922"/>
      <c r="C126" s="922"/>
      <c r="D126" s="922"/>
      <c r="E126" s="922"/>
      <c r="F126" s="922"/>
      <c r="G126" s="922"/>
      <c r="H126" s="922"/>
      <c r="I126" s="922"/>
      <c r="J126" s="922"/>
    </row>
    <row r="127" spans="1:18" ht="25.5">
      <c r="A127" s="923"/>
      <c r="B127" s="923"/>
      <c r="C127" s="245"/>
      <c r="D127" s="307"/>
      <c r="E127" s="308"/>
      <c r="F127" s="308"/>
      <c r="G127" s="495"/>
      <c r="H127" s="99">
        <f>G127+'18 '!H127</f>
        <v>0</v>
      </c>
      <c r="I127" s="165"/>
      <c r="J127" s="328">
        <f>H127/DAY(B2)</f>
        <v>0</v>
      </c>
    </row>
    <row r="128" spans="1:18" ht="29.25" customHeight="1">
      <c r="A128" s="894" t="s">
        <v>318</v>
      </c>
      <c r="B128" s="895"/>
      <c r="C128" s="896"/>
      <c r="D128" s="151" t="s">
        <v>183</v>
      </c>
      <c r="E128" s="95">
        <f>'18 '!F128</f>
        <v>186176.85</v>
      </c>
      <c r="F128" s="165">
        <v>186628.39</v>
      </c>
      <c r="G128" s="474">
        <f t="shared" ref="G128:G134" si="10">F128-E128</f>
        <v>451.54000000000815</v>
      </c>
      <c r="H128" s="99">
        <f>G128+'18 '!H128</f>
        <v>7216.5400000000081</v>
      </c>
      <c r="I128" s="165"/>
      <c r="J128" s="328">
        <f>H128/DAY(B2)</f>
        <v>379.81789473684256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'18 '!F129</f>
        <v>99190</v>
      </c>
      <c r="F129" s="165">
        <v>99351.08</v>
      </c>
      <c r="G129" s="474">
        <f t="shared" si="10"/>
        <v>161.08000000000175</v>
      </c>
      <c r="H129" s="99">
        <f>G129+'18 '!H129</f>
        <v>3321.5800000000017</v>
      </c>
      <c r="I129" s="165"/>
      <c r="J129" s="328">
        <f>H129/DAY(B2)</f>
        <v>174.82000000000008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'18 '!F130</f>
        <v>259568.6</v>
      </c>
      <c r="F130" s="158">
        <v>260228</v>
      </c>
      <c r="G130" s="474">
        <f t="shared" si="10"/>
        <v>659.39999999999418</v>
      </c>
      <c r="H130" s="99">
        <f>G130+'18 '!H130</f>
        <v>13388.25</v>
      </c>
      <c r="I130" s="165"/>
      <c r="J130" s="328">
        <f>H130/DAY(B2)</f>
        <v>704.64473684210532</v>
      </c>
      <c r="N130" s="240"/>
      <c r="O130" s="241"/>
    </row>
    <row r="131" spans="1:15" ht="25.5">
      <c r="A131" s="894" t="s">
        <v>321</v>
      </c>
      <c r="B131" s="895"/>
      <c r="C131" s="896"/>
      <c r="D131" s="151" t="s">
        <v>183</v>
      </c>
      <c r="E131" s="95">
        <f>'18 '!F131</f>
        <v>77779</v>
      </c>
      <c r="F131" s="165">
        <v>77966.899999999994</v>
      </c>
      <c r="G131" s="474">
        <f t="shared" si="10"/>
        <v>187.89999999999418</v>
      </c>
      <c r="H131" s="99">
        <f>G131+'18 '!H131</f>
        <v>4456.2999999999884</v>
      </c>
      <c r="I131" s="165"/>
      <c r="J131" s="328">
        <f>H131/DAY(B2)</f>
        <v>234.54210526315728</v>
      </c>
      <c r="N131" s="240"/>
      <c r="O131" s="241"/>
    </row>
    <row r="132" spans="1:15" ht="25.5">
      <c r="A132" s="894" t="s">
        <v>322</v>
      </c>
      <c r="B132" s="895"/>
      <c r="C132" s="896"/>
      <c r="D132" s="151" t="s">
        <v>183</v>
      </c>
      <c r="E132" s="95">
        <f>'18 '!F132</f>
        <v>148274</v>
      </c>
      <c r="F132" s="165">
        <v>148274</v>
      </c>
      <c r="G132" s="474">
        <f t="shared" si="10"/>
        <v>0</v>
      </c>
      <c r="H132" s="99">
        <f>G132+'18 '!H132</f>
        <v>1289</v>
      </c>
      <c r="I132" s="165"/>
      <c r="J132" s="328">
        <f>H132/DAY(B2)</f>
        <v>67.84210526315789</v>
      </c>
    </row>
    <row r="133" spans="1:15" ht="25.5">
      <c r="A133" s="894" t="s">
        <v>359</v>
      </c>
      <c r="B133" s="895"/>
      <c r="C133" s="896"/>
      <c r="D133" s="151" t="s">
        <v>183</v>
      </c>
      <c r="E133" s="95">
        <f>'18 '!F133</f>
        <v>923695</v>
      </c>
      <c r="F133" s="165">
        <v>924408</v>
      </c>
      <c r="G133" s="474">
        <f t="shared" si="10"/>
        <v>713</v>
      </c>
      <c r="H133" s="99">
        <f>G133+'18 '!H133</f>
        <v>14164</v>
      </c>
      <c r="I133" s="165"/>
      <c r="J133" s="328">
        <f>H133/DAY(B2)</f>
        <v>745.47368421052636</v>
      </c>
    </row>
    <row r="134" spans="1:15" ht="25.5">
      <c r="A134" s="894" t="s">
        <v>340</v>
      </c>
      <c r="B134" s="895"/>
      <c r="C134" s="896"/>
      <c r="D134" s="151" t="s">
        <v>183</v>
      </c>
      <c r="E134" s="95">
        <f>'18 '!F134</f>
        <v>82808.600000000006</v>
      </c>
      <c r="F134" s="165">
        <v>82812.899999999994</v>
      </c>
      <c r="G134" s="474">
        <f t="shared" si="10"/>
        <v>4.2999999999883585</v>
      </c>
      <c r="H134" s="99">
        <f>G134+'18 '!H134</f>
        <v>4053.2999999999884</v>
      </c>
      <c r="I134" s="165"/>
      <c r="J134" s="328">
        <f>H134/DAY(B2)</f>
        <v>213.3315789473678</v>
      </c>
    </row>
    <row r="135" spans="1:15" ht="25.5">
      <c r="A135" s="853" t="s">
        <v>196</v>
      </c>
      <c r="B135" s="854"/>
      <c r="C135" s="331"/>
      <c r="D135" s="151"/>
      <c r="E135" s="95"/>
      <c r="F135" s="165"/>
      <c r="G135" s="474">
        <f>SUM(G128:G134)</f>
        <v>2177.2199999999866</v>
      </c>
      <c r="H135" s="99">
        <f>G135+'10'!H135</f>
        <v>26850.689999999973</v>
      </c>
      <c r="I135" s="327">
        <f>G135-(G35+G49)</f>
        <v>-1102.3500000000786</v>
      </c>
      <c r="J135" s="328"/>
    </row>
    <row r="136" spans="1:15" ht="27.75">
      <c r="A136" s="924" t="s">
        <v>325</v>
      </c>
      <c r="B136" s="924"/>
      <c r="C136" s="924"/>
      <c r="D136" s="924"/>
      <c r="E136" s="924"/>
      <c r="F136" s="924"/>
      <c r="G136" s="924"/>
      <c r="H136" s="924"/>
      <c r="I136" s="924"/>
      <c r="J136" s="924"/>
    </row>
    <row r="137" spans="1:15" ht="26.25">
      <c r="A137" s="245"/>
      <c r="B137" s="246"/>
      <c r="C137" s="246"/>
      <c r="D137" s="165"/>
      <c r="E137" s="165"/>
      <c r="F137" s="165"/>
      <c r="G137" s="494"/>
      <c r="H137" s="156"/>
      <c r="I137" s="165"/>
      <c r="J137" s="327"/>
    </row>
    <row r="138" spans="1:15" ht="25.5">
      <c r="A138" s="889" t="s">
        <v>185</v>
      </c>
      <c r="B138" s="889"/>
      <c r="C138" s="889"/>
      <c r="D138" s="151" t="s">
        <v>183</v>
      </c>
      <c r="E138" s="95">
        <f>'18 '!F138</f>
        <v>907874</v>
      </c>
      <c r="F138" s="147">
        <v>907999</v>
      </c>
      <c r="G138" s="474">
        <f t="shared" ref="G138:G152" si="11">F138-E138</f>
        <v>125</v>
      </c>
      <c r="H138" s="99">
        <f>G138+'18 '!H138</f>
        <v>2372</v>
      </c>
      <c r="I138" s="118"/>
      <c r="J138" s="328">
        <f>H138/DAY(B2)</f>
        <v>124.84210526315789</v>
      </c>
    </row>
    <row r="139" spans="1:15" ht="25.5">
      <c r="A139" s="889" t="s">
        <v>186</v>
      </c>
      <c r="B139" s="889"/>
      <c r="C139" s="889"/>
      <c r="D139" s="151" t="s">
        <v>183</v>
      </c>
      <c r="E139" s="95">
        <f>'18 '!F139</f>
        <v>930311</v>
      </c>
      <c r="F139" s="148">
        <v>930454</v>
      </c>
      <c r="G139" s="474">
        <f t="shared" si="11"/>
        <v>143</v>
      </c>
      <c r="H139" s="99">
        <f>G139+'18 '!H139</f>
        <v>3173</v>
      </c>
      <c r="I139" s="118"/>
      <c r="J139" s="328">
        <f>H139/DAY(B2)</f>
        <v>167</v>
      </c>
    </row>
    <row r="140" spans="1:15" ht="25.5">
      <c r="A140" s="889" t="s">
        <v>187</v>
      </c>
      <c r="B140" s="889"/>
      <c r="C140" s="889"/>
      <c r="D140" s="151" t="s">
        <v>183</v>
      </c>
      <c r="E140" s="95">
        <f>'18 '!F140</f>
        <v>3740.5</v>
      </c>
      <c r="F140" s="149">
        <v>3762.2</v>
      </c>
      <c r="G140" s="474">
        <f t="shared" si="11"/>
        <v>21.699999999999818</v>
      </c>
      <c r="H140" s="99">
        <f>G140+'18 '!H140</f>
        <v>431.09999999999991</v>
      </c>
      <c r="I140" s="118"/>
      <c r="J140" s="328">
        <f>H140/DAY(B2)</f>
        <v>22.689473684210522</v>
      </c>
    </row>
    <row r="141" spans="1:15" ht="25.5">
      <c r="A141" s="893" t="s">
        <v>188</v>
      </c>
      <c r="B141" s="893"/>
      <c r="C141" s="893"/>
      <c r="D141" s="151" t="s">
        <v>183</v>
      </c>
      <c r="E141" s="95">
        <f>'18 '!F141</f>
        <v>121769.60000000001</v>
      </c>
      <c r="F141" s="149">
        <v>122001.19</v>
      </c>
      <c r="G141" s="474">
        <f t="shared" si="11"/>
        <v>231.58999999999651</v>
      </c>
      <c r="H141" s="99">
        <f>G141+'18 '!H141</f>
        <v>4443.2100000000064</v>
      </c>
      <c r="I141" s="118"/>
      <c r="J141" s="328">
        <f>H141/DAY(B2)</f>
        <v>233.85315789473717</v>
      </c>
    </row>
    <row r="142" spans="1:15" ht="25.5">
      <c r="A142" s="893" t="s">
        <v>189</v>
      </c>
      <c r="B142" s="893"/>
      <c r="C142" s="893"/>
      <c r="D142" s="151" t="s">
        <v>183</v>
      </c>
      <c r="E142" s="95">
        <f>'18 '!F142</f>
        <v>49256.800000000003</v>
      </c>
      <c r="F142" s="148">
        <v>49366.9</v>
      </c>
      <c r="G142" s="474">
        <f t="shared" si="11"/>
        <v>110.09999999999854</v>
      </c>
      <c r="H142" s="99">
        <f>G142+'18 '!H142</f>
        <v>1862.4000000000015</v>
      </c>
      <c r="I142" s="140"/>
      <c r="J142" s="328">
        <f>H142/DAY(B2)</f>
        <v>98.021052631579025</v>
      </c>
    </row>
    <row r="143" spans="1:15" ht="25.5">
      <c r="A143" s="889" t="s">
        <v>91</v>
      </c>
      <c r="B143" s="889"/>
      <c r="C143" s="889"/>
      <c r="D143" s="151" t="s">
        <v>183</v>
      </c>
      <c r="E143" s="95">
        <f>'18 '!F143</f>
        <v>12972.2</v>
      </c>
      <c r="F143" s="149">
        <v>13002.8</v>
      </c>
      <c r="G143" s="474">
        <f t="shared" si="11"/>
        <v>30.599999999998545</v>
      </c>
      <c r="H143" s="99">
        <f>G143+'18 '!H143</f>
        <v>587.39999999999964</v>
      </c>
      <c r="I143" s="140"/>
      <c r="J143" s="328">
        <f>H143/DAY(B2)</f>
        <v>30.915789473684193</v>
      </c>
    </row>
    <row r="144" spans="1:15" ht="25.5">
      <c r="A144" s="893" t="s">
        <v>90</v>
      </c>
      <c r="B144" s="893"/>
      <c r="C144" s="893"/>
      <c r="D144" s="151" t="s">
        <v>183</v>
      </c>
      <c r="E144" s="95">
        <f>'18 '!F144</f>
        <v>952427</v>
      </c>
      <c r="F144" s="149">
        <v>952648</v>
      </c>
      <c r="G144" s="474">
        <f t="shared" si="11"/>
        <v>221</v>
      </c>
      <c r="H144" s="99">
        <f>G144+'18 '!H144</f>
        <v>4450</v>
      </c>
      <c r="I144" s="140"/>
      <c r="J144" s="328">
        <f>H144/DAY(B2)</f>
        <v>234.21052631578948</v>
      </c>
    </row>
    <row r="145" spans="1:10" ht="25.5">
      <c r="A145" s="889" t="s">
        <v>190</v>
      </c>
      <c r="B145" s="889"/>
      <c r="C145" s="889"/>
      <c r="D145" s="152" t="s">
        <v>183</v>
      </c>
      <c r="E145" s="95">
        <f>'18 '!F145</f>
        <v>25343.599999999999</v>
      </c>
      <c r="F145" s="149">
        <v>25345.599999999999</v>
      </c>
      <c r="G145" s="474">
        <f t="shared" si="11"/>
        <v>2</v>
      </c>
      <c r="H145" s="99">
        <f>G145+'18 '!H145</f>
        <v>2749.5</v>
      </c>
      <c r="I145" s="140"/>
      <c r="J145" s="328">
        <f>H145/DAY(B2)</f>
        <v>144.71052631578948</v>
      </c>
    </row>
    <row r="146" spans="1:10" ht="25.5">
      <c r="A146" s="890" t="s">
        <v>191</v>
      </c>
      <c r="B146" s="891"/>
      <c r="C146" s="892"/>
      <c r="D146" s="152" t="s">
        <v>183</v>
      </c>
      <c r="E146" s="95">
        <f>'18 '!F146</f>
        <v>787400</v>
      </c>
      <c r="F146" s="148">
        <v>787452</v>
      </c>
      <c r="G146" s="474">
        <f t="shared" si="11"/>
        <v>52</v>
      </c>
      <c r="H146" s="99">
        <f>G146+'18 '!H146</f>
        <v>784</v>
      </c>
      <c r="I146" s="140"/>
      <c r="J146" s="328">
        <f>H146/DAY(B2)</f>
        <v>41.263157894736842</v>
      </c>
    </row>
    <row r="147" spans="1:10" ht="25.5">
      <c r="A147" s="893" t="s">
        <v>192</v>
      </c>
      <c r="B147" s="893"/>
      <c r="C147" s="893"/>
      <c r="D147" s="152" t="s">
        <v>183</v>
      </c>
      <c r="E147" s="95">
        <f>'18 '!F147</f>
        <v>755233.04</v>
      </c>
      <c r="F147" s="148">
        <v>755596.64</v>
      </c>
      <c r="G147" s="474">
        <f t="shared" si="11"/>
        <v>363.59999999997672</v>
      </c>
      <c r="H147" s="99">
        <f>G147+'18 '!H147</f>
        <v>8042.4799999999814</v>
      </c>
      <c r="I147" s="140"/>
      <c r="J147" s="328">
        <f>H147/DAY(B2)</f>
        <v>423.28842105263061</v>
      </c>
    </row>
    <row r="148" spans="1:10" ht="25.5">
      <c r="A148" s="886" t="s">
        <v>193</v>
      </c>
      <c r="B148" s="887"/>
      <c r="C148" s="888"/>
      <c r="D148" s="123" t="s">
        <v>130</v>
      </c>
      <c r="E148" s="95">
        <f>'18 '!F148</f>
        <v>792000.88</v>
      </c>
      <c r="F148" s="150">
        <v>792381.51</v>
      </c>
      <c r="G148" s="474">
        <f t="shared" si="11"/>
        <v>380.63000000000466</v>
      </c>
      <c r="H148" s="99">
        <f>G148+'18 '!H148</f>
        <v>7736.5100000000093</v>
      </c>
      <c r="I148" s="124"/>
      <c r="J148" s="328">
        <f>H148/DAY(B2)</f>
        <v>407.18473684210574</v>
      </c>
    </row>
    <row r="149" spans="1:10" ht="25.5">
      <c r="A149" s="886" t="s">
        <v>336</v>
      </c>
      <c r="B149" s="887"/>
      <c r="C149" s="888"/>
      <c r="D149" s="227" t="s">
        <v>130</v>
      </c>
      <c r="E149" s="95">
        <f>'18 '!F149</f>
        <v>194169</v>
      </c>
      <c r="F149" s="415">
        <v>194646.6</v>
      </c>
      <c r="G149" s="474">
        <f t="shared" si="11"/>
        <v>477.60000000000582</v>
      </c>
      <c r="H149" s="99">
        <f>G149+'18 '!H149</f>
        <v>9349.7099999999919</v>
      </c>
      <c r="I149" s="119"/>
      <c r="J149" s="328">
        <f>H149/DAY(B2)</f>
        <v>492.08999999999958</v>
      </c>
    </row>
    <row r="150" spans="1:10" ht="25.5">
      <c r="A150" s="886" t="s">
        <v>337</v>
      </c>
      <c r="B150" s="887"/>
      <c r="C150" s="888"/>
      <c r="D150" s="117" t="s">
        <v>130</v>
      </c>
      <c r="E150" s="95">
        <f>'18 '!F150</f>
        <v>81821.600000000006</v>
      </c>
      <c r="F150" s="233">
        <v>82045.2</v>
      </c>
      <c r="G150" s="474">
        <f t="shared" si="11"/>
        <v>223.59999999999127</v>
      </c>
      <c r="H150" s="99">
        <f>G150+'18 '!H150</f>
        <v>5156.8999999999942</v>
      </c>
      <c r="I150" s="119"/>
      <c r="J150" s="328">
        <f>H150/DAY(B2)</f>
        <v>271.4157894736839</v>
      </c>
    </row>
    <row r="151" spans="1:10" ht="25.5">
      <c r="A151" s="886" t="s">
        <v>338</v>
      </c>
      <c r="B151" s="887"/>
      <c r="C151" s="888"/>
      <c r="D151" s="117" t="s">
        <v>130</v>
      </c>
      <c r="E151" s="95">
        <f>'18 '!F151</f>
        <v>163007</v>
      </c>
      <c r="F151" s="233">
        <v>163252</v>
      </c>
      <c r="G151" s="474">
        <f t="shared" si="11"/>
        <v>245</v>
      </c>
      <c r="H151" s="99">
        <f>G151+'18 '!H151</f>
        <v>4942</v>
      </c>
      <c r="I151" s="119"/>
      <c r="J151" s="328">
        <f>H151/DAY(B2)</f>
        <v>260.10526315789474</v>
      </c>
    </row>
    <row r="152" spans="1:10" ht="25.5">
      <c r="A152" s="886" t="s">
        <v>339</v>
      </c>
      <c r="B152" s="887"/>
      <c r="C152" s="888"/>
      <c r="D152" s="117" t="s">
        <v>130</v>
      </c>
      <c r="E152" s="95">
        <f>'18 '!F152</f>
        <v>41011</v>
      </c>
      <c r="F152" s="233">
        <v>41151.300000000003</v>
      </c>
      <c r="G152" s="474">
        <f t="shared" si="11"/>
        <v>140.30000000000291</v>
      </c>
      <c r="H152" s="99">
        <f>G152+'18 '!H152</f>
        <v>2535.4000000000015</v>
      </c>
      <c r="I152" s="119"/>
      <c r="J152" s="328">
        <f>H152/DAY(B2)</f>
        <v>133.44210526315797</v>
      </c>
    </row>
    <row r="153" spans="1:10" ht="25.5">
      <c r="A153" s="853" t="s">
        <v>196</v>
      </c>
      <c r="B153" s="854"/>
      <c r="C153" s="365"/>
      <c r="D153" s="358"/>
      <c r="E153" s="360"/>
      <c r="F153" s="361"/>
      <c r="G153" s="496">
        <f>SUM(G138:G152)</f>
        <v>2767.7199999999748</v>
      </c>
      <c r="H153" s="363"/>
      <c r="I153" s="119">
        <f>G153-(G38+G52)</f>
        <v>2767.7199999999748</v>
      </c>
      <c r="J153" s="366"/>
    </row>
    <row r="154" spans="1:10" ht="27.75">
      <c r="A154" s="924" t="s">
        <v>207</v>
      </c>
      <c r="B154" s="924"/>
      <c r="C154" s="924"/>
      <c r="D154" s="924"/>
      <c r="E154" s="924"/>
      <c r="F154" s="924"/>
      <c r="G154" s="924"/>
      <c r="H154" s="924"/>
      <c r="I154" s="924"/>
      <c r="J154" s="924"/>
    </row>
    <row r="155" spans="1:10" ht="27.75">
      <c r="A155" s="893" t="s">
        <v>345</v>
      </c>
      <c r="B155" s="893"/>
      <c r="C155" s="893"/>
      <c r="D155" s="117" t="s">
        <v>130</v>
      </c>
      <c r="E155" s="95">
        <f>'18 '!F155</f>
        <v>231259.79</v>
      </c>
      <c r="F155" s="157">
        <v>231879.9</v>
      </c>
      <c r="G155" s="474">
        <f t="shared" ref="G155:G158" si="12">F155-E155</f>
        <v>620.10999999998603</v>
      </c>
      <c r="H155" s="99">
        <f>G155+'18 '!H155</f>
        <v>11892.199999999983</v>
      </c>
      <c r="I155" s="364"/>
      <c r="J155" s="328">
        <f>H155/DAY(B2)</f>
        <v>625.90526315789384</v>
      </c>
    </row>
    <row r="156" spans="1:10" ht="25.5">
      <c r="A156" s="893" t="s">
        <v>347</v>
      </c>
      <c r="B156" s="893"/>
      <c r="C156" s="893"/>
      <c r="D156" s="117" t="s">
        <v>130</v>
      </c>
      <c r="E156" s="95">
        <f>'18 '!F156</f>
        <v>28233.23</v>
      </c>
      <c r="F156" s="157">
        <v>28328.35</v>
      </c>
      <c r="G156" s="474">
        <f t="shared" si="12"/>
        <v>95.119999999998981</v>
      </c>
      <c r="H156" s="99">
        <f>G156+'18 '!H156</f>
        <v>1798.1499999999978</v>
      </c>
      <c r="I156" s="165"/>
      <c r="J156" s="328">
        <f>H156/DAY(B2)</f>
        <v>94.639473684210415</v>
      </c>
    </row>
    <row r="157" spans="1:10" ht="25.5">
      <c r="A157" s="886" t="s">
        <v>360</v>
      </c>
      <c r="B157" s="887"/>
      <c r="C157" s="888"/>
      <c r="D157" s="117" t="s">
        <v>130</v>
      </c>
      <c r="E157" s="95">
        <f>'18 '!F157</f>
        <v>37559</v>
      </c>
      <c r="F157" s="374">
        <v>37559</v>
      </c>
      <c r="G157" s="474">
        <f t="shared" si="12"/>
        <v>0</v>
      </c>
      <c r="H157" s="99"/>
      <c r="I157" s="165"/>
      <c r="J157" s="328"/>
    </row>
    <row r="158" spans="1:10" ht="25.5">
      <c r="A158" s="886" t="s">
        <v>361</v>
      </c>
      <c r="B158" s="887"/>
      <c r="C158" s="888"/>
      <c r="D158" s="117" t="s">
        <v>130</v>
      </c>
      <c r="E158" s="95">
        <f>'18 '!F158</f>
        <v>1739.09</v>
      </c>
      <c r="F158" s="374">
        <v>1743.12</v>
      </c>
      <c r="G158" s="474">
        <f t="shared" si="12"/>
        <v>4.0299999999999727</v>
      </c>
      <c r="H158" s="99"/>
      <c r="I158" s="165"/>
      <c r="J158" s="328"/>
    </row>
    <row r="159" spans="1:10" ht="25.5">
      <c r="A159" s="942"/>
      <c r="B159" s="943"/>
      <c r="C159" s="944"/>
      <c r="D159" s="117"/>
      <c r="E159" s="95"/>
      <c r="F159" s="165"/>
      <c r="G159" s="474"/>
      <c r="H159" s="99"/>
      <c r="I159" s="165"/>
      <c r="J159" s="328"/>
    </row>
    <row r="160" spans="1:10" ht="27.75">
      <c r="A160" s="924" t="s">
        <v>326</v>
      </c>
      <c r="B160" s="924"/>
      <c r="C160" s="924"/>
      <c r="D160" s="924"/>
      <c r="E160" s="924"/>
      <c r="F160" s="924"/>
      <c r="G160" s="924"/>
      <c r="H160" s="924"/>
      <c r="I160" s="924"/>
      <c r="J160" s="924"/>
    </row>
    <row r="161" spans="1:10" ht="26.25">
      <c r="A161" s="242" t="s">
        <v>92</v>
      </c>
      <c r="B161" s="243"/>
      <c r="C161" s="243"/>
      <c r="D161" s="244" t="s">
        <v>180</v>
      </c>
      <c r="E161" s="95">
        <f>'18 '!F161</f>
        <v>506439.16</v>
      </c>
      <c r="F161" s="235">
        <v>506635.56</v>
      </c>
      <c r="G161" s="497">
        <f t="shared" ref="G161:G165" si="13">F161-E161</f>
        <v>196.40000000002328</v>
      </c>
      <c r="H161" s="99">
        <f>G161+'18 '!H161</f>
        <v>3264.4000000000233</v>
      </c>
      <c r="I161" s="236"/>
      <c r="J161" s="239">
        <f>H161/DAY(B2)</f>
        <v>171.8105263157907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'18 '!F162</f>
        <v>348.5</v>
      </c>
      <c r="F162" s="235">
        <v>383.2</v>
      </c>
      <c r="G162" s="497">
        <f t="shared" si="13"/>
        <v>34.699999999999989</v>
      </c>
      <c r="H162" s="99">
        <f>G162+'18 '!H162</f>
        <v>763.39999999999418</v>
      </c>
      <c r="I162" s="236"/>
      <c r="J162" s="239">
        <f>H162/DAY(B2)</f>
        <v>40.178947368420744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'18 '!F163</f>
        <v>0</v>
      </c>
      <c r="F163" s="235">
        <v>0</v>
      </c>
      <c r="G163" s="497">
        <f t="shared" si="13"/>
        <v>0</v>
      </c>
      <c r="H163" s="99">
        <f>G163+'18 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'18 '!F164</f>
        <v>7129.6</v>
      </c>
      <c r="F164" s="235">
        <v>7135.1</v>
      </c>
      <c r="G164" s="497">
        <f t="shared" si="13"/>
        <v>5.5</v>
      </c>
      <c r="H164" s="99">
        <f>G164+'18 '!H164</f>
        <v>144.90000000000055</v>
      </c>
      <c r="I164" s="236"/>
      <c r="J164" s="239">
        <f>H164/DAY(B2)</f>
        <v>7.626315789473713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'18 '!F165</f>
        <v>32700.9</v>
      </c>
      <c r="F165" s="235">
        <v>32708.639999999999</v>
      </c>
      <c r="G165" s="497">
        <f t="shared" si="13"/>
        <v>7.7399999999979627</v>
      </c>
      <c r="H165" s="99">
        <f>G165+'18 '!H165</f>
        <v>134.54000000000087</v>
      </c>
      <c r="I165" s="236"/>
      <c r="J165" s="239">
        <f>H165/DAY(B2)</f>
        <v>7.0810526315789932</v>
      </c>
    </row>
    <row r="166" spans="1:10" ht="26.25">
      <c r="A166" s="923"/>
      <c r="B166" s="923"/>
      <c r="C166" s="246"/>
      <c r="D166" s="244"/>
      <c r="E166" s="95"/>
      <c r="F166" s="165"/>
      <c r="G166" s="494"/>
      <c r="H166" s="99"/>
      <c r="I166" s="165"/>
      <c r="J166" s="239"/>
    </row>
    <row r="167" spans="1:10" ht="26.25">
      <c r="A167" s="923"/>
      <c r="B167" s="923"/>
      <c r="C167" s="246"/>
      <c r="D167" s="244"/>
      <c r="E167" s="95"/>
      <c r="F167" s="165"/>
      <c r="G167" s="494"/>
      <c r="H167" s="99"/>
      <c r="I167" s="165"/>
      <c r="J167" s="239"/>
    </row>
    <row r="168" spans="1:10" ht="26.25">
      <c r="A168" s="923"/>
      <c r="B168" s="923"/>
      <c r="C168" s="246"/>
      <c r="D168" s="244"/>
      <c r="E168" s="95"/>
      <c r="F168" s="165"/>
      <c r="G168" s="494"/>
      <c r="H168" s="99"/>
      <c r="I168" s="165"/>
      <c r="J168" s="239"/>
    </row>
    <row r="169" spans="1:10" ht="26.25"/>
    <row r="170" spans="1:10" ht="26.25"/>
    <row r="171" spans="1:10" ht="27.75">
      <c r="A171" s="933" t="s">
        <v>330</v>
      </c>
      <c r="B171" s="934"/>
      <c r="C171" s="934"/>
      <c r="D171" s="934"/>
      <c r="E171" s="934"/>
      <c r="F171" s="934"/>
      <c r="G171" s="934"/>
      <c r="H171" s="934"/>
      <c r="I171" s="934"/>
      <c r="J171" s="935"/>
    </row>
    <row r="172" spans="1:10" ht="25.5">
      <c r="A172" s="929"/>
      <c r="B172" s="930"/>
      <c r="C172" s="332"/>
      <c r="D172" s="228"/>
      <c r="E172" s="155"/>
      <c r="F172" s="155"/>
      <c r="G172" s="498"/>
      <c r="H172" s="156"/>
      <c r="I172" s="155"/>
      <c r="J172" s="178"/>
    </row>
    <row r="173" spans="1:10" ht="25.5">
      <c r="A173" s="841" t="s">
        <v>209</v>
      </c>
      <c r="B173" s="843"/>
      <c r="C173" s="333"/>
      <c r="D173" s="228" t="s">
        <v>142</v>
      </c>
      <c r="E173" s="95">
        <f>'18 '!F173</f>
        <v>8607</v>
      </c>
      <c r="F173" s="157">
        <v>8609</v>
      </c>
      <c r="G173" s="498">
        <f>F173-E173</f>
        <v>2</v>
      </c>
      <c r="H173" s="99">
        <f>G173+'18 '!H173</f>
        <v>25</v>
      </c>
      <c r="I173" s="155"/>
      <c r="J173" s="178">
        <f>H173/DAY(B2)</f>
        <v>1.3157894736842106</v>
      </c>
    </row>
    <row r="174" spans="1:10" ht="25.5">
      <c r="A174" s="841" t="s">
        <v>75</v>
      </c>
      <c r="B174" s="843"/>
      <c r="C174" s="333"/>
      <c r="D174" s="228" t="s">
        <v>142</v>
      </c>
      <c r="E174" s="95">
        <f>'18 '!F174</f>
        <v>42880</v>
      </c>
      <c r="F174" s="157">
        <v>42892</v>
      </c>
      <c r="G174" s="498">
        <f t="shared" ref="G174:G175" si="14">F174-E174</f>
        <v>12</v>
      </c>
      <c r="H174" s="99">
        <f>G174+'18 '!H174</f>
        <v>223</v>
      </c>
      <c r="I174" s="155"/>
      <c r="J174" s="178">
        <f>H174/DAY(B2)</f>
        <v>11.736842105263158</v>
      </c>
    </row>
    <row r="175" spans="1:10" ht="25.5">
      <c r="A175" s="841" t="s">
        <v>76</v>
      </c>
      <c r="B175" s="842"/>
      <c r="C175" s="843"/>
      <c r="D175" s="228" t="s">
        <v>142</v>
      </c>
      <c r="E175" s="95">
        <f>'18 '!F175</f>
        <v>25624</v>
      </c>
      <c r="F175" s="155">
        <v>25636</v>
      </c>
      <c r="G175" s="498">
        <f t="shared" si="14"/>
        <v>12</v>
      </c>
      <c r="H175" s="99">
        <f>G175+'18 '!H175</f>
        <v>243</v>
      </c>
      <c r="I175" s="155"/>
      <c r="J175" s="178">
        <f>H175/DAY(B2)</f>
        <v>12.789473684210526</v>
      </c>
    </row>
    <row r="176" spans="1:10" ht="25.5">
      <c r="A176" s="853" t="s">
        <v>196</v>
      </c>
      <c r="B176" s="854"/>
      <c r="C176" s="400"/>
      <c r="D176" s="228" t="s">
        <v>142</v>
      </c>
      <c r="E176" s="95"/>
      <c r="F176" s="155"/>
      <c r="G176" s="498">
        <f>SUM(G173:G175)</f>
        <v>26</v>
      </c>
      <c r="H176" s="99">
        <f>G176+'18 '!H176</f>
        <v>491</v>
      </c>
      <c r="I176" s="155"/>
      <c r="J176" s="178">
        <f>H176/DAY(B2)</f>
        <v>25.842105263157894</v>
      </c>
    </row>
    <row r="177" spans="1:11" ht="25.5">
      <c r="A177" s="841" t="s">
        <v>77</v>
      </c>
      <c r="B177" s="843"/>
      <c r="C177" s="333"/>
      <c r="D177" s="228" t="s">
        <v>142</v>
      </c>
      <c r="E177" s="95"/>
      <c r="F177" s="155"/>
      <c r="G177" s="498"/>
      <c r="H177" s="99">
        <f>G177+'18 '!H177</f>
        <v>0</v>
      </c>
      <c r="I177" s="155"/>
      <c r="J177" s="178">
        <f>H177/DAY(B2)</f>
        <v>0</v>
      </c>
    </row>
    <row r="178" spans="1:11" ht="25.5">
      <c r="A178" s="841" t="s">
        <v>210</v>
      </c>
      <c r="B178" s="843"/>
      <c r="C178" s="333"/>
      <c r="D178" s="228" t="s">
        <v>142</v>
      </c>
      <c r="E178" s="95">
        <f>'18 '!F178</f>
        <v>105443</v>
      </c>
      <c r="F178" s="155">
        <v>105535</v>
      </c>
      <c r="G178" s="498">
        <f>F178-E178</f>
        <v>92</v>
      </c>
      <c r="H178" s="99">
        <f>G178+'18 '!H178</f>
        <v>1892</v>
      </c>
      <c r="I178" s="155"/>
      <c r="J178" s="178">
        <f>H178/DAY(B2)</f>
        <v>99.578947368421055</v>
      </c>
    </row>
    <row r="179" spans="1:11" ht="25.5">
      <c r="A179" s="841" t="s">
        <v>211</v>
      </c>
      <c r="B179" s="843"/>
      <c r="C179" s="333"/>
      <c r="D179" s="228" t="s">
        <v>142</v>
      </c>
      <c r="E179" s="95">
        <f>'18 '!F179</f>
        <v>37501</v>
      </c>
      <c r="F179" s="155">
        <v>37501</v>
      </c>
      <c r="G179" s="498">
        <f t="shared" ref="G179:G180" si="15">F179-E179</f>
        <v>0</v>
      </c>
      <c r="H179" s="99">
        <f>G179+'18 '!H179</f>
        <v>0</v>
      </c>
      <c r="I179" s="155"/>
      <c r="J179" s="178">
        <f>H179/DAY(B2)</f>
        <v>0</v>
      </c>
    </row>
    <row r="180" spans="1:11" ht="25.5">
      <c r="A180" s="841" t="s">
        <v>212</v>
      </c>
      <c r="B180" s="843"/>
      <c r="C180" s="333"/>
      <c r="D180" s="228" t="s">
        <v>142</v>
      </c>
      <c r="E180" s="95">
        <f>'18 '!F180</f>
        <v>7480</v>
      </c>
      <c r="F180" s="155">
        <v>7480</v>
      </c>
      <c r="G180" s="498">
        <f t="shared" si="15"/>
        <v>0</v>
      </c>
      <c r="H180" s="99">
        <f>G180+'18 '!H180</f>
        <v>60</v>
      </c>
      <c r="I180" s="155"/>
      <c r="J180" s="178">
        <f>H180/DAY(B2)</f>
        <v>3.1578947368421053</v>
      </c>
    </row>
    <row r="181" spans="1:11" ht="25.5">
      <c r="A181" s="927" t="s">
        <v>108</v>
      </c>
      <c r="B181" s="928"/>
      <c r="C181" s="400"/>
      <c r="D181" s="228" t="s">
        <v>142</v>
      </c>
      <c r="E181" s="95"/>
      <c r="F181" s="155"/>
      <c r="G181" s="498">
        <f>SUM(G178:G180)</f>
        <v>92</v>
      </c>
      <c r="H181" s="99">
        <f>G181+'18 '!H181</f>
        <v>1952</v>
      </c>
      <c r="I181" s="155"/>
      <c r="J181" s="178">
        <f>H181/DAY(B2)</f>
        <v>102.73684210526316</v>
      </c>
    </row>
    <row r="182" spans="1:11" ht="25.5">
      <c r="A182" s="841" t="s">
        <v>213</v>
      </c>
      <c r="B182" s="843"/>
      <c r="C182" s="333"/>
      <c r="D182" s="228" t="s">
        <v>142</v>
      </c>
      <c r="E182" s="95"/>
      <c r="F182" s="155"/>
      <c r="G182" s="498"/>
      <c r="H182" s="99">
        <f>G182+'18 '!H182</f>
        <v>0</v>
      </c>
      <c r="I182" s="155"/>
      <c r="J182" s="178">
        <f>H182/DAY(B2)</f>
        <v>0</v>
      </c>
    </row>
    <row r="183" spans="1:11" ht="25.5">
      <c r="A183" s="841" t="s">
        <v>214</v>
      </c>
      <c r="B183" s="843"/>
      <c r="C183" s="334"/>
      <c r="D183" s="228" t="s">
        <v>142</v>
      </c>
      <c r="E183" s="95">
        <f>'18 '!F183</f>
        <v>18296</v>
      </c>
      <c r="F183" s="157">
        <v>18301</v>
      </c>
      <c r="G183" s="499">
        <f>F183-E183</f>
        <v>5</v>
      </c>
      <c r="H183" s="99">
        <f>G183+'18 '!H183</f>
        <v>133</v>
      </c>
      <c r="I183" s="155"/>
      <c r="J183" s="178">
        <f>H183/DAY(B2)</f>
        <v>7</v>
      </c>
    </row>
    <row r="184" spans="1:11" ht="25.5">
      <c r="A184" s="841" t="s">
        <v>215</v>
      </c>
      <c r="B184" s="843"/>
      <c r="C184" s="334"/>
      <c r="D184" s="228" t="s">
        <v>142</v>
      </c>
      <c r="E184" s="95">
        <f>'18 '!F184</f>
        <v>12888</v>
      </c>
      <c r="F184" s="157">
        <v>12894</v>
      </c>
      <c r="G184" s="499">
        <f t="shared" ref="G184:G185" si="16">F184-E184</f>
        <v>6</v>
      </c>
      <c r="H184" s="99">
        <f>G184+'18 '!H184</f>
        <v>163</v>
      </c>
      <c r="I184" s="155"/>
      <c r="J184" s="178">
        <f>H184/DAY(B2)</f>
        <v>8.5789473684210531</v>
      </c>
    </row>
    <row r="185" spans="1:11" ht="30.75" customHeight="1">
      <c r="A185" s="841" t="s">
        <v>216</v>
      </c>
      <c r="B185" s="843"/>
      <c r="C185" s="334"/>
      <c r="D185" s="228" t="s">
        <v>142</v>
      </c>
      <c r="E185" s="95">
        <f>'18 '!F185</f>
        <v>0</v>
      </c>
      <c r="F185" s="157"/>
      <c r="G185" s="499">
        <f t="shared" si="16"/>
        <v>0</v>
      </c>
      <c r="H185" s="99">
        <f>G185+'18 '!H185</f>
        <v>0</v>
      </c>
      <c r="I185" s="155"/>
      <c r="J185" s="178">
        <f>H185/DAY(B2)</f>
        <v>0</v>
      </c>
    </row>
    <row r="186" spans="1:11" ht="25.5">
      <c r="A186" s="853" t="s">
        <v>196</v>
      </c>
      <c r="B186" s="854"/>
      <c r="C186" s="399"/>
      <c r="D186" s="228" t="s">
        <v>142</v>
      </c>
      <c r="E186" s="95"/>
      <c r="F186" s="157"/>
      <c r="G186" s="499">
        <f>SUM(G183:G185)</f>
        <v>11</v>
      </c>
      <c r="H186" s="99">
        <f>G186+'18 '!H186</f>
        <v>296</v>
      </c>
      <c r="I186" s="157"/>
      <c r="J186" s="178">
        <f>H186/DAY(B2)</f>
        <v>15.578947368421053</v>
      </c>
    </row>
    <row r="187" spans="1:11" ht="25.5">
      <c r="A187" s="931" t="s">
        <v>217</v>
      </c>
      <c r="B187" s="932"/>
      <c r="C187" s="333"/>
      <c r="D187" s="230" t="s">
        <v>142</v>
      </c>
      <c r="E187" s="95"/>
      <c r="F187" s="159"/>
      <c r="G187" s="500">
        <f>G62+G19</f>
        <v>160.5</v>
      </c>
      <c r="H187" s="99">
        <f>G187+'18 '!H187</f>
        <v>3288</v>
      </c>
      <c r="I187" s="158"/>
      <c r="J187" s="179">
        <f>H187/DAY(B2)</f>
        <v>173.05263157894737</v>
      </c>
    </row>
    <row r="188" spans="1:11" ht="25.5">
      <c r="A188" s="931" t="s">
        <v>218</v>
      </c>
      <c r="B188" s="932"/>
      <c r="C188" s="333"/>
      <c r="D188" s="230" t="s">
        <v>142</v>
      </c>
      <c r="E188" s="95"/>
      <c r="F188" s="159"/>
      <c r="G188" s="500">
        <f>G65+G66+G67+G69+G70</f>
        <v>160</v>
      </c>
      <c r="H188" s="99">
        <f>G188+'18 '!H188</f>
        <v>952</v>
      </c>
      <c r="I188" s="158"/>
      <c r="J188" s="179">
        <f>H188/DAY(B2)</f>
        <v>50.10526315789474</v>
      </c>
    </row>
    <row r="189" spans="1:11" ht="25.5">
      <c r="A189" s="931" t="s">
        <v>219</v>
      </c>
      <c r="B189" s="932"/>
      <c r="C189" s="333"/>
      <c r="D189" s="230" t="s">
        <v>142</v>
      </c>
      <c r="E189" s="95"/>
      <c r="F189" s="157"/>
      <c r="G189" s="500">
        <f>G181</f>
        <v>92</v>
      </c>
      <c r="H189" s="99">
        <f>G189+'30'!H238</f>
        <v>92</v>
      </c>
      <c r="I189" s="158"/>
      <c r="J189" s="179">
        <f>H189/DAY(B2)</f>
        <v>4.8421052631578947</v>
      </c>
    </row>
    <row r="190" spans="1:11" ht="23.25" customHeight="1">
      <c r="A190" s="245"/>
      <c r="B190" s="246"/>
      <c r="C190" s="246"/>
      <c r="D190" s="165"/>
      <c r="E190" s="165"/>
      <c r="F190" s="455"/>
      <c r="G190" s="494"/>
      <c r="H190" s="238"/>
      <c r="I190" s="99"/>
      <c r="J190" s="236"/>
      <c r="K190" s="239" t="e">
        <f>I190/DAY(C27)</f>
        <v>#DIV/0!</v>
      </c>
    </row>
    <row r="191" spans="1:11" ht="26.25"/>
    <row r="192" spans="1:11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26:J126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27:B127"/>
    <mergeCell ref="A128:C128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08:J108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R1701"/>
  <sheetViews>
    <sheetView view="pageBreakPreview" zoomScale="55" zoomScaleSheetLayoutView="55" zoomScalePageLayoutView="78" workbookViewId="0">
      <selection activeCell="F7" sqref="F7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3.88671875" style="160" customWidth="1"/>
    <col min="7" max="7" width="28.88671875" style="160" customWidth="1"/>
    <col min="8" max="8" width="29" style="161" customWidth="1"/>
    <col min="9" max="9" width="21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67" t="s">
        <v>115</v>
      </c>
      <c r="B1" s="868"/>
      <c r="C1" s="868"/>
      <c r="D1" s="868"/>
      <c r="E1" s="868"/>
      <c r="F1" s="868"/>
      <c r="G1" s="868"/>
      <c r="H1" s="868"/>
      <c r="I1" s="868"/>
      <c r="J1" s="869"/>
    </row>
    <row r="2" spans="1:15" s="57" customFormat="1" ht="23.25">
      <c r="A2" s="191" t="s">
        <v>355</v>
      </c>
      <c r="B2" s="262">
        <v>44915</v>
      </c>
      <c r="C2" s="348" t="s">
        <v>67</v>
      </c>
      <c r="D2" s="218">
        <v>0.81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26</v>
      </c>
      <c r="E3" s="876" t="s">
        <v>119</v>
      </c>
      <c r="F3" s="877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0" t="s">
        <v>128</v>
      </c>
      <c r="B6" s="871"/>
      <c r="C6" s="87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'19'!F7</f>
        <v>716876.23</v>
      </c>
      <c r="F7" s="95">
        <v>739793</v>
      </c>
      <c r="G7" s="112">
        <f>F7-E7</f>
        <v>22916.770000000019</v>
      </c>
      <c r="H7" s="99">
        <f>G7+'19'!H7</f>
        <v>466110.45</v>
      </c>
      <c r="I7" s="113">
        <v>24000</v>
      </c>
      <c r="J7" s="175">
        <f>H7/DAY(B2)</f>
        <v>23305.522499999999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'19'!F8</f>
        <v>897022.7</v>
      </c>
      <c r="F8" s="114">
        <v>920081</v>
      </c>
      <c r="G8" s="115">
        <f>F8-E8</f>
        <v>23058.300000000047</v>
      </c>
      <c r="H8" s="99">
        <f>G8+'19'!H8</f>
        <v>468820</v>
      </c>
      <c r="I8" s="116"/>
      <c r="J8" s="175">
        <f>H8/DAY(B2)</f>
        <v>23441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'19'!F9</f>
        <v>4254676.3</v>
      </c>
      <c r="F9" s="468">
        <v>4260623</v>
      </c>
      <c r="G9" s="112">
        <f>F9-E9</f>
        <v>5946.7000000001863</v>
      </c>
      <c r="H9" s="99">
        <f>G9+'19'!H9</f>
        <v>146452.70000000019</v>
      </c>
      <c r="I9" s="124">
        <f>I7-J7</f>
        <v>694.47750000000087</v>
      </c>
      <c r="J9" s="175">
        <f>H9/DAY(B2)</f>
        <v>7322.6350000000093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'19'!F10</f>
        <v>3980287.9</v>
      </c>
      <c r="F10" s="353">
        <v>3996542</v>
      </c>
      <c r="G10" s="112">
        <f t="shared" ref="G10:G12" si="0">F10-E10</f>
        <v>16254.100000000093</v>
      </c>
      <c r="H10" s="99">
        <f>G10+'19'!H10</f>
        <v>307062.89999999991</v>
      </c>
      <c r="I10" s="282"/>
      <c r="J10" s="175">
        <f>H10/DAY(B2)</f>
        <v>15353.144999999995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'19'!F11</f>
        <v>38120</v>
      </c>
      <c r="F11" s="95">
        <v>38120</v>
      </c>
      <c r="G11" s="112">
        <f t="shared" si="0"/>
        <v>0</v>
      </c>
      <c r="H11" s="99">
        <f>G11+'19'!H11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'19'!F12</f>
        <v>40550</v>
      </c>
      <c r="F12" s="117">
        <v>40550</v>
      </c>
      <c r="G12" s="112">
        <f t="shared" si="0"/>
        <v>0</v>
      </c>
      <c r="H12" s="99">
        <f>G12+'19'!H12</f>
        <v>160</v>
      </c>
      <c r="I12" s="282"/>
      <c r="J12" s="175">
        <f>H12/DAY(B2)</f>
        <v>8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22200.800000000279</v>
      </c>
      <c r="H13" s="99">
        <f>G13+'19'!H13</f>
        <v>457904.29999999981</v>
      </c>
      <c r="I13" s="120">
        <f>G7-G13</f>
        <v>715.96999999973923</v>
      </c>
      <c r="J13" s="175">
        <f>H13/DAY(B2)</f>
        <v>22895.214999999989</v>
      </c>
      <c r="K13" s="79"/>
      <c r="L13" s="66"/>
      <c r="N13" s="87"/>
      <c r="O13" s="71"/>
    </row>
    <row r="14" spans="1:15" ht="26.25">
      <c r="A14" s="873" t="s">
        <v>137</v>
      </c>
      <c r="B14" s="874"/>
      <c r="C14" s="87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8">
        <f>'19'!F15</f>
        <v>2239557</v>
      </c>
      <c r="F15" s="468">
        <v>2240673</v>
      </c>
      <c r="G15" s="112">
        <f>(F15-E15)</f>
        <v>1116</v>
      </c>
      <c r="H15" s="99">
        <f>G15+'19'!H15</f>
        <v>21732</v>
      </c>
      <c r="I15" s="113">
        <f>'1'!I15</f>
        <v>800</v>
      </c>
      <c r="J15" s="175">
        <f>H15/DAY(B2)</f>
        <v>1086.5999999999999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-286.59999999999991</v>
      </c>
      <c r="J16" s="176"/>
      <c r="K16" s="79"/>
      <c r="L16" s="66"/>
      <c r="N16" s="87"/>
      <c r="O16" s="71"/>
    </row>
    <row r="17" spans="1:15" ht="26.25">
      <c r="A17" s="873" t="s">
        <v>140</v>
      </c>
      <c r="B17" s="874"/>
      <c r="C17" s="87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64" t="s">
        <v>141</v>
      </c>
      <c r="B18" s="865"/>
      <c r="C18" s="866"/>
      <c r="D18" s="151" t="s">
        <v>142</v>
      </c>
      <c r="E18" s="95">
        <f>'19'!F18</f>
        <v>33</v>
      </c>
      <c r="F18" s="122">
        <v>23</v>
      </c>
      <c r="G18" s="119">
        <f>F18*10</f>
        <v>230</v>
      </c>
      <c r="H18" s="99">
        <f>G18+'19'!H18</f>
        <v>5540</v>
      </c>
      <c r="I18" s="113">
        <f>'1'!I18</f>
        <v>65</v>
      </c>
      <c r="J18" s="175">
        <f>H18/DAY(B2)</f>
        <v>277</v>
      </c>
      <c r="K18" s="79"/>
      <c r="L18" s="66"/>
      <c r="N18" s="87"/>
      <c r="O18" s="71"/>
    </row>
    <row r="19" spans="1:15" ht="25.5">
      <c r="A19" s="864" t="s">
        <v>69</v>
      </c>
      <c r="B19" s="865"/>
      <c r="C19" s="866"/>
      <c r="D19" s="151" t="s">
        <v>142</v>
      </c>
      <c r="E19" s="95">
        <f>'19'!F19</f>
        <v>168888</v>
      </c>
      <c r="F19" s="543">
        <v>168947</v>
      </c>
      <c r="G19" s="112">
        <f t="shared" ref="G19" si="1">F19-E19</f>
        <v>59</v>
      </c>
      <c r="H19" s="99">
        <f>G19+'19'!H19</f>
        <v>1071</v>
      </c>
      <c r="I19" s="335"/>
      <c r="J19" s="175">
        <f>H19/DAY(B2)</f>
        <v>53.55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289</v>
      </c>
      <c r="H20" s="99">
        <f>G20+'19'!H20</f>
        <v>6611</v>
      </c>
      <c r="I20" s="336">
        <f>I18-J20</f>
        <v>-265.55</v>
      </c>
      <c r="J20" s="175">
        <f>H20/DAY(B2)</f>
        <v>330.55</v>
      </c>
      <c r="K20" s="79"/>
      <c r="L20" s="66"/>
      <c r="N20" s="87"/>
      <c r="O20" s="71"/>
    </row>
    <row r="21" spans="1:15" ht="26.25">
      <c r="A21" s="873" t="s">
        <v>144</v>
      </c>
      <c r="B21" s="874"/>
      <c r="C21" s="87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'19'!F22</f>
        <v>2970</v>
      </c>
      <c r="F22" s="122">
        <v>2970</v>
      </c>
      <c r="G22" s="119">
        <f t="shared" ref="G22" si="2">(F22-E22)</f>
        <v>0</v>
      </c>
      <c r="H22" s="99">
        <f>G22+'19'!H22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'19'!F23</f>
        <v>1860</v>
      </c>
      <c r="F23" s="122">
        <v>1860</v>
      </c>
      <c r="G23" s="119">
        <v>0</v>
      </c>
      <c r="H23" s="99">
        <f>G23+'19'!H23</f>
        <v>-100</v>
      </c>
      <c r="I23" s="118"/>
      <c r="J23" s="175">
        <f>H23/DAY(B2)</f>
        <v>-5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'19'!F24</f>
        <v>4830</v>
      </c>
      <c r="F24" s="128">
        <f>SUM(F22:F23)</f>
        <v>4830</v>
      </c>
      <c r="G24" s="119">
        <v>0</v>
      </c>
      <c r="H24" s="99">
        <f>G24+'19'!H24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78" t="s">
        <v>149</v>
      </c>
      <c r="B25" s="879"/>
      <c r="C25" s="88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23058.300000000047</v>
      </c>
      <c r="F27" s="136">
        <v>9</v>
      </c>
      <c r="G27" s="137">
        <f>E27*F27</f>
        <v>207524.70000000042</v>
      </c>
      <c r="H27" s="99">
        <f>G27+'19'!H27</f>
        <v>4241970.8</v>
      </c>
      <c r="I27" s="138"/>
      <c r="J27" s="175">
        <f>H27/DAY(B2)</f>
        <v>212098.53999999998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1116</v>
      </c>
      <c r="F28" s="136">
        <v>70</v>
      </c>
      <c r="G28" s="137">
        <f>E28*F28</f>
        <v>78120</v>
      </c>
      <c r="H28" s="99">
        <f>G28+'19'!H28</f>
        <v>1531751.7500000005</v>
      </c>
      <c r="I28" s="140"/>
      <c r="J28" s="175">
        <f>H28/DAY(B2)</f>
        <v>76587.587500000023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G29+'19'!H29</f>
        <v>6900</v>
      </c>
      <c r="I29" s="140"/>
      <c r="J29" s="175">
        <f>H29/DAY(B2)</f>
        <v>345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59</v>
      </c>
      <c r="F30" s="136">
        <v>151</v>
      </c>
      <c r="G30" s="137">
        <f>E30*F30</f>
        <v>8909</v>
      </c>
      <c r="H30" s="99">
        <f>G30+'19'!H30</f>
        <v>161721</v>
      </c>
      <c r="I30" s="140"/>
      <c r="J30" s="175">
        <f>H30/DAY(B2)</f>
        <v>8086.05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230</v>
      </c>
      <c r="F31" s="136">
        <v>80</v>
      </c>
      <c r="G31" s="137">
        <f>E31*F31</f>
        <v>18400</v>
      </c>
      <c r="H31" s="99">
        <f>G31+'19'!H31</f>
        <v>443200</v>
      </c>
      <c r="I31" s="140"/>
      <c r="J31" s="175">
        <f>H31/DAY(B2)</f>
        <v>22160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312953.70000000042</v>
      </c>
      <c r="H32" s="99">
        <f>G32+'19'!H32</f>
        <v>6385543.5500000007</v>
      </c>
      <c r="I32" s="144"/>
      <c r="J32" s="175">
        <f>H32/DAY(B2)</f>
        <v>319277.17750000005</v>
      </c>
      <c r="K32" s="63"/>
      <c r="L32" s="89"/>
      <c r="N32" s="87"/>
      <c r="O32" s="71"/>
    </row>
    <row r="33" spans="1:15" ht="25.5" customHeight="1">
      <c r="A33" s="881" t="s">
        <v>331</v>
      </c>
      <c r="B33" s="882"/>
      <c r="C33" s="88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'19'!F35</f>
        <v>422109.11</v>
      </c>
      <c r="F35" s="145">
        <v>424884</v>
      </c>
      <c r="G35" s="112">
        <f t="shared" ref="G35:G46" si="3">F35-E35</f>
        <v>2774.890000000014</v>
      </c>
      <c r="H35" s="99">
        <f>G35+'19'!H35</f>
        <v>55787.090000000026</v>
      </c>
      <c r="I35" s="95"/>
      <c r="J35" s="175">
        <f>H35/DAY(B2)</f>
        <v>2789.3545000000013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'19'!F36</f>
        <v>343370.5</v>
      </c>
      <c r="F36" s="145">
        <v>344167</v>
      </c>
      <c r="G36" s="112">
        <f t="shared" si="3"/>
        <v>796.5</v>
      </c>
      <c r="H36" s="99">
        <f>G36+'19'!H36</f>
        <v>21949.890000000014</v>
      </c>
      <c r="I36" s="95"/>
      <c r="J36" s="175">
        <f>H36/DAY(B2)</f>
        <v>1097.4945000000007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'19'!F37</f>
        <v>322998.69</v>
      </c>
      <c r="F37" s="418">
        <v>322998.69</v>
      </c>
      <c r="G37" s="112">
        <f t="shared" si="3"/>
        <v>0</v>
      </c>
      <c r="H37" s="99">
        <f>G37+'19'!H37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'19'!F38</f>
        <v>770899.59</v>
      </c>
      <c r="F38" s="106">
        <v>770899.59</v>
      </c>
      <c r="G38" s="112">
        <f t="shared" si="3"/>
        <v>0</v>
      </c>
      <c r="H38" s="99">
        <f>G38+'19'!H38</f>
        <v>35047.199999999953</v>
      </c>
      <c r="I38" s="95"/>
      <c r="J38" s="175">
        <f>H38/DAY(B2)</f>
        <v>1752.3599999999976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'19'!F39</f>
        <v>591584.18999999994</v>
      </c>
      <c r="F39" s="418">
        <v>591584</v>
      </c>
      <c r="G39" s="112">
        <f t="shared" si="3"/>
        <v>-0.18999999994412065</v>
      </c>
      <c r="H39" s="99">
        <f>G39+'19'!H39</f>
        <v>-0.18999999994412065</v>
      </c>
      <c r="I39" s="95"/>
      <c r="J39" s="175">
        <f>H39/DAY(B2)</f>
        <v>-9.4999999972060316E-3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'19'!F40</f>
        <v>204632.29</v>
      </c>
      <c r="F40" s="145">
        <v>205048</v>
      </c>
      <c r="G40" s="112">
        <f t="shared" si="3"/>
        <v>415.70999999999185</v>
      </c>
      <c r="H40" s="99">
        <f>G40+'19'!H40</f>
        <v>8318.0299999999988</v>
      </c>
      <c r="I40" s="95"/>
      <c r="J40" s="175">
        <f>H40/DAY(B2)</f>
        <v>415.90149999999994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'19'!F41</f>
        <v>419197.47</v>
      </c>
      <c r="F41" s="145">
        <v>419197</v>
      </c>
      <c r="G41" s="112">
        <f t="shared" si="3"/>
        <v>-0.46999999997206032</v>
      </c>
      <c r="H41" s="99">
        <f>G41+'19'!H41</f>
        <v>29.409999999974389</v>
      </c>
      <c r="I41" s="95"/>
      <c r="J41" s="175">
        <f>H41/DAY(B2)</f>
        <v>1.4704999999987194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'19'!F42</f>
        <v>890910.79</v>
      </c>
      <c r="F42" s="145">
        <v>890910.79</v>
      </c>
      <c r="G42" s="112">
        <f t="shared" si="3"/>
        <v>0</v>
      </c>
      <c r="H42" s="99">
        <f>G42+'19'!H42</f>
        <v>19039.920000000042</v>
      </c>
      <c r="I42" s="95"/>
      <c r="J42" s="175">
        <f>H42/DAY(B2)</f>
        <v>951.99600000000214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'19'!F43</f>
        <v>419915.19</v>
      </c>
      <c r="F43" s="145">
        <v>422444</v>
      </c>
      <c r="G43" s="112">
        <f t="shared" si="3"/>
        <v>2528.8099999999977</v>
      </c>
      <c r="H43" s="99">
        <f>G43+'19'!H43</f>
        <v>15416</v>
      </c>
      <c r="I43" s="95"/>
      <c r="J43" s="175">
        <f>H43/DAY(B2)</f>
        <v>770.8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'19'!F44</f>
        <v>0</v>
      </c>
      <c r="F44" s="145">
        <v>0</v>
      </c>
      <c r="G44" s="112">
        <f t="shared" si="3"/>
        <v>0</v>
      </c>
      <c r="H44" s="99">
        <f>G44+'19'!H44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'19'!F45</f>
        <v>0</v>
      </c>
      <c r="F45" s="145">
        <v>0</v>
      </c>
      <c r="G45" s="112">
        <f t="shared" si="3"/>
        <v>0</v>
      </c>
      <c r="H45" s="99">
        <f>G45+'19'!H45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'19'!F46</f>
        <v>0</v>
      </c>
      <c r="F46" s="145">
        <v>0</v>
      </c>
      <c r="G46" s="112">
        <f t="shared" si="3"/>
        <v>0</v>
      </c>
      <c r="H46" s="99">
        <f>G46+'19'!H46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6515.2500000000873</v>
      </c>
      <c r="H47" s="99">
        <f>G47+'19'!H47</f>
        <v>155587.35000000006</v>
      </c>
      <c r="I47" s="95"/>
      <c r="J47" s="175">
        <f>H47/DAY(B2)</f>
        <v>7779.367500000003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'19'!F49</f>
        <v>801968.4</v>
      </c>
      <c r="F49" s="145">
        <v>802465.59</v>
      </c>
      <c r="G49" s="112">
        <f t="shared" ref="G49:G58" si="4">F49-E49</f>
        <v>497.18999999994412</v>
      </c>
      <c r="H49" s="99">
        <f>G49+'19'!H49</f>
        <v>8842.640000000014</v>
      </c>
      <c r="I49" s="95"/>
      <c r="J49" s="175">
        <f>H49/DAY(B2)</f>
        <v>442.13200000000069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'19'!F50</f>
        <v>485151.59</v>
      </c>
      <c r="F50" s="145">
        <v>486923</v>
      </c>
      <c r="G50" s="112">
        <f t="shared" si="4"/>
        <v>1771.4099999999744</v>
      </c>
      <c r="H50" s="99">
        <f>G50+'19'!H50</f>
        <v>30253.929999999993</v>
      </c>
      <c r="I50" s="95"/>
      <c r="J50" s="175">
        <f>H50/DAY(B2)</f>
        <v>1512.6964999999996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'19'!F51</f>
        <v>155456.35999999999</v>
      </c>
      <c r="F51" s="145">
        <v>156473</v>
      </c>
      <c r="G51" s="112">
        <f t="shared" si="4"/>
        <v>1016.640000000014</v>
      </c>
      <c r="H51" s="99">
        <f>G51+'19'!H51</f>
        <v>21228.450000000012</v>
      </c>
      <c r="I51" s="95"/>
      <c r="J51" s="175">
        <f>H51/DAY(B2)</f>
        <v>1061.4225000000006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'19'!F52</f>
        <v>9.76</v>
      </c>
      <c r="F52" s="145">
        <v>9.76</v>
      </c>
      <c r="G52" s="112">
        <f t="shared" si="4"/>
        <v>0</v>
      </c>
      <c r="H52" s="99">
        <f>G52+'19'!H52</f>
        <v>-0.24000000000000021</v>
      </c>
      <c r="I52" s="95"/>
      <c r="J52" s="175">
        <f>H52/DAY(B2)</f>
        <v>-1.2000000000000011E-2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'19'!F53</f>
        <v>624223.43000000005</v>
      </c>
      <c r="F53" s="145">
        <v>628260</v>
      </c>
      <c r="G53" s="112">
        <f t="shared" si="4"/>
        <v>4036.5699999999488</v>
      </c>
      <c r="H53" s="99">
        <f>G53+'19'!H53</f>
        <v>81718.729999999981</v>
      </c>
      <c r="I53" s="95"/>
      <c r="J53" s="175">
        <f>H53/DAY(B2)</f>
        <v>4085.9364999999989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'19'!F54</f>
        <v>110875.52</v>
      </c>
      <c r="F54" s="145">
        <v>110976</v>
      </c>
      <c r="G54" s="112">
        <f t="shared" si="4"/>
        <v>100.47999999999593</v>
      </c>
      <c r="H54" s="99">
        <f>G54+'19'!H54</f>
        <v>3312.8399999999965</v>
      </c>
      <c r="I54" s="95"/>
      <c r="J54" s="175">
        <f>H54/DAY(B2)</f>
        <v>165.64199999999983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'19'!F55</f>
        <v>575800.11</v>
      </c>
      <c r="F55" s="145">
        <v>576266</v>
      </c>
      <c r="G55" s="112">
        <f t="shared" si="4"/>
        <v>465.89000000001397</v>
      </c>
      <c r="H55" s="99">
        <f>G55+'19'!H55</f>
        <v>14781.329999999958</v>
      </c>
      <c r="I55" s="95"/>
      <c r="J55" s="175">
        <f>H55/DAY(B2)</f>
        <v>739.06649999999786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'19'!F56</f>
        <v>317423.7</v>
      </c>
      <c r="F56" s="145">
        <v>320682</v>
      </c>
      <c r="G56" s="112">
        <f t="shared" si="4"/>
        <v>3258.2999999999884</v>
      </c>
      <c r="H56" s="99">
        <f>G56+'19'!H56</f>
        <v>52566.989999999991</v>
      </c>
      <c r="I56" s="95"/>
      <c r="J56" s="175">
        <f>H56/DAY(B2)</f>
        <v>2628.3494999999994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'19'!F57</f>
        <v>0</v>
      </c>
      <c r="F57" s="145">
        <v>0</v>
      </c>
      <c r="G57" s="112">
        <f t="shared" si="4"/>
        <v>0</v>
      </c>
      <c r="H57" s="99">
        <f>G57+'19'!H57</f>
        <v>39230.530000000028</v>
      </c>
      <c r="I57" s="95"/>
      <c r="J57" s="175">
        <f>H57/DAY(B2)</f>
        <v>1961.5265000000013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'19'!F58</f>
        <v>83125</v>
      </c>
      <c r="F58" s="145">
        <v>83399</v>
      </c>
      <c r="G58" s="112">
        <f t="shared" si="4"/>
        <v>274</v>
      </c>
      <c r="H58" s="99">
        <f>G58+'19'!H58</f>
        <v>4683.3099999999977</v>
      </c>
      <c r="I58" s="95"/>
      <c r="J58" s="175">
        <f>H58/DAY(B2)</f>
        <v>234.16549999999989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11420.47999999988</v>
      </c>
      <c r="H59" s="99">
        <f>G59+'19'!H59</f>
        <v>256618.50999999995</v>
      </c>
      <c r="I59" s="95">
        <f>G7-G60</f>
        <v>4981.0400000000518</v>
      </c>
      <c r="J59" s="175">
        <f>H59/DAY(B2)</f>
        <v>12830.925499999998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17935.729999999967</v>
      </c>
      <c r="H60" s="99">
        <f>G60+'19'!H60</f>
        <v>412205.86000000016</v>
      </c>
      <c r="I60" s="95">
        <f>G13-G60</f>
        <v>4265.0700000003126</v>
      </c>
      <c r="J60" s="175">
        <f>H60/DAY(B2)</f>
        <v>20610.293000000009</v>
      </c>
      <c r="K60" s="79"/>
      <c r="L60" s="66"/>
      <c r="N60" s="87"/>
      <c r="O60" s="71"/>
    </row>
    <row r="61" spans="1:15" s="68" customFormat="1" ht="26.25">
      <c r="A61" s="883" t="s">
        <v>332</v>
      </c>
      <c r="B61" s="884"/>
      <c r="C61" s="88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64" t="s">
        <v>198</v>
      </c>
      <c r="B62" s="865"/>
      <c r="C62" s="866"/>
      <c r="D62" s="151" t="s">
        <v>142</v>
      </c>
      <c r="E62" s="95">
        <f>'19'!F62</f>
        <v>310590</v>
      </c>
      <c r="F62" s="122">
        <v>310706</v>
      </c>
      <c r="G62" s="112">
        <f t="shared" ref="G62:G63" si="5">F62-E62</f>
        <v>116</v>
      </c>
      <c r="H62" s="99">
        <f>G62+'19'!H62</f>
        <v>2392</v>
      </c>
      <c r="I62" s="118"/>
      <c r="J62" s="175">
        <f>H62/DAY(B2)</f>
        <v>119.6</v>
      </c>
      <c r="K62" s="80"/>
      <c r="L62" s="66"/>
      <c r="N62" s="87"/>
      <c r="O62" s="71"/>
    </row>
    <row r="63" spans="1:15" ht="25.5">
      <c r="A63" s="864" t="s">
        <v>199</v>
      </c>
      <c r="B63" s="865"/>
      <c r="C63" s="866"/>
      <c r="D63" s="151" t="s">
        <v>142</v>
      </c>
      <c r="E63" s="95">
        <f>'19'!F63</f>
        <v>248034</v>
      </c>
      <c r="F63" s="122">
        <v>248066</v>
      </c>
      <c r="G63" s="112">
        <f t="shared" si="5"/>
        <v>32</v>
      </c>
      <c r="H63" s="99">
        <f>G63+'19'!H63</f>
        <v>1137</v>
      </c>
      <c r="I63" s="118"/>
      <c r="J63" s="175">
        <f>H63/DAY(B2)</f>
        <v>56.85</v>
      </c>
      <c r="K63" s="69"/>
      <c r="L63" s="66"/>
      <c r="N63" s="87"/>
      <c r="O63" s="71"/>
    </row>
    <row r="64" spans="1:15" ht="26.25">
      <c r="A64" s="861" t="s">
        <v>200</v>
      </c>
      <c r="B64" s="862"/>
      <c r="C64" s="863"/>
      <c r="D64" s="151"/>
      <c r="E64" s="95">
        <f>'19'!F64</f>
        <v>0</v>
      </c>
      <c r="F64" s="122"/>
      <c r="G64" s="112">
        <f>G62+G63</f>
        <v>148</v>
      </c>
      <c r="H64" s="99">
        <f>G64+'19'!H64</f>
        <v>3529</v>
      </c>
      <c r="I64" s="118"/>
      <c r="J64" s="175">
        <f>H64/DAY(B2)</f>
        <v>176.45</v>
      </c>
      <c r="K64" s="69"/>
      <c r="L64" s="66"/>
      <c r="N64" s="87"/>
      <c r="O64" s="71"/>
    </row>
    <row r="65" spans="1:15" ht="25.5">
      <c r="A65" s="864" t="s">
        <v>201</v>
      </c>
      <c r="B65" s="865"/>
      <c r="C65" s="866"/>
      <c r="D65" s="151" t="s">
        <v>142</v>
      </c>
      <c r="E65" s="95">
        <f>'19'!F65</f>
        <v>470474</v>
      </c>
      <c r="F65" s="122">
        <v>470614</v>
      </c>
      <c r="G65" s="112">
        <f t="shared" ref="G65:G70" si="6">F65-E65</f>
        <v>140</v>
      </c>
      <c r="H65" s="99">
        <f>G65+'19'!H65</f>
        <v>2713</v>
      </c>
      <c r="I65" s="118"/>
      <c r="J65" s="175">
        <f>H65/DAY(B2)</f>
        <v>135.65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'19'!F66</f>
        <v>113389</v>
      </c>
      <c r="F66" s="122">
        <v>113401</v>
      </c>
      <c r="G66" s="112">
        <f t="shared" si="6"/>
        <v>12</v>
      </c>
      <c r="H66" s="99">
        <f>G66+'19'!H66</f>
        <v>55654</v>
      </c>
      <c r="I66" s="118"/>
      <c r="J66" s="175">
        <f>H66/DAY(B2)</f>
        <v>2782.7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'19'!F67</f>
        <v>116254</v>
      </c>
      <c r="F67" s="122">
        <v>116276</v>
      </c>
      <c r="G67" s="112">
        <f t="shared" si="6"/>
        <v>22</v>
      </c>
      <c r="H67" s="99">
        <f>G67+'19'!H67</f>
        <v>421</v>
      </c>
      <c r="I67" s="118"/>
      <c r="J67" s="175">
        <f>H67/DAY(B2)</f>
        <v>21.05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'19'!F68</f>
        <v>169080</v>
      </c>
      <c r="F68" s="122">
        <v>169112</v>
      </c>
      <c r="G68" s="112">
        <f t="shared" si="6"/>
        <v>32</v>
      </c>
      <c r="H68" s="99">
        <f>G68+'19'!H68</f>
        <v>605</v>
      </c>
      <c r="I68" s="118"/>
      <c r="J68" s="175">
        <f>H68/DAY(B2)</f>
        <v>30.25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'19'!F69</f>
        <v>12912</v>
      </c>
      <c r="F69" s="122">
        <v>12915</v>
      </c>
      <c r="G69" s="112">
        <f t="shared" si="6"/>
        <v>3</v>
      </c>
      <c r="H69" s="99">
        <f>G69+'19'!H69</f>
        <v>105</v>
      </c>
      <c r="I69" s="118"/>
      <c r="J69" s="175">
        <f>H69/DAY(B2)</f>
        <v>5.25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'19'!F70</f>
        <v>10914</v>
      </c>
      <c r="F70" s="122">
        <v>10920</v>
      </c>
      <c r="G70" s="112">
        <f t="shared" si="6"/>
        <v>6</v>
      </c>
      <c r="H70" s="99">
        <f>G70+'19'!H70</f>
        <v>141</v>
      </c>
      <c r="I70" s="118"/>
      <c r="J70" s="175">
        <f>H70/DAY(B2)</f>
        <v>7.05</v>
      </c>
      <c r="K70" s="69"/>
      <c r="L70" s="66"/>
      <c r="N70" s="87"/>
      <c r="O70" s="71"/>
    </row>
    <row r="71" spans="1:15" ht="26.25">
      <c r="A71" s="861" t="s">
        <v>208</v>
      </c>
      <c r="B71" s="862"/>
      <c r="C71" s="863"/>
      <c r="D71" s="152"/>
      <c r="E71" s="152"/>
      <c r="F71" s="152"/>
      <c r="G71" s="153">
        <f>SUM(G65:G70)</f>
        <v>215</v>
      </c>
      <c r="H71" s="99">
        <f>G71+'19'!H71</f>
        <v>59639</v>
      </c>
      <c r="I71" s="154"/>
      <c r="J71" s="175">
        <f>H71/DAY(B2)</f>
        <v>2981.95</v>
      </c>
      <c r="K71" s="69"/>
      <c r="L71" s="66"/>
      <c r="N71" s="87"/>
      <c r="O71" s="71"/>
    </row>
    <row r="72" spans="1:15" s="88" customFormat="1" ht="25.5">
      <c r="A72" s="904"/>
      <c r="B72" s="89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09" t="s">
        <v>333</v>
      </c>
      <c r="B73" s="910"/>
      <c r="C73" s="91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64" t="s">
        <v>220</v>
      </c>
      <c r="B74" s="865"/>
      <c r="C74" s="866"/>
      <c r="D74" s="151" t="s">
        <v>139</v>
      </c>
      <c r="E74" s="95">
        <f>'19'!F74</f>
        <v>998927.89</v>
      </c>
      <c r="F74" s="117">
        <v>999214</v>
      </c>
      <c r="G74" s="112">
        <f t="shared" ref="G74:G78" si="7">F74-E74</f>
        <v>286.10999999998603</v>
      </c>
      <c r="H74" s="99">
        <f>G74+'19'!H74</f>
        <v>5854.9699999999721</v>
      </c>
      <c r="I74" s="154"/>
      <c r="J74" s="175">
        <f>H74/DAY(B2)</f>
        <v>292.74849999999861</v>
      </c>
      <c r="K74" s="69"/>
      <c r="L74" s="66"/>
      <c r="N74" s="87"/>
      <c r="O74" s="71"/>
    </row>
    <row r="75" spans="1:15" ht="25.5">
      <c r="A75" s="864" t="s">
        <v>221</v>
      </c>
      <c r="B75" s="865"/>
      <c r="C75" s="866"/>
      <c r="D75" s="151" t="s">
        <v>139</v>
      </c>
      <c r="E75" s="95">
        <f>'19'!F75</f>
        <v>73586.8</v>
      </c>
      <c r="F75" s="123">
        <v>73586.8</v>
      </c>
      <c r="G75" s="112">
        <f t="shared" si="7"/>
        <v>0</v>
      </c>
      <c r="H75" s="99">
        <f>G75+'19'!H75</f>
        <v>0.80000000000291038</v>
      </c>
      <c r="I75" s="154"/>
      <c r="J75" s="175">
        <f>H75/DAY(B2)</f>
        <v>4.0000000000145516E-2</v>
      </c>
      <c r="K75" s="69"/>
      <c r="L75" s="66"/>
      <c r="N75" s="87"/>
      <c r="O75" s="71"/>
    </row>
    <row r="76" spans="1:15" ht="25.5">
      <c r="A76" s="905" t="s">
        <v>222</v>
      </c>
      <c r="B76" s="891"/>
      <c r="C76" s="892"/>
      <c r="D76" s="151" t="s">
        <v>139</v>
      </c>
      <c r="E76" s="95">
        <f>'19'!F76</f>
        <v>206111</v>
      </c>
      <c r="F76" s="123">
        <v>206205</v>
      </c>
      <c r="G76" s="112">
        <f t="shared" si="7"/>
        <v>94</v>
      </c>
      <c r="H76" s="99">
        <f>G76+'19'!H76</f>
        <v>2543</v>
      </c>
      <c r="I76" s="154"/>
      <c r="J76" s="175">
        <f>H76/DAY(B2)</f>
        <v>127.15</v>
      </c>
      <c r="K76" s="69"/>
      <c r="L76" s="66"/>
      <c r="N76" s="87"/>
      <c r="O76" s="71"/>
    </row>
    <row r="77" spans="1:15" ht="25.5">
      <c r="A77" s="905" t="s">
        <v>223</v>
      </c>
      <c r="B77" s="891"/>
      <c r="C77" s="892"/>
      <c r="D77" s="151" t="s">
        <v>139</v>
      </c>
      <c r="E77" s="95">
        <f>'19'!F77</f>
        <v>57536</v>
      </c>
      <c r="F77" s="123">
        <v>57576</v>
      </c>
      <c r="G77" s="112">
        <f t="shared" si="7"/>
        <v>40</v>
      </c>
      <c r="H77" s="99">
        <f>G77+'19'!H77</f>
        <v>1054</v>
      </c>
      <c r="I77" s="154"/>
      <c r="J77" s="175">
        <f>H77/DAY(B2)</f>
        <v>52.7</v>
      </c>
      <c r="K77" s="69"/>
      <c r="L77" s="66"/>
      <c r="N77" s="87"/>
      <c r="O77" s="71"/>
    </row>
    <row r="78" spans="1:15" ht="25.5">
      <c r="A78" s="905" t="s">
        <v>224</v>
      </c>
      <c r="B78" s="891"/>
      <c r="C78" s="892"/>
      <c r="D78" s="151" t="s">
        <v>139</v>
      </c>
      <c r="E78" s="95">
        <f>'19'!F78</f>
        <v>9564</v>
      </c>
      <c r="F78" s="123">
        <v>9564</v>
      </c>
      <c r="G78" s="112">
        <f t="shared" si="7"/>
        <v>0</v>
      </c>
      <c r="H78" s="99">
        <f>G78+'19'!H78</f>
        <v>-0.3999999999996362</v>
      </c>
      <c r="I78" s="118"/>
      <c r="J78" s="175">
        <f>H78/DAY(B2)</f>
        <v>-1.999999999998181E-2</v>
      </c>
      <c r="K78" s="69"/>
      <c r="L78" s="66"/>
      <c r="N78" s="87"/>
      <c r="O78" s="71"/>
    </row>
    <row r="79" spans="1:15" s="57" customFormat="1" ht="25.5">
      <c r="A79" s="905" t="s">
        <v>225</v>
      </c>
      <c r="B79" s="891"/>
      <c r="C79" s="892"/>
      <c r="D79" s="151"/>
      <c r="E79" s="95">
        <f>'19'!F79</f>
        <v>0</v>
      </c>
      <c r="F79" s="117"/>
      <c r="G79" s="112">
        <f>G15-SUM(G74:G78)</f>
        <v>695.89000000001397</v>
      </c>
      <c r="H79" s="99">
        <f>G79+'19'!H79</f>
        <v>12279.630000000025</v>
      </c>
      <c r="I79" s="118"/>
      <c r="J79" s="175"/>
      <c r="K79" s="59"/>
      <c r="L79" s="58"/>
      <c r="N79" s="87"/>
      <c r="O79" s="71"/>
    </row>
    <row r="80" spans="1:15" s="57" customFormat="1" ht="26.25">
      <c r="A80" s="971" t="s">
        <v>329</v>
      </c>
      <c r="B80" s="972"/>
      <c r="C80" s="973"/>
      <c r="D80" s="151"/>
      <c r="E80" s="117"/>
      <c r="F80" s="117"/>
      <c r="G80" s="112">
        <f>SUM(G74:G79)</f>
        <v>1116</v>
      </c>
      <c r="H80" s="99"/>
      <c r="I80" s="118"/>
      <c r="J80" s="175"/>
      <c r="K80" s="59"/>
      <c r="L80" s="58"/>
      <c r="N80" s="87"/>
      <c r="O80" s="71"/>
    </row>
    <row r="81" spans="1:15" ht="25.5">
      <c r="A81" s="897" t="s">
        <v>226</v>
      </c>
      <c r="B81" s="898"/>
      <c r="C81" s="89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'19'!F82</f>
        <v>0</v>
      </c>
      <c r="F82" s="122">
        <v>0</v>
      </c>
      <c r="G82" s="112">
        <f t="shared" ref="G82:G92" si="8">F82-E82</f>
        <v>0</v>
      </c>
      <c r="H82" s="99">
        <f>G82+'19'!H82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'19'!F83</f>
        <v>0</v>
      </c>
      <c r="F83" s="122">
        <v>0</v>
      </c>
      <c r="G83" s="112">
        <f t="shared" si="8"/>
        <v>0</v>
      </c>
      <c r="H83" s="99">
        <f>G83+'19'!H83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v>43540.35</v>
      </c>
      <c r="F84" s="164">
        <v>43540.35</v>
      </c>
      <c r="G84" s="112">
        <f t="shared" si="8"/>
        <v>0</v>
      </c>
      <c r="H84" s="99">
        <f>G84+'19'!H84</f>
        <v>2000.1399999999994</v>
      </c>
      <c r="I84" s="545"/>
      <c r="J84" s="175">
        <f>H84/DAY(B2)</f>
        <v>100.00699999999998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'19'!F85</f>
        <v>5768.28</v>
      </c>
      <c r="F85" s="164">
        <v>5768</v>
      </c>
      <c r="G85" s="112">
        <f t="shared" si="8"/>
        <v>-0.27999999999974534</v>
      </c>
      <c r="H85" s="99">
        <f>G85+'19'!H85</f>
        <v>84</v>
      </c>
      <c r="I85" s="545"/>
      <c r="J85" s="175">
        <f>H85/DAY(B2)</f>
        <v>4.2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v>46831</v>
      </c>
      <c r="F86" s="164">
        <v>46833</v>
      </c>
      <c r="G86" s="112">
        <f t="shared" si="8"/>
        <v>2</v>
      </c>
      <c r="H86" s="99">
        <f>G86+'19'!H86</f>
        <v>79.069999999999709</v>
      </c>
      <c r="I86" s="545"/>
      <c r="J86" s="175">
        <f>H86/DAY(B2)</f>
        <v>3.9534999999999854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'19'!F87</f>
        <v>36888</v>
      </c>
      <c r="F87" s="164">
        <v>36912</v>
      </c>
      <c r="G87" s="112">
        <f t="shared" si="8"/>
        <v>24</v>
      </c>
      <c r="H87" s="99">
        <f>G87+'19'!H87</f>
        <v>361.79000000000087</v>
      </c>
      <c r="I87" s="545">
        <f>G84+G85+G86+G87</f>
        <v>25.720000000000255</v>
      </c>
      <c r="J87" s="175">
        <f>H87/DAY(B2)</f>
        <v>18.089500000000044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'19'!F88</f>
        <v>24511.8</v>
      </c>
      <c r="F88" s="164">
        <v>24513</v>
      </c>
      <c r="G88" s="112">
        <f t="shared" si="8"/>
        <v>1.2000000000007276</v>
      </c>
      <c r="H88" s="99">
        <f>G88+'19'!H88</f>
        <v>1.2000000000007276</v>
      </c>
      <c r="I88" s="545"/>
      <c r="J88" s="175">
        <f>H88/DAY(B2)</f>
        <v>6.0000000000036378E-2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'19'!F89</f>
        <v>28693.49</v>
      </c>
      <c r="F89" s="164">
        <v>28704</v>
      </c>
      <c r="G89" s="112">
        <f t="shared" si="8"/>
        <v>10.509999999998399</v>
      </c>
      <c r="H89" s="99">
        <f>G89+'19'!H89</f>
        <v>202.29999999999927</v>
      </c>
      <c r="I89" s="545">
        <f>G88+G89</f>
        <v>11.709999999999127</v>
      </c>
      <c r="J89" s="175">
        <f>H89/DAY(B2)</f>
        <v>10.114999999999963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'19'!F90</f>
        <v>74080.78</v>
      </c>
      <c r="F90" s="164">
        <v>74093</v>
      </c>
      <c r="G90" s="112">
        <f t="shared" si="8"/>
        <v>12.220000000001164</v>
      </c>
      <c r="H90" s="99">
        <f>G90+'19'!H90</f>
        <v>232.39999999999418</v>
      </c>
      <c r="I90" s="545">
        <f>G90</f>
        <v>12.220000000001164</v>
      </c>
      <c r="J90" s="175">
        <f>H90/DAY(B2)</f>
        <v>11.61999999999971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'19'!F91</f>
        <v>5532.14</v>
      </c>
      <c r="F91" s="122">
        <v>5543</v>
      </c>
      <c r="G91" s="112">
        <f t="shared" si="8"/>
        <v>10.859999999999673</v>
      </c>
      <c r="H91" s="99">
        <f>G91+'19'!H91</f>
        <v>190.22999999999956</v>
      </c>
      <c r="I91" s="546"/>
      <c r="J91" s="175">
        <f>H91/DAY(B2)</f>
        <v>9.5114999999999785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'19'!F92</f>
        <v>7031.67</v>
      </c>
      <c r="F92" s="122">
        <v>7031.67</v>
      </c>
      <c r="G92" s="112">
        <f t="shared" si="8"/>
        <v>0</v>
      </c>
      <c r="H92" s="99">
        <f>G92+'19'!H92</f>
        <v>31.670000000000073</v>
      </c>
      <c r="I92" s="547">
        <f>G91+G92</f>
        <v>10.859999999999673</v>
      </c>
      <c r="J92" s="175">
        <f>H92/DAY(B2)</f>
        <v>1.5835000000000037</v>
      </c>
      <c r="O92" s="71"/>
    </row>
    <row r="93" spans="1:15" ht="26.25">
      <c r="A93" s="906" t="s">
        <v>239</v>
      </c>
      <c r="B93" s="907"/>
      <c r="C93" s="90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64" t="s">
        <v>240</v>
      </c>
      <c r="B94" s="865"/>
      <c r="C94" s="866"/>
      <c r="D94" s="151" t="s">
        <v>130</v>
      </c>
      <c r="E94" s="151"/>
      <c r="F94" s="151"/>
      <c r="G94" s="99">
        <f>G35+G43+G49+G57</f>
        <v>5800.8899999999558</v>
      </c>
      <c r="H94" s="99">
        <f>G94+'19'!H94</f>
        <v>119276.26000000007</v>
      </c>
      <c r="I94" s="118"/>
      <c r="J94" s="175">
        <f>H94/DAY(B2)</f>
        <v>5963.8130000000037</v>
      </c>
      <c r="K94" s="69"/>
      <c r="L94" s="66"/>
      <c r="O94" s="71"/>
    </row>
    <row r="95" spans="1:15" ht="25.5">
      <c r="A95" s="864" t="s">
        <v>241</v>
      </c>
      <c r="B95" s="865"/>
      <c r="C95" s="866"/>
      <c r="D95" s="151" t="s">
        <v>23</v>
      </c>
      <c r="E95" s="146"/>
      <c r="F95" s="146"/>
      <c r="G95" s="166">
        <f>G94/G7</f>
        <v>0.25312860407465587</v>
      </c>
      <c r="H95" s="99">
        <f>G95+'19'!H95</f>
        <v>5.1163992075878202</v>
      </c>
      <c r="I95" s="167"/>
      <c r="J95" s="175">
        <f>H95/DAY(B2)</f>
        <v>0.25581996037939103</v>
      </c>
      <c r="K95" s="69"/>
      <c r="L95" s="66"/>
      <c r="O95" s="71"/>
    </row>
    <row r="96" spans="1:15" ht="25.5">
      <c r="A96" s="864" t="s">
        <v>242</v>
      </c>
      <c r="B96" s="865"/>
      <c r="C96" s="866"/>
      <c r="D96" s="151" t="s">
        <v>130</v>
      </c>
      <c r="E96" s="95"/>
      <c r="F96" s="95"/>
      <c r="G96" s="99">
        <f>G41+G42+G55+G56</f>
        <v>3723.7200000000303</v>
      </c>
      <c r="H96" s="99">
        <f>G96+'19'!H96</f>
        <v>86417.649999999965</v>
      </c>
      <c r="I96" s="118"/>
      <c r="J96" s="175">
        <f>H96/DAY(B2)</f>
        <v>4320.8824999999979</v>
      </c>
      <c r="K96" s="69"/>
      <c r="L96" s="66"/>
      <c r="O96" s="71"/>
    </row>
    <row r="97" spans="1:15" ht="25.5">
      <c r="A97" s="864" t="s">
        <v>243</v>
      </c>
      <c r="B97" s="865"/>
      <c r="C97" s="866"/>
      <c r="D97" s="151" t="s">
        <v>23</v>
      </c>
      <c r="E97" s="95"/>
      <c r="F97" s="95"/>
      <c r="G97" s="166">
        <f>G96/G7</f>
        <v>0.16248886732292672</v>
      </c>
      <c r="H97" s="99">
        <f>G97+'19'!H97</f>
        <v>3.6753148104707813</v>
      </c>
      <c r="I97" s="167"/>
      <c r="J97" s="175">
        <f>H97/DAY(B2)</f>
        <v>0.18376574052353906</v>
      </c>
      <c r="K97" s="69"/>
      <c r="L97" s="66"/>
      <c r="O97" s="71"/>
    </row>
    <row r="98" spans="1:15" ht="25.5">
      <c r="A98" s="864" t="s">
        <v>244</v>
      </c>
      <c r="B98" s="865"/>
      <c r="C98" s="866"/>
      <c r="D98" s="151" t="s">
        <v>130</v>
      </c>
      <c r="E98" s="95"/>
      <c r="F98" s="95"/>
      <c r="G98" s="99">
        <f>G39+G53</f>
        <v>4036.3800000000047</v>
      </c>
      <c r="H98" s="99">
        <f>G98+'19'!H98</f>
        <v>81718.540000000037</v>
      </c>
      <c r="I98" s="168"/>
      <c r="J98" s="175">
        <f>H98/DAY(B2)</f>
        <v>4085.927000000002</v>
      </c>
      <c r="K98" s="69"/>
      <c r="L98" s="66"/>
      <c r="O98" s="71"/>
    </row>
    <row r="99" spans="1:15" ht="25.5">
      <c r="A99" s="864" t="s">
        <v>245</v>
      </c>
      <c r="B99" s="865"/>
      <c r="C99" s="866"/>
      <c r="D99" s="151" t="s">
        <v>23</v>
      </c>
      <c r="E99" s="95"/>
      <c r="F99" s="95"/>
      <c r="G99" s="166">
        <f>G98/G7</f>
        <v>0.17613215125866347</v>
      </c>
      <c r="H99" s="99">
        <f>G99+'19'!H99</f>
        <v>3.514448804663878</v>
      </c>
      <c r="I99" s="168"/>
      <c r="J99" s="175">
        <f>H99/DAY(B2)</f>
        <v>0.17572244023319389</v>
      </c>
      <c r="O99" s="71"/>
    </row>
    <row r="100" spans="1:15" ht="26.25">
      <c r="A100" s="864" t="s">
        <v>246</v>
      </c>
      <c r="B100" s="865"/>
      <c r="C100" s="866"/>
      <c r="D100" s="151" t="s">
        <v>180</v>
      </c>
      <c r="E100" s="95"/>
      <c r="F100" s="95"/>
      <c r="G100" s="99">
        <f>G38+G52</f>
        <v>0</v>
      </c>
      <c r="H100" s="99">
        <f>G100+'19'!H100</f>
        <v>35046.959999999955</v>
      </c>
      <c r="I100" s="118"/>
      <c r="J100" s="175">
        <f>H100/DAY(B2)</f>
        <v>1752.3479999999977</v>
      </c>
      <c r="K100" s="70"/>
      <c r="O100" s="71"/>
    </row>
    <row r="101" spans="1:15" ht="25.5">
      <c r="A101" s="864" t="s">
        <v>247</v>
      </c>
      <c r="B101" s="865"/>
      <c r="C101" s="866"/>
      <c r="D101" s="151" t="s">
        <v>23</v>
      </c>
      <c r="E101" s="95"/>
      <c r="F101" s="95"/>
      <c r="G101" s="166">
        <f>G100/G7</f>
        <v>0</v>
      </c>
      <c r="H101" s="99">
        <f>G101+'19'!H101</f>
        <v>1.523478303120791</v>
      </c>
      <c r="I101" s="168"/>
      <c r="J101" s="175">
        <f>H101/DAY(B2)</f>
        <v>7.6173915156039551E-2</v>
      </c>
      <c r="O101" s="71"/>
    </row>
    <row r="102" spans="1:15" ht="25.5">
      <c r="A102" s="864" t="s">
        <v>248</v>
      </c>
      <c r="B102" s="865"/>
      <c r="C102" s="866"/>
      <c r="D102" s="151" t="s">
        <v>180</v>
      </c>
      <c r="E102" s="95"/>
      <c r="F102" s="95"/>
      <c r="G102" s="99">
        <f>G36+G50</f>
        <v>2567.9099999999744</v>
      </c>
      <c r="H102" s="99">
        <f>G102+'19'!H102</f>
        <v>52203.820000000007</v>
      </c>
      <c r="I102" s="168"/>
      <c r="J102" s="175">
        <f>H102/DAY(B2)</f>
        <v>2610.1910000000003</v>
      </c>
      <c r="O102" s="71"/>
    </row>
    <row r="103" spans="1:15" ht="25.5">
      <c r="A103" s="864" t="s">
        <v>249</v>
      </c>
      <c r="B103" s="865"/>
      <c r="C103" s="866"/>
      <c r="D103" s="151" t="s">
        <v>23</v>
      </c>
      <c r="E103" s="95"/>
      <c r="F103" s="95"/>
      <c r="G103" s="166">
        <f>G102/G7</f>
        <v>0.1120537492849111</v>
      </c>
      <c r="H103" s="99">
        <f>G103+'19'!H103</f>
        <v>2.2411923061492702</v>
      </c>
      <c r="I103" s="118"/>
      <c r="J103" s="175">
        <f>H103/DAY(B2)</f>
        <v>0.11205961530746351</v>
      </c>
      <c r="O103" s="71"/>
    </row>
    <row r="104" spans="1:15" ht="25.5">
      <c r="A104" s="864" t="s">
        <v>250</v>
      </c>
      <c r="B104" s="865"/>
      <c r="C104" s="866"/>
      <c r="D104" s="151" t="s">
        <v>180</v>
      </c>
      <c r="E104" s="95"/>
      <c r="F104" s="95"/>
      <c r="G104" s="99">
        <f>G37+G51</f>
        <v>1016.640000000014</v>
      </c>
      <c r="H104" s="99">
        <f>G104+'19'!H104</f>
        <v>21228.450000000012</v>
      </c>
      <c r="I104" s="118"/>
      <c r="J104" s="175">
        <f>H104/DAY(B2)</f>
        <v>1061.4225000000006</v>
      </c>
      <c r="O104" s="71"/>
    </row>
    <row r="105" spans="1:15" ht="26.25" thickBot="1">
      <c r="A105" s="901" t="s">
        <v>251</v>
      </c>
      <c r="B105" s="902"/>
      <c r="C105" s="903"/>
      <c r="D105" s="231" t="s">
        <v>23</v>
      </c>
      <c r="E105" s="185"/>
      <c r="F105" s="185"/>
      <c r="G105" s="186">
        <f>G104/G7</f>
        <v>4.4362272693752793E-2</v>
      </c>
      <c r="H105" s="99">
        <f>G105+'19'!H105</f>
        <v>0.91270253224988906</v>
      </c>
      <c r="I105" s="187"/>
      <c r="J105" s="188">
        <f>H105/DAY(B2)</f>
        <v>4.5635126612494456E-2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15" t="s">
        <v>324</v>
      </c>
      <c r="B108" s="915"/>
      <c r="C108" s="915"/>
      <c r="D108" s="915"/>
      <c r="E108" s="915"/>
      <c r="F108" s="915"/>
      <c r="G108" s="915"/>
      <c r="H108" s="915"/>
      <c r="I108" s="915"/>
      <c r="J108" s="915"/>
    </row>
    <row r="109" spans="1:15" ht="26.25">
      <c r="A109" s="900"/>
      <c r="B109" s="900"/>
    </row>
    <row r="110" spans="1:15" ht="26.25">
      <c r="A110" s="916" t="s">
        <v>165</v>
      </c>
      <c r="B110" s="917"/>
      <c r="C110" s="917"/>
      <c r="D110" s="917"/>
      <c r="E110" s="917"/>
      <c r="F110" s="917"/>
      <c r="G110" s="917"/>
      <c r="H110" s="917"/>
      <c r="I110" s="917"/>
      <c r="J110" s="918"/>
    </row>
    <row r="111" spans="1:15" ht="25.5">
      <c r="A111" s="919"/>
      <c r="B111" s="920"/>
      <c r="C111" s="921"/>
      <c r="D111" s="165"/>
      <c r="E111" s="165"/>
      <c r="F111" s="165"/>
      <c r="G111" s="165"/>
      <c r="H111" s="156"/>
      <c r="I111" s="165"/>
      <c r="J111" s="327"/>
    </row>
    <row r="112" spans="1:15" ht="25.5">
      <c r="A112" s="894" t="s">
        <v>252</v>
      </c>
      <c r="B112" s="895"/>
      <c r="C112" s="896"/>
      <c r="D112" s="146" t="s">
        <v>183</v>
      </c>
      <c r="E112" s="95">
        <f>'19'!F112</f>
        <v>16781.5</v>
      </c>
      <c r="F112" s="237">
        <v>16844</v>
      </c>
      <c r="G112" s="112">
        <f t="shared" ref="G112:G123" si="9">F112-E112</f>
        <v>62.5</v>
      </c>
      <c r="H112" s="99">
        <f>G112+'19'!H112</f>
        <v>1230.2000000000007</v>
      </c>
      <c r="I112" s="165"/>
      <c r="J112" s="328">
        <f>H112/DAY(B2)</f>
        <v>61.510000000000034</v>
      </c>
    </row>
    <row r="113" spans="1:18" ht="29.25" customHeight="1">
      <c r="A113" s="894" t="s">
        <v>253</v>
      </c>
      <c r="B113" s="895"/>
      <c r="C113" s="896"/>
      <c r="D113" s="146" t="s">
        <v>183</v>
      </c>
      <c r="E113" s="95">
        <f>'19'!F113</f>
        <v>35260</v>
      </c>
      <c r="F113" s="237">
        <v>35410</v>
      </c>
      <c r="G113" s="112">
        <f t="shared" si="9"/>
        <v>150</v>
      </c>
      <c r="H113" s="99">
        <f>G113+'19'!H113</f>
        <v>2959.3300000000017</v>
      </c>
      <c r="I113" s="165"/>
      <c r="J113" s="328">
        <f>H113/DAY(B2)</f>
        <v>147.96650000000008</v>
      </c>
    </row>
    <row r="114" spans="1:18" ht="29.25" customHeight="1">
      <c r="A114" s="894" t="s">
        <v>254</v>
      </c>
      <c r="B114" s="895"/>
      <c r="C114" s="896"/>
      <c r="D114" s="146" t="s">
        <v>183</v>
      </c>
      <c r="E114" s="95">
        <f>'19'!F114</f>
        <v>51891.9</v>
      </c>
      <c r="F114" s="237">
        <v>52092</v>
      </c>
      <c r="G114" s="112">
        <f t="shared" si="9"/>
        <v>200.09999999999854</v>
      </c>
      <c r="H114" s="99">
        <f>G114+'19'!H114</f>
        <v>4125.6999999999971</v>
      </c>
      <c r="I114" s="165"/>
      <c r="J114" s="328">
        <f>H114/DAY(B2)</f>
        <v>206.28499999999985</v>
      </c>
    </row>
    <row r="115" spans="1:18" ht="29.25" customHeight="1">
      <c r="A115" s="894" t="s">
        <v>255</v>
      </c>
      <c r="B115" s="895"/>
      <c r="C115" s="896"/>
      <c r="D115" s="146" t="s">
        <v>183</v>
      </c>
      <c r="E115" s="95">
        <f>'19'!F115</f>
        <v>33265.9</v>
      </c>
      <c r="F115" s="237">
        <v>33423</v>
      </c>
      <c r="G115" s="112">
        <f t="shared" si="9"/>
        <v>157.09999999999854</v>
      </c>
      <c r="H115" s="99">
        <f>G115+'19'!H115</f>
        <v>2986.5999999999985</v>
      </c>
      <c r="I115" s="165"/>
      <c r="J115" s="328">
        <f>H115/DAY(B2)</f>
        <v>149.32999999999993</v>
      </c>
    </row>
    <row r="116" spans="1:18" ht="29.25" customHeight="1">
      <c r="A116" s="912" t="s">
        <v>96</v>
      </c>
      <c r="B116" s="913"/>
      <c r="C116" s="914"/>
      <c r="D116" s="146" t="s">
        <v>183</v>
      </c>
      <c r="E116" s="95">
        <f>'19'!F116</f>
        <v>130013.4</v>
      </c>
      <c r="F116" s="237">
        <v>130308</v>
      </c>
      <c r="G116" s="112">
        <f t="shared" si="9"/>
        <v>294.60000000000582</v>
      </c>
      <c r="H116" s="99">
        <f>G116+'19'!H116</f>
        <v>7447.8000000000029</v>
      </c>
      <c r="I116" s="165"/>
      <c r="J116" s="328">
        <f>H116/DAY(B2)</f>
        <v>372.39000000000016</v>
      </c>
      <c r="Q116" s="894"/>
      <c r="R116" s="896"/>
    </row>
    <row r="117" spans="1:18" ht="29.25" customHeight="1">
      <c r="A117" s="912" t="s">
        <v>184</v>
      </c>
      <c r="B117" s="913"/>
      <c r="C117" s="914"/>
      <c r="D117" s="146" t="s">
        <v>183</v>
      </c>
      <c r="E117" s="95">
        <f>'19'!F117</f>
        <v>78912</v>
      </c>
      <c r="F117" s="237">
        <v>79204</v>
      </c>
      <c r="G117" s="112">
        <f t="shared" si="9"/>
        <v>292</v>
      </c>
      <c r="H117" s="99">
        <f>G117+'19'!H117</f>
        <v>5222.8000000000029</v>
      </c>
      <c r="I117" s="165"/>
      <c r="J117" s="328">
        <f>H117/DAY(B2)</f>
        <v>261.14000000000016</v>
      </c>
      <c r="Q117" s="894"/>
      <c r="R117" s="896"/>
    </row>
    <row r="118" spans="1:18" ht="25.5">
      <c r="A118" s="889" t="s">
        <v>97</v>
      </c>
      <c r="B118" s="889"/>
      <c r="C118" s="889"/>
      <c r="D118" s="151" t="s">
        <v>183</v>
      </c>
      <c r="E118" s="95">
        <f>'19'!F118</f>
        <v>150802.29999999999</v>
      </c>
      <c r="F118" s="237">
        <v>151427</v>
      </c>
      <c r="G118" s="112">
        <f t="shared" si="9"/>
        <v>624.70000000001164</v>
      </c>
      <c r="H118" s="99">
        <f>G118+'19'!H118</f>
        <v>12614.549999999988</v>
      </c>
      <c r="I118" s="165"/>
      <c r="J118" s="328">
        <f>H118/DAY(B2)</f>
        <v>630.7274999999994</v>
      </c>
      <c r="Q118" s="894"/>
      <c r="R118" s="896"/>
    </row>
    <row r="119" spans="1:18" ht="25.5">
      <c r="A119" s="889" t="s">
        <v>98</v>
      </c>
      <c r="B119" s="889"/>
      <c r="C119" s="889"/>
      <c r="D119" s="151" t="s">
        <v>183</v>
      </c>
      <c r="E119" s="95">
        <f>'19'!F119</f>
        <v>43593</v>
      </c>
      <c r="F119" s="237">
        <v>43616</v>
      </c>
      <c r="G119" s="112">
        <f t="shared" si="9"/>
        <v>23</v>
      </c>
      <c r="H119" s="99">
        <f>G119+'19'!H119</f>
        <v>262.30000000000291</v>
      </c>
      <c r="I119" s="165"/>
      <c r="J119" s="328">
        <f>H119/DAY(B2)</f>
        <v>13.115000000000146</v>
      </c>
    </row>
    <row r="120" spans="1:18" ht="25.5">
      <c r="A120" s="889" t="s">
        <v>99</v>
      </c>
      <c r="B120" s="889"/>
      <c r="C120" s="889"/>
      <c r="D120" s="151" t="s">
        <v>183</v>
      </c>
      <c r="E120" s="95">
        <f>'19'!F120</f>
        <v>103564.8</v>
      </c>
      <c r="F120" s="237">
        <v>103969</v>
      </c>
      <c r="G120" s="112">
        <f t="shared" si="9"/>
        <v>404.19999999999709</v>
      </c>
      <c r="H120" s="99">
        <f>G120+'19'!H120</f>
        <v>8261.3999999999942</v>
      </c>
      <c r="I120" s="165"/>
      <c r="J120" s="328">
        <f>H120/DAY(B2)</f>
        <v>413.06999999999971</v>
      </c>
    </row>
    <row r="121" spans="1:18" ht="25.5">
      <c r="A121" s="889" t="s">
        <v>100</v>
      </c>
      <c r="B121" s="889"/>
      <c r="C121" s="889"/>
      <c r="D121" s="151" t="s">
        <v>183</v>
      </c>
      <c r="E121" s="95">
        <f>'19'!F121</f>
        <v>116028</v>
      </c>
      <c r="F121" s="237">
        <v>116470</v>
      </c>
      <c r="G121" s="112">
        <f t="shared" si="9"/>
        <v>442</v>
      </c>
      <c r="H121" s="99">
        <f>G121+'19'!H121</f>
        <v>8640.9499999999971</v>
      </c>
      <c r="I121" s="165"/>
      <c r="J121" s="328">
        <f>H121/DAY(B2)</f>
        <v>432.04749999999984</v>
      </c>
    </row>
    <row r="122" spans="1:18" ht="25.5">
      <c r="A122" s="889" t="s">
        <v>101</v>
      </c>
      <c r="B122" s="889"/>
      <c r="C122" s="889"/>
      <c r="D122" s="151" t="s">
        <v>183</v>
      </c>
      <c r="E122" s="95">
        <f>'19'!F122</f>
        <v>77612.600000000006</v>
      </c>
      <c r="F122" s="237">
        <v>77937</v>
      </c>
      <c r="G122" s="112">
        <f t="shared" si="9"/>
        <v>324.39999999999418</v>
      </c>
      <c r="H122" s="99">
        <f>G122+'19'!H122</f>
        <v>6899.1000000000058</v>
      </c>
      <c r="I122" s="165"/>
      <c r="J122" s="328">
        <f>H122/DAY(B2)</f>
        <v>344.95500000000027</v>
      </c>
    </row>
    <row r="123" spans="1:18" ht="25.5">
      <c r="A123" s="889" t="s">
        <v>102</v>
      </c>
      <c r="B123" s="889"/>
      <c r="C123" s="889"/>
      <c r="D123" s="151" t="s">
        <v>183</v>
      </c>
      <c r="E123" s="95">
        <f>'19'!F123</f>
        <v>74228</v>
      </c>
      <c r="F123" s="237">
        <v>74545</v>
      </c>
      <c r="G123" s="112">
        <f t="shared" si="9"/>
        <v>317</v>
      </c>
      <c r="H123" s="99">
        <f>G123+'19'!H123</f>
        <v>6187.6999999999971</v>
      </c>
      <c r="I123" s="165"/>
      <c r="J123" s="328">
        <f>H123/DAY(B2)</f>
        <v>309.38499999999988</v>
      </c>
    </row>
    <row r="124" spans="1:18" ht="29.25" customHeight="1">
      <c r="A124" s="919"/>
      <c r="B124" s="920"/>
      <c r="C124" s="921"/>
      <c r="D124" s="165"/>
      <c r="E124" s="95">
        <f>'19'!F124</f>
        <v>0</v>
      </c>
      <c r="F124" s="165"/>
      <c r="G124" s="327"/>
      <c r="H124" s="99">
        <f>G124+'19'!H124</f>
        <v>0</v>
      </c>
      <c r="I124" s="165"/>
      <c r="J124" s="327"/>
    </row>
    <row r="125" spans="1:18" ht="25.5">
      <c r="A125" s="950" t="s">
        <v>108</v>
      </c>
      <c r="B125" s="950"/>
      <c r="C125" s="245"/>
      <c r="D125" s="307"/>
      <c r="E125" s="308"/>
      <c r="F125" s="308"/>
      <c r="G125" s="309">
        <f>SUM(G112:G124)</f>
        <v>3291.6000000000058</v>
      </c>
      <c r="H125" s="156"/>
      <c r="I125" s="327">
        <f>G125-(G39+G53)</f>
        <v>-744.77999999999884</v>
      </c>
      <c r="J125" s="327"/>
    </row>
    <row r="126" spans="1:18" ht="25.5">
      <c r="A126" s="922" t="s">
        <v>317</v>
      </c>
      <c r="B126" s="922"/>
      <c r="C126" s="922"/>
      <c r="D126" s="922"/>
      <c r="E126" s="922"/>
      <c r="F126" s="922"/>
      <c r="G126" s="922"/>
      <c r="H126" s="922"/>
      <c r="I126" s="922"/>
      <c r="J126" s="922"/>
    </row>
    <row r="127" spans="1:18" ht="25.5">
      <c r="A127" s="923"/>
      <c r="B127" s="923"/>
      <c r="C127" s="245"/>
      <c r="D127" s="307"/>
      <c r="E127" s="308"/>
      <c r="F127" s="308"/>
      <c r="G127" s="309"/>
      <c r="H127" s="99">
        <f>G127+'19'!H127</f>
        <v>0</v>
      </c>
      <c r="I127" s="165"/>
      <c r="J127" s="328">
        <f>H127/DAY(B2)</f>
        <v>0</v>
      </c>
    </row>
    <row r="128" spans="1:18" ht="29.25" customHeight="1">
      <c r="A128" s="894" t="s">
        <v>318</v>
      </c>
      <c r="B128" s="895"/>
      <c r="C128" s="896"/>
      <c r="D128" s="151" t="s">
        <v>183</v>
      </c>
      <c r="E128" s="95">
        <f>'19'!F128</f>
        <v>186628.39</v>
      </c>
      <c r="F128" s="165">
        <v>187067</v>
      </c>
      <c r="G128" s="112">
        <f t="shared" ref="G128:G134" si="10">F128-E128</f>
        <v>438.60999999998603</v>
      </c>
      <c r="H128" s="99">
        <f>G128+'19'!H128</f>
        <v>7655.1499999999942</v>
      </c>
      <c r="I128" s="165"/>
      <c r="J128" s="328">
        <f>H128/DAY(B2)</f>
        <v>382.75749999999971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'19'!F129</f>
        <v>99351.08</v>
      </c>
      <c r="F129" s="165">
        <v>99523</v>
      </c>
      <c r="G129" s="112">
        <f t="shared" si="10"/>
        <v>171.91999999999825</v>
      </c>
      <c r="H129" s="99">
        <f>G129+'19'!H129</f>
        <v>3493.5</v>
      </c>
      <c r="I129" s="165"/>
      <c r="J129" s="328">
        <f>H129/DAY(B2)</f>
        <v>174.67500000000001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'19'!F130</f>
        <v>260228</v>
      </c>
      <c r="F130" s="165">
        <v>260897</v>
      </c>
      <c r="G130" s="112">
        <f t="shared" si="10"/>
        <v>669</v>
      </c>
      <c r="H130" s="99">
        <f>G130+'19'!H130</f>
        <v>14057.25</v>
      </c>
      <c r="I130" s="165"/>
      <c r="J130" s="328">
        <f>H130/DAY(B2)</f>
        <v>702.86249999999995</v>
      </c>
      <c r="N130" s="240"/>
      <c r="O130" s="241"/>
    </row>
    <row r="131" spans="1:15" ht="25.5">
      <c r="A131" s="894" t="s">
        <v>321</v>
      </c>
      <c r="B131" s="895"/>
      <c r="C131" s="896"/>
      <c r="D131" s="151" t="s">
        <v>183</v>
      </c>
      <c r="E131" s="95">
        <f>'19'!F131</f>
        <v>77966.899999999994</v>
      </c>
      <c r="F131" s="165">
        <v>78145</v>
      </c>
      <c r="G131" s="112">
        <f t="shared" si="10"/>
        <v>178.10000000000582</v>
      </c>
      <c r="H131" s="99">
        <f>G131+'19'!H131</f>
        <v>4634.3999999999942</v>
      </c>
      <c r="I131" s="165"/>
      <c r="J131" s="328">
        <f>H131/DAY(B2)</f>
        <v>231.71999999999971</v>
      </c>
      <c r="N131" s="240"/>
      <c r="O131" s="241"/>
    </row>
    <row r="132" spans="1:15" ht="25.5">
      <c r="A132" s="894" t="s">
        <v>322</v>
      </c>
      <c r="B132" s="895"/>
      <c r="C132" s="896"/>
      <c r="D132" s="151" t="s">
        <v>183</v>
      </c>
      <c r="E132" s="95">
        <f>'19'!F132</f>
        <v>148274</v>
      </c>
      <c r="F132" s="165">
        <v>148274</v>
      </c>
      <c r="G132" s="112">
        <f t="shared" si="10"/>
        <v>0</v>
      </c>
      <c r="H132" s="99">
        <f>G132+'19'!H132</f>
        <v>1289</v>
      </c>
      <c r="I132" s="165"/>
      <c r="J132" s="328">
        <f>H132/DAY(B2)</f>
        <v>64.45</v>
      </c>
    </row>
    <row r="133" spans="1:15" ht="25.5">
      <c r="A133" s="894" t="s">
        <v>359</v>
      </c>
      <c r="B133" s="895"/>
      <c r="C133" s="896"/>
      <c r="D133" s="151" t="s">
        <v>183</v>
      </c>
      <c r="E133" s="95">
        <f>'19'!F133</f>
        <v>924408</v>
      </c>
      <c r="F133" s="165">
        <v>925126</v>
      </c>
      <c r="G133" s="112">
        <f t="shared" si="10"/>
        <v>718</v>
      </c>
      <c r="H133" s="99">
        <f>G133+'19'!H133</f>
        <v>14882</v>
      </c>
      <c r="I133" s="165"/>
      <c r="J133" s="328">
        <f>H133/DAY(B2)</f>
        <v>744.1</v>
      </c>
    </row>
    <row r="134" spans="1:15" ht="25.5">
      <c r="A134" s="894" t="s">
        <v>340</v>
      </c>
      <c r="B134" s="895"/>
      <c r="C134" s="896"/>
      <c r="D134" s="151" t="s">
        <v>183</v>
      </c>
      <c r="E134" s="95">
        <f>'19'!F134</f>
        <v>82812.899999999994</v>
      </c>
      <c r="F134" s="464">
        <v>83072</v>
      </c>
      <c r="G134" s="112">
        <f t="shared" si="10"/>
        <v>259.10000000000582</v>
      </c>
      <c r="H134" s="99">
        <f>G134+'19'!H134</f>
        <v>4312.3999999999942</v>
      </c>
      <c r="I134" s="165"/>
      <c r="J134" s="328">
        <f>H134/DAY(B2)</f>
        <v>215.61999999999972</v>
      </c>
    </row>
    <row r="135" spans="1:15" ht="25.5">
      <c r="A135" s="974" t="s">
        <v>108</v>
      </c>
      <c r="B135" s="975"/>
      <c r="C135" s="928"/>
      <c r="D135" s="151"/>
      <c r="E135" s="95"/>
      <c r="F135" s="165"/>
      <c r="G135" s="112">
        <f>SUM(G128:G134)</f>
        <v>2434.7299999999959</v>
      </c>
      <c r="H135" s="99"/>
      <c r="I135" s="327">
        <f>G135-(G35+G49)</f>
        <v>-837.34999999996217</v>
      </c>
      <c r="J135" s="328"/>
    </row>
    <row r="136" spans="1:15" ht="27.75">
      <c r="A136" s="924" t="s">
        <v>325</v>
      </c>
      <c r="B136" s="924"/>
      <c r="C136" s="924"/>
      <c r="D136" s="924"/>
      <c r="E136" s="924"/>
      <c r="F136" s="924"/>
      <c r="G136" s="924"/>
      <c r="H136" s="924"/>
      <c r="I136" s="924"/>
      <c r="J136" s="92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9" t="s">
        <v>185</v>
      </c>
      <c r="B138" s="889"/>
      <c r="C138" s="889"/>
      <c r="D138" s="151" t="s">
        <v>183</v>
      </c>
      <c r="E138" s="95">
        <f>'19'!F138</f>
        <v>907999</v>
      </c>
      <c r="F138" s="147">
        <v>908114</v>
      </c>
      <c r="G138" s="112">
        <f t="shared" ref="G138:G152" si="11">F138-E138</f>
        <v>115</v>
      </c>
      <c r="H138" s="99">
        <f>G138+'19'!H138</f>
        <v>2487</v>
      </c>
      <c r="I138" s="118"/>
      <c r="J138" s="328">
        <f>H138/DAY(B2)</f>
        <v>124.35</v>
      </c>
    </row>
    <row r="139" spans="1:15" ht="25.5">
      <c r="A139" s="889" t="s">
        <v>186</v>
      </c>
      <c r="B139" s="889"/>
      <c r="C139" s="889"/>
      <c r="D139" s="151" t="s">
        <v>183</v>
      </c>
      <c r="E139" s="95">
        <f>'19'!F139</f>
        <v>930454</v>
      </c>
      <c r="F139" s="148">
        <v>930614</v>
      </c>
      <c r="G139" s="112">
        <f t="shared" si="11"/>
        <v>160</v>
      </c>
      <c r="H139" s="99">
        <f>G139+'19'!H139</f>
        <v>3333</v>
      </c>
      <c r="I139" s="118"/>
      <c r="J139" s="328">
        <f>H139/DAY(B2)</f>
        <v>166.65</v>
      </c>
    </row>
    <row r="140" spans="1:15" ht="25.5">
      <c r="A140" s="889" t="s">
        <v>187</v>
      </c>
      <c r="B140" s="889"/>
      <c r="C140" s="889"/>
      <c r="D140" s="151" t="s">
        <v>183</v>
      </c>
      <c r="E140" s="95">
        <f>'19'!F140</f>
        <v>3762.2</v>
      </c>
      <c r="F140" s="149">
        <v>3783</v>
      </c>
      <c r="G140" s="112">
        <f>F140-E140</f>
        <v>20.800000000000182</v>
      </c>
      <c r="H140" s="99">
        <f>G140+'19'!H140</f>
        <v>451.90000000000009</v>
      </c>
      <c r="I140" s="118"/>
      <c r="J140" s="328">
        <f>H140/DAY(B2)</f>
        <v>22.595000000000006</v>
      </c>
    </row>
    <row r="141" spans="1:15" ht="25.5">
      <c r="A141" s="893" t="s">
        <v>188</v>
      </c>
      <c r="B141" s="893"/>
      <c r="C141" s="893"/>
      <c r="D141" s="151" t="s">
        <v>183</v>
      </c>
      <c r="E141" s="95">
        <f>'19'!F141</f>
        <v>122001.19</v>
      </c>
      <c r="F141" s="149">
        <v>122218</v>
      </c>
      <c r="G141" s="112">
        <f t="shared" si="11"/>
        <v>216.80999999999767</v>
      </c>
      <c r="H141" s="99">
        <f>G141+'19'!H141</f>
        <v>4660.0200000000041</v>
      </c>
      <c r="I141" s="118"/>
      <c r="J141" s="328">
        <f>H141/DAY(B2)</f>
        <v>233.0010000000002</v>
      </c>
    </row>
    <row r="142" spans="1:15" ht="25.5">
      <c r="A142" s="893" t="s">
        <v>189</v>
      </c>
      <c r="B142" s="893"/>
      <c r="C142" s="893"/>
      <c r="D142" s="151" t="s">
        <v>183</v>
      </c>
      <c r="E142" s="95">
        <f>'19'!F142</f>
        <v>49366.9</v>
      </c>
      <c r="F142" s="148">
        <v>49457</v>
      </c>
      <c r="G142" s="112">
        <f t="shared" si="11"/>
        <v>90.099999999998545</v>
      </c>
      <c r="H142" s="99">
        <f>G142+'19'!H142</f>
        <v>1952.5</v>
      </c>
      <c r="I142" s="140"/>
      <c r="J142" s="328">
        <f>H142/DAY(B2)</f>
        <v>97.625</v>
      </c>
    </row>
    <row r="143" spans="1:15" ht="25.5">
      <c r="A143" s="889" t="s">
        <v>91</v>
      </c>
      <c r="B143" s="889"/>
      <c r="C143" s="889"/>
      <c r="D143" s="151" t="s">
        <v>183</v>
      </c>
      <c r="E143" s="95">
        <f>'19'!F143</f>
        <v>13002.8</v>
      </c>
      <c r="F143" s="149">
        <v>13032</v>
      </c>
      <c r="G143" s="112">
        <f t="shared" si="11"/>
        <v>29.200000000000728</v>
      </c>
      <c r="H143" s="99">
        <f>G143+'19'!H143</f>
        <v>616.60000000000036</v>
      </c>
      <c r="I143" s="140"/>
      <c r="J143" s="328">
        <f>H143/DAY(B2)</f>
        <v>30.83000000000002</v>
      </c>
    </row>
    <row r="144" spans="1:15" ht="25.5">
      <c r="A144" s="893" t="s">
        <v>90</v>
      </c>
      <c r="B144" s="893"/>
      <c r="C144" s="893"/>
      <c r="D144" s="151" t="s">
        <v>183</v>
      </c>
      <c r="E144" s="95">
        <f>'19'!F144</f>
        <v>952648</v>
      </c>
      <c r="F144" s="149">
        <v>952864</v>
      </c>
      <c r="G144" s="112">
        <f t="shared" si="11"/>
        <v>216</v>
      </c>
      <c r="H144" s="99">
        <f>G144+'19'!H144</f>
        <v>4666</v>
      </c>
      <c r="I144" s="140"/>
      <c r="J144" s="328">
        <f>H144/DAY(B2)</f>
        <v>233.3</v>
      </c>
    </row>
    <row r="145" spans="1:10" ht="25.5">
      <c r="A145" s="889" t="s">
        <v>190</v>
      </c>
      <c r="B145" s="889"/>
      <c r="C145" s="889"/>
      <c r="D145" s="152" t="s">
        <v>183</v>
      </c>
      <c r="E145" s="95">
        <f>'19'!F145</f>
        <v>25345.599999999999</v>
      </c>
      <c r="F145" s="149">
        <v>25476</v>
      </c>
      <c r="G145" s="112">
        <f t="shared" si="11"/>
        <v>130.40000000000146</v>
      </c>
      <c r="H145" s="99">
        <f>G145+'19'!H145</f>
        <v>2879.9000000000015</v>
      </c>
      <c r="I145" s="140"/>
      <c r="J145" s="328">
        <f>H145/DAY(B2)</f>
        <v>143.99500000000006</v>
      </c>
    </row>
    <row r="146" spans="1:10" ht="25.5">
      <c r="A146" s="890" t="s">
        <v>191</v>
      </c>
      <c r="B146" s="891"/>
      <c r="C146" s="892"/>
      <c r="D146" s="152" t="s">
        <v>183</v>
      </c>
      <c r="E146" s="95">
        <f>'19'!F146</f>
        <v>787452</v>
      </c>
      <c r="F146" s="148">
        <v>787481</v>
      </c>
      <c r="G146" s="112">
        <f t="shared" si="11"/>
        <v>29</v>
      </c>
      <c r="H146" s="99">
        <f>G146+'19'!H146</f>
        <v>813</v>
      </c>
      <c r="I146" s="140"/>
      <c r="J146" s="328">
        <f>H146/DAY(B2)</f>
        <v>40.65</v>
      </c>
    </row>
    <row r="147" spans="1:10" ht="25.5">
      <c r="A147" s="893" t="s">
        <v>192</v>
      </c>
      <c r="B147" s="893"/>
      <c r="C147" s="893"/>
      <c r="D147" s="152" t="s">
        <v>183</v>
      </c>
      <c r="E147" s="95">
        <f>'19'!F147</f>
        <v>755596.64</v>
      </c>
      <c r="F147" s="148">
        <v>755954</v>
      </c>
      <c r="G147" s="112">
        <f t="shared" si="11"/>
        <v>357.35999999998603</v>
      </c>
      <c r="H147" s="99">
        <f>G147+'19'!H147</f>
        <v>8399.8399999999674</v>
      </c>
      <c r="I147" s="140"/>
      <c r="J147" s="328">
        <f>H147/DAY(B2)</f>
        <v>419.99199999999837</v>
      </c>
    </row>
    <row r="148" spans="1:10" ht="25.5">
      <c r="A148" s="886" t="s">
        <v>193</v>
      </c>
      <c r="B148" s="887"/>
      <c r="C148" s="888"/>
      <c r="D148" s="123" t="s">
        <v>130</v>
      </c>
      <c r="E148" s="95">
        <f>'19'!F148</f>
        <v>792381.51</v>
      </c>
      <c r="F148" s="150">
        <v>792716</v>
      </c>
      <c r="G148" s="112">
        <f t="shared" si="11"/>
        <v>334.48999999999069</v>
      </c>
      <c r="H148" s="99">
        <f>G148+'19'!H148</f>
        <v>8071</v>
      </c>
      <c r="I148" s="124"/>
      <c r="J148" s="328">
        <f>H148/DAY(B2)</f>
        <v>403.55</v>
      </c>
    </row>
    <row r="149" spans="1:10" ht="25.5">
      <c r="A149" s="886" t="s">
        <v>336</v>
      </c>
      <c r="B149" s="887"/>
      <c r="C149" s="888"/>
      <c r="D149" s="227" t="s">
        <v>130</v>
      </c>
      <c r="E149" s="95">
        <f>'19'!F149</f>
        <v>194646.6</v>
      </c>
      <c r="F149" s="146">
        <v>195168</v>
      </c>
      <c r="G149" s="112">
        <f t="shared" si="11"/>
        <v>521.39999999999418</v>
      </c>
      <c r="H149" s="99">
        <f>G149+'19'!H149</f>
        <v>9871.109999999986</v>
      </c>
      <c r="I149" s="119"/>
      <c r="J149" s="328">
        <f>H149/DAY(B2)</f>
        <v>493.55549999999931</v>
      </c>
    </row>
    <row r="150" spans="1:10" ht="25.5">
      <c r="A150" s="886" t="s">
        <v>337</v>
      </c>
      <c r="B150" s="887"/>
      <c r="C150" s="888"/>
      <c r="D150" s="117" t="s">
        <v>130</v>
      </c>
      <c r="E150" s="95">
        <f>'19'!F150</f>
        <v>82045.2</v>
      </c>
      <c r="F150" s="233">
        <v>82277</v>
      </c>
      <c r="G150" s="112">
        <f t="shared" si="11"/>
        <v>231.80000000000291</v>
      </c>
      <c r="H150" s="99">
        <f>G150+'19'!H150</f>
        <v>5388.6999999999971</v>
      </c>
      <c r="I150" s="119"/>
      <c r="J150" s="328">
        <f>H150/DAY(B2)</f>
        <v>269.43499999999983</v>
      </c>
    </row>
    <row r="151" spans="1:10" ht="25.5">
      <c r="A151" s="886" t="s">
        <v>338</v>
      </c>
      <c r="B151" s="887"/>
      <c r="C151" s="888"/>
      <c r="D151" s="117" t="s">
        <v>130</v>
      </c>
      <c r="E151" s="95">
        <f>'19'!F151</f>
        <v>163252</v>
      </c>
      <c r="F151" s="233">
        <v>163551</v>
      </c>
      <c r="G151" s="112">
        <f t="shared" si="11"/>
        <v>299</v>
      </c>
      <c r="H151" s="99">
        <f>G151+'19'!H151</f>
        <v>5241</v>
      </c>
      <c r="I151" s="119"/>
      <c r="J151" s="328">
        <f>H151/DAY(B2)</f>
        <v>262.05</v>
      </c>
    </row>
    <row r="152" spans="1:10" ht="25.5">
      <c r="A152" s="886" t="s">
        <v>339</v>
      </c>
      <c r="B152" s="887"/>
      <c r="C152" s="888"/>
      <c r="D152" s="117" t="s">
        <v>130</v>
      </c>
      <c r="E152" s="95">
        <f>'19'!F152</f>
        <v>41151.300000000003</v>
      </c>
      <c r="F152" s="233">
        <v>41288</v>
      </c>
      <c r="G152" s="112">
        <f t="shared" si="11"/>
        <v>136.69999999999709</v>
      </c>
      <c r="H152" s="99">
        <f>G152+'19'!H152</f>
        <v>2672.0999999999985</v>
      </c>
      <c r="I152" s="119"/>
      <c r="J152" s="328">
        <f>H152/DAY(B2)</f>
        <v>133.60499999999993</v>
      </c>
    </row>
    <row r="153" spans="1:10" ht="25.5">
      <c r="A153" s="458" t="s">
        <v>108</v>
      </c>
      <c r="B153" s="365"/>
      <c r="C153" s="365"/>
      <c r="D153" s="117"/>
      <c r="E153" s="95"/>
      <c r="F153" s="233"/>
      <c r="G153" s="112">
        <f>SUM(G138:G152)</f>
        <v>2888.0599999999695</v>
      </c>
      <c r="H153" s="99"/>
      <c r="I153" s="119">
        <f>G153-(G38+G52)</f>
        <v>2888.0599999999695</v>
      </c>
      <c r="J153" s="328"/>
    </row>
    <row r="154" spans="1:10" ht="27.75">
      <c r="A154" s="924" t="s">
        <v>344</v>
      </c>
      <c r="B154" s="924"/>
      <c r="C154" s="924"/>
      <c r="D154" s="924"/>
      <c r="E154" s="924"/>
      <c r="F154" s="924"/>
      <c r="G154" s="924"/>
      <c r="H154" s="924"/>
      <c r="I154" s="924"/>
      <c r="J154" s="924"/>
    </row>
    <row r="155" spans="1:10" ht="27.75">
      <c r="A155" s="893" t="s">
        <v>345</v>
      </c>
      <c r="B155" s="893"/>
      <c r="C155" s="893"/>
      <c r="D155" s="117" t="s">
        <v>130</v>
      </c>
      <c r="E155" s="95">
        <f>'19'!F155</f>
        <v>231879.9</v>
      </c>
      <c r="F155" s="374">
        <v>232502</v>
      </c>
      <c r="G155" s="112">
        <f t="shared" ref="G155:G158" si="12">F155-E155</f>
        <v>622.10000000000582</v>
      </c>
      <c r="H155" s="99">
        <f>G155+'19'!H155</f>
        <v>12514.299999999988</v>
      </c>
      <c r="I155" s="364"/>
      <c r="J155" s="328">
        <f>H155/DAY(B2)</f>
        <v>625.71499999999946</v>
      </c>
    </row>
    <row r="156" spans="1:10" ht="25.5">
      <c r="A156" s="893" t="s">
        <v>347</v>
      </c>
      <c r="B156" s="893"/>
      <c r="C156" s="893"/>
      <c r="D156" s="117" t="s">
        <v>130</v>
      </c>
      <c r="E156" s="95">
        <f>'19'!F156</f>
        <v>28328.35</v>
      </c>
      <c r="F156" s="155">
        <v>28425</v>
      </c>
      <c r="G156" s="112">
        <f t="shared" si="12"/>
        <v>96.650000000001455</v>
      </c>
      <c r="H156" s="99">
        <f>G156+'19'!H156</f>
        <v>1894.7999999999993</v>
      </c>
      <c r="I156" s="165"/>
      <c r="J156" s="328">
        <f>H156/DAY(B2)</f>
        <v>94.739999999999966</v>
      </c>
    </row>
    <row r="157" spans="1:10" ht="25.5">
      <c r="A157" s="886" t="s">
        <v>360</v>
      </c>
      <c r="B157" s="887"/>
      <c r="C157" s="888"/>
      <c r="D157" s="117" t="s">
        <v>130</v>
      </c>
      <c r="E157" s="95">
        <f>'19'!F157</f>
        <v>37559</v>
      </c>
      <c r="F157" s="155">
        <v>37559</v>
      </c>
      <c r="G157" s="112">
        <f t="shared" si="12"/>
        <v>0</v>
      </c>
      <c r="H157" s="99">
        <f>G157+'19'!H157</f>
        <v>0</v>
      </c>
      <c r="I157" s="165"/>
      <c r="J157" s="328">
        <f>H157/DAY(B2)</f>
        <v>0</v>
      </c>
    </row>
    <row r="158" spans="1:10" ht="25.5">
      <c r="A158" s="886" t="s">
        <v>361</v>
      </c>
      <c r="B158" s="887"/>
      <c r="C158" s="888"/>
      <c r="D158" s="117" t="s">
        <v>130</v>
      </c>
      <c r="E158" s="95">
        <f>'19'!F158</f>
        <v>1743.12</v>
      </c>
      <c r="F158" s="155">
        <v>1745</v>
      </c>
      <c r="G158" s="112">
        <f t="shared" si="12"/>
        <v>1.8800000000001091</v>
      </c>
      <c r="H158" s="99">
        <f>G158+'19'!H158</f>
        <v>1.8800000000001091</v>
      </c>
      <c r="I158" s="165"/>
      <c r="J158" s="328">
        <f>H158/DAY(B2)</f>
        <v>9.4000000000005454E-2</v>
      </c>
    </row>
    <row r="159" spans="1:10" ht="25.5">
      <c r="A159" s="942"/>
      <c r="B159" s="943"/>
      <c r="C159" s="944"/>
      <c r="D159" s="117"/>
      <c r="E159" s="95"/>
      <c r="F159" s="155"/>
      <c r="G159" s="112"/>
      <c r="H159" s="99"/>
      <c r="I159" s="165"/>
      <c r="J159" s="328"/>
    </row>
    <row r="160" spans="1:10" ht="27.75">
      <c r="A160" s="924" t="s">
        <v>326</v>
      </c>
      <c r="B160" s="924"/>
      <c r="C160" s="924"/>
      <c r="D160" s="924"/>
      <c r="E160" s="924"/>
      <c r="F160" s="924"/>
      <c r="G160" s="924"/>
      <c r="H160" s="924"/>
      <c r="I160" s="924"/>
      <c r="J160" s="924"/>
    </row>
    <row r="161" spans="1:10" ht="26.25">
      <c r="A161" s="242" t="s">
        <v>92</v>
      </c>
      <c r="B161" s="243"/>
      <c r="C161" s="243"/>
      <c r="D161" s="244" t="s">
        <v>180</v>
      </c>
      <c r="E161" s="95">
        <f>'19'!F161</f>
        <v>506635.56</v>
      </c>
      <c r="F161" s="235">
        <v>506814</v>
      </c>
      <c r="G161" s="238">
        <f t="shared" ref="G161:G166" si="13">F161-E161</f>
        <v>178.44000000000233</v>
      </c>
      <c r="H161" s="99">
        <f>G161+'19'!H161</f>
        <v>3442.8400000000256</v>
      </c>
      <c r="I161" s="236"/>
      <c r="J161" s="239">
        <f>H161/DAY(B2)</f>
        <v>172.14200000000127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'19'!F162</f>
        <v>383.2</v>
      </c>
      <c r="F162" s="235">
        <v>426</v>
      </c>
      <c r="G162" s="238">
        <f t="shared" si="13"/>
        <v>42.800000000000011</v>
      </c>
      <c r="H162" s="99">
        <f>G162+'19'!H162</f>
        <v>806.19999999999413</v>
      </c>
      <c r="I162" s="236"/>
      <c r="J162" s="239">
        <f>H162/DAY(B2)</f>
        <v>40.309999999999704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'19'!F163</f>
        <v>0</v>
      </c>
      <c r="F163" s="235">
        <v>0</v>
      </c>
      <c r="G163" s="238">
        <f t="shared" si="13"/>
        <v>0</v>
      </c>
      <c r="H163" s="99">
        <f>G163+'19'!H163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'19'!F164</f>
        <v>7135.1</v>
      </c>
      <c r="F164" s="235">
        <v>7139</v>
      </c>
      <c r="G164" s="238">
        <f t="shared" si="13"/>
        <v>3.8999999999996362</v>
      </c>
      <c r="H164" s="99">
        <f>G164+'19'!H164</f>
        <v>148.80000000000018</v>
      </c>
      <c r="I164" s="236"/>
      <c r="J164" s="239">
        <f>H164/DAY(B2)</f>
        <v>7.4400000000000093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'19'!F165</f>
        <v>32708.639999999999</v>
      </c>
      <c r="F165" s="235">
        <v>32716</v>
      </c>
      <c r="G165" s="238">
        <f t="shared" si="13"/>
        <v>7.3600000000005821</v>
      </c>
      <c r="H165" s="99">
        <f>G165+'19'!H165</f>
        <v>141.90000000000146</v>
      </c>
      <c r="I165" s="236"/>
      <c r="J165" s="239">
        <f>H165/DAY(B2)</f>
        <v>7.0950000000000726</v>
      </c>
    </row>
    <row r="166" spans="1:10" ht="26.25">
      <c r="A166" s="923"/>
      <c r="B166" s="923"/>
      <c r="C166" s="246"/>
      <c r="D166" s="244" t="s">
        <v>180</v>
      </c>
      <c r="E166" s="95">
        <f>'19'!F166</f>
        <v>0</v>
      </c>
      <c r="F166" s="165"/>
      <c r="G166" s="165">
        <f t="shared" si="13"/>
        <v>0</v>
      </c>
      <c r="H166" s="99">
        <f>G166+'19'!H166</f>
        <v>0</v>
      </c>
      <c r="I166" s="165"/>
      <c r="J166" s="239">
        <f>H166/DAY(B2)</f>
        <v>0</v>
      </c>
    </row>
    <row r="167" spans="1:10" ht="26.25">
      <c r="A167" s="923"/>
      <c r="B167" s="923"/>
      <c r="C167" s="246"/>
      <c r="D167" s="244" t="s">
        <v>180</v>
      </c>
      <c r="E167" s="95">
        <f>'19'!F167</f>
        <v>0</v>
      </c>
      <c r="F167" s="165"/>
      <c r="G167" s="165"/>
      <c r="H167" s="99">
        <f>G167+'19'!H167</f>
        <v>0</v>
      </c>
      <c r="I167" s="165"/>
      <c r="J167" s="239">
        <f>H167/DAY(B2)</f>
        <v>0</v>
      </c>
    </row>
    <row r="168" spans="1:10" ht="26.25">
      <c r="A168" s="923"/>
      <c r="B168" s="923"/>
      <c r="C168" s="246"/>
      <c r="D168" s="244" t="s">
        <v>180</v>
      </c>
      <c r="E168" s="95">
        <f>'19'!F168</f>
        <v>0</v>
      </c>
      <c r="F168" s="165"/>
      <c r="G168" s="165"/>
      <c r="H168" s="99">
        <f>G168+'19'!H168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33" t="s">
        <v>330</v>
      </c>
      <c r="B171" s="934"/>
      <c r="C171" s="934"/>
      <c r="D171" s="934"/>
      <c r="E171" s="934"/>
      <c r="F171" s="934"/>
      <c r="G171" s="934"/>
      <c r="H171" s="934"/>
      <c r="I171" s="934"/>
      <c r="J171" s="935"/>
    </row>
    <row r="172" spans="1:10" ht="25.5">
      <c r="A172" s="929"/>
      <c r="B172" s="930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41" t="s">
        <v>209</v>
      </c>
      <c r="B173" s="843"/>
      <c r="C173" s="333"/>
      <c r="D173" s="228" t="s">
        <v>142</v>
      </c>
      <c r="E173" s="95">
        <f>'19'!F173</f>
        <v>8609</v>
      </c>
      <c r="F173" s="155">
        <v>8610</v>
      </c>
      <c r="G173" s="155">
        <f>F173-E173</f>
        <v>1</v>
      </c>
      <c r="H173" s="99">
        <f>G173+'19'!H173</f>
        <v>26</v>
      </c>
      <c r="I173" s="155"/>
      <c r="J173" s="178">
        <f>H173/DAY(B2)</f>
        <v>1.3</v>
      </c>
    </row>
    <row r="174" spans="1:10" ht="25.5">
      <c r="A174" s="841" t="s">
        <v>75</v>
      </c>
      <c r="B174" s="843"/>
      <c r="C174" s="333"/>
      <c r="D174" s="228" t="s">
        <v>142</v>
      </c>
      <c r="E174" s="95">
        <f>'19'!F174</f>
        <v>42892</v>
      </c>
      <c r="F174" s="157">
        <v>42904</v>
      </c>
      <c r="G174" s="155">
        <f t="shared" ref="G174:G175" si="14">F174-E174</f>
        <v>12</v>
      </c>
      <c r="H174" s="99">
        <f>G174+'19'!H174</f>
        <v>235</v>
      </c>
      <c r="I174" s="155"/>
      <c r="J174" s="178">
        <f>H174/DAY(B2)</f>
        <v>11.75</v>
      </c>
    </row>
    <row r="175" spans="1:10" ht="25.5">
      <c r="A175" s="841" t="s">
        <v>76</v>
      </c>
      <c r="B175" s="842"/>
      <c r="C175" s="843"/>
      <c r="D175" s="228" t="s">
        <v>142</v>
      </c>
      <c r="E175" s="95">
        <f>'19'!F175</f>
        <v>25636</v>
      </c>
      <c r="F175" s="155">
        <v>25651</v>
      </c>
      <c r="G175" s="155">
        <f t="shared" si="14"/>
        <v>15</v>
      </c>
      <c r="H175" s="99">
        <f>G175+'19'!H175</f>
        <v>258</v>
      </c>
      <c r="I175" s="155"/>
      <c r="J175" s="178">
        <f>H175/DAY(B2)</f>
        <v>12.9</v>
      </c>
    </row>
    <row r="176" spans="1:10" ht="25.5">
      <c r="A176" s="853" t="s">
        <v>196</v>
      </c>
      <c r="B176" s="854"/>
      <c r="C176" s="400"/>
      <c r="D176" s="228" t="s">
        <v>142</v>
      </c>
      <c r="E176" s="95"/>
      <c r="F176" s="155"/>
      <c r="G176" s="155">
        <f>SUM(G173:G175)</f>
        <v>28</v>
      </c>
      <c r="H176" s="99">
        <f>G176+'19'!H176</f>
        <v>519</v>
      </c>
      <c r="I176" s="155"/>
      <c r="J176" s="178">
        <f>H176/DAY(B2)</f>
        <v>25.95</v>
      </c>
    </row>
    <row r="177" spans="1:10" ht="25.5">
      <c r="A177" s="841" t="s">
        <v>77</v>
      </c>
      <c r="B177" s="843"/>
      <c r="C177" s="333"/>
      <c r="D177" s="228" t="s">
        <v>142</v>
      </c>
      <c r="E177" s="95"/>
      <c r="F177" s="155"/>
      <c r="G177" s="155"/>
      <c r="H177" s="99">
        <f>G177+'19'!H177</f>
        <v>0</v>
      </c>
      <c r="I177" s="155"/>
      <c r="J177" s="178">
        <f>H177/DAY(B2)</f>
        <v>0</v>
      </c>
    </row>
    <row r="178" spans="1:10" ht="25.5">
      <c r="A178" s="841" t="s">
        <v>210</v>
      </c>
      <c r="B178" s="843"/>
      <c r="C178" s="333"/>
      <c r="D178" s="228" t="s">
        <v>142</v>
      </c>
      <c r="E178" s="95">
        <f>'19'!F178</f>
        <v>105535</v>
      </c>
      <c r="F178" s="155">
        <v>105687</v>
      </c>
      <c r="G178" s="155">
        <f>F178-E178</f>
        <v>152</v>
      </c>
      <c r="H178" s="99">
        <f>G178+'19'!H178</f>
        <v>2044</v>
      </c>
      <c r="I178" s="155"/>
      <c r="J178" s="178">
        <f>H178/DAY(B2)</f>
        <v>102.2</v>
      </c>
    </row>
    <row r="179" spans="1:10" ht="25.5">
      <c r="A179" s="841" t="s">
        <v>211</v>
      </c>
      <c r="B179" s="843"/>
      <c r="C179" s="333"/>
      <c r="D179" s="228" t="s">
        <v>142</v>
      </c>
      <c r="E179" s="95">
        <f>'19'!F179</f>
        <v>37501</v>
      </c>
      <c r="F179" s="155">
        <v>37501</v>
      </c>
      <c r="G179" s="155">
        <f t="shared" ref="G179:G180" si="15">F179-E179</f>
        <v>0</v>
      </c>
      <c r="H179" s="99">
        <f>G179+'19'!H179</f>
        <v>0</v>
      </c>
      <c r="I179" s="155"/>
      <c r="J179" s="178">
        <f>H179/DAY(B2)</f>
        <v>0</v>
      </c>
    </row>
    <row r="180" spans="1:10" ht="25.5">
      <c r="A180" s="841" t="s">
        <v>212</v>
      </c>
      <c r="B180" s="843"/>
      <c r="C180" s="333"/>
      <c r="D180" s="228" t="s">
        <v>142</v>
      </c>
      <c r="E180" s="95">
        <f>'19'!F180</f>
        <v>7480</v>
      </c>
      <c r="F180" s="155">
        <v>7480</v>
      </c>
      <c r="G180" s="155">
        <f t="shared" si="15"/>
        <v>0</v>
      </c>
      <c r="H180" s="99">
        <f>G180+'19'!H180</f>
        <v>60</v>
      </c>
      <c r="I180" s="155"/>
      <c r="J180" s="178">
        <f>H180/DAY(B2)</f>
        <v>3</v>
      </c>
    </row>
    <row r="181" spans="1:10" ht="24.75" customHeight="1">
      <c r="A181" s="927" t="s">
        <v>108</v>
      </c>
      <c r="B181" s="928"/>
      <c r="C181" s="400"/>
      <c r="D181" s="228" t="s">
        <v>142</v>
      </c>
      <c r="E181" s="95"/>
      <c r="F181" s="155"/>
      <c r="G181" s="155">
        <f>SUM(G178:G180)</f>
        <v>152</v>
      </c>
      <c r="H181" s="99">
        <f>G181+'19'!H181</f>
        <v>2104</v>
      </c>
      <c r="I181" s="155"/>
      <c r="J181" s="178">
        <f>H181/DAY(B2)</f>
        <v>105.2</v>
      </c>
    </row>
    <row r="182" spans="1:10" ht="24.75" customHeight="1">
      <c r="A182" s="841" t="s">
        <v>213</v>
      </c>
      <c r="B182" s="843"/>
      <c r="C182" s="333"/>
      <c r="D182" s="228" t="s">
        <v>142</v>
      </c>
      <c r="E182" s="95"/>
      <c r="F182" s="155"/>
      <c r="G182" s="155"/>
      <c r="H182" s="99">
        <f>G182+'19'!H182</f>
        <v>0</v>
      </c>
      <c r="I182" s="155"/>
      <c r="J182" s="178">
        <f>H182/DAY(B2)</f>
        <v>0</v>
      </c>
    </row>
    <row r="183" spans="1:10" ht="24.75" customHeight="1">
      <c r="A183" s="841" t="s">
        <v>214</v>
      </c>
      <c r="B183" s="843"/>
      <c r="C183" s="334"/>
      <c r="D183" s="228" t="s">
        <v>142</v>
      </c>
      <c r="E183" s="95">
        <f>'19'!F183</f>
        <v>18301</v>
      </c>
      <c r="F183" s="157">
        <v>18306</v>
      </c>
      <c r="G183" s="157">
        <f>F183-E183</f>
        <v>5</v>
      </c>
      <c r="H183" s="99">
        <f>G183+'19'!H183</f>
        <v>138</v>
      </c>
      <c r="I183" s="155"/>
      <c r="J183" s="178">
        <f>H183/DAY(B2)</f>
        <v>6.9</v>
      </c>
    </row>
    <row r="184" spans="1:10" ht="24.75" customHeight="1">
      <c r="A184" s="841" t="s">
        <v>215</v>
      </c>
      <c r="B184" s="843"/>
      <c r="C184" s="334"/>
      <c r="D184" s="228" t="s">
        <v>142</v>
      </c>
      <c r="E184" s="95">
        <f>'19'!F184</f>
        <v>12894</v>
      </c>
      <c r="F184" s="157">
        <v>12901</v>
      </c>
      <c r="G184" s="157">
        <f t="shared" ref="G184:G185" si="16">F184-E184</f>
        <v>7</v>
      </c>
      <c r="H184" s="99">
        <f>G184+'19'!H184</f>
        <v>170</v>
      </c>
      <c r="I184" s="155"/>
      <c r="J184" s="178">
        <f>H184/DAY(B2)</f>
        <v>8.5</v>
      </c>
    </row>
    <row r="185" spans="1:10" ht="24.75" customHeight="1">
      <c r="A185" s="841" t="s">
        <v>216</v>
      </c>
      <c r="B185" s="843"/>
      <c r="C185" s="334"/>
      <c r="D185" s="228" t="s">
        <v>142</v>
      </c>
      <c r="E185" s="95">
        <f>'19'!F185</f>
        <v>0</v>
      </c>
      <c r="F185" s="157"/>
      <c r="G185" s="157">
        <f t="shared" si="16"/>
        <v>0</v>
      </c>
      <c r="H185" s="99">
        <f>G185+'19'!H185</f>
        <v>0</v>
      </c>
      <c r="I185" s="155"/>
      <c r="J185" s="178">
        <f>H185/DAY(B2)</f>
        <v>0</v>
      </c>
    </row>
    <row r="186" spans="1:10" ht="25.5">
      <c r="A186" s="853" t="s">
        <v>196</v>
      </c>
      <c r="B186" s="854"/>
      <c r="C186" s="399"/>
      <c r="D186" s="228" t="s">
        <v>142</v>
      </c>
      <c r="E186" s="95"/>
      <c r="F186" s="157"/>
      <c r="G186" s="157">
        <f>SUM(G183:G185)</f>
        <v>12</v>
      </c>
      <c r="H186" s="99">
        <f>G186+'19'!H186</f>
        <v>308</v>
      </c>
      <c r="I186" s="157"/>
      <c r="J186" s="178">
        <f>H186/DAY(B2)</f>
        <v>15.4</v>
      </c>
    </row>
    <row r="187" spans="1:10" ht="25.5">
      <c r="A187" s="931" t="s">
        <v>217</v>
      </c>
      <c r="B187" s="932"/>
      <c r="C187" s="333"/>
      <c r="D187" s="230" t="s">
        <v>142</v>
      </c>
      <c r="E187" s="95"/>
      <c r="F187" s="159"/>
      <c r="G187" s="377">
        <f>G62+G19</f>
        <v>175</v>
      </c>
      <c r="H187" s="99">
        <f>G187+'19'!H187</f>
        <v>3463</v>
      </c>
      <c r="I187" s="158"/>
      <c r="J187" s="179">
        <f>H187/DAY(B2)</f>
        <v>173.15</v>
      </c>
    </row>
    <row r="188" spans="1:10" ht="25.5">
      <c r="A188" s="931" t="s">
        <v>218</v>
      </c>
      <c r="B188" s="932"/>
      <c r="C188" s="333"/>
      <c r="D188" s="230" t="s">
        <v>142</v>
      </c>
      <c r="E188" s="95"/>
      <c r="F188" s="159"/>
      <c r="G188" s="377">
        <f>G65+G66+G67+G69+G70</f>
        <v>183</v>
      </c>
      <c r="H188" s="99">
        <f>G188+'19'!H188</f>
        <v>1135</v>
      </c>
      <c r="I188" s="158"/>
      <c r="J188" s="179">
        <f>H188/DAY(B2)</f>
        <v>56.75</v>
      </c>
    </row>
    <row r="189" spans="1:10" ht="25.5">
      <c r="A189" s="931" t="s">
        <v>219</v>
      </c>
      <c r="B189" s="932"/>
      <c r="C189" s="333"/>
      <c r="D189" s="230" t="s">
        <v>142</v>
      </c>
      <c r="E189" s="95"/>
      <c r="F189" s="157"/>
      <c r="G189" s="376">
        <f>G181</f>
        <v>152</v>
      </c>
      <c r="H189" s="99">
        <f>G189+'19'!H189</f>
        <v>244</v>
      </c>
      <c r="I189" s="158"/>
      <c r="J189" s="179">
        <f>H189/DAY(B2)</f>
        <v>12.2</v>
      </c>
    </row>
    <row r="190" spans="1:10" ht="25.5">
      <c r="A190" s="925"/>
      <c r="B190" s="926"/>
      <c r="C190" s="398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4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8:C148"/>
    <mergeCell ref="A143:C143"/>
    <mergeCell ref="A150:C150"/>
    <mergeCell ref="A151:C151"/>
    <mergeCell ref="A152:C152"/>
    <mergeCell ref="A154:J154"/>
    <mergeCell ref="A155:C155"/>
    <mergeCell ref="A156:C156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6:C116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A142:C14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94:C94"/>
    <mergeCell ref="A95:C95"/>
    <mergeCell ref="A96:C96"/>
    <mergeCell ref="A102:C102"/>
    <mergeCell ref="A123:C123"/>
    <mergeCell ref="A109:B109"/>
    <mergeCell ref="A33:C33"/>
    <mergeCell ref="A64:C64"/>
    <mergeCell ref="A65:C65"/>
    <mergeCell ref="A73:C73"/>
    <mergeCell ref="A74:C74"/>
    <mergeCell ref="A81:C81"/>
    <mergeCell ref="A93:C93"/>
    <mergeCell ref="A75:C75"/>
    <mergeCell ref="A76:C76"/>
    <mergeCell ref="A77:C77"/>
    <mergeCell ref="A79:C79"/>
    <mergeCell ref="A80:C80"/>
    <mergeCell ref="A78:C78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2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R1701"/>
  <sheetViews>
    <sheetView view="pageBreakPreview" zoomScale="60" zoomScaleNormal="60" zoomScalePageLayoutView="20" workbookViewId="0">
      <selection activeCell="F24" sqref="F24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.5546875" style="161" customWidth="1"/>
    <col min="9" max="9" width="19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67" t="s">
        <v>115</v>
      </c>
      <c r="B1" s="868"/>
      <c r="C1" s="868"/>
      <c r="D1" s="868"/>
      <c r="E1" s="868"/>
      <c r="F1" s="868"/>
      <c r="G1" s="868"/>
      <c r="H1" s="868"/>
      <c r="I1" s="868"/>
      <c r="J1" s="869"/>
    </row>
    <row r="2" spans="1:15" s="57" customFormat="1" ht="23.25">
      <c r="A2" s="191" t="s">
        <v>355</v>
      </c>
      <c r="B2" s="262">
        <v>44916</v>
      </c>
      <c r="C2" s="348" t="s">
        <v>67</v>
      </c>
      <c r="D2" s="218">
        <v>0.83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26</v>
      </c>
      <c r="E3" s="876" t="s">
        <v>119</v>
      </c>
      <c r="F3" s="877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0" t="s">
        <v>128</v>
      </c>
      <c r="B6" s="871"/>
      <c r="C6" s="87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'20'!F7</f>
        <v>739793</v>
      </c>
      <c r="F7" s="95">
        <v>761668</v>
      </c>
      <c r="G7" s="112">
        <f>F7-E7</f>
        <v>21875</v>
      </c>
      <c r="H7" s="99">
        <f>G7+'20'!H7</f>
        <v>487985.45</v>
      </c>
      <c r="I7" s="113">
        <f>'1'!I7</f>
        <v>12000</v>
      </c>
      <c r="J7" s="175">
        <f>H7/DAY(B2)</f>
        <v>23237.402380952382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'20'!F8</f>
        <v>920081</v>
      </c>
      <c r="F8" s="114">
        <v>942083</v>
      </c>
      <c r="G8" s="115">
        <f>F8-E8</f>
        <v>22002</v>
      </c>
      <c r="H8" s="99">
        <f>G8+'20'!H8</f>
        <v>490822</v>
      </c>
      <c r="I8" s="116"/>
      <c r="J8" s="175">
        <f>H8/DAY(B2)</f>
        <v>23372.476190476191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'20'!F9</f>
        <v>4260623</v>
      </c>
      <c r="F9" s="468">
        <v>4270082</v>
      </c>
      <c r="G9" s="112">
        <f>F9-E9</f>
        <v>9459</v>
      </c>
      <c r="H9" s="99">
        <f>G9+'20'!H9</f>
        <v>155911.70000000019</v>
      </c>
      <c r="I9" s="124">
        <f>I7-J7</f>
        <v>-11237.402380952382</v>
      </c>
      <c r="J9" s="175">
        <f>H9/DAY(B2)</f>
        <v>7424.3666666666759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'20'!F10</f>
        <v>3996542</v>
      </c>
      <c r="F10" s="353">
        <v>4008362</v>
      </c>
      <c r="G10" s="112">
        <f t="shared" ref="G10:G12" si="0">F10-E10</f>
        <v>11820</v>
      </c>
      <c r="H10" s="99">
        <f>G10+'20'!H10</f>
        <v>318882.89999999991</v>
      </c>
      <c r="I10" s="282"/>
      <c r="J10" s="175">
        <f>H10/DAY(B2)</f>
        <v>15184.899999999996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'20'!F11</f>
        <v>38120</v>
      </c>
      <c r="F11" s="95">
        <v>38700</v>
      </c>
      <c r="G11" s="112">
        <f t="shared" si="0"/>
        <v>580</v>
      </c>
      <c r="H11" s="99">
        <f>G11+'20'!H11</f>
        <v>580</v>
      </c>
      <c r="I11" s="282"/>
      <c r="J11" s="175">
        <f>H11/DAY(B2)</f>
        <v>27.61904761904762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'20'!F12</f>
        <v>40550</v>
      </c>
      <c r="F12" s="117">
        <v>40550</v>
      </c>
      <c r="G12" s="112">
        <f t="shared" si="0"/>
        <v>0</v>
      </c>
      <c r="H12" s="99">
        <f>G12+'20'!H12</f>
        <v>160</v>
      </c>
      <c r="I12" s="282"/>
      <c r="J12" s="175">
        <f>H12/DAY(B2)</f>
        <v>7.6190476190476186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21859</v>
      </c>
      <c r="H13" s="99">
        <f>G13+'20'!H13</f>
        <v>479763.29999999981</v>
      </c>
      <c r="I13" s="120">
        <f>G7-G13</f>
        <v>16</v>
      </c>
      <c r="J13" s="175">
        <f>H13/DAY(B2)</f>
        <v>22845.87142857142</v>
      </c>
      <c r="K13" s="79"/>
      <c r="L13" s="66"/>
      <c r="N13" s="87"/>
      <c r="O13" s="71"/>
    </row>
    <row r="14" spans="1:15" ht="26.25">
      <c r="A14" s="873" t="s">
        <v>137</v>
      </c>
      <c r="B14" s="874"/>
      <c r="C14" s="87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'20'!F15</f>
        <v>2240673</v>
      </c>
      <c r="F15" s="468">
        <v>2241776</v>
      </c>
      <c r="G15" s="112">
        <f>(F15-E15)</f>
        <v>1103</v>
      </c>
      <c r="H15" s="99">
        <f>G15+'20'!H15</f>
        <v>22835</v>
      </c>
      <c r="I15" s="113">
        <f>'1'!I15</f>
        <v>800</v>
      </c>
      <c r="J15" s="175">
        <f>H15/DAY(B2)</f>
        <v>1087.3809523809523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-287.38095238095229</v>
      </c>
      <c r="J16" s="176"/>
      <c r="K16" s="79"/>
      <c r="L16" s="66"/>
      <c r="N16" s="87"/>
      <c r="O16" s="71"/>
    </row>
    <row r="17" spans="1:15" ht="26.25">
      <c r="A17" s="873" t="s">
        <v>140</v>
      </c>
      <c r="B17" s="874"/>
      <c r="C17" s="87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64" t="s">
        <v>141</v>
      </c>
      <c r="B18" s="865"/>
      <c r="C18" s="866"/>
      <c r="D18" s="151" t="s">
        <v>142</v>
      </c>
      <c r="E18" s="95">
        <f>'20'!F18</f>
        <v>23</v>
      </c>
      <c r="F18" s="122">
        <v>30</v>
      </c>
      <c r="G18" s="119">
        <f>F18*10</f>
        <v>300</v>
      </c>
      <c r="H18" s="99">
        <f>G18+'20'!H18</f>
        <v>5840</v>
      </c>
      <c r="I18" s="113">
        <f>'1'!I18</f>
        <v>65</v>
      </c>
      <c r="J18" s="175">
        <f>H18/DAY(B2)</f>
        <v>278.09523809523807</v>
      </c>
      <c r="K18" s="79"/>
      <c r="L18" s="66"/>
      <c r="N18" s="87"/>
      <c r="O18" s="71"/>
    </row>
    <row r="19" spans="1:15" ht="25.5">
      <c r="A19" s="864" t="s">
        <v>69</v>
      </c>
      <c r="B19" s="865"/>
      <c r="C19" s="866"/>
      <c r="D19" s="151" t="s">
        <v>142</v>
      </c>
      <c r="E19" s="95">
        <f>'20'!F19</f>
        <v>168947</v>
      </c>
      <c r="F19" s="122">
        <v>169007</v>
      </c>
      <c r="G19" s="112">
        <f t="shared" ref="G19" si="1">F19-E19</f>
        <v>60</v>
      </c>
      <c r="H19" s="99">
        <f>G19+'20'!H19</f>
        <v>1131</v>
      </c>
      <c r="I19" s="335"/>
      <c r="J19" s="175">
        <f>H19/DAY(B2)</f>
        <v>53.857142857142854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360</v>
      </c>
      <c r="H20" s="99">
        <f>G20+'20'!H20</f>
        <v>6971</v>
      </c>
      <c r="I20" s="336">
        <f>I18-J20</f>
        <v>-266.95238095238096</v>
      </c>
      <c r="J20" s="175">
        <f>H20/DAY(B2)</f>
        <v>331.95238095238096</v>
      </c>
      <c r="K20" s="79"/>
      <c r="L20" s="66"/>
      <c r="N20" s="87"/>
      <c r="O20" s="71"/>
    </row>
    <row r="21" spans="1:15" ht="26.25">
      <c r="A21" s="873" t="s">
        <v>144</v>
      </c>
      <c r="B21" s="874"/>
      <c r="C21" s="87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'20'!F22</f>
        <v>2970</v>
      </c>
      <c r="F22" s="122">
        <v>2970</v>
      </c>
      <c r="G22" s="119">
        <f>F22-E22</f>
        <v>0</v>
      </c>
      <c r="H22" s="99">
        <f>G22+'20'!H22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'20'!F23</f>
        <v>1860</v>
      </c>
      <c r="F23" s="122">
        <v>1860</v>
      </c>
      <c r="G23" s="119">
        <f>F23-E23</f>
        <v>0</v>
      </c>
      <c r="H23" s="99">
        <f>G23+'20'!H23</f>
        <v>-100</v>
      </c>
      <c r="I23" s="118"/>
      <c r="J23" s="175">
        <f>H23/DAY(B2)</f>
        <v>-4.7619047619047619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'20'!F24</f>
        <v>4830</v>
      </c>
      <c r="F24" s="128">
        <f>SUM(F22:F23)</f>
        <v>4830</v>
      </c>
      <c r="G24" s="119">
        <f>SUM(G22:G23)</f>
        <v>0</v>
      </c>
      <c r="H24" s="99">
        <f>G24+'20'!H24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78" t="s">
        <v>149</v>
      </c>
      <c r="B25" s="879"/>
      <c r="C25" s="88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22002</v>
      </c>
      <c r="F27" s="136">
        <v>9</v>
      </c>
      <c r="G27" s="137">
        <f>E27*F27</f>
        <v>198018</v>
      </c>
      <c r="H27" s="99">
        <f>G27+'20'!H27</f>
        <v>4439988.8</v>
      </c>
      <c r="I27" s="138"/>
      <c r="J27" s="175">
        <f>H27/DAY(B2)</f>
        <v>211428.03809523809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1103</v>
      </c>
      <c r="F28" s="136">
        <v>70</v>
      </c>
      <c r="G28" s="137">
        <f>E28*F28</f>
        <v>77210</v>
      </c>
      <c r="H28" s="99">
        <f>G28+'20'!H28</f>
        <v>1608961.7500000005</v>
      </c>
      <c r="I28" s="140"/>
      <c r="J28" s="175">
        <f>H28/DAY(B2)</f>
        <v>76617.226190476213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v>200</v>
      </c>
      <c r="F29" s="136">
        <v>69</v>
      </c>
      <c r="G29" s="137">
        <f>E29*F29</f>
        <v>13800</v>
      </c>
      <c r="H29" s="99">
        <f>G29+'20'!H29</f>
        <v>20700</v>
      </c>
      <c r="I29" s="140"/>
      <c r="J29" s="175">
        <f>H29/DAY(B2)</f>
        <v>985.71428571428567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151</v>
      </c>
      <c r="G30" s="137">
        <f>E30*F30</f>
        <v>9060</v>
      </c>
      <c r="H30" s="99">
        <f>G30+'20'!H30</f>
        <v>170781</v>
      </c>
      <c r="I30" s="140"/>
      <c r="J30" s="175">
        <f>H30/DAY(B2)</f>
        <v>8132.4285714285716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300</v>
      </c>
      <c r="F31" s="136">
        <v>80</v>
      </c>
      <c r="G31" s="137">
        <f>E31*F31</f>
        <v>24000</v>
      </c>
      <c r="H31" s="99">
        <f>G31+'20'!H31</f>
        <v>467200</v>
      </c>
      <c r="I31" s="140"/>
      <c r="J31" s="175">
        <f>H31/DAY(B2)</f>
        <v>22247.619047619046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322088</v>
      </c>
      <c r="H32" s="99">
        <f>G32+'20'!H32</f>
        <v>6707631.5500000007</v>
      </c>
      <c r="I32" s="144"/>
      <c r="J32" s="175">
        <f>H32/DAY(B2)</f>
        <v>319411.0261904762</v>
      </c>
      <c r="K32" s="63"/>
      <c r="L32" s="89"/>
      <c r="N32" s="87"/>
      <c r="O32" s="71"/>
    </row>
    <row r="33" spans="1:15" ht="25.5" customHeight="1">
      <c r="A33" s="881" t="s">
        <v>331</v>
      </c>
      <c r="B33" s="882"/>
      <c r="C33" s="88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'20'!F35</f>
        <v>424884</v>
      </c>
      <c r="F35" s="145">
        <v>427677</v>
      </c>
      <c r="G35" s="112">
        <f t="shared" ref="G35:G46" si="2">F35-E35</f>
        <v>2793</v>
      </c>
      <c r="H35" s="99">
        <f>G35+'20'!H35</f>
        <v>58580.090000000026</v>
      </c>
      <c r="I35" s="95"/>
      <c r="J35" s="175">
        <f>H35/DAY(B2)</f>
        <v>2789.5280952380963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'20'!F36</f>
        <v>344167</v>
      </c>
      <c r="F36" s="145">
        <v>345030</v>
      </c>
      <c r="G36" s="112">
        <f t="shared" si="2"/>
        <v>863</v>
      </c>
      <c r="H36" s="99">
        <f>G36+'20'!H36</f>
        <v>22812.890000000014</v>
      </c>
      <c r="I36" s="95"/>
      <c r="J36" s="175">
        <f>H36/DAY(B2)</f>
        <v>1086.328095238096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'20'!F37</f>
        <v>322998.69</v>
      </c>
      <c r="F37" s="418">
        <v>323869</v>
      </c>
      <c r="G37" s="112">
        <f t="shared" si="2"/>
        <v>870.30999999999767</v>
      </c>
      <c r="H37" s="99">
        <f>G37+'20'!H37</f>
        <v>870.30999999999767</v>
      </c>
      <c r="I37" s="95"/>
      <c r="J37" s="175">
        <f>H37/DAY(B2)</f>
        <v>41.443333333333221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'20'!F38</f>
        <v>770899.59</v>
      </c>
      <c r="F38" s="108">
        <v>772147</v>
      </c>
      <c r="G38" s="112">
        <f t="shared" si="2"/>
        <v>1247.4100000000326</v>
      </c>
      <c r="H38" s="99">
        <f>G38+'20'!H38</f>
        <v>36294.609999999986</v>
      </c>
      <c r="I38" s="95"/>
      <c r="J38" s="175">
        <f>H38/DAY(B2)</f>
        <v>1728.3147619047613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'20'!F39</f>
        <v>591584</v>
      </c>
      <c r="F39" s="418">
        <v>592887</v>
      </c>
      <c r="G39" s="112">
        <f t="shared" si="2"/>
        <v>1303</v>
      </c>
      <c r="H39" s="99">
        <f>G39+'20'!H39</f>
        <v>1302.8100000000559</v>
      </c>
      <c r="I39" s="95"/>
      <c r="J39" s="175">
        <f>H39/DAY(B2)</f>
        <v>62.038571428574087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'20'!F40</f>
        <v>205048</v>
      </c>
      <c r="F40" s="145">
        <v>205472</v>
      </c>
      <c r="G40" s="112">
        <f t="shared" si="2"/>
        <v>424</v>
      </c>
      <c r="H40" s="99">
        <f>G40+'20'!H40</f>
        <v>8742.0299999999988</v>
      </c>
      <c r="I40" s="95"/>
      <c r="J40" s="175">
        <f>H40/DAY(B2)</f>
        <v>416.28714285714278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'20'!F41</f>
        <v>419197</v>
      </c>
      <c r="F41" s="145">
        <v>419778</v>
      </c>
      <c r="G41" s="112">
        <f t="shared" si="2"/>
        <v>581</v>
      </c>
      <c r="H41" s="99">
        <f>G41+'20'!H41</f>
        <v>610.40999999997439</v>
      </c>
      <c r="I41" s="95"/>
      <c r="J41" s="175">
        <f>H41/DAY(B2)</f>
        <v>29.067142857141636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'20'!F42</f>
        <v>890910.79</v>
      </c>
      <c r="F42" s="145">
        <v>890910.79</v>
      </c>
      <c r="G42" s="112">
        <f t="shared" si="2"/>
        <v>0</v>
      </c>
      <c r="H42" s="99">
        <f>G42+'20'!H42</f>
        <v>19039.920000000042</v>
      </c>
      <c r="I42" s="95"/>
      <c r="J42" s="175">
        <f>H42/DAY(B2)</f>
        <v>906.66285714285914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'20'!F43</f>
        <v>422444</v>
      </c>
      <c r="F43" s="145">
        <v>422444</v>
      </c>
      <c r="G43" s="112">
        <f t="shared" si="2"/>
        <v>0</v>
      </c>
      <c r="H43" s="99">
        <f>G43+'20'!H43</f>
        <v>15416</v>
      </c>
      <c r="I43" s="95"/>
      <c r="J43" s="175">
        <f>H43/DAY(B2)</f>
        <v>734.09523809523807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'20'!F44</f>
        <v>0</v>
      </c>
      <c r="F44" s="145">
        <v>0</v>
      </c>
      <c r="G44" s="112">
        <f t="shared" si="2"/>
        <v>0</v>
      </c>
      <c r="H44" s="99">
        <f>G44+'20'!H44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'20'!F45</f>
        <v>0</v>
      </c>
      <c r="F45" s="145">
        <v>0</v>
      </c>
      <c r="G45" s="112">
        <f t="shared" si="2"/>
        <v>0</v>
      </c>
      <c r="H45" s="99">
        <f>G45+'20'!H45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'20'!F46</f>
        <v>0</v>
      </c>
      <c r="F46" s="145">
        <v>0</v>
      </c>
      <c r="G46" s="112">
        <f t="shared" si="2"/>
        <v>0</v>
      </c>
      <c r="H46" s="99">
        <f>G46+'20'!H46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8081.7200000000303</v>
      </c>
      <c r="H47" s="99">
        <f>G47+'20'!H47</f>
        <v>163669.07000000009</v>
      </c>
      <c r="I47" s="95"/>
      <c r="J47" s="175">
        <f>H47/DAY(B2)</f>
        <v>7793.7652380952422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'20'!F49</f>
        <v>802465.59</v>
      </c>
      <c r="F49" s="145">
        <v>802880</v>
      </c>
      <c r="G49" s="112">
        <f t="shared" ref="G49:G58" si="3">F49-E49</f>
        <v>414.4100000000326</v>
      </c>
      <c r="H49" s="99">
        <f>G49+'20'!H49</f>
        <v>9257.0500000000466</v>
      </c>
      <c r="I49" s="95"/>
      <c r="J49" s="175">
        <f>H49/DAY(B2)</f>
        <v>440.81190476190699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'20'!F50</f>
        <v>486923</v>
      </c>
      <c r="F50" s="145">
        <v>488097</v>
      </c>
      <c r="G50" s="112">
        <f t="shared" si="3"/>
        <v>1174</v>
      </c>
      <c r="H50" s="99">
        <f>G50+'20'!H50</f>
        <v>31427.929999999993</v>
      </c>
      <c r="I50" s="95"/>
      <c r="J50" s="175">
        <f>H50/DAY(B2)</f>
        <v>1496.5680952380949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'20'!F51</f>
        <v>156473</v>
      </c>
      <c r="F51" s="145">
        <v>156958</v>
      </c>
      <c r="G51" s="112">
        <f t="shared" si="3"/>
        <v>485</v>
      </c>
      <c r="H51" s="99">
        <f>G51+'20'!H51</f>
        <v>21713.450000000012</v>
      </c>
      <c r="I51" s="95"/>
      <c r="J51" s="175">
        <f>H51/DAY(B2)</f>
        <v>1033.9738095238101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'20'!F52</f>
        <v>9.76</v>
      </c>
      <c r="F52" s="145">
        <v>9.76</v>
      </c>
      <c r="G52" s="112">
        <f t="shared" si="3"/>
        <v>0</v>
      </c>
      <c r="H52" s="99">
        <f>G52+'20'!H52</f>
        <v>-0.24000000000000021</v>
      </c>
      <c r="I52" s="95"/>
      <c r="J52" s="175">
        <f>H52/DAY(B2)</f>
        <v>-1.1428571428571439E-2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'20'!F53</f>
        <v>628260</v>
      </c>
      <c r="F53" s="145">
        <v>630355</v>
      </c>
      <c r="G53" s="112">
        <f t="shared" si="3"/>
        <v>2095</v>
      </c>
      <c r="H53" s="99">
        <f>G53+'20'!H53</f>
        <v>83813.729999999981</v>
      </c>
      <c r="I53" s="95"/>
      <c r="J53" s="175">
        <f>H53/DAY(B2)</f>
        <v>3991.1299999999992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'20'!F54</f>
        <v>110976</v>
      </c>
      <c r="F54" s="145">
        <v>111065</v>
      </c>
      <c r="G54" s="112">
        <f t="shared" si="3"/>
        <v>89</v>
      </c>
      <c r="H54" s="99">
        <f>G54+'20'!H54</f>
        <v>3401.8399999999965</v>
      </c>
      <c r="I54" s="95"/>
      <c r="J54" s="175">
        <f>H54/DAY(B2)</f>
        <v>161.99238095238078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'20'!F55</f>
        <v>576266</v>
      </c>
      <c r="F55" s="145">
        <v>576336</v>
      </c>
      <c r="G55" s="112">
        <f t="shared" si="3"/>
        <v>70</v>
      </c>
      <c r="H55" s="99">
        <f>G55+'20'!H55</f>
        <v>14851.329999999958</v>
      </c>
      <c r="I55" s="95"/>
      <c r="J55" s="175">
        <f>H55/DAY(B2)</f>
        <v>707.20619047618845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'20'!F56</f>
        <v>320682</v>
      </c>
      <c r="F56" s="418">
        <v>323952</v>
      </c>
      <c r="G56" s="112">
        <f t="shared" si="3"/>
        <v>3270</v>
      </c>
      <c r="H56" s="99">
        <f>G56+'20'!H56</f>
        <v>55836.989999999991</v>
      </c>
      <c r="I56" s="95"/>
      <c r="J56" s="175">
        <f>H56/DAY(B2)</f>
        <v>2658.9042857142854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'20'!F57</f>
        <v>0</v>
      </c>
      <c r="F57" s="145">
        <v>2438</v>
      </c>
      <c r="G57" s="112">
        <f t="shared" si="3"/>
        <v>2438</v>
      </c>
      <c r="H57" s="99">
        <f>G57+'20'!H57</f>
        <v>41668.530000000028</v>
      </c>
      <c r="I57" s="95"/>
      <c r="J57" s="175">
        <f>H57/DAY(B2)</f>
        <v>1984.2157142857156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'20'!F58</f>
        <v>83399</v>
      </c>
      <c r="F58" s="145">
        <v>83654</v>
      </c>
      <c r="G58" s="112">
        <f t="shared" si="3"/>
        <v>255</v>
      </c>
      <c r="H58" s="99">
        <f>G58+'20'!H58</f>
        <v>4938.3099999999977</v>
      </c>
      <c r="I58" s="95"/>
      <c r="J58" s="175">
        <f>H58/DAY(B2)</f>
        <v>235.15761904761894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10290.410000000033</v>
      </c>
      <c r="H59" s="99">
        <f>G59+'20'!H59</f>
        <v>266908.92</v>
      </c>
      <c r="I59" s="95">
        <f>G7-G60</f>
        <v>3502.8699999999371</v>
      </c>
      <c r="J59" s="175">
        <f>H59/DAY(B2)</f>
        <v>12709.948571428571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18372.130000000063</v>
      </c>
      <c r="H60" s="99">
        <f>G60+'20'!H60</f>
        <v>430577.99000000022</v>
      </c>
      <c r="I60" s="95">
        <f>G13-G60</f>
        <v>3486.8699999999371</v>
      </c>
      <c r="J60" s="175">
        <f>H60/DAY(B2)</f>
        <v>20503.713809523819</v>
      </c>
      <c r="K60" s="79"/>
      <c r="L60" s="66"/>
      <c r="N60" s="87"/>
      <c r="O60" s="71"/>
    </row>
    <row r="61" spans="1:15" s="68" customFormat="1" ht="26.25">
      <c r="A61" s="883" t="s">
        <v>332</v>
      </c>
      <c r="B61" s="884"/>
      <c r="C61" s="88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64" t="s">
        <v>198</v>
      </c>
      <c r="B62" s="865"/>
      <c r="C62" s="866"/>
      <c r="D62" s="151" t="s">
        <v>142</v>
      </c>
      <c r="E62" s="95">
        <f>'20'!F62</f>
        <v>310706</v>
      </c>
      <c r="F62" s="122">
        <v>310818</v>
      </c>
      <c r="G62" s="112">
        <f t="shared" ref="G62:G63" si="4">F62-E62</f>
        <v>112</v>
      </c>
      <c r="H62" s="99">
        <f>G62+'20'!H62</f>
        <v>2504</v>
      </c>
      <c r="I62" s="118"/>
      <c r="J62" s="175">
        <f>H62/DAY(B2)</f>
        <v>119.23809523809524</v>
      </c>
      <c r="K62" s="80"/>
      <c r="L62" s="66"/>
      <c r="N62" s="87"/>
      <c r="O62" s="71"/>
    </row>
    <row r="63" spans="1:15" ht="25.5">
      <c r="A63" s="864" t="s">
        <v>199</v>
      </c>
      <c r="B63" s="865"/>
      <c r="C63" s="866"/>
      <c r="D63" s="151" t="s">
        <v>142</v>
      </c>
      <c r="E63" s="95">
        <f>'20'!F63</f>
        <v>248066</v>
      </c>
      <c r="F63" s="150">
        <v>248136</v>
      </c>
      <c r="G63" s="112">
        <f t="shared" si="4"/>
        <v>70</v>
      </c>
      <c r="H63" s="99">
        <f>G63+'20'!H63</f>
        <v>1207</v>
      </c>
      <c r="I63" s="118"/>
      <c r="J63" s="175">
        <f>H63/DAY(B2)</f>
        <v>57.476190476190474</v>
      </c>
      <c r="K63" s="69"/>
      <c r="L63" s="66"/>
      <c r="N63" s="87"/>
      <c r="O63" s="71"/>
    </row>
    <row r="64" spans="1:15" ht="26.25">
      <c r="A64" s="861" t="s">
        <v>200</v>
      </c>
      <c r="B64" s="862"/>
      <c r="C64" s="863"/>
      <c r="D64" s="151"/>
      <c r="E64" s="95">
        <f>'20'!F64</f>
        <v>0</v>
      </c>
      <c r="F64" s="122"/>
      <c r="G64" s="112">
        <f>G62+G63</f>
        <v>182</v>
      </c>
      <c r="H64" s="99">
        <f>G64+'20'!H64</f>
        <v>3711</v>
      </c>
      <c r="I64" s="118"/>
      <c r="J64" s="175">
        <f>H64/DAY(B2)</f>
        <v>176.71428571428572</v>
      </c>
      <c r="K64" s="69"/>
      <c r="L64" s="66"/>
      <c r="N64" s="87"/>
      <c r="O64" s="71"/>
    </row>
    <row r="65" spans="1:15" ht="25.5">
      <c r="A65" s="864" t="s">
        <v>201</v>
      </c>
      <c r="B65" s="865"/>
      <c r="C65" s="866"/>
      <c r="D65" s="151" t="s">
        <v>142</v>
      </c>
      <c r="E65" s="95">
        <f>'20'!F65</f>
        <v>470614</v>
      </c>
      <c r="F65" s="122">
        <v>470742</v>
      </c>
      <c r="G65" s="112">
        <f t="shared" ref="G65:G70" si="5">F65-E65</f>
        <v>128</v>
      </c>
      <c r="H65" s="99">
        <f>G65+'20'!H65</f>
        <v>2841</v>
      </c>
      <c r="I65" s="118"/>
      <c r="J65" s="175">
        <f>H65/DAY(B2)</f>
        <v>135.28571428571428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'20'!F66</f>
        <v>113401</v>
      </c>
      <c r="F66" s="122">
        <v>113409</v>
      </c>
      <c r="G66" s="112">
        <f t="shared" si="5"/>
        <v>8</v>
      </c>
      <c r="H66" s="99">
        <f>G66+'20'!H66</f>
        <v>55662</v>
      </c>
      <c r="I66" s="118"/>
      <c r="J66" s="175">
        <f>H66/DAY(B2)</f>
        <v>2650.5714285714284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'20'!F67</f>
        <v>116276</v>
      </c>
      <c r="F67" s="122">
        <v>116297</v>
      </c>
      <c r="G67" s="112">
        <f t="shared" si="5"/>
        <v>21</v>
      </c>
      <c r="H67" s="99">
        <f>G67+'20'!H67</f>
        <v>442</v>
      </c>
      <c r="I67" s="118"/>
      <c r="J67" s="175">
        <f>H67/DAY(B2)</f>
        <v>21.047619047619047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'20'!F68</f>
        <v>169112</v>
      </c>
      <c r="F68" s="122">
        <v>169134</v>
      </c>
      <c r="G68" s="112">
        <f t="shared" si="5"/>
        <v>22</v>
      </c>
      <c r="H68" s="99">
        <f>G68+'20'!H68</f>
        <v>627</v>
      </c>
      <c r="I68" s="118"/>
      <c r="J68" s="175">
        <f>H68/DAY(B2)</f>
        <v>29.857142857142858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'20'!F69</f>
        <v>12915</v>
      </c>
      <c r="F69" s="122">
        <v>12923</v>
      </c>
      <c r="G69" s="112">
        <f t="shared" si="5"/>
        <v>8</v>
      </c>
      <c r="H69" s="99">
        <f>G69+'20'!H69</f>
        <v>113</v>
      </c>
      <c r="I69" s="118"/>
      <c r="J69" s="175">
        <f>H69/DAY(B2)</f>
        <v>5.3809523809523814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'20'!F70</f>
        <v>10920</v>
      </c>
      <c r="F70" s="122">
        <v>10931</v>
      </c>
      <c r="G70" s="112">
        <f t="shared" si="5"/>
        <v>11</v>
      </c>
      <c r="H70" s="99">
        <f>G70+'20'!H70</f>
        <v>152</v>
      </c>
      <c r="I70" s="118"/>
      <c r="J70" s="175">
        <f>H70/DAY(B2)</f>
        <v>7.2380952380952381</v>
      </c>
      <c r="K70" s="69"/>
      <c r="L70" s="66"/>
      <c r="N70" s="87"/>
      <c r="O70" s="71"/>
    </row>
    <row r="71" spans="1:15" ht="26.25">
      <c r="A71" s="861" t="s">
        <v>208</v>
      </c>
      <c r="B71" s="862"/>
      <c r="C71" s="863"/>
      <c r="D71" s="152"/>
      <c r="E71" s="152"/>
      <c r="F71" s="152"/>
      <c r="G71" s="153">
        <f>SUM(G65:G70)</f>
        <v>198</v>
      </c>
      <c r="H71" s="99">
        <f>G71+'20'!H71</f>
        <v>59837</v>
      </c>
      <c r="I71" s="154"/>
      <c r="J71" s="175">
        <f>H71/DAY(B2)</f>
        <v>2849.3809523809523</v>
      </c>
      <c r="K71" s="69"/>
      <c r="L71" s="66"/>
      <c r="N71" s="87"/>
      <c r="O71" s="71"/>
    </row>
    <row r="72" spans="1:15" s="88" customFormat="1" ht="25.5">
      <c r="A72" s="904"/>
      <c r="B72" s="89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09" t="s">
        <v>333</v>
      </c>
      <c r="B73" s="910"/>
      <c r="C73" s="91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64" t="s">
        <v>220</v>
      </c>
      <c r="B74" s="865"/>
      <c r="C74" s="866"/>
      <c r="D74" s="151" t="s">
        <v>139</v>
      </c>
      <c r="E74" s="95">
        <f>'20'!F74</f>
        <v>999214</v>
      </c>
      <c r="F74" s="123">
        <v>999504</v>
      </c>
      <c r="G74" s="112">
        <f t="shared" ref="G74:G78" si="6">F74-E74</f>
        <v>290</v>
      </c>
      <c r="H74" s="99">
        <f>G74+'20'!H74</f>
        <v>6144.9699999999721</v>
      </c>
      <c r="I74" s="154"/>
      <c r="J74" s="175">
        <f>H74/DAY(B2)</f>
        <v>292.61761904761772</v>
      </c>
      <c r="K74" s="69"/>
      <c r="L74" s="66"/>
      <c r="N74" s="87"/>
      <c r="O74" s="71"/>
    </row>
    <row r="75" spans="1:15" ht="25.5">
      <c r="A75" s="864" t="s">
        <v>221</v>
      </c>
      <c r="B75" s="865"/>
      <c r="C75" s="866"/>
      <c r="D75" s="151" t="s">
        <v>139</v>
      </c>
      <c r="E75" s="95">
        <f>'20'!F75</f>
        <v>73586.8</v>
      </c>
      <c r="F75" s="123">
        <v>73586.8</v>
      </c>
      <c r="G75" s="112">
        <f t="shared" si="6"/>
        <v>0</v>
      </c>
      <c r="H75" s="99">
        <f>G75+'20'!H75</f>
        <v>0.80000000000291038</v>
      </c>
      <c r="I75" s="154"/>
      <c r="J75" s="175">
        <f>H75/DAY(B2)</f>
        <v>3.8095238095376682E-2</v>
      </c>
      <c r="K75" s="69"/>
      <c r="L75" s="66"/>
      <c r="N75" s="87"/>
      <c r="O75" s="71"/>
    </row>
    <row r="76" spans="1:15" ht="25.5">
      <c r="A76" s="905" t="s">
        <v>222</v>
      </c>
      <c r="B76" s="891"/>
      <c r="C76" s="892"/>
      <c r="D76" s="151" t="s">
        <v>139</v>
      </c>
      <c r="E76" s="95">
        <f>'20'!F76</f>
        <v>206205</v>
      </c>
      <c r="F76" s="123">
        <v>206320</v>
      </c>
      <c r="G76" s="112">
        <f t="shared" si="6"/>
        <v>115</v>
      </c>
      <c r="H76" s="99">
        <f>G76+'20'!H76</f>
        <v>2658</v>
      </c>
      <c r="I76" s="154"/>
      <c r="J76" s="175">
        <f>H76/DAY(B2)</f>
        <v>126.57142857142857</v>
      </c>
      <c r="K76" s="69"/>
      <c r="L76" s="66"/>
      <c r="N76" s="87"/>
      <c r="O76" s="71"/>
    </row>
    <row r="77" spans="1:15" ht="25.5">
      <c r="A77" s="905" t="s">
        <v>223</v>
      </c>
      <c r="B77" s="891"/>
      <c r="C77" s="892"/>
      <c r="D77" s="151" t="s">
        <v>139</v>
      </c>
      <c r="E77" s="95">
        <f>'20'!F77</f>
        <v>57576</v>
      </c>
      <c r="F77" s="123">
        <v>57636</v>
      </c>
      <c r="G77" s="112">
        <f t="shared" si="6"/>
        <v>60</v>
      </c>
      <c r="H77" s="99">
        <f>G77+'20'!H77</f>
        <v>1114</v>
      </c>
      <c r="I77" s="154"/>
      <c r="J77" s="175">
        <f>H77/DAY(B2)</f>
        <v>53.047619047619051</v>
      </c>
      <c r="K77" s="69"/>
      <c r="L77" s="66"/>
      <c r="N77" s="87"/>
      <c r="O77" s="71"/>
    </row>
    <row r="78" spans="1:15" ht="25.5">
      <c r="A78" s="905" t="s">
        <v>224</v>
      </c>
      <c r="B78" s="891"/>
      <c r="C78" s="892"/>
      <c r="D78" s="151" t="s">
        <v>139</v>
      </c>
      <c r="E78" s="95">
        <f>'20'!F78</f>
        <v>9564</v>
      </c>
      <c r="F78" s="123">
        <v>9564</v>
      </c>
      <c r="G78" s="112">
        <f t="shared" si="6"/>
        <v>0</v>
      </c>
      <c r="H78" s="99">
        <f>G78+'20'!H78</f>
        <v>-0.3999999999996362</v>
      </c>
      <c r="I78" s="118"/>
      <c r="J78" s="175">
        <f>H78/DAY(B2)</f>
        <v>-1.9047619047601723E-2</v>
      </c>
      <c r="K78" s="69"/>
      <c r="L78" s="66"/>
      <c r="N78" s="87"/>
      <c r="O78" s="71"/>
    </row>
    <row r="79" spans="1:15" s="57" customFormat="1" ht="25.5">
      <c r="A79" s="905" t="s">
        <v>225</v>
      </c>
      <c r="B79" s="891"/>
      <c r="C79" s="892"/>
      <c r="D79" s="151"/>
      <c r="E79" s="95">
        <f>'20'!F79</f>
        <v>0</v>
      </c>
      <c r="F79" s="123"/>
      <c r="G79" s="112">
        <f>G15-SUM(G74:G78)</f>
        <v>638</v>
      </c>
      <c r="H79" s="99">
        <f>G79+'20'!H79</f>
        <v>12917.630000000025</v>
      </c>
      <c r="I79" s="118"/>
      <c r="J79" s="175"/>
      <c r="K79" s="59"/>
      <c r="L79" s="58"/>
      <c r="N79" s="87"/>
      <c r="O79" s="71"/>
    </row>
    <row r="80" spans="1:15" s="57" customFormat="1" ht="26.25">
      <c r="A80" s="861" t="s">
        <v>329</v>
      </c>
      <c r="B80" s="862"/>
      <c r="C80" s="863"/>
      <c r="D80" s="151"/>
      <c r="E80" s="117"/>
      <c r="F80" s="117"/>
      <c r="G80" s="112">
        <f>SUM(G74:G79)</f>
        <v>1103</v>
      </c>
      <c r="H80" s="99"/>
      <c r="I80" s="118"/>
      <c r="J80" s="175"/>
      <c r="K80" s="59"/>
      <c r="L80" s="58"/>
      <c r="N80" s="87"/>
      <c r="O80" s="71"/>
    </row>
    <row r="81" spans="1:15" ht="25.5">
      <c r="A81" s="897" t="s">
        <v>226</v>
      </c>
      <c r="B81" s="898"/>
      <c r="C81" s="89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'20'!F82</f>
        <v>0</v>
      </c>
      <c r="F82" s="122">
        <v>0</v>
      </c>
      <c r="G82" s="112">
        <f t="shared" ref="G82:G92" si="7">F82-E82</f>
        <v>0</v>
      </c>
      <c r="H82" s="99">
        <f>G82+'20'!H82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'20'!F83</f>
        <v>0</v>
      </c>
      <c r="F83" s="122">
        <v>0</v>
      </c>
      <c r="G83" s="112">
        <f t="shared" si="7"/>
        <v>0</v>
      </c>
      <c r="H83" s="99">
        <f>G83+'20'!H83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'20'!F84</f>
        <v>43540.35</v>
      </c>
      <c r="F84" s="164">
        <v>43543</v>
      </c>
      <c r="G84" s="112">
        <f t="shared" si="7"/>
        <v>2.6500000000014552</v>
      </c>
      <c r="H84" s="99">
        <f>G84+'20'!H84</f>
        <v>2002.7900000000009</v>
      </c>
      <c r="I84" s="545"/>
      <c r="J84" s="175">
        <f>H84/DAY(B2)</f>
        <v>95.370952380952417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'20'!F85</f>
        <v>5768</v>
      </c>
      <c r="F85" s="164">
        <v>5768</v>
      </c>
      <c r="G85" s="112">
        <f t="shared" si="7"/>
        <v>0</v>
      </c>
      <c r="H85" s="99">
        <f>G85+'20'!H85</f>
        <v>84</v>
      </c>
      <c r="I85" s="545"/>
      <c r="J85" s="175">
        <f>H85/DAY(B2)</f>
        <v>4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'20'!F86</f>
        <v>46833</v>
      </c>
      <c r="F86" s="164">
        <v>46834</v>
      </c>
      <c r="G86" s="112">
        <f t="shared" si="7"/>
        <v>1</v>
      </c>
      <c r="H86" s="99">
        <f>G86+'20'!H86</f>
        <v>80.069999999999709</v>
      </c>
      <c r="I86" s="545"/>
      <c r="J86" s="175">
        <f>H86/DAY(B2)</f>
        <v>3.812857142857129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'20'!F87</f>
        <v>36912</v>
      </c>
      <c r="F87" s="164">
        <v>36936</v>
      </c>
      <c r="G87" s="112">
        <f t="shared" si="7"/>
        <v>24</v>
      </c>
      <c r="H87" s="99">
        <f>G87+'20'!H87</f>
        <v>385.79000000000087</v>
      </c>
      <c r="I87" s="545">
        <f>G84+G85+G86+G87</f>
        <v>27.650000000001455</v>
      </c>
      <c r="J87" s="175">
        <f>H87/DAY(B2)</f>
        <v>18.370952380952424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'20'!F88</f>
        <v>24513</v>
      </c>
      <c r="F88" s="164">
        <v>24522.59</v>
      </c>
      <c r="G88" s="112">
        <f t="shared" si="7"/>
        <v>9.5900000000001455</v>
      </c>
      <c r="H88" s="99">
        <f>G88+'20'!H88</f>
        <v>10.790000000000873</v>
      </c>
      <c r="I88" s="545"/>
      <c r="J88" s="175">
        <f>H88/DAY(B2)</f>
        <v>0.51380952380956535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'20'!F89</f>
        <v>28704</v>
      </c>
      <c r="F89" s="164">
        <v>28706.5</v>
      </c>
      <c r="G89" s="112">
        <f t="shared" si="7"/>
        <v>2.5</v>
      </c>
      <c r="H89" s="99">
        <f>G89+'20'!H89</f>
        <v>204.79999999999927</v>
      </c>
      <c r="I89" s="545">
        <f>G88+G89</f>
        <v>12.090000000000146</v>
      </c>
      <c r="J89" s="175">
        <f>H89/DAY(B2)</f>
        <v>9.7523809523809177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'20'!F90</f>
        <v>74093</v>
      </c>
      <c r="F90" s="164">
        <v>74101</v>
      </c>
      <c r="G90" s="112">
        <f t="shared" si="7"/>
        <v>8</v>
      </c>
      <c r="H90" s="99">
        <f>G90+'20'!H90</f>
        <v>240.39999999999418</v>
      </c>
      <c r="I90" s="545">
        <f>G90</f>
        <v>8</v>
      </c>
      <c r="J90" s="175">
        <f>H90/DAY(B2)</f>
        <v>11.447619047618771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'20'!F91</f>
        <v>5543</v>
      </c>
      <c r="F91" s="122">
        <v>5554</v>
      </c>
      <c r="G91" s="112">
        <f t="shared" si="7"/>
        <v>11</v>
      </c>
      <c r="H91" s="99">
        <f>G91+'20'!H91</f>
        <v>201.22999999999956</v>
      </c>
      <c r="I91" s="546"/>
      <c r="J91" s="175">
        <f>H91/DAY(B2)</f>
        <v>9.582380952380932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'20'!F92</f>
        <v>7031.67</v>
      </c>
      <c r="F92" s="122">
        <v>7031.67</v>
      </c>
      <c r="G92" s="112">
        <f t="shared" si="7"/>
        <v>0</v>
      </c>
      <c r="H92" s="99">
        <f>G92+'20'!H92</f>
        <v>31.670000000000073</v>
      </c>
      <c r="I92" s="547">
        <f>G91+G92</f>
        <v>11</v>
      </c>
      <c r="J92" s="175">
        <f>H92/DAY(B2)</f>
        <v>1.5080952380952415</v>
      </c>
      <c r="O92" s="71"/>
    </row>
    <row r="93" spans="1:15" ht="26.25">
      <c r="A93" s="906" t="s">
        <v>239</v>
      </c>
      <c r="B93" s="907"/>
      <c r="C93" s="90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64" t="s">
        <v>240</v>
      </c>
      <c r="B94" s="865"/>
      <c r="C94" s="866"/>
      <c r="D94" s="151" t="s">
        <v>130</v>
      </c>
      <c r="E94" s="151"/>
      <c r="F94" s="151"/>
      <c r="G94" s="99">
        <f>G35+G43+G49+G57</f>
        <v>5645.4100000000326</v>
      </c>
      <c r="H94" s="99">
        <f>G94+'20'!H94</f>
        <v>124921.6700000001</v>
      </c>
      <c r="I94" s="118"/>
      <c r="J94" s="175">
        <f>H94/DAY(B2)</f>
        <v>5948.6509523809573</v>
      </c>
      <c r="K94" s="69"/>
      <c r="L94" s="66"/>
      <c r="O94" s="71"/>
    </row>
    <row r="95" spans="1:15" ht="25.5">
      <c r="A95" s="864" t="s">
        <v>241</v>
      </c>
      <c r="B95" s="865"/>
      <c r="C95" s="866"/>
      <c r="D95" s="151" t="s">
        <v>23</v>
      </c>
      <c r="E95" s="146"/>
      <c r="F95" s="146"/>
      <c r="G95" s="166">
        <f>G94/G7</f>
        <v>0.25807588571428719</v>
      </c>
      <c r="H95" s="99">
        <f>G95+'20'!H95</f>
        <v>5.3744750933021077</v>
      </c>
      <c r="I95" s="167"/>
      <c r="J95" s="175">
        <f>H95/DAY(B2)</f>
        <v>0.25592738539533844</v>
      </c>
      <c r="K95" s="69"/>
      <c r="L95" s="66"/>
      <c r="O95" s="71"/>
    </row>
    <row r="96" spans="1:15" ht="25.5">
      <c r="A96" s="864" t="s">
        <v>242</v>
      </c>
      <c r="B96" s="865"/>
      <c r="C96" s="866"/>
      <c r="D96" s="151" t="s">
        <v>130</v>
      </c>
      <c r="E96" s="95"/>
      <c r="F96" s="95"/>
      <c r="G96" s="99">
        <f>G41+G42+G55+G56</f>
        <v>3921</v>
      </c>
      <c r="H96" s="99">
        <f>G96+'20'!H96</f>
        <v>90338.649999999965</v>
      </c>
      <c r="I96" s="118"/>
      <c r="J96" s="175">
        <f>H96/DAY(B2)</f>
        <v>4301.8404761904749</v>
      </c>
      <c r="K96" s="69"/>
      <c r="L96" s="66"/>
      <c r="O96" s="71"/>
    </row>
    <row r="97" spans="1:15" ht="25.5">
      <c r="A97" s="864" t="s">
        <v>243</v>
      </c>
      <c r="B97" s="865"/>
      <c r="C97" s="866"/>
      <c r="D97" s="151" t="s">
        <v>23</v>
      </c>
      <c r="E97" s="95"/>
      <c r="F97" s="95"/>
      <c r="G97" s="166">
        <f>G96/G7</f>
        <v>0.17924571428571429</v>
      </c>
      <c r="H97" s="99">
        <f>G97+'20'!H97</f>
        <v>3.8545605247564958</v>
      </c>
      <c r="I97" s="167"/>
      <c r="J97" s="175">
        <f>H97/DAY(B2)</f>
        <v>0.18355050117888075</v>
      </c>
      <c r="K97" s="69"/>
      <c r="L97" s="66"/>
      <c r="O97" s="71"/>
    </row>
    <row r="98" spans="1:15" ht="25.5">
      <c r="A98" s="864" t="s">
        <v>244</v>
      </c>
      <c r="B98" s="865"/>
      <c r="C98" s="866"/>
      <c r="D98" s="151" t="s">
        <v>130</v>
      </c>
      <c r="E98" s="95"/>
      <c r="F98" s="95"/>
      <c r="G98" s="99">
        <f>G39+G53</f>
        <v>3398</v>
      </c>
      <c r="H98" s="99">
        <f>G98+'20'!H98</f>
        <v>85116.540000000037</v>
      </c>
      <c r="I98" s="168"/>
      <c r="J98" s="175">
        <f>H98/DAY(B2)</f>
        <v>4053.1685714285732</v>
      </c>
      <c r="K98" s="69"/>
      <c r="L98" s="66"/>
      <c r="O98" s="71"/>
    </row>
    <row r="99" spans="1:15" ht="25.5">
      <c r="A99" s="864" t="s">
        <v>245</v>
      </c>
      <c r="B99" s="865"/>
      <c r="C99" s="866"/>
      <c r="D99" s="151" t="s">
        <v>23</v>
      </c>
      <c r="E99" s="95"/>
      <c r="F99" s="95"/>
      <c r="G99" s="166">
        <f>G98/G7</f>
        <v>0.15533714285714287</v>
      </c>
      <c r="H99" s="99">
        <f>G99+'20'!H99</f>
        <v>3.6697859475210208</v>
      </c>
      <c r="I99" s="168"/>
      <c r="J99" s="175">
        <f>H99/DAY(B2)</f>
        <v>0.17475171178671528</v>
      </c>
      <c r="O99" s="71"/>
    </row>
    <row r="100" spans="1:15" ht="26.25">
      <c r="A100" s="864" t="s">
        <v>246</v>
      </c>
      <c r="B100" s="865"/>
      <c r="C100" s="866"/>
      <c r="D100" s="151" t="s">
        <v>180</v>
      </c>
      <c r="E100" s="95"/>
      <c r="F100" s="95"/>
      <c r="G100" s="99">
        <f>G38+G52</f>
        <v>1247.4100000000326</v>
      </c>
      <c r="H100" s="99">
        <f>G100+'20'!H100</f>
        <v>36294.369999999988</v>
      </c>
      <c r="I100" s="118"/>
      <c r="J100" s="175">
        <f>H100/DAY(B2)</f>
        <v>1728.3033333333328</v>
      </c>
      <c r="K100" s="70"/>
      <c r="O100" s="71"/>
    </row>
    <row r="101" spans="1:15" ht="25.5">
      <c r="A101" s="864" t="s">
        <v>247</v>
      </c>
      <c r="B101" s="865"/>
      <c r="C101" s="866"/>
      <c r="D101" s="151" t="s">
        <v>23</v>
      </c>
      <c r="E101" s="95"/>
      <c r="F101" s="95"/>
      <c r="G101" s="166">
        <f>G100/G7</f>
        <v>5.7024457142858635E-2</v>
      </c>
      <c r="H101" s="99">
        <f>G101+'20'!H101</f>
        <v>1.5805027602636497</v>
      </c>
      <c r="I101" s="168"/>
      <c r="J101" s="175">
        <f>H101/DAY(B2)</f>
        <v>7.526203620303093E-2</v>
      </c>
      <c r="O101" s="71"/>
    </row>
    <row r="102" spans="1:15" ht="25.5">
      <c r="A102" s="864" t="s">
        <v>248</v>
      </c>
      <c r="B102" s="865"/>
      <c r="C102" s="866"/>
      <c r="D102" s="151" t="s">
        <v>180</v>
      </c>
      <c r="E102" s="95"/>
      <c r="F102" s="95"/>
      <c r="G102" s="99">
        <f>G36+G50</f>
        <v>2037</v>
      </c>
      <c r="H102" s="99">
        <f>G102+'20'!H102</f>
        <v>54240.820000000007</v>
      </c>
      <c r="I102" s="168"/>
      <c r="J102" s="175">
        <f>H102/DAY(B2)</f>
        <v>2582.8961904761909</v>
      </c>
      <c r="O102" s="71"/>
    </row>
    <row r="103" spans="1:15" ht="25.5">
      <c r="A103" s="864" t="s">
        <v>249</v>
      </c>
      <c r="B103" s="865"/>
      <c r="C103" s="866"/>
      <c r="D103" s="151" t="s">
        <v>23</v>
      </c>
      <c r="E103" s="95"/>
      <c r="F103" s="95"/>
      <c r="G103" s="166">
        <f>G102/G7</f>
        <v>9.3119999999999994E-2</v>
      </c>
      <c r="H103" s="99">
        <f>G103+'20'!H103</f>
        <v>2.3343123061492701</v>
      </c>
      <c r="I103" s="118"/>
      <c r="J103" s="175">
        <f>H103/DAY(B2)</f>
        <v>0.11115772886425096</v>
      </c>
      <c r="O103" s="71"/>
    </row>
    <row r="104" spans="1:15" ht="25.5">
      <c r="A104" s="864" t="s">
        <v>250</v>
      </c>
      <c r="B104" s="865"/>
      <c r="C104" s="866"/>
      <c r="D104" s="151" t="s">
        <v>180</v>
      </c>
      <c r="E104" s="95"/>
      <c r="F104" s="95"/>
      <c r="G104" s="99">
        <f>G37+G51</f>
        <v>1355.3099999999977</v>
      </c>
      <c r="H104" s="99">
        <f>G104+'20'!H104</f>
        <v>22583.760000000009</v>
      </c>
      <c r="I104" s="118"/>
      <c r="J104" s="175">
        <f>H104/DAY(B2)</f>
        <v>1075.4171428571433</v>
      </c>
      <c r="O104" s="71"/>
    </row>
    <row r="105" spans="1:15" ht="26.25" thickBot="1">
      <c r="A105" s="901" t="s">
        <v>251</v>
      </c>
      <c r="B105" s="902"/>
      <c r="C105" s="903"/>
      <c r="D105" s="231" t="s">
        <v>23</v>
      </c>
      <c r="E105" s="185"/>
      <c r="F105" s="185"/>
      <c r="G105" s="186">
        <f>G104/G7</f>
        <v>6.1957028571428464E-2</v>
      </c>
      <c r="H105" s="99">
        <f>G105+'20'!H105</f>
        <v>0.97465956082131755</v>
      </c>
      <c r="I105" s="187"/>
      <c r="J105" s="188">
        <f>H105/DAY(B2)</f>
        <v>4.6412360039110361E-2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15" t="s">
        <v>324</v>
      </c>
      <c r="B108" s="915"/>
      <c r="C108" s="915"/>
      <c r="D108" s="915"/>
      <c r="E108" s="915"/>
      <c r="F108" s="915"/>
      <c r="G108" s="915"/>
      <c r="H108" s="915"/>
      <c r="I108" s="915"/>
      <c r="J108" s="915"/>
    </row>
    <row r="109" spans="1:15" ht="26.25">
      <c r="A109" s="900"/>
      <c r="B109" s="900"/>
    </row>
    <row r="110" spans="1:15" ht="26.25">
      <c r="A110" s="916" t="s">
        <v>165</v>
      </c>
      <c r="B110" s="917"/>
      <c r="C110" s="917"/>
      <c r="D110" s="917"/>
      <c r="E110" s="917"/>
      <c r="F110" s="917"/>
      <c r="G110" s="917"/>
      <c r="H110" s="917"/>
      <c r="I110" s="917"/>
      <c r="J110" s="918"/>
    </row>
    <row r="111" spans="1:15" ht="25.5">
      <c r="A111" s="919"/>
      <c r="B111" s="920"/>
      <c r="C111" s="921"/>
      <c r="D111" s="165"/>
      <c r="E111" s="165"/>
      <c r="F111" s="165"/>
      <c r="G111" s="165"/>
      <c r="H111" s="156"/>
      <c r="I111" s="165"/>
      <c r="J111" s="327"/>
    </row>
    <row r="112" spans="1:15" ht="25.5">
      <c r="A112" s="894" t="s">
        <v>252</v>
      </c>
      <c r="B112" s="895"/>
      <c r="C112" s="896"/>
      <c r="D112" s="146" t="s">
        <v>183</v>
      </c>
      <c r="E112" s="95">
        <f>'20'!F112</f>
        <v>16844</v>
      </c>
      <c r="F112" s="237">
        <v>16905</v>
      </c>
      <c r="G112" s="112">
        <f t="shared" ref="G112:G123" si="8">F112-E112</f>
        <v>61</v>
      </c>
      <c r="H112" s="99">
        <f>G112+'20'!H112</f>
        <v>1291.2000000000007</v>
      </c>
      <c r="I112" s="165"/>
      <c r="J112" s="328">
        <f>H112/DAY(B2)</f>
        <v>61.485714285714323</v>
      </c>
    </row>
    <row r="113" spans="1:18" ht="29.25" customHeight="1">
      <c r="A113" s="894" t="s">
        <v>253</v>
      </c>
      <c r="B113" s="895"/>
      <c r="C113" s="896"/>
      <c r="D113" s="146" t="s">
        <v>183</v>
      </c>
      <c r="E113" s="95">
        <f>'20'!F113</f>
        <v>35410</v>
      </c>
      <c r="F113" s="467">
        <v>35563</v>
      </c>
      <c r="G113" s="112">
        <f t="shared" si="8"/>
        <v>153</v>
      </c>
      <c r="H113" s="99">
        <f>G113+'20'!H113</f>
        <v>3112.3300000000017</v>
      </c>
      <c r="I113" s="165"/>
      <c r="J113" s="328">
        <f>H113/DAY(B2)</f>
        <v>148.20619047619056</v>
      </c>
    </row>
    <row r="114" spans="1:18" ht="29.25" customHeight="1">
      <c r="A114" s="894" t="s">
        <v>254</v>
      </c>
      <c r="B114" s="895"/>
      <c r="C114" s="896"/>
      <c r="D114" s="146" t="s">
        <v>183</v>
      </c>
      <c r="E114" s="95">
        <f>'20'!F114</f>
        <v>52092</v>
      </c>
      <c r="F114" s="237">
        <v>52288</v>
      </c>
      <c r="G114" s="112">
        <f t="shared" si="8"/>
        <v>196</v>
      </c>
      <c r="H114" s="99">
        <f>G114+'20'!H114</f>
        <v>4321.6999999999971</v>
      </c>
      <c r="I114" s="165"/>
      <c r="J114" s="328">
        <f>H114/DAY(B2)</f>
        <v>205.79523809523795</v>
      </c>
    </row>
    <row r="115" spans="1:18" ht="29.25" customHeight="1">
      <c r="A115" s="894" t="s">
        <v>255</v>
      </c>
      <c r="B115" s="895"/>
      <c r="C115" s="896"/>
      <c r="D115" s="146" t="s">
        <v>183</v>
      </c>
      <c r="E115" s="95">
        <f>'20'!F115</f>
        <v>33423</v>
      </c>
      <c r="F115" s="237">
        <v>33575</v>
      </c>
      <c r="G115" s="112">
        <f t="shared" si="8"/>
        <v>152</v>
      </c>
      <c r="H115" s="99">
        <f>G115+'20'!H115</f>
        <v>3138.5999999999985</v>
      </c>
      <c r="I115" s="165"/>
      <c r="J115" s="328">
        <f>H115/DAY(B2)</f>
        <v>149.4571428571428</v>
      </c>
    </row>
    <row r="116" spans="1:18" ht="29.25" customHeight="1">
      <c r="A116" s="912" t="s">
        <v>96</v>
      </c>
      <c r="B116" s="913"/>
      <c r="C116" s="914"/>
      <c r="D116" s="146" t="s">
        <v>183</v>
      </c>
      <c r="E116" s="95">
        <f>'20'!F116</f>
        <v>130308</v>
      </c>
      <c r="F116" s="237">
        <v>130541</v>
      </c>
      <c r="G116" s="112">
        <f t="shared" si="8"/>
        <v>233</v>
      </c>
      <c r="H116" s="99">
        <f>G116+'20'!H116</f>
        <v>7680.8000000000029</v>
      </c>
      <c r="I116" s="165"/>
      <c r="J116" s="328">
        <f>H116/DAY(B2)</f>
        <v>365.75238095238109</v>
      </c>
      <c r="Q116" s="894" t="s">
        <v>311</v>
      </c>
      <c r="R116" s="896"/>
    </row>
    <row r="117" spans="1:18" ht="29.25" customHeight="1">
      <c r="A117" s="912" t="s">
        <v>184</v>
      </c>
      <c r="B117" s="913"/>
      <c r="C117" s="914"/>
      <c r="D117" s="146" t="s">
        <v>183</v>
      </c>
      <c r="E117" s="95">
        <f>'20'!F117</f>
        <v>79204</v>
      </c>
      <c r="F117" s="237">
        <v>79497</v>
      </c>
      <c r="G117" s="112">
        <f t="shared" si="8"/>
        <v>293</v>
      </c>
      <c r="H117" s="99">
        <f>G117+'20'!H117</f>
        <v>5515.8000000000029</v>
      </c>
      <c r="I117" s="165"/>
      <c r="J117" s="328">
        <f>H117/DAY(B2)</f>
        <v>262.65714285714301</v>
      </c>
      <c r="Q117" s="894" t="s">
        <v>312</v>
      </c>
      <c r="R117" s="896"/>
    </row>
    <row r="118" spans="1:18" ht="25.5">
      <c r="A118" s="889" t="s">
        <v>97</v>
      </c>
      <c r="B118" s="889"/>
      <c r="C118" s="889"/>
      <c r="D118" s="151" t="s">
        <v>183</v>
      </c>
      <c r="E118" s="95">
        <f>'20'!F118</f>
        <v>151427</v>
      </c>
      <c r="F118" s="237">
        <v>152077</v>
      </c>
      <c r="G118" s="112">
        <f t="shared" si="8"/>
        <v>650</v>
      </c>
      <c r="H118" s="99">
        <f>G118+'20'!H118</f>
        <v>13264.549999999988</v>
      </c>
      <c r="I118" s="165"/>
      <c r="J118" s="328">
        <f>H118/DAY(B2)</f>
        <v>631.64523809523757</v>
      </c>
      <c r="Q118" s="894" t="s">
        <v>311</v>
      </c>
      <c r="R118" s="896"/>
    </row>
    <row r="119" spans="1:18" ht="25.5">
      <c r="A119" s="889" t="s">
        <v>98</v>
      </c>
      <c r="B119" s="889"/>
      <c r="C119" s="889"/>
      <c r="D119" s="151" t="s">
        <v>183</v>
      </c>
      <c r="E119" s="95">
        <f>'20'!F119</f>
        <v>43616</v>
      </c>
      <c r="F119" s="237">
        <v>43637</v>
      </c>
      <c r="G119" s="112">
        <f t="shared" si="8"/>
        <v>21</v>
      </c>
      <c r="H119" s="99">
        <f>G119+'20'!H119</f>
        <v>283.30000000000291</v>
      </c>
      <c r="I119" s="165"/>
      <c r="J119" s="328">
        <f>H119/DAY(B2)</f>
        <v>13.490476190476329</v>
      </c>
    </row>
    <row r="120" spans="1:18" ht="25.5">
      <c r="A120" s="889" t="s">
        <v>99</v>
      </c>
      <c r="B120" s="889"/>
      <c r="C120" s="889"/>
      <c r="D120" s="151" t="s">
        <v>183</v>
      </c>
      <c r="E120" s="95">
        <f>'20'!F120</f>
        <v>103969</v>
      </c>
      <c r="F120" s="467">
        <v>104381</v>
      </c>
      <c r="G120" s="112">
        <f t="shared" si="8"/>
        <v>412</v>
      </c>
      <c r="H120" s="99">
        <f>G120+'20'!H120</f>
        <v>8673.3999999999942</v>
      </c>
      <c r="I120" s="165"/>
      <c r="J120" s="328">
        <f>H120/DAY(B2)</f>
        <v>413.01904761904734</v>
      </c>
    </row>
    <row r="121" spans="1:18" ht="25.5">
      <c r="A121" s="889" t="s">
        <v>100</v>
      </c>
      <c r="B121" s="889"/>
      <c r="C121" s="889"/>
      <c r="D121" s="151" t="s">
        <v>183</v>
      </c>
      <c r="E121" s="95">
        <f>'20'!F121</f>
        <v>116470</v>
      </c>
      <c r="F121" s="237">
        <v>116900</v>
      </c>
      <c r="G121" s="112">
        <f t="shared" si="8"/>
        <v>430</v>
      </c>
      <c r="H121" s="99">
        <f>G121+'20'!H121</f>
        <v>9070.9499999999971</v>
      </c>
      <c r="I121" s="165"/>
      <c r="J121" s="328">
        <f>H121/DAY(B2)</f>
        <v>431.94999999999987</v>
      </c>
    </row>
    <row r="122" spans="1:18" ht="25.5">
      <c r="A122" s="889" t="s">
        <v>101</v>
      </c>
      <c r="B122" s="889"/>
      <c r="C122" s="889"/>
      <c r="D122" s="151" t="s">
        <v>183</v>
      </c>
      <c r="E122" s="95">
        <f>'20'!F122</f>
        <v>77937</v>
      </c>
      <c r="F122" s="237">
        <v>78246</v>
      </c>
      <c r="G122" s="112">
        <f t="shared" si="8"/>
        <v>309</v>
      </c>
      <c r="H122" s="99">
        <f>G122+'20'!H122</f>
        <v>7208.1000000000058</v>
      </c>
      <c r="I122" s="165"/>
      <c r="J122" s="328">
        <f>H122/DAY(B2)</f>
        <v>343.24285714285742</v>
      </c>
    </row>
    <row r="123" spans="1:18" ht="25.5">
      <c r="A123" s="889" t="s">
        <v>102</v>
      </c>
      <c r="B123" s="889"/>
      <c r="C123" s="889"/>
      <c r="D123" s="151" t="s">
        <v>183</v>
      </c>
      <c r="E123" s="95">
        <f>'20'!F123</f>
        <v>74545</v>
      </c>
      <c r="F123" s="237">
        <v>74863</v>
      </c>
      <c r="G123" s="112">
        <f t="shared" si="8"/>
        <v>318</v>
      </c>
      <c r="H123" s="99">
        <f>G123+'20'!H123</f>
        <v>6505.6999999999971</v>
      </c>
      <c r="I123" s="165"/>
      <c r="J123" s="328">
        <f>H123/DAY(B2)</f>
        <v>309.79523809523795</v>
      </c>
    </row>
    <row r="124" spans="1:18" ht="29.25" customHeight="1">
      <c r="A124" s="919"/>
      <c r="B124" s="920"/>
      <c r="C124" s="921"/>
      <c r="D124" s="165"/>
      <c r="E124" s="165"/>
      <c r="F124" s="165"/>
      <c r="G124" s="327"/>
      <c r="H124" s="99">
        <f>G124+'20'!H124</f>
        <v>0</v>
      </c>
      <c r="I124" s="165"/>
      <c r="J124" s="327"/>
    </row>
    <row r="125" spans="1:18" ht="25.5">
      <c r="A125" s="853" t="s">
        <v>196</v>
      </c>
      <c r="B125" s="854"/>
      <c r="C125" s="245"/>
      <c r="D125" s="307"/>
      <c r="E125" s="308"/>
      <c r="F125" s="308"/>
      <c r="G125" s="309">
        <f>SUM(G112:G124)</f>
        <v>3228</v>
      </c>
      <c r="H125" s="156"/>
      <c r="I125" s="327">
        <f>G125-(G39+G53)</f>
        <v>-170</v>
      </c>
      <c r="J125" s="327"/>
    </row>
    <row r="126" spans="1:18" ht="25.5">
      <c r="A126" s="922" t="s">
        <v>317</v>
      </c>
      <c r="B126" s="922"/>
      <c r="C126" s="922"/>
      <c r="D126" s="922"/>
      <c r="E126" s="922"/>
      <c r="F126" s="922"/>
      <c r="G126" s="922"/>
      <c r="H126" s="922"/>
      <c r="I126" s="922"/>
      <c r="J126" s="922"/>
    </row>
    <row r="127" spans="1:18" ht="25.5">
      <c r="A127" s="923"/>
      <c r="B127" s="923"/>
      <c r="C127" s="245"/>
      <c r="D127" s="307"/>
      <c r="E127" s="308"/>
      <c r="F127" s="308"/>
      <c r="G127" s="309"/>
      <c r="H127" s="99">
        <f>G127+'20'!H127</f>
        <v>0</v>
      </c>
      <c r="I127" s="165"/>
      <c r="J127" s="328">
        <f>H127/DAY(B2)</f>
        <v>0</v>
      </c>
    </row>
    <row r="128" spans="1:18" ht="29.25" customHeight="1">
      <c r="A128" s="894" t="s">
        <v>318</v>
      </c>
      <c r="B128" s="895"/>
      <c r="C128" s="896"/>
      <c r="D128" s="151" t="s">
        <v>183</v>
      </c>
      <c r="E128" s="95">
        <f>'20'!F128</f>
        <v>187067</v>
      </c>
      <c r="F128" s="165">
        <v>187500</v>
      </c>
      <c r="G128" s="112">
        <f t="shared" ref="G128:G134" si="9">F128-E128</f>
        <v>433</v>
      </c>
      <c r="H128" s="99">
        <f>G128+'20'!H128</f>
        <v>8088.1499999999942</v>
      </c>
      <c r="I128" s="165"/>
      <c r="J128" s="328">
        <f>H128/DAY(B2)</f>
        <v>385.14999999999975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'20'!F129</f>
        <v>99523</v>
      </c>
      <c r="F129" s="165">
        <v>99680</v>
      </c>
      <c r="G129" s="112">
        <f t="shared" si="9"/>
        <v>157</v>
      </c>
      <c r="H129" s="99">
        <f>G129+'20'!H129</f>
        <v>3650.5</v>
      </c>
      <c r="I129" s="165"/>
      <c r="J129" s="328">
        <f>H129/DAY(B2)</f>
        <v>173.83333333333334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'20'!F130</f>
        <v>260897</v>
      </c>
      <c r="F130" s="464">
        <v>261517</v>
      </c>
      <c r="G130" s="112">
        <f t="shared" si="9"/>
        <v>620</v>
      </c>
      <c r="H130" s="99">
        <f>G130+'20'!H130</f>
        <v>14677.25</v>
      </c>
      <c r="I130" s="165"/>
      <c r="J130" s="328">
        <f>H130/DAY(B2)</f>
        <v>698.91666666666663</v>
      </c>
      <c r="N130" s="240"/>
      <c r="O130" s="241"/>
    </row>
    <row r="131" spans="1:15" ht="25.5">
      <c r="A131" s="894" t="s">
        <v>321</v>
      </c>
      <c r="B131" s="895"/>
      <c r="C131" s="896"/>
      <c r="D131" s="151" t="s">
        <v>183</v>
      </c>
      <c r="E131" s="95">
        <f>'20'!F131</f>
        <v>78145</v>
      </c>
      <c r="F131" s="165">
        <v>78309</v>
      </c>
      <c r="G131" s="112">
        <f t="shared" si="9"/>
        <v>164</v>
      </c>
      <c r="H131" s="99">
        <f>G131+'20'!H131</f>
        <v>4798.3999999999942</v>
      </c>
      <c r="I131" s="165"/>
      <c r="J131" s="328">
        <f>H131/DAY(B2)</f>
        <v>228.49523809523782</v>
      </c>
      <c r="N131" s="240"/>
      <c r="O131" s="241"/>
    </row>
    <row r="132" spans="1:15" ht="25.5">
      <c r="A132" s="894" t="s">
        <v>322</v>
      </c>
      <c r="B132" s="895"/>
      <c r="C132" s="896"/>
      <c r="D132" s="151" t="s">
        <v>183</v>
      </c>
      <c r="E132" s="95">
        <f>'20'!F132</f>
        <v>148274</v>
      </c>
      <c r="F132" s="165">
        <v>148274</v>
      </c>
      <c r="G132" s="112">
        <f t="shared" si="9"/>
        <v>0</v>
      </c>
      <c r="H132" s="99">
        <f>G132+'20'!H132</f>
        <v>1289</v>
      </c>
      <c r="I132" s="165"/>
      <c r="J132" s="328">
        <f>H132/DAY(B2)</f>
        <v>61.38095238095238</v>
      </c>
    </row>
    <row r="133" spans="1:15" ht="25.5">
      <c r="A133" s="894" t="s">
        <v>359</v>
      </c>
      <c r="B133" s="895"/>
      <c r="C133" s="896"/>
      <c r="D133" s="151" t="s">
        <v>183</v>
      </c>
      <c r="E133" s="95">
        <f>'20'!F133</f>
        <v>925126</v>
      </c>
      <c r="F133" s="165">
        <v>925914</v>
      </c>
      <c r="G133" s="112">
        <f t="shared" si="9"/>
        <v>788</v>
      </c>
      <c r="H133" s="99">
        <f>G133+'20'!H133</f>
        <v>15670</v>
      </c>
      <c r="I133" s="165"/>
      <c r="J133" s="328">
        <f>H133/DAY(B2)</f>
        <v>746.19047619047615</v>
      </c>
    </row>
    <row r="134" spans="1:15" ht="25.5">
      <c r="A134" s="894" t="s">
        <v>340</v>
      </c>
      <c r="B134" s="895"/>
      <c r="C134" s="896"/>
      <c r="D134" s="151" t="s">
        <v>183</v>
      </c>
      <c r="E134" s="95">
        <f>'20'!F134</f>
        <v>83072</v>
      </c>
      <c r="F134" s="165">
        <v>83332</v>
      </c>
      <c r="G134" s="112">
        <f t="shared" si="9"/>
        <v>260</v>
      </c>
      <c r="H134" s="99">
        <f>G134+'20'!H134</f>
        <v>4572.3999999999942</v>
      </c>
      <c r="I134" s="165"/>
      <c r="J134" s="328">
        <f>H134/DAY(B2)</f>
        <v>217.73333333333306</v>
      </c>
    </row>
    <row r="135" spans="1:15" ht="25.5">
      <c r="A135" s="853" t="s">
        <v>196</v>
      </c>
      <c r="B135" s="854"/>
      <c r="C135" s="331"/>
      <c r="D135" s="151"/>
      <c r="E135" s="95"/>
      <c r="F135" s="165"/>
      <c r="G135" s="112">
        <f>SUM(G128:G134)</f>
        <v>2422</v>
      </c>
      <c r="H135" s="99">
        <f>G135+'10'!H135</f>
        <v>27095.469999999987</v>
      </c>
      <c r="I135" s="327">
        <f>G135-(G35+G49)</f>
        <v>-785.4100000000326</v>
      </c>
      <c r="J135" s="328"/>
    </row>
    <row r="136" spans="1:15" ht="27.75">
      <c r="A136" s="924" t="s">
        <v>325</v>
      </c>
      <c r="B136" s="924"/>
      <c r="C136" s="924"/>
      <c r="D136" s="924"/>
      <c r="E136" s="924"/>
      <c r="F136" s="924"/>
      <c r="G136" s="924"/>
      <c r="H136" s="924"/>
      <c r="I136" s="924"/>
      <c r="J136" s="92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9" t="s">
        <v>185</v>
      </c>
      <c r="B138" s="889"/>
      <c r="C138" s="889"/>
      <c r="D138" s="151" t="s">
        <v>183</v>
      </c>
      <c r="E138" s="95">
        <f>'20'!F138</f>
        <v>908114</v>
      </c>
      <c r="F138" s="147">
        <v>908239</v>
      </c>
      <c r="G138" s="112">
        <f t="shared" ref="G138:G152" si="10">F138-E138</f>
        <v>125</v>
      </c>
      <c r="H138" s="99">
        <f>G138+'20'!H138</f>
        <v>2612</v>
      </c>
      <c r="I138" s="118"/>
      <c r="J138" s="328">
        <f>H138/DAY(B2)</f>
        <v>124.38095238095238</v>
      </c>
    </row>
    <row r="139" spans="1:15" ht="25.5">
      <c r="A139" s="889" t="s">
        <v>186</v>
      </c>
      <c r="B139" s="889"/>
      <c r="C139" s="889"/>
      <c r="D139" s="151" t="s">
        <v>183</v>
      </c>
      <c r="E139" s="95">
        <f>'20'!F139</f>
        <v>930614</v>
      </c>
      <c r="F139" s="148">
        <v>930771</v>
      </c>
      <c r="G139" s="112">
        <f t="shared" si="10"/>
        <v>157</v>
      </c>
      <c r="H139" s="99">
        <f>G139+'20'!H139</f>
        <v>3490</v>
      </c>
      <c r="I139" s="118"/>
      <c r="J139" s="328">
        <f>H139/DAY(B2)</f>
        <v>166.1904761904762</v>
      </c>
    </row>
    <row r="140" spans="1:15" ht="25.5">
      <c r="A140" s="889" t="s">
        <v>187</v>
      </c>
      <c r="B140" s="889"/>
      <c r="C140" s="889"/>
      <c r="D140" s="151" t="s">
        <v>183</v>
      </c>
      <c r="E140" s="95">
        <f>'20'!F140</f>
        <v>3783</v>
      </c>
      <c r="F140" s="149">
        <v>3811</v>
      </c>
      <c r="G140" s="112">
        <f t="shared" si="10"/>
        <v>28</v>
      </c>
      <c r="H140" s="99">
        <f>G140+'20'!H140</f>
        <v>479.90000000000009</v>
      </c>
      <c r="I140" s="118"/>
      <c r="J140" s="328">
        <f>H140/DAY(B2)</f>
        <v>22.852380952380958</v>
      </c>
    </row>
    <row r="141" spans="1:15" ht="25.5">
      <c r="A141" s="893" t="s">
        <v>188</v>
      </c>
      <c r="B141" s="893"/>
      <c r="C141" s="893"/>
      <c r="D141" s="151" t="s">
        <v>183</v>
      </c>
      <c r="E141" s="95">
        <f>'20'!F141</f>
        <v>122218</v>
      </c>
      <c r="F141" s="149">
        <v>122456</v>
      </c>
      <c r="G141" s="112">
        <f t="shared" si="10"/>
        <v>238</v>
      </c>
      <c r="H141" s="99">
        <f>G141+'20'!H141</f>
        <v>4898.0200000000041</v>
      </c>
      <c r="I141" s="118"/>
      <c r="J141" s="328">
        <f>H141/DAY(B2)</f>
        <v>233.23904761904782</v>
      </c>
    </row>
    <row r="142" spans="1:15" ht="25.5">
      <c r="A142" s="893" t="s">
        <v>189</v>
      </c>
      <c r="B142" s="893"/>
      <c r="C142" s="893"/>
      <c r="D142" s="151" t="s">
        <v>183</v>
      </c>
      <c r="E142" s="95">
        <f>'20'!F142</f>
        <v>49457</v>
      </c>
      <c r="F142" s="148">
        <v>49570</v>
      </c>
      <c r="G142" s="112">
        <f t="shared" si="10"/>
        <v>113</v>
      </c>
      <c r="H142" s="99">
        <f>G142+'20'!H142</f>
        <v>2065.5</v>
      </c>
      <c r="I142" s="140"/>
      <c r="J142" s="328">
        <f>H142/DAY(B2)</f>
        <v>98.357142857142861</v>
      </c>
    </row>
    <row r="143" spans="1:15" ht="25.5">
      <c r="A143" s="889" t="s">
        <v>91</v>
      </c>
      <c r="B143" s="889"/>
      <c r="C143" s="889"/>
      <c r="D143" s="151" t="s">
        <v>183</v>
      </c>
      <c r="E143" s="95">
        <f>'20'!F143</f>
        <v>13032</v>
      </c>
      <c r="F143" s="149">
        <v>13064</v>
      </c>
      <c r="G143" s="112">
        <f t="shared" si="10"/>
        <v>32</v>
      </c>
      <c r="H143" s="99">
        <f>G143+'20'!H143</f>
        <v>648.60000000000036</v>
      </c>
      <c r="I143" s="140"/>
      <c r="J143" s="328">
        <f>H143/DAY(B2)</f>
        <v>30.885714285714304</v>
      </c>
    </row>
    <row r="144" spans="1:15" ht="25.5">
      <c r="A144" s="893" t="s">
        <v>90</v>
      </c>
      <c r="B144" s="893"/>
      <c r="C144" s="893"/>
      <c r="D144" s="151" t="s">
        <v>183</v>
      </c>
      <c r="E144" s="95">
        <f>'20'!F144</f>
        <v>952864</v>
      </c>
      <c r="F144" s="147">
        <v>953093</v>
      </c>
      <c r="G144" s="112">
        <f t="shared" si="10"/>
        <v>229</v>
      </c>
      <c r="H144" s="99">
        <f>G144+'20'!H144</f>
        <v>4895</v>
      </c>
      <c r="I144" s="140"/>
      <c r="J144" s="328">
        <f>H144/DAY(B2)</f>
        <v>233.0952380952381</v>
      </c>
    </row>
    <row r="145" spans="1:10" ht="25.5">
      <c r="A145" s="889" t="s">
        <v>190</v>
      </c>
      <c r="B145" s="889"/>
      <c r="C145" s="889"/>
      <c r="D145" s="152" t="s">
        <v>183</v>
      </c>
      <c r="E145" s="95">
        <f>'20'!F145</f>
        <v>25476</v>
      </c>
      <c r="F145" s="147">
        <v>25588</v>
      </c>
      <c r="G145" s="112">
        <f t="shared" si="10"/>
        <v>112</v>
      </c>
      <c r="H145" s="99">
        <f>G145+'20'!H145</f>
        <v>2991.9000000000015</v>
      </c>
      <c r="I145" s="140"/>
      <c r="J145" s="328">
        <f>H145/DAY(B2)</f>
        <v>142.47142857142865</v>
      </c>
    </row>
    <row r="146" spans="1:10" ht="25.5">
      <c r="A146" s="890" t="s">
        <v>191</v>
      </c>
      <c r="B146" s="891"/>
      <c r="C146" s="892"/>
      <c r="D146" s="152" t="s">
        <v>183</v>
      </c>
      <c r="E146" s="95">
        <f>'20'!F146</f>
        <v>787481</v>
      </c>
      <c r="F146" s="148">
        <v>787509</v>
      </c>
      <c r="G146" s="112">
        <f t="shared" si="10"/>
        <v>28</v>
      </c>
      <c r="H146" s="99">
        <f>G146+'20'!H146</f>
        <v>841</v>
      </c>
      <c r="I146" s="140"/>
      <c r="J146" s="328">
        <f>H146/DAY(B2)</f>
        <v>40.047619047619051</v>
      </c>
    </row>
    <row r="147" spans="1:10" ht="25.5">
      <c r="A147" s="893" t="s">
        <v>192</v>
      </c>
      <c r="B147" s="893"/>
      <c r="C147" s="893"/>
      <c r="D147" s="152" t="s">
        <v>183</v>
      </c>
      <c r="E147" s="95">
        <f>'20'!F147</f>
        <v>755954</v>
      </c>
      <c r="F147" s="148">
        <v>756317</v>
      </c>
      <c r="G147" s="112">
        <f t="shared" si="10"/>
        <v>363</v>
      </c>
      <c r="H147" s="99">
        <f>G147+'20'!H147</f>
        <v>8762.8399999999674</v>
      </c>
      <c r="I147" s="140"/>
      <c r="J147" s="328">
        <f>H147/DAY(B2)</f>
        <v>417.27809523809367</v>
      </c>
    </row>
    <row r="148" spans="1:10" ht="25.5">
      <c r="A148" s="886" t="s">
        <v>193</v>
      </c>
      <c r="B148" s="887"/>
      <c r="C148" s="888"/>
      <c r="D148" s="123" t="s">
        <v>130</v>
      </c>
      <c r="E148" s="95">
        <f>'20'!F148</f>
        <v>792716</v>
      </c>
      <c r="F148" s="150">
        <v>793053</v>
      </c>
      <c r="G148" s="112">
        <f t="shared" si="10"/>
        <v>337</v>
      </c>
      <c r="H148" s="99">
        <f>G148+'20'!H148</f>
        <v>8408</v>
      </c>
      <c r="I148" s="124"/>
      <c r="J148" s="328">
        <f>H148/DAY(B2)</f>
        <v>400.38095238095241</v>
      </c>
    </row>
    <row r="149" spans="1:10" ht="25.5">
      <c r="A149" s="886" t="s">
        <v>336</v>
      </c>
      <c r="B149" s="887"/>
      <c r="C149" s="888"/>
      <c r="D149" s="227" t="s">
        <v>130</v>
      </c>
      <c r="E149" s="95">
        <f>'20'!F149</f>
        <v>195168</v>
      </c>
      <c r="F149" s="146">
        <v>195662</v>
      </c>
      <c r="G149" s="112">
        <f t="shared" si="10"/>
        <v>494</v>
      </c>
      <c r="H149" s="99">
        <f>G149+'20'!H149</f>
        <v>10365.109999999986</v>
      </c>
      <c r="I149" s="119"/>
      <c r="J149" s="328">
        <f>H149/DAY(B2)</f>
        <v>493.57666666666603</v>
      </c>
    </row>
    <row r="150" spans="1:10" ht="25.5">
      <c r="A150" s="886" t="s">
        <v>337</v>
      </c>
      <c r="B150" s="887"/>
      <c r="C150" s="888"/>
      <c r="D150" s="117" t="s">
        <v>130</v>
      </c>
      <c r="E150" s="95">
        <f>'20'!F150</f>
        <v>82277</v>
      </c>
      <c r="F150" s="233">
        <v>82514</v>
      </c>
      <c r="G150" s="112">
        <f t="shared" si="10"/>
        <v>237</v>
      </c>
      <c r="H150" s="99">
        <f>G150+'20'!H150</f>
        <v>5625.6999999999971</v>
      </c>
      <c r="I150" s="119"/>
      <c r="J150" s="328">
        <f>H150/DAY(B2)</f>
        <v>267.89047619047608</v>
      </c>
    </row>
    <row r="151" spans="1:10" ht="25.5">
      <c r="A151" s="886" t="s">
        <v>338</v>
      </c>
      <c r="B151" s="887"/>
      <c r="C151" s="888"/>
      <c r="D151" s="117" t="s">
        <v>130</v>
      </c>
      <c r="E151" s="95">
        <f>'20'!F151</f>
        <v>163551</v>
      </c>
      <c r="F151" s="152">
        <v>163829</v>
      </c>
      <c r="G151" s="112">
        <f t="shared" si="10"/>
        <v>278</v>
      </c>
      <c r="H151" s="99">
        <f>G151+'20'!H151</f>
        <v>5519</v>
      </c>
      <c r="I151" s="119"/>
      <c r="J151" s="328">
        <f>H151/DAY(B2)</f>
        <v>262.8095238095238</v>
      </c>
    </row>
    <row r="152" spans="1:10" ht="25.5">
      <c r="A152" s="886" t="s">
        <v>339</v>
      </c>
      <c r="B152" s="887"/>
      <c r="C152" s="888"/>
      <c r="D152" s="117" t="s">
        <v>130</v>
      </c>
      <c r="E152" s="95">
        <f>'20'!F152</f>
        <v>41288</v>
      </c>
      <c r="F152" s="233">
        <v>41390</v>
      </c>
      <c r="G152" s="112">
        <f t="shared" si="10"/>
        <v>102</v>
      </c>
      <c r="H152" s="99">
        <f>G152+'20'!H152</f>
        <v>2774.0999999999985</v>
      </c>
      <c r="I152" s="119"/>
      <c r="J152" s="328">
        <f>H152/DAY(B2)</f>
        <v>132.09999999999994</v>
      </c>
    </row>
    <row r="153" spans="1:10" ht="25.5">
      <c r="A153" s="853" t="s">
        <v>196</v>
      </c>
      <c r="B153" s="854"/>
      <c r="C153" s="365"/>
      <c r="D153" s="358"/>
      <c r="E153" s="360"/>
      <c r="F153" s="361"/>
      <c r="G153" s="362">
        <f>SUM(G138:G152)</f>
        <v>2873</v>
      </c>
      <c r="H153" s="363"/>
      <c r="I153" s="119">
        <f>G153-(G38+G52)</f>
        <v>1625.5899999999674</v>
      </c>
      <c r="J153" s="366"/>
    </row>
    <row r="154" spans="1:10" ht="27.75">
      <c r="A154" s="924" t="s">
        <v>344</v>
      </c>
      <c r="B154" s="924"/>
      <c r="C154" s="924"/>
      <c r="D154" s="924"/>
      <c r="E154" s="924"/>
      <c r="F154" s="924"/>
      <c r="G154" s="924"/>
      <c r="H154" s="924"/>
      <c r="I154" s="924"/>
      <c r="J154" s="924"/>
    </row>
    <row r="155" spans="1:10" ht="27.75">
      <c r="A155" s="893" t="s">
        <v>345</v>
      </c>
      <c r="B155" s="893"/>
      <c r="C155" s="893"/>
      <c r="D155" s="117" t="s">
        <v>130</v>
      </c>
      <c r="E155" s="95">
        <f>'20'!F155</f>
        <v>232502</v>
      </c>
      <c r="F155" s="374">
        <v>233106</v>
      </c>
      <c r="G155" s="112">
        <f t="shared" ref="G155:G158" si="11">F155-E155</f>
        <v>604</v>
      </c>
      <c r="H155" s="99">
        <f>G155+'20'!H155</f>
        <v>13118.299999999988</v>
      </c>
      <c r="I155" s="364"/>
      <c r="J155" s="328">
        <f>H155/DAY(B2)</f>
        <v>624.68095238095179</v>
      </c>
    </row>
    <row r="156" spans="1:10" ht="25.5">
      <c r="A156" s="893" t="s">
        <v>347</v>
      </c>
      <c r="B156" s="893"/>
      <c r="C156" s="893"/>
      <c r="D156" s="117" t="s">
        <v>130</v>
      </c>
      <c r="E156" s="95">
        <f>'20'!F156</f>
        <v>28425</v>
      </c>
      <c r="F156" s="155">
        <v>28524</v>
      </c>
      <c r="G156" s="112">
        <f t="shared" si="11"/>
        <v>99</v>
      </c>
      <c r="H156" s="99">
        <f>G156+'20'!H156</f>
        <v>1993.7999999999993</v>
      </c>
      <c r="I156" s="165"/>
      <c r="J156" s="328">
        <f>H156/DAY(B2)</f>
        <v>94.942857142857108</v>
      </c>
    </row>
    <row r="157" spans="1:10" ht="25.5">
      <c r="A157" s="886" t="s">
        <v>360</v>
      </c>
      <c r="B157" s="887"/>
      <c r="C157" s="888"/>
      <c r="D157" s="117" t="s">
        <v>130</v>
      </c>
      <c r="E157" s="95">
        <f>'20'!F157</f>
        <v>37559</v>
      </c>
      <c r="F157" s="155">
        <v>37559</v>
      </c>
      <c r="G157" s="112">
        <f t="shared" si="11"/>
        <v>0</v>
      </c>
      <c r="H157" s="99">
        <f>G157+'20'!H157</f>
        <v>0</v>
      </c>
      <c r="I157" s="165"/>
      <c r="J157" s="328">
        <f>H157/DAY(B2)</f>
        <v>0</v>
      </c>
    </row>
    <row r="158" spans="1:10" ht="25.5">
      <c r="A158" s="886" t="s">
        <v>361</v>
      </c>
      <c r="B158" s="887"/>
      <c r="C158" s="888"/>
      <c r="D158" s="117" t="s">
        <v>130</v>
      </c>
      <c r="E158" s="95">
        <f>'20'!F158</f>
        <v>1745</v>
      </c>
      <c r="F158" s="155">
        <v>1748</v>
      </c>
      <c r="G158" s="112">
        <f t="shared" si="11"/>
        <v>3</v>
      </c>
      <c r="H158" s="99">
        <f>G158+'20'!H158</f>
        <v>4.8800000000001091</v>
      </c>
      <c r="I158" s="165"/>
      <c r="J158" s="328">
        <f>H158/DAY(B2)</f>
        <v>0.23238095238095757</v>
      </c>
    </row>
    <row r="159" spans="1:10" ht="25.5">
      <c r="A159" s="942"/>
      <c r="B159" s="943"/>
      <c r="C159" s="944"/>
      <c r="D159" s="117"/>
      <c r="E159" s="95"/>
      <c r="F159" s="165"/>
      <c r="G159" s="112"/>
      <c r="H159" s="99"/>
      <c r="I159" s="165"/>
      <c r="J159" s="328"/>
    </row>
    <row r="160" spans="1:10" ht="27.75">
      <c r="A160" s="924" t="s">
        <v>326</v>
      </c>
      <c r="B160" s="924"/>
      <c r="C160" s="924"/>
      <c r="D160" s="924"/>
      <c r="E160" s="924"/>
      <c r="F160" s="924"/>
      <c r="G160" s="924"/>
      <c r="H160" s="924"/>
      <c r="I160" s="924"/>
      <c r="J160" s="924"/>
    </row>
    <row r="161" spans="1:10" ht="26.25">
      <c r="A161" s="242" t="s">
        <v>92</v>
      </c>
      <c r="B161" s="243"/>
      <c r="C161" s="243"/>
      <c r="D161" s="244" t="s">
        <v>180</v>
      </c>
      <c r="E161" s="95">
        <f>'20'!F161</f>
        <v>506814</v>
      </c>
      <c r="F161" s="235">
        <v>506982</v>
      </c>
      <c r="G161" s="238">
        <f t="shared" ref="G161:G165" si="12">F161-E161</f>
        <v>168</v>
      </c>
      <c r="H161" s="99">
        <f>G161+'20'!H161</f>
        <v>3610.8400000000256</v>
      </c>
      <c r="I161" s="236"/>
      <c r="J161" s="239">
        <f>H161/DAY(B2)</f>
        <v>171.94476190476311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'20'!F162</f>
        <v>426</v>
      </c>
      <c r="F162" s="235">
        <v>472</v>
      </c>
      <c r="G162" s="238">
        <f t="shared" si="12"/>
        <v>46</v>
      </c>
      <c r="H162" s="99">
        <f>G162+'20'!H162</f>
        <v>852.19999999999413</v>
      </c>
      <c r="I162" s="236"/>
      <c r="J162" s="239">
        <f>H162/DAY(B2)</f>
        <v>40.580952380952098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'20'!F163</f>
        <v>0</v>
      </c>
      <c r="F163" s="501">
        <v>0</v>
      </c>
      <c r="G163" s="238">
        <f t="shared" si="12"/>
        <v>0</v>
      </c>
      <c r="H163" s="99">
        <f>G163+'20'!H163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'20'!F164</f>
        <v>7139</v>
      </c>
      <c r="F164" s="501">
        <v>7144</v>
      </c>
      <c r="G164" s="238">
        <f t="shared" si="12"/>
        <v>5</v>
      </c>
      <c r="H164" s="99">
        <f>G164+'20'!H164</f>
        <v>153.80000000000018</v>
      </c>
      <c r="I164" s="236"/>
      <c r="J164" s="239">
        <f>H164/DAY(B2)</f>
        <v>7.3238095238095324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'20'!F165</f>
        <v>32716</v>
      </c>
      <c r="F165" s="235">
        <v>32723</v>
      </c>
      <c r="G165" s="238">
        <f t="shared" si="12"/>
        <v>7</v>
      </c>
      <c r="H165" s="99">
        <f>G165+'20'!H165</f>
        <v>148.90000000000146</v>
      </c>
      <c r="I165" s="236"/>
      <c r="J165" s="239">
        <f>H165/DAY(B2)</f>
        <v>7.0904761904762594</v>
      </c>
    </row>
    <row r="166" spans="1:10" ht="26.25">
      <c r="A166" s="923"/>
      <c r="B166" s="923"/>
      <c r="C166" s="246"/>
      <c r="D166" s="244" t="s">
        <v>180</v>
      </c>
      <c r="E166" s="95">
        <f>'20'!F166</f>
        <v>0</v>
      </c>
      <c r="F166" s="165"/>
      <c r="G166" s="165"/>
      <c r="H166" s="99">
        <f>G166+'20'!H166</f>
        <v>0</v>
      </c>
      <c r="I166" s="165"/>
      <c r="J166" s="239">
        <f>H166/DAY(B2)</f>
        <v>0</v>
      </c>
    </row>
    <row r="167" spans="1:10" ht="26.25">
      <c r="A167" s="923"/>
      <c r="B167" s="923"/>
      <c r="C167" s="246"/>
      <c r="D167" s="244" t="s">
        <v>180</v>
      </c>
      <c r="E167" s="95">
        <f>'20'!F167</f>
        <v>0</v>
      </c>
      <c r="F167" s="165"/>
      <c r="G167" s="165"/>
      <c r="H167" s="99">
        <f>G167+'20'!H167</f>
        <v>0</v>
      </c>
      <c r="I167" s="165"/>
      <c r="J167" s="239">
        <f>H167/DAY(B2)</f>
        <v>0</v>
      </c>
    </row>
    <row r="168" spans="1:10" ht="26.25">
      <c r="A168" s="923"/>
      <c r="B168" s="923"/>
      <c r="C168" s="246"/>
      <c r="D168" s="244" t="s">
        <v>180</v>
      </c>
      <c r="E168" s="95">
        <f>'20'!F168</f>
        <v>0</v>
      </c>
      <c r="F168" s="165"/>
      <c r="G168" s="165"/>
      <c r="H168" s="99">
        <f>G168+'20'!H168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33" t="s">
        <v>330</v>
      </c>
      <c r="B171" s="934"/>
      <c r="C171" s="934"/>
      <c r="D171" s="934"/>
      <c r="E171" s="934"/>
      <c r="F171" s="934"/>
      <c r="G171" s="934"/>
      <c r="H171" s="934"/>
      <c r="I171" s="934"/>
      <c r="J171" s="935"/>
    </row>
    <row r="172" spans="1:10" ht="25.5">
      <c r="A172" s="929"/>
      <c r="B172" s="930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41" t="s">
        <v>209</v>
      </c>
      <c r="B173" s="843"/>
      <c r="C173" s="333"/>
      <c r="D173" s="228" t="s">
        <v>142</v>
      </c>
      <c r="E173" s="95">
        <f>'20'!F173</f>
        <v>8610</v>
      </c>
      <c r="F173" s="155">
        <v>8610</v>
      </c>
      <c r="G173" s="155">
        <f>F173-E173</f>
        <v>0</v>
      </c>
      <c r="H173" s="99">
        <f>G173+'20'!H173</f>
        <v>26</v>
      </c>
      <c r="I173" s="155"/>
      <c r="J173" s="178">
        <f>H173/DAY(B2)</f>
        <v>1.2380952380952381</v>
      </c>
    </row>
    <row r="174" spans="1:10" ht="25.5">
      <c r="A174" s="841" t="s">
        <v>75</v>
      </c>
      <c r="B174" s="843"/>
      <c r="C174" s="333"/>
      <c r="D174" s="228" t="s">
        <v>142</v>
      </c>
      <c r="E174" s="95">
        <f>'20'!F174</f>
        <v>42904</v>
      </c>
      <c r="F174" s="157">
        <v>42918</v>
      </c>
      <c r="G174" s="155">
        <f t="shared" ref="G174:G175" si="13">F174-E174</f>
        <v>14</v>
      </c>
      <c r="H174" s="99">
        <f>G174+'20'!H174</f>
        <v>249</v>
      </c>
      <c r="I174" s="155"/>
      <c r="J174" s="178">
        <f>H174/DAY(B2)</f>
        <v>11.857142857142858</v>
      </c>
    </row>
    <row r="175" spans="1:10" ht="25.5">
      <c r="A175" s="841" t="s">
        <v>76</v>
      </c>
      <c r="B175" s="842"/>
      <c r="C175" s="843"/>
      <c r="D175" s="228" t="s">
        <v>142</v>
      </c>
      <c r="E175" s="95">
        <f>'20'!F175</f>
        <v>25651</v>
      </c>
      <c r="F175" s="155">
        <v>25663</v>
      </c>
      <c r="G175" s="155">
        <f t="shared" si="13"/>
        <v>12</v>
      </c>
      <c r="H175" s="99">
        <f>G175+'20'!H175</f>
        <v>270</v>
      </c>
      <c r="I175" s="155"/>
      <c r="J175" s="178">
        <f>H175/DAY(B2)</f>
        <v>12.857142857142858</v>
      </c>
    </row>
    <row r="176" spans="1:10" ht="25.5">
      <c r="A176" s="853" t="s">
        <v>196</v>
      </c>
      <c r="B176" s="854"/>
      <c r="C176" s="400"/>
      <c r="D176" s="228" t="s">
        <v>142</v>
      </c>
      <c r="E176" s="95"/>
      <c r="F176" s="155"/>
      <c r="G176" s="155">
        <f>SUM(G173:G175)</f>
        <v>26</v>
      </c>
      <c r="H176" s="99">
        <f>G176+'20'!H176</f>
        <v>545</v>
      </c>
      <c r="I176" s="155"/>
      <c r="J176" s="178">
        <f>H176/DAY(B2)</f>
        <v>25.952380952380953</v>
      </c>
    </row>
    <row r="177" spans="1:10" ht="25.5">
      <c r="A177" s="841" t="s">
        <v>77</v>
      </c>
      <c r="B177" s="843"/>
      <c r="C177" s="333"/>
      <c r="D177" s="228" t="s">
        <v>142</v>
      </c>
      <c r="E177" s="95"/>
      <c r="F177" s="155"/>
      <c r="G177" s="155"/>
      <c r="H177" s="99">
        <f>G177+'20'!H177</f>
        <v>0</v>
      </c>
      <c r="I177" s="155"/>
      <c r="J177" s="178">
        <f>H177/DAY(B2)</f>
        <v>0</v>
      </c>
    </row>
    <row r="178" spans="1:10" ht="25.5">
      <c r="A178" s="841" t="s">
        <v>210</v>
      </c>
      <c r="B178" s="843"/>
      <c r="C178" s="333"/>
      <c r="D178" s="228" t="s">
        <v>142</v>
      </c>
      <c r="E178" s="95">
        <f>'20'!F178</f>
        <v>105687</v>
      </c>
      <c r="F178" s="155">
        <v>105824</v>
      </c>
      <c r="G178" s="155">
        <f>F178-E178</f>
        <v>137</v>
      </c>
      <c r="H178" s="99">
        <f>G178+'20'!H178</f>
        <v>2181</v>
      </c>
      <c r="I178" s="155"/>
      <c r="J178" s="178">
        <f>H178/DAY(B2)</f>
        <v>103.85714285714286</v>
      </c>
    </row>
    <row r="179" spans="1:10" ht="25.5">
      <c r="A179" s="841" t="s">
        <v>211</v>
      </c>
      <c r="B179" s="843"/>
      <c r="C179" s="333"/>
      <c r="D179" s="228" t="s">
        <v>142</v>
      </c>
      <c r="E179" s="95">
        <f>'20'!F179</f>
        <v>37501</v>
      </c>
      <c r="F179" s="155">
        <v>37501</v>
      </c>
      <c r="G179" s="155">
        <f t="shared" ref="G179:G180" si="14">F179-E179</f>
        <v>0</v>
      </c>
      <c r="H179" s="99">
        <f>G179+'20'!H179</f>
        <v>0</v>
      </c>
      <c r="I179" s="155"/>
      <c r="J179" s="178">
        <f>H179/DAY(B2)</f>
        <v>0</v>
      </c>
    </row>
    <row r="180" spans="1:10" ht="25.5">
      <c r="A180" s="841" t="s">
        <v>212</v>
      </c>
      <c r="B180" s="843"/>
      <c r="C180" s="333"/>
      <c r="D180" s="228" t="s">
        <v>142</v>
      </c>
      <c r="E180" s="95">
        <f>'20'!F180</f>
        <v>7480</v>
      </c>
      <c r="F180" s="155">
        <v>7504</v>
      </c>
      <c r="G180" s="155">
        <f t="shared" si="14"/>
        <v>24</v>
      </c>
      <c r="H180" s="99">
        <f>G180+'20'!H180</f>
        <v>84</v>
      </c>
      <c r="I180" s="155"/>
      <c r="J180" s="178">
        <f>H180/DAY(B2)</f>
        <v>4</v>
      </c>
    </row>
    <row r="181" spans="1:10" ht="25.5">
      <c r="A181" s="927" t="s">
        <v>108</v>
      </c>
      <c r="B181" s="928"/>
      <c r="C181" s="400"/>
      <c r="D181" s="228" t="s">
        <v>142</v>
      </c>
      <c r="E181" s="95"/>
      <c r="F181" s="155"/>
      <c r="G181" s="155">
        <f>SUM(G178:G180)</f>
        <v>161</v>
      </c>
      <c r="H181" s="99">
        <f>G181+'20'!H181</f>
        <v>2265</v>
      </c>
      <c r="I181" s="155"/>
      <c r="J181" s="178">
        <f>H181/DAY(B2)</f>
        <v>107.85714285714286</v>
      </c>
    </row>
    <row r="182" spans="1:10" ht="25.5">
      <c r="A182" s="841" t="s">
        <v>213</v>
      </c>
      <c r="B182" s="843"/>
      <c r="C182" s="333"/>
      <c r="D182" s="228" t="s">
        <v>142</v>
      </c>
      <c r="E182" s="95"/>
      <c r="F182" s="155"/>
      <c r="G182" s="155"/>
      <c r="H182" s="99">
        <f>G182+'20'!H182</f>
        <v>0</v>
      </c>
      <c r="I182" s="155"/>
      <c r="J182" s="178">
        <f>H182/DAY(B2)</f>
        <v>0</v>
      </c>
    </row>
    <row r="183" spans="1:10" ht="25.5">
      <c r="A183" s="841" t="s">
        <v>214</v>
      </c>
      <c r="B183" s="843"/>
      <c r="C183" s="334"/>
      <c r="D183" s="228" t="s">
        <v>142</v>
      </c>
      <c r="E183" s="95">
        <f>'20'!F183</f>
        <v>18306</v>
      </c>
      <c r="F183" s="157">
        <v>18317</v>
      </c>
      <c r="G183" s="157">
        <f>F183-E183</f>
        <v>11</v>
      </c>
      <c r="H183" s="99">
        <f>G183+'20'!H183</f>
        <v>149</v>
      </c>
      <c r="I183" s="155"/>
      <c r="J183" s="178">
        <f>H183/DAY(B2)</f>
        <v>7.0952380952380949</v>
      </c>
    </row>
    <row r="184" spans="1:10" ht="25.5">
      <c r="A184" s="841" t="s">
        <v>215</v>
      </c>
      <c r="B184" s="843"/>
      <c r="C184" s="334"/>
      <c r="D184" s="228" t="s">
        <v>142</v>
      </c>
      <c r="E184" s="95">
        <f>'20'!F184</f>
        <v>12901</v>
      </c>
      <c r="F184" s="157">
        <v>12913</v>
      </c>
      <c r="G184" s="157">
        <f t="shared" ref="G184:G185" si="15">F184-E184</f>
        <v>12</v>
      </c>
      <c r="H184" s="99">
        <f>G184+'20'!H184</f>
        <v>182</v>
      </c>
      <c r="I184" s="155"/>
      <c r="J184" s="178">
        <f>H184/DAY(B2)</f>
        <v>8.6666666666666661</v>
      </c>
    </row>
    <row r="185" spans="1:10" ht="32.25" customHeight="1">
      <c r="A185" s="841" t="s">
        <v>216</v>
      </c>
      <c r="B185" s="843"/>
      <c r="C185" s="334"/>
      <c r="D185" s="228" t="s">
        <v>142</v>
      </c>
      <c r="E185" s="95">
        <f>'20'!F185</f>
        <v>0</v>
      </c>
      <c r="F185" s="157"/>
      <c r="G185" s="157">
        <f t="shared" si="15"/>
        <v>0</v>
      </c>
      <c r="H185" s="99">
        <f>G185+'20'!H185</f>
        <v>0</v>
      </c>
      <c r="I185" s="155"/>
      <c r="J185" s="178">
        <f>H185/DAY(B2)</f>
        <v>0</v>
      </c>
    </row>
    <row r="186" spans="1:10" ht="25.5">
      <c r="A186" s="853" t="s">
        <v>196</v>
      </c>
      <c r="B186" s="854"/>
      <c r="C186" s="399"/>
      <c r="D186" s="228" t="s">
        <v>142</v>
      </c>
      <c r="E186" s="95"/>
      <c r="F186" s="157"/>
      <c r="G186" s="157">
        <f>SUM(G183:G185)</f>
        <v>23</v>
      </c>
      <c r="H186" s="99">
        <f>G186+'20'!H186</f>
        <v>331</v>
      </c>
      <c r="I186" s="157"/>
      <c r="J186" s="178">
        <f>H186/DAY(B2)</f>
        <v>15.761904761904763</v>
      </c>
    </row>
    <row r="187" spans="1:10" ht="25.5">
      <c r="A187" s="931" t="s">
        <v>217</v>
      </c>
      <c r="B187" s="932"/>
      <c r="C187" s="333"/>
      <c r="D187" s="230" t="s">
        <v>142</v>
      </c>
      <c r="E187" s="95"/>
      <c r="F187" s="159"/>
      <c r="G187" s="377">
        <f>G62+G19</f>
        <v>172</v>
      </c>
      <c r="H187" s="99">
        <f>G187+'20'!H187</f>
        <v>3635</v>
      </c>
      <c r="I187" s="158"/>
      <c r="J187" s="179">
        <f>H187/DAY(B2)</f>
        <v>173.0952380952381</v>
      </c>
    </row>
    <row r="188" spans="1:10" ht="25.5">
      <c r="A188" s="931" t="s">
        <v>218</v>
      </c>
      <c r="B188" s="932"/>
      <c r="C188" s="333"/>
      <c r="D188" s="230" t="s">
        <v>142</v>
      </c>
      <c r="E188" s="95"/>
      <c r="F188" s="159" t="s">
        <v>378</v>
      </c>
      <c r="G188" s="377">
        <f>G65+G66+G67+G69+G70</f>
        <v>176</v>
      </c>
      <c r="H188" s="99">
        <f>G188+'20'!H188</f>
        <v>1311</v>
      </c>
      <c r="I188" s="158"/>
      <c r="J188" s="179">
        <f>H188/DAY(B2)</f>
        <v>62.428571428571431</v>
      </c>
    </row>
    <row r="189" spans="1:10" ht="21" customHeight="1">
      <c r="A189" s="931" t="s">
        <v>219</v>
      </c>
      <c r="B189" s="932"/>
      <c r="C189" s="333"/>
      <c r="D189" s="230" t="s">
        <v>142</v>
      </c>
      <c r="E189" s="95"/>
      <c r="F189" s="157"/>
      <c r="G189" s="376">
        <f>G181</f>
        <v>161</v>
      </c>
      <c r="H189" s="99">
        <f>G189+'20'!H189</f>
        <v>405</v>
      </c>
      <c r="I189" s="158"/>
      <c r="J189" s="179">
        <f>H189/DAY(B2)</f>
        <v>19.285714285714285</v>
      </c>
    </row>
    <row r="190" spans="1:10" ht="25.5">
      <c r="A190" s="925"/>
      <c r="B190" s="926"/>
      <c r="C190" s="398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  <row r="1690" ht="21" customHeight="1"/>
    <row r="1691" ht="21" customHeight="1"/>
    <row r="1692" ht="21" customHeight="1"/>
    <row r="1693" ht="21" customHeight="1"/>
    <row r="1694" ht="21" customHeight="1"/>
    <row r="1695" ht="21" customHeight="1"/>
    <row r="1696" ht="21" customHeight="1"/>
    <row r="1697" ht="21" customHeight="1"/>
    <row r="1698" ht="21" customHeight="1"/>
    <row r="1699" ht="21" customHeight="1"/>
    <row r="1700" ht="21" customHeight="1"/>
    <row r="1701" ht="21" customHeight="1"/>
  </sheetData>
  <mergeCells count="115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20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R192"/>
  <sheetViews>
    <sheetView view="pageBreakPreview" zoomScale="60" zoomScaleNormal="71" workbookViewId="0">
      <selection activeCell="E173" sqref="E173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2.77734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67" t="s">
        <v>115</v>
      </c>
      <c r="B1" s="868"/>
      <c r="C1" s="868"/>
      <c r="D1" s="868"/>
      <c r="E1" s="868"/>
      <c r="F1" s="868"/>
      <c r="G1" s="868"/>
      <c r="H1" s="868"/>
      <c r="I1" s="868"/>
      <c r="J1" s="869"/>
    </row>
    <row r="2" spans="1:15" s="57" customFormat="1" ht="23.25">
      <c r="A2" s="191" t="s">
        <v>355</v>
      </c>
      <c r="B2" s="262">
        <v>44917</v>
      </c>
      <c r="C2" s="348" t="s">
        <v>67</v>
      </c>
      <c r="D2" s="218">
        <v>0.72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26</v>
      </c>
      <c r="E3" s="876" t="s">
        <v>119</v>
      </c>
      <c r="F3" s="877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0" t="s">
        <v>128</v>
      </c>
      <c r="B6" s="871"/>
      <c r="C6" s="87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'21'!F7</f>
        <v>761668</v>
      </c>
      <c r="F7" s="95">
        <v>784115</v>
      </c>
      <c r="G7" s="112">
        <f>F7-E7</f>
        <v>22447</v>
      </c>
      <c r="H7" s="99">
        <f>G7+'21'!H7</f>
        <v>510432.45</v>
      </c>
      <c r="I7" s="113">
        <f>'1'!I7</f>
        <v>12000</v>
      </c>
      <c r="J7" s="175">
        <f>H7/DAY(B2)</f>
        <v>23201.475000000002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'21'!F8</f>
        <v>942083</v>
      </c>
      <c r="F8" s="114">
        <v>964718</v>
      </c>
      <c r="G8" s="115">
        <f>F8-E8</f>
        <v>22635</v>
      </c>
      <c r="H8" s="99">
        <f>G8+'21'!H8</f>
        <v>513457</v>
      </c>
      <c r="I8" s="116"/>
      <c r="J8" s="175">
        <f>H8/DAY(B2)</f>
        <v>23338.954545454544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'21'!F9</f>
        <v>4270082</v>
      </c>
      <c r="F9" s="468">
        <v>4282598</v>
      </c>
      <c r="G9" s="112">
        <f>F9-E9</f>
        <v>12516</v>
      </c>
      <c r="H9" s="99">
        <f>G9+'21'!H9</f>
        <v>168427.70000000019</v>
      </c>
      <c r="I9" s="124">
        <f>I7-J7</f>
        <v>-11201.475000000002</v>
      </c>
      <c r="J9" s="175">
        <f>H9/DAY(B2)</f>
        <v>7655.8045454545536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'21'!F10</f>
        <v>4008362</v>
      </c>
      <c r="F10" s="353">
        <v>4017692</v>
      </c>
      <c r="G10" s="112">
        <f t="shared" ref="G10:G12" si="0">F10-E10</f>
        <v>9330</v>
      </c>
      <c r="H10" s="99">
        <f>G10+'21'!H10</f>
        <v>328212.89999999991</v>
      </c>
      <c r="I10" s="282"/>
      <c r="J10" s="175">
        <f>H10/DAY(B2)</f>
        <v>14918.768181818177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'21'!F11</f>
        <v>38700</v>
      </c>
      <c r="F11" s="95">
        <v>38700</v>
      </c>
      <c r="G11" s="112">
        <f t="shared" si="0"/>
        <v>0</v>
      </c>
      <c r="H11" s="99">
        <f>G11+'21'!H11</f>
        <v>580</v>
      </c>
      <c r="I11" s="282"/>
      <c r="J11" s="175">
        <f>H11/DAY(B2)</f>
        <v>26.363636363636363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'21'!F12</f>
        <v>40550</v>
      </c>
      <c r="F12" s="117">
        <v>40550</v>
      </c>
      <c r="G12" s="112">
        <f t="shared" si="0"/>
        <v>0</v>
      </c>
      <c r="H12" s="99">
        <f>G12+'21'!H12</f>
        <v>160</v>
      </c>
      <c r="I12" s="282"/>
      <c r="J12" s="175">
        <f>H12/DAY(B2)</f>
        <v>7.2727272727272725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21846</v>
      </c>
      <c r="H13" s="99">
        <f>G13+'21'!H13</f>
        <v>501609.29999999981</v>
      </c>
      <c r="I13" s="120">
        <f>G7-G13</f>
        <v>601</v>
      </c>
      <c r="J13" s="175">
        <f>H13/DAY(B2)</f>
        <v>22800.422727272718</v>
      </c>
      <c r="K13" s="79"/>
      <c r="L13" s="66"/>
      <c r="N13" s="87"/>
      <c r="O13" s="71"/>
    </row>
    <row r="14" spans="1:15" ht="26.25">
      <c r="A14" s="873" t="s">
        <v>137</v>
      </c>
      <c r="B14" s="874"/>
      <c r="C14" s="87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'21'!F15</f>
        <v>2241776</v>
      </c>
      <c r="F15" s="468">
        <v>2242883</v>
      </c>
      <c r="G15" s="112">
        <f>(F15-E15)</f>
        <v>1107</v>
      </c>
      <c r="H15" s="99">
        <f>G15+'21'!H15</f>
        <v>23942</v>
      </c>
      <c r="I15" s="113">
        <f>'1'!I15</f>
        <v>800</v>
      </c>
      <c r="J15" s="175">
        <f>H15/DAY(B2)</f>
        <v>1088.2727272727273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-288.27272727272725</v>
      </c>
      <c r="J16" s="176"/>
      <c r="K16" s="79"/>
      <c r="L16" s="66"/>
      <c r="N16" s="87"/>
      <c r="O16" s="71"/>
    </row>
    <row r="17" spans="1:15" ht="26.25">
      <c r="A17" s="873" t="s">
        <v>140</v>
      </c>
      <c r="B17" s="874"/>
      <c r="C17" s="87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64" t="s">
        <v>141</v>
      </c>
      <c r="B18" s="865"/>
      <c r="C18" s="866"/>
      <c r="D18" s="151" t="s">
        <v>142</v>
      </c>
      <c r="E18" s="95">
        <f>'21'!F18</f>
        <v>30</v>
      </c>
      <c r="F18" s="122">
        <v>22</v>
      </c>
      <c r="G18" s="119">
        <f>F18*10</f>
        <v>220</v>
      </c>
      <c r="H18" s="99">
        <f>G18+'21'!H18</f>
        <v>6060</v>
      </c>
      <c r="I18" s="113">
        <f>'1'!I18</f>
        <v>65</v>
      </c>
      <c r="J18" s="175">
        <f>H18/DAY(B2)</f>
        <v>275.45454545454544</v>
      </c>
      <c r="K18" s="79"/>
      <c r="L18" s="66"/>
      <c r="N18" s="87"/>
      <c r="O18" s="71"/>
    </row>
    <row r="19" spans="1:15" ht="25.5">
      <c r="A19" s="864" t="s">
        <v>69</v>
      </c>
      <c r="B19" s="865"/>
      <c r="C19" s="866"/>
      <c r="D19" s="151" t="s">
        <v>142</v>
      </c>
      <c r="E19" s="95">
        <f>'21'!F19</f>
        <v>169007</v>
      </c>
      <c r="F19" s="122">
        <v>169066</v>
      </c>
      <c r="G19" s="112">
        <f t="shared" ref="G19" si="1">F19-E19</f>
        <v>59</v>
      </c>
      <c r="H19" s="99">
        <f>G19+'21'!H19</f>
        <v>1190</v>
      </c>
      <c r="I19" s="335"/>
      <c r="J19" s="175">
        <f>H19/DAY(B2)</f>
        <v>54.090909090909093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279</v>
      </c>
      <c r="H20" s="99">
        <f>G20+'21'!H20</f>
        <v>7250</v>
      </c>
      <c r="I20" s="336">
        <f>I18-J20</f>
        <v>-264.54545454545456</v>
      </c>
      <c r="J20" s="175">
        <f>H20/DAY(B2)</f>
        <v>329.54545454545456</v>
      </c>
      <c r="K20" s="79"/>
      <c r="L20" s="66"/>
      <c r="N20" s="87"/>
      <c r="O20" s="71"/>
    </row>
    <row r="21" spans="1:15" ht="26.25">
      <c r="A21" s="873" t="s">
        <v>144</v>
      </c>
      <c r="B21" s="874"/>
      <c r="C21" s="87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'21'!F22</f>
        <v>2970</v>
      </c>
      <c r="F22" s="122">
        <v>2970</v>
      </c>
      <c r="G22" s="119">
        <f t="shared" ref="G22" si="2">(F22-E22)</f>
        <v>0</v>
      </c>
      <c r="H22" s="99">
        <f>G22+'21'!H22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'21'!F23</f>
        <v>1860</v>
      </c>
      <c r="F23" s="122">
        <v>1860</v>
      </c>
      <c r="G23" s="119">
        <v>0</v>
      </c>
      <c r="H23" s="99">
        <f>G23+'21'!H23</f>
        <v>-100</v>
      </c>
      <c r="I23" s="118"/>
      <c r="J23" s="175">
        <f>H23/DAY(B2)</f>
        <v>-4.5454545454545459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v>4830</v>
      </c>
      <c r="F24" s="128">
        <f>SUM(F22:F23)</f>
        <v>4830</v>
      </c>
      <c r="G24" s="119">
        <v>0</v>
      </c>
      <c r="H24" s="99">
        <f>G24+'21'!H24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78" t="s">
        <v>149</v>
      </c>
      <c r="B25" s="879"/>
      <c r="C25" s="88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22635</v>
      </c>
      <c r="F27" s="136">
        <v>9</v>
      </c>
      <c r="G27" s="137">
        <f>E27*F27</f>
        <v>203715</v>
      </c>
      <c r="H27" s="99">
        <f>G27+'21'!H27</f>
        <v>4643703.8</v>
      </c>
      <c r="I27" s="138"/>
      <c r="J27" s="175">
        <f>H27/DAY(B2)</f>
        <v>211077.44545454544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1107</v>
      </c>
      <c r="F28" s="136">
        <v>70</v>
      </c>
      <c r="G28" s="137">
        <f>E28*F28</f>
        <v>77490</v>
      </c>
      <c r="H28" s="99">
        <f>G28+'21'!H28</f>
        <v>1686451.7500000005</v>
      </c>
      <c r="I28" s="140"/>
      <c r="J28" s="175">
        <f>H28/DAY(B2)</f>
        <v>76656.89772727275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G29+'21'!H29</f>
        <v>20700</v>
      </c>
      <c r="I29" s="140"/>
      <c r="J29" s="175">
        <f>H29/DAY(B2)</f>
        <v>940.90909090909088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59</v>
      </c>
      <c r="F30" s="136">
        <v>151</v>
      </c>
      <c r="G30" s="137">
        <f>E30*F30</f>
        <v>8909</v>
      </c>
      <c r="H30" s="99">
        <f>G30+'21'!H30</f>
        <v>179690</v>
      </c>
      <c r="I30" s="140"/>
      <c r="J30" s="175">
        <f>H30/DAY(B2)</f>
        <v>8167.727272727273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G31+'21'!H31</f>
        <v>484800</v>
      </c>
      <c r="I31" s="140"/>
      <c r="J31" s="175">
        <f>H31/DAY(B2)</f>
        <v>22036.363636363636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307714</v>
      </c>
      <c r="H32" s="99">
        <f>G32+'21'!H32</f>
        <v>7015345.5500000007</v>
      </c>
      <c r="I32" s="144"/>
      <c r="J32" s="175">
        <f>H32/DAY(B2)</f>
        <v>318879.3431818182</v>
      </c>
      <c r="K32" s="63"/>
      <c r="L32" s="89"/>
      <c r="N32" s="87"/>
      <c r="O32" s="71"/>
    </row>
    <row r="33" spans="1:15" ht="25.5" customHeight="1">
      <c r="A33" s="881" t="s">
        <v>331</v>
      </c>
      <c r="B33" s="882"/>
      <c r="C33" s="88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'21'!F35</f>
        <v>427677</v>
      </c>
      <c r="F35" s="418">
        <v>430402</v>
      </c>
      <c r="G35" s="112">
        <f t="shared" ref="G35:G46" si="3">F35-E35</f>
        <v>2725</v>
      </c>
      <c r="H35" s="99">
        <f>G35+'21'!H35</f>
        <v>61305.090000000026</v>
      </c>
      <c r="I35" s="95"/>
      <c r="J35" s="175">
        <f>H35/DAY(B2)</f>
        <v>2786.5950000000012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'21'!F36</f>
        <v>345030</v>
      </c>
      <c r="F36" s="145">
        <v>346046</v>
      </c>
      <c r="G36" s="112">
        <f t="shared" si="3"/>
        <v>1016</v>
      </c>
      <c r="H36" s="99">
        <f>G36+'21'!H36</f>
        <v>23828.890000000014</v>
      </c>
      <c r="I36" s="95"/>
      <c r="J36" s="175">
        <f>H36/DAY(B2)</f>
        <v>1083.1313636363643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'21'!F37</f>
        <v>323869</v>
      </c>
      <c r="F37" s="418">
        <v>325374</v>
      </c>
      <c r="G37" s="112">
        <f t="shared" si="3"/>
        <v>1505</v>
      </c>
      <c r="H37" s="99">
        <f>G37+'21'!H37</f>
        <v>2375.3099999999977</v>
      </c>
      <c r="I37" s="95"/>
      <c r="J37" s="175">
        <f>H37/DAY(B2)</f>
        <v>107.96863636363626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'21'!F38</f>
        <v>772147</v>
      </c>
      <c r="F38" s="108">
        <v>774720</v>
      </c>
      <c r="G38" s="112">
        <f t="shared" si="3"/>
        <v>2573</v>
      </c>
      <c r="H38" s="99">
        <f>G38+'21'!H38</f>
        <v>38867.609999999986</v>
      </c>
      <c r="I38" s="95"/>
      <c r="J38" s="175">
        <f>H38/DAY(B2)</f>
        <v>1766.7095454545449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'21'!F39</f>
        <v>592887</v>
      </c>
      <c r="F39" s="418">
        <v>595710</v>
      </c>
      <c r="G39" s="112">
        <f t="shared" si="3"/>
        <v>2823</v>
      </c>
      <c r="H39" s="99">
        <f>G39+'21'!H39</f>
        <v>4125.8100000000559</v>
      </c>
      <c r="I39" s="95"/>
      <c r="J39" s="175">
        <f>H39/DAY(B2)</f>
        <v>187.53681818182073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'21'!F40</f>
        <v>205472</v>
      </c>
      <c r="F40" s="145">
        <v>205903</v>
      </c>
      <c r="G40" s="112">
        <f t="shared" si="3"/>
        <v>431</v>
      </c>
      <c r="H40" s="99">
        <f>G40+'21'!H40</f>
        <v>9173.0299999999988</v>
      </c>
      <c r="I40" s="95"/>
      <c r="J40" s="175">
        <f>H40/DAY(B2)</f>
        <v>416.95590909090902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'21'!F41</f>
        <v>419778</v>
      </c>
      <c r="F41" s="145">
        <v>420212</v>
      </c>
      <c r="G41" s="112">
        <f t="shared" si="3"/>
        <v>434</v>
      </c>
      <c r="H41" s="99">
        <f>G41+'21'!H41</f>
        <v>1044.4099999999744</v>
      </c>
      <c r="I41" s="95"/>
      <c r="J41" s="175">
        <f>H41/DAY(B2)</f>
        <v>47.473181818180656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v>890810</v>
      </c>
      <c r="F42" s="145">
        <v>890810</v>
      </c>
      <c r="G42" s="112">
        <f t="shared" si="3"/>
        <v>0</v>
      </c>
      <c r="H42" s="99">
        <f>G42+'21'!H42</f>
        <v>19039.920000000042</v>
      </c>
      <c r="I42" s="95"/>
      <c r="J42" s="175">
        <f>H42/DAY(B2)</f>
        <v>865.45090909091095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'21'!F43</f>
        <v>422444</v>
      </c>
      <c r="F43" s="145">
        <v>422444</v>
      </c>
      <c r="G43" s="112">
        <f t="shared" si="3"/>
        <v>0</v>
      </c>
      <c r="H43" s="99">
        <f>G43+'21'!H43</f>
        <v>15416</v>
      </c>
      <c r="I43" s="95"/>
      <c r="J43" s="175">
        <f>H43/DAY(B2)</f>
        <v>700.72727272727275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'21'!F44</f>
        <v>0</v>
      </c>
      <c r="F44" s="145">
        <v>0</v>
      </c>
      <c r="G44" s="112">
        <f t="shared" si="3"/>
        <v>0</v>
      </c>
      <c r="H44" s="99">
        <f>G44+'21'!H44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'21'!F45</f>
        <v>0</v>
      </c>
      <c r="F45" s="145">
        <v>0</v>
      </c>
      <c r="G45" s="112">
        <f t="shared" si="3"/>
        <v>0</v>
      </c>
      <c r="H45" s="99">
        <f>G45+'21'!H45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'21'!F46</f>
        <v>0</v>
      </c>
      <c r="F46" s="145">
        <v>0</v>
      </c>
      <c r="G46" s="112">
        <f t="shared" si="3"/>
        <v>0</v>
      </c>
      <c r="H46" s="99">
        <f>G46+'21'!H46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11507</v>
      </c>
      <c r="H47" s="99">
        <f>G47+'21'!H47</f>
        <v>175176.07000000009</v>
      </c>
      <c r="I47" s="95"/>
      <c r="J47" s="175">
        <f>H47/DAY(B2)</f>
        <v>7962.548636363641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'21'!F49</f>
        <v>802880</v>
      </c>
      <c r="F49" s="145">
        <v>803225</v>
      </c>
      <c r="G49" s="112">
        <f t="shared" ref="G49:G58" si="4">F49-E49</f>
        <v>345</v>
      </c>
      <c r="H49" s="99">
        <f>G49+'21'!H49</f>
        <v>9602.0500000000466</v>
      </c>
      <c r="I49" s="95"/>
      <c r="J49" s="175">
        <f>H49/DAY(B2)</f>
        <v>436.45681818182032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'21'!F50</f>
        <v>488097</v>
      </c>
      <c r="F50" s="145">
        <v>489357</v>
      </c>
      <c r="G50" s="112">
        <f t="shared" si="4"/>
        <v>1260</v>
      </c>
      <c r="H50" s="99">
        <f>G50+'21'!H50</f>
        <v>32687.929999999993</v>
      </c>
      <c r="I50" s="95"/>
      <c r="J50" s="175">
        <f>H50/DAY(B2)</f>
        <v>1485.8149999999996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'21'!F51</f>
        <v>156958</v>
      </c>
      <c r="F51" s="145">
        <v>156958</v>
      </c>
      <c r="G51" s="112">
        <f t="shared" si="4"/>
        <v>0</v>
      </c>
      <c r="H51" s="99">
        <f>G51+'21'!H51</f>
        <v>21713.450000000012</v>
      </c>
      <c r="I51" s="95"/>
      <c r="J51" s="175">
        <f>H51/DAY(B2)</f>
        <v>986.97500000000048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'21'!F52</f>
        <v>9.76</v>
      </c>
      <c r="F52" s="145">
        <v>9.76</v>
      </c>
      <c r="G52" s="112">
        <f t="shared" si="4"/>
        <v>0</v>
      </c>
      <c r="H52" s="99">
        <f>G52+'21'!H52</f>
        <v>-0.24000000000000021</v>
      </c>
      <c r="I52" s="95"/>
      <c r="J52" s="175">
        <f>H52/DAY(B2)</f>
        <v>-1.0909090909090919E-2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'21'!F53</f>
        <v>630355</v>
      </c>
      <c r="F53" s="145">
        <v>630355</v>
      </c>
      <c r="G53" s="112">
        <f t="shared" si="4"/>
        <v>0</v>
      </c>
      <c r="H53" s="99">
        <f>G53+'21'!H53</f>
        <v>83813.729999999981</v>
      </c>
      <c r="I53" s="95"/>
      <c r="J53" s="175">
        <f>H53/DAY(B2)</f>
        <v>3809.7149999999992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'21'!F54</f>
        <v>111065</v>
      </c>
      <c r="F54" s="145">
        <v>111386</v>
      </c>
      <c r="G54" s="112">
        <f t="shared" si="4"/>
        <v>321</v>
      </c>
      <c r="H54" s="99">
        <f>G54+'21'!H54</f>
        <v>3722.8399999999965</v>
      </c>
      <c r="I54" s="95"/>
      <c r="J54" s="175">
        <f>H54/DAY(B2)</f>
        <v>169.21999999999983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'21'!F55</f>
        <v>576336</v>
      </c>
      <c r="F55" s="418">
        <v>576336</v>
      </c>
      <c r="G55" s="112">
        <f t="shared" si="4"/>
        <v>0</v>
      </c>
      <c r="H55" s="99">
        <f>G55+'21'!H55</f>
        <v>14851.329999999958</v>
      </c>
      <c r="I55" s="95"/>
      <c r="J55" s="175">
        <f>H55/DAY(B2)</f>
        <v>675.06045454545267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'21'!F56</f>
        <v>323952</v>
      </c>
      <c r="F56" s="418">
        <v>327218</v>
      </c>
      <c r="G56" s="112">
        <f>F56-E56</f>
        <v>3266</v>
      </c>
      <c r="H56" s="99">
        <f>G56+'21'!H56</f>
        <v>59102.989999999991</v>
      </c>
      <c r="I56" s="95"/>
      <c r="J56" s="175">
        <f>H56/DAY(B2)</f>
        <v>2686.4995454545451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v>605228</v>
      </c>
      <c r="F57" s="145">
        <v>607792</v>
      </c>
      <c r="G57" s="112">
        <f t="shared" si="4"/>
        <v>2564</v>
      </c>
      <c r="H57" s="99">
        <f>G57+'21'!H57</f>
        <v>44232.530000000028</v>
      </c>
      <c r="I57" s="95"/>
      <c r="J57" s="175">
        <f>H57/DAY(B2)</f>
        <v>2010.5695454545466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'21'!F58</f>
        <v>83654</v>
      </c>
      <c r="F58" s="145">
        <v>83926</v>
      </c>
      <c r="G58" s="112">
        <f t="shared" si="4"/>
        <v>272</v>
      </c>
      <c r="H58" s="99">
        <f>G58+'21'!H58</f>
        <v>5210.3099999999977</v>
      </c>
      <c r="I58" s="95"/>
      <c r="J58" s="175">
        <f>H58/DAY(B2)</f>
        <v>236.83227272727262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8028</v>
      </c>
      <c r="H59" s="99">
        <f>G59+'21'!H59</f>
        <v>274936.92</v>
      </c>
      <c r="I59" s="95">
        <f>G7-G60</f>
        <v>2912</v>
      </c>
      <c r="J59" s="175">
        <f>H59/DAY(B2)</f>
        <v>12497.132727272727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19535</v>
      </c>
      <c r="H60" s="99">
        <f>G60+'21'!H60</f>
        <v>450112.99000000022</v>
      </c>
      <c r="I60" s="95">
        <f>G13-G60</f>
        <v>2311</v>
      </c>
      <c r="J60" s="175">
        <f>H60/DAY(B2)</f>
        <v>20459.681363636373</v>
      </c>
      <c r="K60" s="79"/>
      <c r="L60" s="66"/>
      <c r="N60" s="87"/>
      <c r="O60" s="71"/>
    </row>
    <row r="61" spans="1:15" s="68" customFormat="1" ht="26.25">
      <c r="A61" s="883" t="s">
        <v>332</v>
      </c>
      <c r="B61" s="884"/>
      <c r="C61" s="88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64" t="s">
        <v>198</v>
      </c>
      <c r="B62" s="865"/>
      <c r="C62" s="866"/>
      <c r="D62" s="151" t="s">
        <v>142</v>
      </c>
      <c r="E62" s="95">
        <f>'21'!F62</f>
        <v>310818</v>
      </c>
      <c r="F62" s="122">
        <v>310971</v>
      </c>
      <c r="G62" s="112">
        <f t="shared" ref="G62:G63" si="5">F62-E62</f>
        <v>153</v>
      </c>
      <c r="H62" s="99">
        <f>G62+'21'!H62</f>
        <v>2657</v>
      </c>
      <c r="I62" s="118"/>
      <c r="J62" s="175">
        <f>H62/DAY(B2)</f>
        <v>120.77272727272727</v>
      </c>
      <c r="K62" s="80"/>
      <c r="L62" s="66"/>
      <c r="N62" s="87"/>
      <c r="O62" s="71"/>
    </row>
    <row r="63" spans="1:15" ht="25.5">
      <c r="A63" s="864" t="s">
        <v>199</v>
      </c>
      <c r="B63" s="865"/>
      <c r="C63" s="866"/>
      <c r="D63" s="151" t="s">
        <v>142</v>
      </c>
      <c r="E63" s="95">
        <f>'21'!F63</f>
        <v>248136</v>
      </c>
      <c r="F63" s="122">
        <v>248221</v>
      </c>
      <c r="G63" s="112">
        <f t="shared" si="5"/>
        <v>85</v>
      </c>
      <c r="H63" s="99">
        <f>G63+'21'!H63</f>
        <v>1292</v>
      </c>
      <c r="I63" s="118"/>
      <c r="J63" s="175">
        <f>H63/DAY(B2)</f>
        <v>58.727272727272727</v>
      </c>
      <c r="K63" s="69"/>
      <c r="L63" s="66"/>
      <c r="N63" s="87"/>
      <c r="O63" s="71"/>
    </row>
    <row r="64" spans="1:15" ht="26.25">
      <c r="A64" s="861" t="s">
        <v>200</v>
      </c>
      <c r="B64" s="862"/>
      <c r="C64" s="863"/>
      <c r="D64" s="151"/>
      <c r="E64" s="95">
        <f>'21'!F64</f>
        <v>0</v>
      </c>
      <c r="F64" s="122"/>
      <c r="G64" s="112">
        <f>G62+G63</f>
        <v>238</v>
      </c>
      <c r="H64" s="99">
        <f>G64+'21'!H64</f>
        <v>3949</v>
      </c>
      <c r="I64" s="118"/>
      <c r="J64" s="175">
        <f>H64/DAY(B2)</f>
        <v>179.5</v>
      </c>
      <c r="K64" s="69"/>
      <c r="L64" s="66"/>
      <c r="N64" s="87"/>
      <c r="O64" s="71"/>
    </row>
    <row r="65" spans="1:15" ht="25.5">
      <c r="A65" s="864" t="s">
        <v>201</v>
      </c>
      <c r="B65" s="865"/>
      <c r="C65" s="866"/>
      <c r="D65" s="151" t="s">
        <v>142</v>
      </c>
      <c r="E65" s="95">
        <f>'21'!F65</f>
        <v>470742</v>
      </c>
      <c r="F65" s="122">
        <v>470863</v>
      </c>
      <c r="G65" s="112">
        <f t="shared" ref="G65:G70" si="6">F65-E65</f>
        <v>121</v>
      </c>
      <c r="H65" s="99">
        <f>G65+'21'!H65</f>
        <v>2962</v>
      </c>
      <c r="I65" s="118"/>
      <c r="J65" s="175">
        <f>H65/DAY(B2)</f>
        <v>134.63636363636363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'21'!F66</f>
        <v>113409</v>
      </c>
      <c r="F66" s="122">
        <v>113427</v>
      </c>
      <c r="G66" s="112">
        <f t="shared" si="6"/>
        <v>18</v>
      </c>
      <c r="H66" s="99">
        <f>G66+'21'!H66</f>
        <v>55680</v>
      </c>
      <c r="I66" s="118"/>
      <c r="J66" s="175">
        <f>H66/DAY(B2)</f>
        <v>2530.909090909091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'21'!F67</f>
        <v>116297</v>
      </c>
      <c r="F67" s="122">
        <v>116320</v>
      </c>
      <c r="G67" s="112">
        <f t="shared" si="6"/>
        <v>23</v>
      </c>
      <c r="H67" s="99">
        <f>G67+'21'!H67</f>
        <v>465</v>
      </c>
      <c r="I67" s="118"/>
      <c r="J67" s="175">
        <f>H67/DAY(B2)</f>
        <v>21.136363636363637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'21'!F68</f>
        <v>169134</v>
      </c>
      <c r="F68" s="122">
        <v>169163</v>
      </c>
      <c r="G68" s="112">
        <f t="shared" si="6"/>
        <v>29</v>
      </c>
      <c r="H68" s="99">
        <f>G68+'21'!H68</f>
        <v>656</v>
      </c>
      <c r="I68" s="118"/>
      <c r="J68" s="175">
        <f>H68/DAY(B2)</f>
        <v>29.818181818181817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'21'!F69</f>
        <v>12923</v>
      </c>
      <c r="F69" s="122">
        <v>12927</v>
      </c>
      <c r="G69" s="112">
        <f t="shared" si="6"/>
        <v>4</v>
      </c>
      <c r="H69" s="99">
        <f>G69+'21'!H69</f>
        <v>117</v>
      </c>
      <c r="I69" s="118"/>
      <c r="J69" s="175">
        <f>H69/DAY(B2)</f>
        <v>5.3181818181818183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'21'!F70</f>
        <v>10931</v>
      </c>
      <c r="F70" s="122">
        <v>10941</v>
      </c>
      <c r="G70" s="112">
        <f t="shared" si="6"/>
        <v>10</v>
      </c>
      <c r="H70" s="99">
        <f>G70+'21'!H70</f>
        <v>162</v>
      </c>
      <c r="I70" s="118"/>
      <c r="J70" s="175">
        <f>H70/DAY(B2)</f>
        <v>7.3636363636363633</v>
      </c>
      <c r="K70" s="69"/>
      <c r="L70" s="66"/>
      <c r="N70" s="87"/>
      <c r="O70" s="71"/>
    </row>
    <row r="71" spans="1:15" ht="26.25">
      <c r="A71" s="861" t="s">
        <v>208</v>
      </c>
      <c r="B71" s="862"/>
      <c r="C71" s="863"/>
      <c r="D71" s="152"/>
      <c r="E71" s="152"/>
      <c r="F71" s="152"/>
      <c r="G71" s="153">
        <f>SUM(G65:G70)</f>
        <v>205</v>
      </c>
      <c r="H71" s="99">
        <f>G71+'21'!H71</f>
        <v>60042</v>
      </c>
      <c r="I71" s="154"/>
      <c r="J71" s="175">
        <f>H71/DAY(B2)</f>
        <v>2729.181818181818</v>
      </c>
      <c r="K71" s="69"/>
      <c r="L71" s="66"/>
      <c r="N71" s="87"/>
      <c r="O71" s="71"/>
    </row>
    <row r="72" spans="1:15" s="88" customFormat="1" ht="25.5">
      <c r="A72" s="904"/>
      <c r="B72" s="89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09" t="s">
        <v>333</v>
      </c>
      <c r="B73" s="910"/>
      <c r="C73" s="91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64" t="s">
        <v>220</v>
      </c>
      <c r="B74" s="865"/>
      <c r="C74" s="866"/>
      <c r="D74" s="151" t="s">
        <v>139</v>
      </c>
      <c r="E74" s="95">
        <f>'21'!F74</f>
        <v>999504</v>
      </c>
      <c r="F74" s="123">
        <v>999799</v>
      </c>
      <c r="G74" s="112">
        <f t="shared" ref="G74:G78" si="7">F74-E74</f>
        <v>295</v>
      </c>
      <c r="H74" s="99">
        <f>G74+'21'!H74</f>
        <v>6439.9699999999721</v>
      </c>
      <c r="I74" s="154"/>
      <c r="J74" s="175">
        <f>H74/DAY(B2)</f>
        <v>292.72590909090781</v>
      </c>
      <c r="K74" s="69"/>
      <c r="L74" s="66"/>
      <c r="N74" s="87"/>
      <c r="O74" s="71"/>
    </row>
    <row r="75" spans="1:15" ht="25.5">
      <c r="A75" s="864" t="s">
        <v>221</v>
      </c>
      <c r="B75" s="865"/>
      <c r="C75" s="866"/>
      <c r="D75" s="151" t="s">
        <v>139</v>
      </c>
      <c r="E75" s="95">
        <f>'21'!F75</f>
        <v>73586.8</v>
      </c>
      <c r="F75" s="123">
        <v>73586.8</v>
      </c>
      <c r="G75" s="112">
        <f t="shared" si="7"/>
        <v>0</v>
      </c>
      <c r="H75" s="99">
        <f>G75+'21'!H75</f>
        <v>0.80000000000291038</v>
      </c>
      <c r="I75" s="154"/>
      <c r="J75" s="175">
        <f>H75/DAY(B2)</f>
        <v>3.6363636363768652E-2</v>
      </c>
      <c r="K75" s="69"/>
      <c r="L75" s="66"/>
      <c r="N75" s="87"/>
      <c r="O75" s="71"/>
    </row>
    <row r="76" spans="1:15" ht="25.5">
      <c r="A76" s="905" t="s">
        <v>222</v>
      </c>
      <c r="B76" s="891"/>
      <c r="C76" s="892"/>
      <c r="D76" s="151" t="s">
        <v>139</v>
      </c>
      <c r="E76" s="95">
        <f>'21'!F76</f>
        <v>206320</v>
      </c>
      <c r="F76" s="123">
        <v>206419</v>
      </c>
      <c r="G76" s="112">
        <f t="shared" si="7"/>
        <v>99</v>
      </c>
      <c r="H76" s="99">
        <f>G76+'21'!H76</f>
        <v>2757</v>
      </c>
      <c r="I76" s="154"/>
      <c r="J76" s="175">
        <f>H76/DAY(B2)</f>
        <v>125.31818181818181</v>
      </c>
      <c r="K76" s="69"/>
      <c r="L76" s="66"/>
      <c r="N76" s="87"/>
      <c r="O76" s="71"/>
    </row>
    <row r="77" spans="1:15" ht="25.5">
      <c r="A77" s="905" t="s">
        <v>223</v>
      </c>
      <c r="B77" s="891"/>
      <c r="C77" s="892"/>
      <c r="D77" s="151" t="s">
        <v>139</v>
      </c>
      <c r="E77" s="95">
        <f>'21'!F77</f>
        <v>57636</v>
      </c>
      <c r="F77" s="123">
        <v>57689</v>
      </c>
      <c r="G77" s="112">
        <f t="shared" si="7"/>
        <v>53</v>
      </c>
      <c r="H77" s="99">
        <f>G77+'21'!H77</f>
        <v>1167</v>
      </c>
      <c r="I77" s="154"/>
      <c r="J77" s="175">
        <f>H77/DAY(B2)</f>
        <v>53.045454545454547</v>
      </c>
      <c r="K77" s="69"/>
      <c r="L77" s="66"/>
      <c r="N77" s="87"/>
      <c r="O77" s="71"/>
    </row>
    <row r="78" spans="1:15" ht="25.5">
      <c r="A78" s="905" t="s">
        <v>224</v>
      </c>
      <c r="B78" s="891"/>
      <c r="C78" s="892"/>
      <c r="D78" s="151" t="s">
        <v>139</v>
      </c>
      <c r="E78" s="95">
        <f>'21'!F78</f>
        <v>9564</v>
      </c>
      <c r="F78" s="123">
        <v>9564</v>
      </c>
      <c r="G78" s="112">
        <f t="shared" si="7"/>
        <v>0</v>
      </c>
      <c r="H78" s="99">
        <f>G78+'21'!H78</f>
        <v>-0.3999999999996362</v>
      </c>
      <c r="I78" s="118"/>
      <c r="J78" s="175">
        <f>H78/DAY(B2)</f>
        <v>-1.8181818181801646E-2</v>
      </c>
      <c r="K78" s="69"/>
      <c r="L78" s="66"/>
      <c r="N78" s="87"/>
      <c r="O78" s="71"/>
    </row>
    <row r="79" spans="1:15" s="57" customFormat="1" ht="25.5">
      <c r="A79" s="905" t="s">
        <v>225</v>
      </c>
      <c r="B79" s="891"/>
      <c r="C79" s="892"/>
      <c r="D79" s="151"/>
      <c r="E79" s="95">
        <f>'21'!F79</f>
        <v>0</v>
      </c>
      <c r="F79" s="123"/>
      <c r="G79" s="112">
        <f>G15-SUM(G74:G78)</f>
        <v>660</v>
      </c>
      <c r="H79" s="99">
        <f>G79+'21'!H79</f>
        <v>13577.630000000025</v>
      </c>
      <c r="I79" s="118"/>
      <c r="J79" s="175"/>
      <c r="K79" s="59"/>
      <c r="L79" s="58"/>
      <c r="N79" s="87"/>
      <c r="O79" s="71"/>
    </row>
    <row r="80" spans="1:15" s="57" customFormat="1" ht="26.25">
      <c r="A80" s="861" t="s">
        <v>329</v>
      </c>
      <c r="B80" s="862"/>
      <c r="C80" s="863"/>
      <c r="D80" s="151"/>
      <c r="E80" s="117"/>
      <c r="F80" s="117"/>
      <c r="G80" s="112">
        <f>SUM(G74:G79)</f>
        <v>1107</v>
      </c>
      <c r="H80" s="99"/>
      <c r="I80" s="118"/>
      <c r="J80" s="175"/>
      <c r="K80" s="59"/>
      <c r="L80" s="58"/>
      <c r="N80" s="87"/>
      <c r="O80" s="71"/>
    </row>
    <row r="81" spans="1:15" ht="25.5">
      <c r="A81" s="897" t="s">
        <v>226</v>
      </c>
      <c r="B81" s="898"/>
      <c r="C81" s="89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'21'!F82</f>
        <v>0</v>
      </c>
      <c r="F82" s="122">
        <v>0</v>
      </c>
      <c r="G82" s="112">
        <f t="shared" ref="G82:G92" si="8">F82-E82</f>
        <v>0</v>
      </c>
      <c r="H82" s="99">
        <f>G82+'21'!H82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'21'!F83</f>
        <v>0</v>
      </c>
      <c r="F83" s="122">
        <v>0</v>
      </c>
      <c r="G83" s="112">
        <f t="shared" si="8"/>
        <v>0</v>
      </c>
      <c r="H83" s="99">
        <f>G83+'21'!H83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'21'!F84</f>
        <v>43543</v>
      </c>
      <c r="F84" s="164">
        <v>43546</v>
      </c>
      <c r="G84" s="112">
        <f t="shared" si="8"/>
        <v>3</v>
      </c>
      <c r="H84" s="99">
        <f>G84+'21'!H84</f>
        <v>2005.7900000000009</v>
      </c>
      <c r="I84" s="545"/>
      <c r="J84" s="175">
        <f>H84/DAY(B2)</f>
        <v>91.17227272727277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'21'!F85</f>
        <v>5768</v>
      </c>
      <c r="F85" s="164">
        <v>5768</v>
      </c>
      <c r="G85" s="112">
        <f t="shared" si="8"/>
        <v>0</v>
      </c>
      <c r="H85" s="99">
        <f>G85+'21'!H85</f>
        <v>84</v>
      </c>
      <c r="I85" s="545"/>
      <c r="J85" s="175">
        <f>H85/DAY(B2)</f>
        <v>3.8181818181818183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'21'!F86</f>
        <v>46834</v>
      </c>
      <c r="F86" s="164">
        <v>46834</v>
      </c>
      <c r="G86" s="112">
        <f t="shared" si="8"/>
        <v>0</v>
      </c>
      <c r="H86" s="99">
        <f>G86+'21'!H86</f>
        <v>80.069999999999709</v>
      </c>
      <c r="I86" s="545"/>
      <c r="J86" s="175">
        <f>H86/DAY(B2)</f>
        <v>3.6395454545454413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'21'!F87</f>
        <v>36936</v>
      </c>
      <c r="F87" s="164">
        <v>36960</v>
      </c>
      <c r="G87" s="112">
        <f t="shared" si="8"/>
        <v>24</v>
      </c>
      <c r="H87" s="99">
        <f>G87+'21'!H87</f>
        <v>409.79000000000087</v>
      </c>
      <c r="I87" s="545">
        <f>G84+G85+G86+G87</f>
        <v>27</v>
      </c>
      <c r="J87" s="175">
        <f>H87/DAY(B2)</f>
        <v>18.626818181818223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'21'!F88</f>
        <v>24522.59</v>
      </c>
      <c r="F88" s="164">
        <v>24533.48</v>
      </c>
      <c r="G88" s="112">
        <f t="shared" si="8"/>
        <v>10.889999999999418</v>
      </c>
      <c r="H88" s="99">
        <f>G88+'21'!H88</f>
        <v>21.680000000000291</v>
      </c>
      <c r="I88" s="545"/>
      <c r="J88" s="175">
        <f>H88/DAY(B2)</f>
        <v>0.98545454545455868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'21'!F89</f>
        <v>28706.5</v>
      </c>
      <c r="F89" s="164">
        <v>28707</v>
      </c>
      <c r="G89" s="112">
        <f t="shared" si="8"/>
        <v>0.5</v>
      </c>
      <c r="H89" s="99">
        <f>G89+'21'!H89</f>
        <v>205.29999999999927</v>
      </c>
      <c r="I89" s="545">
        <f>G88+G89</f>
        <v>11.389999999999418</v>
      </c>
      <c r="J89" s="175">
        <f>H89/DAY(B2)</f>
        <v>9.3318181818181483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'21'!F90</f>
        <v>74101</v>
      </c>
      <c r="F90" s="164">
        <v>74111</v>
      </c>
      <c r="G90" s="112">
        <f t="shared" si="8"/>
        <v>10</v>
      </c>
      <c r="H90" s="99">
        <f>G90+'21'!H90</f>
        <v>250.39999999999418</v>
      </c>
      <c r="I90" s="545">
        <f>G90</f>
        <v>10</v>
      </c>
      <c r="J90" s="175">
        <f>H90/DAY(B2)</f>
        <v>11.381818181817918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'21'!F91</f>
        <v>5554</v>
      </c>
      <c r="F91" s="122">
        <v>5565.57</v>
      </c>
      <c r="G91" s="112">
        <f t="shared" si="8"/>
        <v>11.569999999999709</v>
      </c>
      <c r="H91" s="99">
        <f>G91+'21'!H91</f>
        <v>212.79999999999927</v>
      </c>
      <c r="I91" s="546"/>
      <c r="J91" s="175">
        <f>H91/DAY(B2)</f>
        <v>9.67272727272724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'21'!F92</f>
        <v>7031.67</v>
      </c>
      <c r="F92" s="122">
        <v>7031.67</v>
      </c>
      <c r="G92" s="112">
        <f t="shared" si="8"/>
        <v>0</v>
      </c>
      <c r="H92" s="99">
        <f>G92+'21'!H92</f>
        <v>31.670000000000073</v>
      </c>
      <c r="I92" s="547">
        <f>G91+G92</f>
        <v>11.569999999999709</v>
      </c>
      <c r="J92" s="175">
        <f>H92/DAY(B2)</f>
        <v>1.4395454545454578</v>
      </c>
      <c r="O92" s="71"/>
    </row>
    <row r="93" spans="1:15" ht="26.25">
      <c r="A93" s="906" t="s">
        <v>239</v>
      </c>
      <c r="B93" s="907"/>
      <c r="C93" s="90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64" t="s">
        <v>240</v>
      </c>
      <c r="B94" s="865"/>
      <c r="C94" s="866"/>
      <c r="D94" s="151" t="s">
        <v>130</v>
      </c>
      <c r="E94" s="151"/>
      <c r="F94" s="151"/>
      <c r="G94" s="99">
        <f>G35+G43+G49+G57</f>
        <v>5634</v>
      </c>
      <c r="H94" s="99">
        <f>G94+'21'!H94</f>
        <v>130555.6700000001</v>
      </c>
      <c r="I94" s="118"/>
      <c r="J94" s="175">
        <f>H94/DAY(B2)</f>
        <v>5934.3486363636412</v>
      </c>
      <c r="K94" s="69"/>
      <c r="L94" s="66"/>
      <c r="O94" s="71"/>
    </row>
    <row r="95" spans="1:15" ht="25.5">
      <c r="A95" s="864" t="s">
        <v>241</v>
      </c>
      <c r="B95" s="865"/>
      <c r="C95" s="866"/>
      <c r="D95" s="151" t="s">
        <v>23</v>
      </c>
      <c r="E95" s="146"/>
      <c r="F95" s="146"/>
      <c r="G95" s="166">
        <f>G94/G7</f>
        <v>0.25099122377155075</v>
      </c>
      <c r="H95" s="99">
        <f>G95+'21'!H95</f>
        <v>5.6254663170736583</v>
      </c>
      <c r="I95" s="167"/>
      <c r="J95" s="175">
        <f>H95/DAY(B2)</f>
        <v>0.25570301441243903</v>
      </c>
      <c r="K95" s="69"/>
      <c r="L95" s="66"/>
      <c r="O95" s="71"/>
    </row>
    <row r="96" spans="1:15" ht="25.5">
      <c r="A96" s="864" t="s">
        <v>242</v>
      </c>
      <c r="B96" s="865"/>
      <c r="C96" s="866"/>
      <c r="D96" s="151" t="s">
        <v>130</v>
      </c>
      <c r="E96" s="95"/>
      <c r="F96" s="95"/>
      <c r="G96" s="99">
        <f>G41+G42+G55+G56</f>
        <v>3700</v>
      </c>
      <c r="H96" s="99">
        <f>G96+'21'!H96</f>
        <v>94038.649999999965</v>
      </c>
      <c r="I96" s="118"/>
      <c r="J96" s="175">
        <f>H96/DAY(B2)</f>
        <v>4274.484090909089</v>
      </c>
      <c r="K96" s="69"/>
      <c r="L96" s="66"/>
      <c r="O96" s="71"/>
    </row>
    <row r="97" spans="1:15" ht="25.5">
      <c r="A97" s="864" t="s">
        <v>243</v>
      </c>
      <c r="B97" s="865"/>
      <c r="C97" s="866"/>
      <c r="D97" s="151" t="s">
        <v>23</v>
      </c>
      <c r="E97" s="95"/>
      <c r="F97" s="95"/>
      <c r="G97" s="166">
        <f>G96/G7</f>
        <v>0.16483271706686861</v>
      </c>
      <c r="H97" s="99">
        <f>G97+'21'!H97</f>
        <v>4.019393241823364</v>
      </c>
      <c r="I97" s="167"/>
      <c r="J97" s="175">
        <f>H97/DAY(B2)</f>
        <v>0.18269969281015291</v>
      </c>
      <c r="K97" s="69"/>
      <c r="L97" s="66"/>
      <c r="O97" s="71"/>
    </row>
    <row r="98" spans="1:15" ht="25.5">
      <c r="A98" s="864" t="s">
        <v>244</v>
      </c>
      <c r="B98" s="865"/>
      <c r="C98" s="866"/>
      <c r="D98" s="151" t="s">
        <v>130</v>
      </c>
      <c r="E98" s="95"/>
      <c r="F98" s="95"/>
      <c r="G98" s="99">
        <f>G39+G53</f>
        <v>2823</v>
      </c>
      <c r="H98" s="99">
        <f>G98+'21'!H98</f>
        <v>87939.540000000037</v>
      </c>
      <c r="I98" s="168"/>
      <c r="J98" s="175">
        <f>H98/DAY(B2)</f>
        <v>3997.25181818182</v>
      </c>
      <c r="K98" s="69"/>
      <c r="L98" s="66"/>
      <c r="O98" s="71"/>
    </row>
    <row r="99" spans="1:15" ht="25.5">
      <c r="A99" s="864" t="s">
        <v>245</v>
      </c>
      <c r="B99" s="865"/>
      <c r="C99" s="866"/>
      <c r="D99" s="151" t="s">
        <v>23</v>
      </c>
      <c r="E99" s="95"/>
      <c r="F99" s="95"/>
      <c r="G99" s="166">
        <f>G98/G7</f>
        <v>0.12576290818372166</v>
      </c>
      <c r="H99" s="99">
        <f>G99+'21'!H99</f>
        <v>3.7955488557047423</v>
      </c>
      <c r="I99" s="168"/>
      <c r="J99" s="175">
        <f>H99/DAY(B2)</f>
        <v>0.17252494798657919</v>
      </c>
      <c r="O99" s="71"/>
    </row>
    <row r="100" spans="1:15" ht="26.25">
      <c r="A100" s="864" t="s">
        <v>246</v>
      </c>
      <c r="B100" s="865"/>
      <c r="C100" s="866"/>
      <c r="D100" s="151" t="s">
        <v>180</v>
      </c>
      <c r="E100" s="95"/>
      <c r="F100" s="95"/>
      <c r="G100" s="99">
        <f>G38+G52</f>
        <v>2573</v>
      </c>
      <c r="H100" s="99">
        <f>G100+'21'!H100</f>
        <v>38867.369999999988</v>
      </c>
      <c r="I100" s="118"/>
      <c r="J100" s="175">
        <f>H100/DAY(B2)</f>
        <v>1766.6986363636358</v>
      </c>
      <c r="K100" s="70"/>
      <c r="O100" s="71"/>
    </row>
    <row r="101" spans="1:15" ht="25.5">
      <c r="A101" s="864" t="s">
        <v>247</v>
      </c>
      <c r="B101" s="865"/>
      <c r="C101" s="866"/>
      <c r="D101" s="151" t="s">
        <v>23</v>
      </c>
      <c r="E101" s="95"/>
      <c r="F101" s="95"/>
      <c r="G101" s="166">
        <f>G100/G7</f>
        <v>0.11462556243596027</v>
      </c>
      <c r="H101" s="99">
        <f>G101+'21'!H101</f>
        <v>1.6951283226996099</v>
      </c>
      <c r="I101" s="168"/>
      <c r="J101" s="175">
        <f>H101/DAY(B2)</f>
        <v>7.7051287395436818E-2</v>
      </c>
      <c r="O101" s="71"/>
    </row>
    <row r="102" spans="1:15" ht="25.5">
      <c r="A102" s="864" t="s">
        <v>248</v>
      </c>
      <c r="B102" s="865"/>
      <c r="C102" s="866"/>
      <c r="D102" s="151" t="s">
        <v>180</v>
      </c>
      <c r="E102" s="95"/>
      <c r="F102" s="95"/>
      <c r="G102" s="99">
        <f>G36+G50</f>
        <v>2276</v>
      </c>
      <c r="H102" s="99">
        <f>G102+'21'!H102</f>
        <v>56516.820000000007</v>
      </c>
      <c r="I102" s="168"/>
      <c r="J102" s="175">
        <f>H102/DAY(B2)</f>
        <v>2568.9463636363639</v>
      </c>
      <c r="O102" s="71"/>
    </row>
    <row r="103" spans="1:15" ht="25.5">
      <c r="A103" s="864" t="s">
        <v>249</v>
      </c>
      <c r="B103" s="865"/>
      <c r="C103" s="866"/>
      <c r="D103" s="151" t="s">
        <v>23</v>
      </c>
      <c r="E103" s="95"/>
      <c r="F103" s="95"/>
      <c r="G103" s="166">
        <f>G102/G7</f>
        <v>0.10139439568761972</v>
      </c>
      <c r="H103" s="99">
        <f>G103+'21'!H103</f>
        <v>2.4357067018368896</v>
      </c>
      <c r="I103" s="118"/>
      <c r="J103" s="175">
        <f>H103/DAY(B2)</f>
        <v>0.1107139409925859</v>
      </c>
      <c r="O103" s="71"/>
    </row>
    <row r="104" spans="1:15" ht="25.5">
      <c r="A104" s="864" t="s">
        <v>250</v>
      </c>
      <c r="B104" s="865"/>
      <c r="C104" s="866"/>
      <c r="D104" s="151" t="s">
        <v>180</v>
      </c>
      <c r="E104" s="95"/>
      <c r="F104" s="95"/>
      <c r="G104" s="99">
        <f>G37+G51</f>
        <v>1505</v>
      </c>
      <c r="H104" s="99">
        <f>G104+'21'!H104</f>
        <v>24088.760000000009</v>
      </c>
      <c r="I104" s="118"/>
      <c r="J104" s="175">
        <f>H104/DAY(B2)</f>
        <v>1094.9436363636369</v>
      </c>
      <c r="O104" s="71"/>
    </row>
    <row r="105" spans="1:15" ht="26.25" thickBot="1">
      <c r="A105" s="901" t="s">
        <v>251</v>
      </c>
      <c r="B105" s="902"/>
      <c r="C105" s="903"/>
      <c r="D105" s="231" t="s">
        <v>23</v>
      </c>
      <c r="E105" s="185"/>
      <c r="F105" s="185"/>
      <c r="G105" s="186">
        <f>G104/G7</f>
        <v>6.7046821401523585E-2</v>
      </c>
      <c r="H105" s="99">
        <f>G105+'21'!H105</f>
        <v>1.0417063822228412</v>
      </c>
      <c r="I105" s="187"/>
      <c r="J105" s="188">
        <f>H105/DAY(B2)</f>
        <v>4.7350290101038237E-2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15" t="s">
        <v>324</v>
      </c>
      <c r="B108" s="915"/>
      <c r="C108" s="915"/>
      <c r="D108" s="915"/>
      <c r="E108" s="915"/>
      <c r="F108" s="915"/>
      <c r="G108" s="915"/>
      <c r="H108" s="915"/>
      <c r="I108" s="915"/>
      <c r="J108" s="915"/>
    </row>
    <row r="109" spans="1:15" ht="26.25">
      <c r="A109" s="900"/>
      <c r="B109" s="900"/>
    </row>
    <row r="110" spans="1:15" ht="26.25">
      <c r="A110" s="916" t="s">
        <v>165</v>
      </c>
      <c r="B110" s="917"/>
      <c r="C110" s="917"/>
      <c r="D110" s="917"/>
      <c r="E110" s="917"/>
      <c r="F110" s="917"/>
      <c r="G110" s="917"/>
      <c r="H110" s="917"/>
      <c r="I110" s="917"/>
      <c r="J110" s="918"/>
    </row>
    <row r="111" spans="1:15" ht="25.5">
      <c r="A111" s="919"/>
      <c r="B111" s="920"/>
      <c r="C111" s="921"/>
      <c r="D111" s="165"/>
      <c r="E111" s="165"/>
      <c r="F111" s="165"/>
      <c r="G111" s="165"/>
      <c r="H111" s="156"/>
      <c r="I111" s="165"/>
      <c r="J111" s="327"/>
    </row>
    <row r="112" spans="1:15" ht="25.5">
      <c r="A112" s="894" t="s">
        <v>252</v>
      </c>
      <c r="B112" s="895"/>
      <c r="C112" s="896"/>
      <c r="D112" s="146" t="s">
        <v>183</v>
      </c>
      <c r="E112" s="95">
        <f>'21'!F112</f>
        <v>16905</v>
      </c>
      <c r="F112" s="237">
        <v>16967</v>
      </c>
      <c r="G112" s="112">
        <f t="shared" ref="G112:G123" si="9">F112-E112</f>
        <v>62</v>
      </c>
      <c r="H112" s="99">
        <f>G112+'21'!H112</f>
        <v>1353.2000000000007</v>
      </c>
      <c r="I112" s="165"/>
      <c r="J112" s="328">
        <f>H112/DAY(B2)</f>
        <v>61.509090909090943</v>
      </c>
    </row>
    <row r="113" spans="1:18" ht="29.25" customHeight="1">
      <c r="A113" s="894" t="s">
        <v>253</v>
      </c>
      <c r="B113" s="895"/>
      <c r="C113" s="896"/>
      <c r="D113" s="146" t="s">
        <v>183</v>
      </c>
      <c r="E113" s="95">
        <f>'21'!F113</f>
        <v>35563</v>
      </c>
      <c r="F113" s="237">
        <v>35719</v>
      </c>
      <c r="G113" s="112">
        <f t="shared" si="9"/>
        <v>156</v>
      </c>
      <c r="H113" s="99">
        <f>G113+'21'!H113</f>
        <v>3268.3300000000017</v>
      </c>
      <c r="I113" s="165"/>
      <c r="J113" s="328">
        <f>H113/DAY(B2)</f>
        <v>148.56045454545463</v>
      </c>
    </row>
    <row r="114" spans="1:18" ht="29.25" customHeight="1">
      <c r="A114" s="894" t="s">
        <v>254</v>
      </c>
      <c r="B114" s="895"/>
      <c r="C114" s="896"/>
      <c r="D114" s="146" t="s">
        <v>183</v>
      </c>
      <c r="E114" s="95">
        <f>'21'!F114</f>
        <v>52288</v>
      </c>
      <c r="F114" s="237">
        <v>52491</v>
      </c>
      <c r="G114" s="112">
        <f t="shared" si="9"/>
        <v>203</v>
      </c>
      <c r="H114" s="99">
        <f>G114+'21'!H114</f>
        <v>4524.6999999999971</v>
      </c>
      <c r="I114" s="165"/>
      <c r="J114" s="328">
        <f>H114/DAY(B2)</f>
        <v>205.66818181818169</v>
      </c>
    </row>
    <row r="115" spans="1:18" ht="29.25" customHeight="1">
      <c r="A115" s="894" t="s">
        <v>255</v>
      </c>
      <c r="B115" s="895"/>
      <c r="C115" s="896"/>
      <c r="D115" s="146" t="s">
        <v>183</v>
      </c>
      <c r="E115" s="95">
        <f>'21'!F115</f>
        <v>33575</v>
      </c>
      <c r="F115" s="237">
        <v>33737</v>
      </c>
      <c r="G115" s="112">
        <f t="shared" si="9"/>
        <v>162</v>
      </c>
      <c r="H115" s="99">
        <f>G115+'21'!H115</f>
        <v>3300.5999999999985</v>
      </c>
      <c r="I115" s="165"/>
      <c r="J115" s="328">
        <f>H115/DAY(B2)</f>
        <v>150.02727272727267</v>
      </c>
    </row>
    <row r="116" spans="1:18" ht="29.25" customHeight="1">
      <c r="A116" s="912" t="s">
        <v>96</v>
      </c>
      <c r="B116" s="913"/>
      <c r="C116" s="914"/>
      <c r="D116" s="146" t="s">
        <v>183</v>
      </c>
      <c r="E116" s="95">
        <f>'21'!F116</f>
        <v>130541</v>
      </c>
      <c r="F116" s="237">
        <v>130906</v>
      </c>
      <c r="G116" s="112">
        <f t="shared" si="9"/>
        <v>365</v>
      </c>
      <c r="H116" s="99">
        <f>G116+'21'!H116</f>
        <v>8045.8000000000029</v>
      </c>
      <c r="I116" s="165"/>
      <c r="J116" s="328">
        <f>H116/DAY(B2)</f>
        <v>365.71818181818196</v>
      </c>
      <c r="Q116" s="894"/>
      <c r="R116" s="896"/>
    </row>
    <row r="117" spans="1:18" ht="29.25" customHeight="1">
      <c r="A117" s="912" t="s">
        <v>184</v>
      </c>
      <c r="B117" s="913"/>
      <c r="C117" s="914"/>
      <c r="D117" s="146" t="s">
        <v>183</v>
      </c>
      <c r="E117" s="95">
        <f>'21'!F117</f>
        <v>79497</v>
      </c>
      <c r="F117" s="237">
        <v>79838</v>
      </c>
      <c r="G117" s="112">
        <f t="shared" si="9"/>
        <v>341</v>
      </c>
      <c r="H117" s="99">
        <f>G117+'21'!H117</f>
        <v>5856.8000000000029</v>
      </c>
      <c r="I117" s="165"/>
      <c r="J117" s="328">
        <f>H117/DAY(B2)</f>
        <v>266.21818181818196</v>
      </c>
      <c r="Q117" s="894"/>
      <c r="R117" s="896"/>
    </row>
    <row r="118" spans="1:18" ht="25.5">
      <c r="A118" s="889" t="s">
        <v>97</v>
      </c>
      <c r="B118" s="889"/>
      <c r="C118" s="889"/>
      <c r="D118" s="151" t="s">
        <v>183</v>
      </c>
      <c r="E118" s="95">
        <f>'21'!F118</f>
        <v>152077</v>
      </c>
      <c r="F118" s="237">
        <v>152749</v>
      </c>
      <c r="G118" s="112">
        <f t="shared" si="9"/>
        <v>672</v>
      </c>
      <c r="H118" s="99">
        <f>G118+'21'!H118</f>
        <v>13936.549999999988</v>
      </c>
      <c r="I118" s="165"/>
      <c r="J118" s="328">
        <f>H118/DAY(B2)</f>
        <v>633.4795454545449</v>
      </c>
      <c r="Q118" s="894"/>
      <c r="R118" s="896"/>
    </row>
    <row r="119" spans="1:18" ht="25.5">
      <c r="A119" s="889" t="s">
        <v>98</v>
      </c>
      <c r="B119" s="889"/>
      <c r="C119" s="889"/>
      <c r="D119" s="151" t="s">
        <v>183</v>
      </c>
      <c r="E119" s="95">
        <f>'21'!F119</f>
        <v>43637</v>
      </c>
      <c r="F119" s="237">
        <v>43661</v>
      </c>
      <c r="G119" s="112">
        <f t="shared" si="9"/>
        <v>24</v>
      </c>
      <c r="H119" s="99">
        <f>G119+'21'!H119</f>
        <v>307.30000000000291</v>
      </c>
      <c r="I119" s="165"/>
      <c r="J119" s="328">
        <f>H119/DAY(B2)</f>
        <v>13.96818181818195</v>
      </c>
    </row>
    <row r="120" spans="1:18" ht="25.5">
      <c r="A120" s="889" t="s">
        <v>99</v>
      </c>
      <c r="B120" s="889"/>
      <c r="C120" s="889"/>
      <c r="D120" s="151" t="s">
        <v>183</v>
      </c>
      <c r="E120" s="95">
        <f>'21'!F120</f>
        <v>104381</v>
      </c>
      <c r="F120" s="237">
        <v>104786</v>
      </c>
      <c r="G120" s="112">
        <f t="shared" si="9"/>
        <v>405</v>
      </c>
      <c r="H120" s="99">
        <f>G120+'21'!H120</f>
        <v>9078.3999999999942</v>
      </c>
      <c r="I120" s="165"/>
      <c r="J120" s="328">
        <f>H120/DAY(B2)</f>
        <v>412.6545454545452</v>
      </c>
    </row>
    <row r="121" spans="1:18" ht="25.5">
      <c r="A121" s="889" t="s">
        <v>100</v>
      </c>
      <c r="B121" s="889"/>
      <c r="C121" s="889"/>
      <c r="D121" s="151" t="s">
        <v>183</v>
      </c>
      <c r="E121" s="95">
        <f>'21'!F121</f>
        <v>116900</v>
      </c>
      <c r="F121" s="237">
        <v>117354</v>
      </c>
      <c r="G121" s="112">
        <f t="shared" si="9"/>
        <v>454</v>
      </c>
      <c r="H121" s="99">
        <f>G121+'21'!H121</f>
        <v>9524.9499999999971</v>
      </c>
      <c r="I121" s="165"/>
      <c r="J121" s="328">
        <f>H121/DAY(B2)</f>
        <v>432.9522727272726</v>
      </c>
    </row>
    <row r="122" spans="1:18" ht="25.5">
      <c r="A122" s="889" t="s">
        <v>101</v>
      </c>
      <c r="B122" s="889"/>
      <c r="C122" s="889"/>
      <c r="D122" s="151" t="s">
        <v>183</v>
      </c>
      <c r="E122" s="95">
        <f>'21'!F122</f>
        <v>78246</v>
      </c>
      <c r="F122" s="237">
        <v>78560</v>
      </c>
      <c r="G122" s="112">
        <f t="shared" si="9"/>
        <v>314</v>
      </c>
      <c r="H122" s="99">
        <f>G122+'21'!H122</f>
        <v>7522.1000000000058</v>
      </c>
      <c r="I122" s="165"/>
      <c r="J122" s="328">
        <f>H122/DAY(B2)</f>
        <v>341.91363636363661</v>
      </c>
    </row>
    <row r="123" spans="1:18" ht="25.5">
      <c r="A123" s="889" t="s">
        <v>102</v>
      </c>
      <c r="B123" s="889"/>
      <c r="C123" s="889"/>
      <c r="D123" s="151" t="s">
        <v>183</v>
      </c>
      <c r="E123" s="95">
        <f>'21'!F123</f>
        <v>74863</v>
      </c>
      <c r="F123" s="237">
        <v>75176</v>
      </c>
      <c r="G123" s="112">
        <f t="shared" si="9"/>
        <v>313</v>
      </c>
      <c r="H123" s="99">
        <f>G123+'21'!H123</f>
        <v>6818.6999999999971</v>
      </c>
      <c r="I123" s="165"/>
      <c r="J123" s="328">
        <f>H123/DAY(B2)</f>
        <v>309.94090909090897</v>
      </c>
    </row>
    <row r="124" spans="1:18" ht="29.25" customHeight="1">
      <c r="A124" s="919"/>
      <c r="B124" s="920"/>
      <c r="C124" s="921"/>
      <c r="D124" s="165"/>
      <c r="E124" s="95">
        <f>'21'!F124</f>
        <v>0</v>
      </c>
      <c r="F124" s="165"/>
      <c r="G124" s="327"/>
      <c r="H124" s="99">
        <f>G124+'21'!H124</f>
        <v>0</v>
      </c>
      <c r="I124" s="165"/>
      <c r="J124" s="327"/>
    </row>
    <row r="125" spans="1:18" ht="25.5">
      <c r="A125" s="853" t="s">
        <v>196</v>
      </c>
      <c r="B125" s="854"/>
      <c r="C125" s="245"/>
      <c r="D125" s="307"/>
      <c r="E125" s="308"/>
      <c r="F125" s="308"/>
      <c r="G125" s="309">
        <f>SUM(G112:G124)</f>
        <v>3471</v>
      </c>
      <c r="H125" s="156"/>
      <c r="I125" s="327">
        <f>G125-(G39+G53)</f>
        <v>648</v>
      </c>
      <c r="J125" s="327"/>
    </row>
    <row r="126" spans="1:18" ht="25.5">
      <c r="A126" s="922" t="s">
        <v>317</v>
      </c>
      <c r="B126" s="922"/>
      <c r="C126" s="922"/>
      <c r="D126" s="922"/>
      <c r="E126" s="922"/>
      <c r="F126" s="922"/>
      <c r="G126" s="922"/>
      <c r="H126" s="922"/>
      <c r="I126" s="922"/>
      <c r="J126" s="922"/>
    </row>
    <row r="127" spans="1:18" ht="25.5">
      <c r="A127" s="923"/>
      <c r="B127" s="923"/>
      <c r="C127" s="245"/>
      <c r="D127" s="307"/>
      <c r="E127" s="308"/>
      <c r="F127" s="308"/>
      <c r="G127" s="309"/>
      <c r="H127" s="99">
        <f>G127+'21'!H127</f>
        <v>0</v>
      </c>
      <c r="I127" s="165"/>
      <c r="J127" s="328">
        <f>H127/DAY(B2)</f>
        <v>0</v>
      </c>
    </row>
    <row r="128" spans="1:18" ht="29.25" customHeight="1">
      <c r="A128" s="894" t="s">
        <v>318</v>
      </c>
      <c r="B128" s="895"/>
      <c r="C128" s="896"/>
      <c r="D128" s="151" t="s">
        <v>183</v>
      </c>
      <c r="E128" s="95">
        <f>'21'!F128</f>
        <v>187500</v>
      </c>
      <c r="F128" s="165">
        <v>187958</v>
      </c>
      <c r="G128" s="112">
        <f t="shared" ref="G128:G134" si="10">F128-E128</f>
        <v>458</v>
      </c>
      <c r="H128" s="99">
        <f>G128+'21'!H128</f>
        <v>8546.1499999999942</v>
      </c>
      <c r="I128" s="165"/>
      <c r="J128" s="328">
        <f>H128/DAY(B2)</f>
        <v>388.46136363636339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'21'!F129</f>
        <v>99680</v>
      </c>
      <c r="F129" s="165">
        <v>99845</v>
      </c>
      <c r="G129" s="112">
        <f t="shared" si="10"/>
        <v>165</v>
      </c>
      <c r="H129" s="99">
        <f>G129+'21'!H129</f>
        <v>3815.5</v>
      </c>
      <c r="I129" s="165"/>
      <c r="J129" s="328">
        <f>H129/DAY(B2)</f>
        <v>173.43181818181819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'21'!F130</f>
        <v>261517</v>
      </c>
      <c r="F130" s="165">
        <v>262080</v>
      </c>
      <c r="G130" s="112">
        <f t="shared" si="10"/>
        <v>563</v>
      </c>
      <c r="H130" s="99">
        <f>G130+'21'!H130</f>
        <v>15240.25</v>
      </c>
      <c r="I130" s="165"/>
      <c r="J130" s="328">
        <f>H130/DAY(B2)</f>
        <v>692.73863636363637</v>
      </c>
      <c r="N130" s="240"/>
      <c r="O130" s="241"/>
    </row>
    <row r="131" spans="1:15" ht="25.5">
      <c r="A131" s="894" t="s">
        <v>321</v>
      </c>
      <c r="B131" s="895"/>
      <c r="C131" s="896"/>
      <c r="D131" s="151" t="s">
        <v>183</v>
      </c>
      <c r="E131" s="95">
        <f>'21'!F131</f>
        <v>78309</v>
      </c>
      <c r="F131" s="165">
        <v>78460</v>
      </c>
      <c r="G131" s="112">
        <f t="shared" si="10"/>
        <v>151</v>
      </c>
      <c r="H131" s="99">
        <f>G131+'21'!H131</f>
        <v>4949.3999999999942</v>
      </c>
      <c r="I131" s="165"/>
      <c r="J131" s="328">
        <f>H131/DAY(B2)</f>
        <v>224.97272727272701</v>
      </c>
      <c r="N131" s="240"/>
      <c r="O131" s="241"/>
    </row>
    <row r="132" spans="1:15" ht="25.5">
      <c r="A132" s="894" t="s">
        <v>322</v>
      </c>
      <c r="B132" s="895"/>
      <c r="C132" s="896"/>
      <c r="D132" s="151" t="s">
        <v>183</v>
      </c>
      <c r="E132" s="95">
        <f>'21'!F132</f>
        <v>148274</v>
      </c>
      <c r="F132" s="165">
        <v>148274</v>
      </c>
      <c r="G132" s="112">
        <f t="shared" si="10"/>
        <v>0</v>
      </c>
      <c r="H132" s="99">
        <f>G132+'21'!H132</f>
        <v>1289</v>
      </c>
      <c r="I132" s="165"/>
      <c r="J132" s="328">
        <f>H132/DAY(B2)</f>
        <v>58.590909090909093</v>
      </c>
    </row>
    <row r="133" spans="1:15" ht="25.5">
      <c r="A133" s="894" t="s">
        <v>359</v>
      </c>
      <c r="B133" s="895"/>
      <c r="C133" s="896"/>
      <c r="D133" s="151" t="s">
        <v>183</v>
      </c>
      <c r="E133" s="95">
        <f>'21'!F133</f>
        <v>925914</v>
      </c>
      <c r="F133" s="165">
        <v>926687</v>
      </c>
      <c r="G133" s="112">
        <f t="shared" si="10"/>
        <v>773</v>
      </c>
      <c r="H133" s="99">
        <f>G133+'21'!H133</f>
        <v>16443</v>
      </c>
      <c r="I133" s="165"/>
      <c r="J133" s="328">
        <f>H133/DAY(B2)</f>
        <v>747.40909090909088</v>
      </c>
    </row>
    <row r="134" spans="1:15" ht="25.5">
      <c r="A134" s="894" t="s">
        <v>340</v>
      </c>
      <c r="B134" s="895"/>
      <c r="C134" s="896"/>
      <c r="D134" s="151" t="s">
        <v>183</v>
      </c>
      <c r="E134" s="95">
        <f>'21'!F134</f>
        <v>83332</v>
      </c>
      <c r="F134" s="165">
        <v>83589</v>
      </c>
      <c r="G134" s="112">
        <f t="shared" si="10"/>
        <v>257</v>
      </c>
      <c r="H134" s="99">
        <f>G134+'21'!H134</f>
        <v>4829.3999999999942</v>
      </c>
      <c r="I134" s="165"/>
      <c r="J134" s="328">
        <f>H134/DAY(B2)</f>
        <v>219.51818181818155</v>
      </c>
    </row>
    <row r="135" spans="1:15" ht="25.5">
      <c r="A135" s="853" t="s">
        <v>196</v>
      </c>
      <c r="B135" s="854"/>
      <c r="C135" s="331"/>
      <c r="D135" s="151"/>
      <c r="E135" s="95"/>
      <c r="F135" s="165"/>
      <c r="G135" s="112">
        <f>SUM(G128:G134)</f>
        <v>2367</v>
      </c>
      <c r="H135" s="99">
        <f>G135+'10'!H135</f>
        <v>27040.469999999987</v>
      </c>
      <c r="I135" s="327">
        <f>G135-(G35+G49)</f>
        <v>-703</v>
      </c>
      <c r="J135" s="328"/>
    </row>
    <row r="136" spans="1:15" ht="27.75">
      <c r="A136" s="924" t="s">
        <v>325</v>
      </c>
      <c r="B136" s="924"/>
      <c r="C136" s="924"/>
      <c r="D136" s="924"/>
      <c r="E136" s="924"/>
      <c r="F136" s="924"/>
      <c r="G136" s="924"/>
      <c r="H136" s="924"/>
      <c r="I136" s="924"/>
      <c r="J136" s="92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9" t="s">
        <v>185</v>
      </c>
      <c r="B138" s="889"/>
      <c r="C138" s="889"/>
      <c r="D138" s="151" t="s">
        <v>183</v>
      </c>
      <c r="E138" s="95">
        <f>'21'!F138</f>
        <v>908239</v>
      </c>
      <c r="F138" s="147">
        <v>908351</v>
      </c>
      <c r="G138" s="112">
        <f t="shared" ref="G138:G152" si="11">F138-E138</f>
        <v>112</v>
      </c>
      <c r="H138" s="99">
        <f>G138+'21'!H138</f>
        <v>2724</v>
      </c>
      <c r="I138" s="118"/>
      <c r="J138" s="328">
        <f>H138/DAY(B2)</f>
        <v>123.81818181818181</v>
      </c>
    </row>
    <row r="139" spans="1:15" ht="25.5">
      <c r="A139" s="889" t="s">
        <v>186</v>
      </c>
      <c r="B139" s="889"/>
      <c r="C139" s="889"/>
      <c r="D139" s="151" t="s">
        <v>183</v>
      </c>
      <c r="E139" s="95">
        <f>'21'!F139</f>
        <v>930771</v>
      </c>
      <c r="F139" s="148">
        <v>930931</v>
      </c>
      <c r="G139" s="112">
        <f t="shared" si="11"/>
        <v>160</v>
      </c>
      <c r="H139" s="99">
        <f>G139+'21'!H139</f>
        <v>3650</v>
      </c>
      <c r="I139" s="118"/>
      <c r="J139" s="328">
        <f>H139/DAY(B2)</f>
        <v>165.90909090909091</v>
      </c>
    </row>
    <row r="140" spans="1:15" ht="25.5">
      <c r="A140" s="889" t="s">
        <v>187</v>
      </c>
      <c r="B140" s="889"/>
      <c r="C140" s="889"/>
      <c r="D140" s="151" t="s">
        <v>183</v>
      </c>
      <c r="E140" s="95">
        <f>'21'!F140</f>
        <v>3811</v>
      </c>
      <c r="F140" s="149">
        <v>3850</v>
      </c>
      <c r="G140" s="112">
        <f t="shared" si="11"/>
        <v>39</v>
      </c>
      <c r="H140" s="99">
        <f>G140+'21'!H140</f>
        <v>518.90000000000009</v>
      </c>
      <c r="I140" s="118"/>
      <c r="J140" s="328">
        <f>H140/DAY(B2)</f>
        <v>23.58636363636364</v>
      </c>
    </row>
    <row r="141" spans="1:15" ht="25.5">
      <c r="A141" s="893" t="s">
        <v>188</v>
      </c>
      <c r="B141" s="893"/>
      <c r="C141" s="893"/>
      <c r="D141" s="151" t="s">
        <v>183</v>
      </c>
      <c r="E141" s="95">
        <f>'21'!F141</f>
        <v>122456</v>
      </c>
      <c r="F141" s="149">
        <v>122678</v>
      </c>
      <c r="G141" s="112">
        <f t="shared" si="11"/>
        <v>222</v>
      </c>
      <c r="H141" s="99">
        <f>G141+'21'!H141</f>
        <v>5120.0200000000041</v>
      </c>
      <c r="I141" s="118"/>
      <c r="J141" s="328">
        <f>H141/DAY(B2)</f>
        <v>232.72818181818201</v>
      </c>
    </row>
    <row r="142" spans="1:15" ht="25.5">
      <c r="A142" s="893" t="s">
        <v>189</v>
      </c>
      <c r="B142" s="893"/>
      <c r="C142" s="893"/>
      <c r="D142" s="151" t="s">
        <v>183</v>
      </c>
      <c r="E142" s="95">
        <f>'21'!F142</f>
        <v>49570</v>
      </c>
      <c r="F142" s="148">
        <v>49693</v>
      </c>
      <c r="G142" s="112">
        <f t="shared" si="11"/>
        <v>123</v>
      </c>
      <c r="H142" s="99">
        <f>G142+'21'!H142</f>
        <v>2188.5</v>
      </c>
      <c r="I142" s="140"/>
      <c r="J142" s="328">
        <f>H142/DAY(B2)</f>
        <v>99.477272727272734</v>
      </c>
    </row>
    <row r="143" spans="1:15" ht="25.5">
      <c r="A143" s="889" t="s">
        <v>91</v>
      </c>
      <c r="B143" s="889"/>
      <c r="C143" s="889"/>
      <c r="D143" s="151" t="s">
        <v>183</v>
      </c>
      <c r="E143" s="95">
        <f>'21'!F143</f>
        <v>13064</v>
      </c>
      <c r="F143" s="149">
        <v>13093</v>
      </c>
      <c r="G143" s="112">
        <f t="shared" si="11"/>
        <v>29</v>
      </c>
      <c r="H143" s="99">
        <f>G143+'21'!H143</f>
        <v>677.60000000000036</v>
      </c>
      <c r="I143" s="140"/>
      <c r="J143" s="328">
        <f>H143/DAY(B2)</f>
        <v>30.800000000000015</v>
      </c>
    </row>
    <row r="144" spans="1:15" ht="25.5">
      <c r="A144" s="893" t="s">
        <v>90</v>
      </c>
      <c r="B144" s="893"/>
      <c r="C144" s="893"/>
      <c r="D144" s="151" t="s">
        <v>183</v>
      </c>
      <c r="E144" s="95">
        <f>'21'!F144</f>
        <v>953093</v>
      </c>
      <c r="F144" s="149">
        <v>953325</v>
      </c>
      <c r="G144" s="112">
        <f t="shared" si="11"/>
        <v>232</v>
      </c>
      <c r="H144" s="99">
        <f>G144+'21'!H144</f>
        <v>5127</v>
      </c>
      <c r="I144" s="140"/>
      <c r="J144" s="328">
        <f>H144/DAY(B2)</f>
        <v>233.04545454545453</v>
      </c>
    </row>
    <row r="145" spans="1:10" ht="25.5">
      <c r="A145" s="889" t="s">
        <v>190</v>
      </c>
      <c r="B145" s="889"/>
      <c r="C145" s="889"/>
      <c r="D145" s="152" t="s">
        <v>183</v>
      </c>
      <c r="E145" s="95">
        <f>'21'!F145</f>
        <v>25588</v>
      </c>
      <c r="F145" s="149">
        <v>25810</v>
      </c>
      <c r="G145" s="112">
        <f t="shared" si="11"/>
        <v>222</v>
      </c>
      <c r="H145" s="99">
        <f>G145+'21'!H145</f>
        <v>3213.9000000000015</v>
      </c>
      <c r="I145" s="140"/>
      <c r="J145" s="328">
        <f>H145/DAY(B2)</f>
        <v>146.0863636363637</v>
      </c>
    </row>
    <row r="146" spans="1:10" ht="25.5">
      <c r="A146" s="890" t="s">
        <v>191</v>
      </c>
      <c r="B146" s="891"/>
      <c r="C146" s="892"/>
      <c r="D146" s="152" t="s">
        <v>183</v>
      </c>
      <c r="E146" s="95">
        <f>'21'!F146</f>
        <v>787509</v>
      </c>
      <c r="F146" s="148">
        <v>787539</v>
      </c>
      <c r="G146" s="112">
        <f t="shared" si="11"/>
        <v>30</v>
      </c>
      <c r="H146" s="99">
        <f>G146+'21'!H146</f>
        <v>871</v>
      </c>
      <c r="I146" s="140"/>
      <c r="J146" s="328">
        <f>H146/DAY(B2)</f>
        <v>39.590909090909093</v>
      </c>
    </row>
    <row r="147" spans="1:10" ht="25.5">
      <c r="A147" s="893" t="s">
        <v>192</v>
      </c>
      <c r="B147" s="893"/>
      <c r="C147" s="893"/>
      <c r="D147" s="152" t="s">
        <v>183</v>
      </c>
      <c r="E147" s="95">
        <f>'21'!F147</f>
        <v>756317</v>
      </c>
      <c r="F147" s="148">
        <v>756701</v>
      </c>
      <c r="G147" s="112">
        <f t="shared" si="11"/>
        <v>384</v>
      </c>
      <c r="H147" s="99">
        <f>G147+'21'!H147</f>
        <v>9146.8399999999674</v>
      </c>
      <c r="I147" s="140"/>
      <c r="J147" s="328">
        <f>H147/DAY(B2)</f>
        <v>415.76545454545305</v>
      </c>
    </row>
    <row r="148" spans="1:10" ht="25.5">
      <c r="A148" s="886" t="s">
        <v>193</v>
      </c>
      <c r="B148" s="887"/>
      <c r="C148" s="888"/>
      <c r="D148" s="123" t="s">
        <v>130</v>
      </c>
      <c r="E148" s="95">
        <f>'21'!F148</f>
        <v>793053</v>
      </c>
      <c r="F148" s="150">
        <v>793423</v>
      </c>
      <c r="G148" s="112">
        <f t="shared" si="11"/>
        <v>370</v>
      </c>
      <c r="H148" s="99">
        <f>G148+'21'!H148</f>
        <v>8778</v>
      </c>
      <c r="I148" s="124"/>
      <c r="J148" s="328">
        <f>H148/DAY(B2)</f>
        <v>399</v>
      </c>
    </row>
    <row r="149" spans="1:10" ht="25.5">
      <c r="A149" s="886" t="s">
        <v>336</v>
      </c>
      <c r="B149" s="887"/>
      <c r="C149" s="888"/>
      <c r="D149" s="227" t="s">
        <v>130</v>
      </c>
      <c r="E149" s="95">
        <f>'21'!F149</f>
        <v>195662</v>
      </c>
      <c r="F149" s="146">
        <v>196202</v>
      </c>
      <c r="G149" s="112">
        <f t="shared" si="11"/>
        <v>540</v>
      </c>
      <c r="H149" s="99">
        <f>G149+'21'!H149</f>
        <v>10905.109999999986</v>
      </c>
      <c r="I149" s="119"/>
      <c r="J149" s="328">
        <f>H149/DAY(B2)</f>
        <v>495.68681818181756</v>
      </c>
    </row>
    <row r="150" spans="1:10" ht="25.5">
      <c r="A150" s="886" t="s">
        <v>337</v>
      </c>
      <c r="B150" s="887"/>
      <c r="C150" s="888"/>
      <c r="D150" s="117" t="s">
        <v>130</v>
      </c>
      <c r="E150" s="95">
        <f>'21'!F150</f>
        <v>82514</v>
      </c>
      <c r="F150" s="233">
        <v>82755</v>
      </c>
      <c r="G150" s="112">
        <f t="shared" si="11"/>
        <v>241</v>
      </c>
      <c r="H150" s="99">
        <f>G150+'21'!H150</f>
        <v>5866.6999999999971</v>
      </c>
      <c r="I150" s="119"/>
      <c r="J150" s="328">
        <f>H150/DAY(B2)</f>
        <v>266.66818181818167</v>
      </c>
    </row>
    <row r="151" spans="1:10" ht="25.5">
      <c r="A151" s="886" t="s">
        <v>338</v>
      </c>
      <c r="B151" s="887"/>
      <c r="C151" s="888"/>
      <c r="D151" s="117" t="s">
        <v>130</v>
      </c>
      <c r="E151" s="95">
        <f>'21'!F151</f>
        <v>163829</v>
      </c>
      <c r="F151" s="233">
        <v>164111</v>
      </c>
      <c r="G151" s="112">
        <f t="shared" si="11"/>
        <v>282</v>
      </c>
      <c r="H151" s="99">
        <f>G151+'21'!H151</f>
        <v>5801</v>
      </c>
      <c r="I151" s="119"/>
      <c r="J151" s="328">
        <f>H151/DAY(B2)</f>
        <v>263.68181818181819</v>
      </c>
    </row>
    <row r="152" spans="1:10" ht="25.5">
      <c r="A152" s="886" t="s">
        <v>339</v>
      </c>
      <c r="B152" s="887"/>
      <c r="C152" s="888"/>
      <c r="D152" s="117" t="s">
        <v>130</v>
      </c>
      <c r="E152" s="95">
        <f>'21'!F152</f>
        <v>41390</v>
      </c>
      <c r="F152" s="233">
        <v>41451</v>
      </c>
      <c r="G152" s="112">
        <f t="shared" si="11"/>
        <v>61</v>
      </c>
      <c r="H152" s="99">
        <f>G152+'21'!H152</f>
        <v>2835.0999999999985</v>
      </c>
      <c r="I152" s="119"/>
      <c r="J152" s="328">
        <f>H152/DAY(B2)</f>
        <v>128.86818181818174</v>
      </c>
    </row>
    <row r="153" spans="1:10" ht="25.5">
      <c r="A153" s="853" t="s">
        <v>196</v>
      </c>
      <c r="B153" s="854"/>
      <c r="C153" s="365"/>
      <c r="D153" s="358"/>
      <c r="E153" s="360"/>
      <c r="F153" s="361"/>
      <c r="G153" s="362">
        <f>SUM(G138:G152)</f>
        <v>3047</v>
      </c>
      <c r="H153" s="363"/>
      <c r="I153" s="119">
        <f>G153-(G38+G52)</f>
        <v>474</v>
      </c>
      <c r="J153" s="366"/>
    </row>
    <row r="154" spans="1:10" ht="27.75">
      <c r="A154" s="924" t="s">
        <v>344</v>
      </c>
      <c r="B154" s="924"/>
      <c r="C154" s="924"/>
      <c r="D154" s="924"/>
      <c r="E154" s="924"/>
      <c r="F154" s="924"/>
      <c r="G154" s="924"/>
      <c r="H154" s="924"/>
      <c r="I154" s="924"/>
      <c r="J154" s="924"/>
    </row>
    <row r="155" spans="1:10" ht="27.75">
      <c r="A155" s="893" t="s">
        <v>345</v>
      </c>
      <c r="B155" s="893"/>
      <c r="C155" s="893"/>
      <c r="D155" s="117" t="s">
        <v>130</v>
      </c>
      <c r="E155" s="95">
        <f>'21'!F155</f>
        <v>233106</v>
      </c>
      <c r="F155" s="374">
        <v>233714</v>
      </c>
      <c r="G155" s="112">
        <f t="shared" ref="G155:G158" si="12">F155-E155</f>
        <v>608</v>
      </c>
      <c r="H155" s="99">
        <f>G155+'21'!H155</f>
        <v>13726.299999999988</v>
      </c>
      <c r="I155" s="364"/>
      <c r="J155" s="328">
        <f>H155/DAY(B2)</f>
        <v>623.92272727272677</v>
      </c>
    </row>
    <row r="156" spans="1:10" ht="25.5">
      <c r="A156" s="893" t="s">
        <v>347</v>
      </c>
      <c r="B156" s="893"/>
      <c r="C156" s="893"/>
      <c r="D156" s="117" t="s">
        <v>130</v>
      </c>
      <c r="E156" s="95">
        <f>'21'!F156</f>
        <v>28524</v>
      </c>
      <c r="F156" s="155">
        <v>28618</v>
      </c>
      <c r="G156" s="112">
        <f t="shared" si="12"/>
        <v>94</v>
      </c>
      <c r="H156" s="99">
        <f>G156+'21'!H156</f>
        <v>2087.7999999999993</v>
      </c>
      <c r="I156" s="165"/>
      <c r="J156" s="328">
        <f>H156/DAY(B2)</f>
        <v>94.899999999999963</v>
      </c>
    </row>
    <row r="157" spans="1:10" ht="25.5">
      <c r="A157" s="886" t="s">
        <v>360</v>
      </c>
      <c r="B157" s="887"/>
      <c r="C157" s="888"/>
      <c r="D157" s="117" t="s">
        <v>130</v>
      </c>
      <c r="E157" s="95">
        <f>'21'!F157</f>
        <v>37559</v>
      </c>
      <c r="F157" s="155">
        <v>37559</v>
      </c>
      <c r="G157" s="112">
        <f t="shared" si="12"/>
        <v>0</v>
      </c>
      <c r="H157" s="99">
        <f>G157+'21'!H157</f>
        <v>0</v>
      </c>
      <c r="I157" s="165"/>
      <c r="J157" s="328">
        <f>H157/DAY(B2)</f>
        <v>0</v>
      </c>
    </row>
    <row r="158" spans="1:10" ht="25.5">
      <c r="A158" s="886" t="s">
        <v>361</v>
      </c>
      <c r="B158" s="887"/>
      <c r="C158" s="888"/>
      <c r="D158" s="117" t="s">
        <v>130</v>
      </c>
      <c r="E158" s="95">
        <f>'21'!F158</f>
        <v>1748</v>
      </c>
      <c r="F158" s="155">
        <v>1748</v>
      </c>
      <c r="G158" s="112">
        <f t="shared" si="12"/>
        <v>0</v>
      </c>
      <c r="H158" s="99">
        <f>G158+'21'!H158</f>
        <v>4.8800000000001091</v>
      </c>
      <c r="I158" s="165"/>
      <c r="J158" s="328">
        <f>H158/DAY(B2)</f>
        <v>0.22181818181818677</v>
      </c>
    </row>
    <row r="159" spans="1:10" ht="25.5">
      <c r="A159" s="942"/>
      <c r="B159" s="943"/>
      <c r="C159" s="944"/>
      <c r="D159" s="117"/>
      <c r="E159" s="95"/>
      <c r="F159" s="165"/>
      <c r="G159" s="112"/>
      <c r="H159" s="99"/>
      <c r="I159" s="165"/>
      <c r="J159" s="328"/>
    </row>
    <row r="160" spans="1:10" ht="27.75">
      <c r="A160" s="924" t="s">
        <v>326</v>
      </c>
      <c r="B160" s="924"/>
      <c r="C160" s="924"/>
      <c r="D160" s="924"/>
      <c r="E160" s="924"/>
      <c r="F160" s="924"/>
      <c r="G160" s="924"/>
      <c r="H160" s="924"/>
      <c r="I160" s="924"/>
      <c r="J160" s="924"/>
    </row>
    <row r="161" spans="1:10" ht="26.25">
      <c r="A161" s="242" t="s">
        <v>92</v>
      </c>
      <c r="B161" s="243"/>
      <c r="C161" s="243"/>
      <c r="D161" s="244" t="s">
        <v>180</v>
      </c>
      <c r="E161" s="95">
        <f>'21'!F161</f>
        <v>506982</v>
      </c>
      <c r="F161" s="235">
        <v>507168</v>
      </c>
      <c r="G161" s="238">
        <f t="shared" ref="G161:G165" si="13">F161-E161</f>
        <v>186</v>
      </c>
      <c r="H161" s="99">
        <f>G161+'21'!H161</f>
        <v>3796.8400000000256</v>
      </c>
      <c r="I161" s="236"/>
      <c r="J161" s="239">
        <f>H161/DAY(B2)</f>
        <v>172.58363636363754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'21'!F162</f>
        <v>472</v>
      </c>
      <c r="F162" s="235">
        <v>514</v>
      </c>
      <c r="G162" s="238">
        <f t="shared" si="13"/>
        <v>42</v>
      </c>
      <c r="H162" s="99">
        <f>G162+'21'!H162</f>
        <v>894.19999999999413</v>
      </c>
      <c r="I162" s="236"/>
      <c r="J162" s="239">
        <f>H162/DAY(B2)</f>
        <v>40.645454545454278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'21'!F163</f>
        <v>0</v>
      </c>
      <c r="F163" s="235">
        <v>0</v>
      </c>
      <c r="G163" s="238">
        <f t="shared" si="13"/>
        <v>0</v>
      </c>
      <c r="H163" s="99">
        <f>G163+'21'!H163</f>
        <v>0</v>
      </c>
      <c r="I163" s="236"/>
      <c r="J163" s="239">
        <f>H163/DAY(B2)</f>
        <v>0</v>
      </c>
    </row>
    <row r="164" spans="1:10" ht="21.95" customHeight="1">
      <c r="A164" s="242" t="s">
        <v>197</v>
      </c>
      <c r="B164" s="243"/>
      <c r="C164" s="243"/>
      <c r="D164" s="244" t="s">
        <v>180</v>
      </c>
      <c r="E164" s="95">
        <f>'21'!F164</f>
        <v>7144</v>
      </c>
      <c r="F164" s="235">
        <v>7156</v>
      </c>
      <c r="G164" s="238">
        <f t="shared" si="13"/>
        <v>12</v>
      </c>
      <c r="H164" s="99">
        <f>G164+'21'!H164</f>
        <v>165.80000000000018</v>
      </c>
      <c r="I164" s="236"/>
      <c r="J164" s="239">
        <f>H164/DAY(B2)</f>
        <v>7.536363636363645</v>
      </c>
    </row>
    <row r="165" spans="1:10" ht="21.95" customHeight="1">
      <c r="A165" s="242" t="s">
        <v>309</v>
      </c>
      <c r="B165" s="243"/>
      <c r="C165" s="243"/>
      <c r="D165" s="244" t="s">
        <v>180</v>
      </c>
      <c r="E165" s="95">
        <f>'21'!F165</f>
        <v>32723</v>
      </c>
      <c r="F165" s="235">
        <v>32729</v>
      </c>
      <c r="G165" s="238">
        <f t="shared" si="13"/>
        <v>6</v>
      </c>
      <c r="H165" s="99">
        <f>G165+'21'!H165</f>
        <v>154.90000000000146</v>
      </c>
      <c r="I165" s="236"/>
      <c r="J165" s="239">
        <f>H165/DAY(B2)</f>
        <v>7.0409090909091567</v>
      </c>
    </row>
    <row r="166" spans="1:10" ht="21.95" customHeight="1">
      <c r="A166" s="923"/>
      <c r="B166" s="923"/>
      <c r="C166" s="246"/>
      <c r="D166" s="244" t="s">
        <v>180</v>
      </c>
      <c r="E166" s="95">
        <f>'21'!F166</f>
        <v>0</v>
      </c>
      <c r="F166" s="165"/>
      <c r="G166" s="165"/>
      <c r="H166" s="99">
        <f>G166+'21'!H166</f>
        <v>0</v>
      </c>
      <c r="I166" s="165"/>
      <c r="J166" s="239">
        <f>H166/DAY(B2)</f>
        <v>0</v>
      </c>
    </row>
    <row r="167" spans="1:10" ht="21.95" customHeight="1">
      <c r="A167" s="923"/>
      <c r="B167" s="923"/>
      <c r="C167" s="246"/>
      <c r="D167" s="244" t="s">
        <v>180</v>
      </c>
      <c r="E167" s="95">
        <f>'21'!F167</f>
        <v>0</v>
      </c>
      <c r="F167" s="165"/>
      <c r="G167" s="165"/>
      <c r="H167" s="99">
        <f>G167+'21'!H167</f>
        <v>0</v>
      </c>
      <c r="I167" s="165"/>
      <c r="J167" s="239">
        <f>H167/DAY(B2)</f>
        <v>0</v>
      </c>
    </row>
    <row r="168" spans="1:10" ht="21.95" customHeight="1">
      <c r="A168" s="923"/>
      <c r="B168" s="923"/>
      <c r="C168" s="246"/>
      <c r="D168" s="244" t="s">
        <v>180</v>
      </c>
      <c r="E168" s="95">
        <f>'21'!F168</f>
        <v>0</v>
      </c>
      <c r="F168" s="165"/>
      <c r="G168" s="165"/>
      <c r="H168" s="99">
        <f>G168+'21'!H168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33" t="s">
        <v>330</v>
      </c>
      <c r="B171" s="934"/>
      <c r="C171" s="934"/>
      <c r="D171" s="934"/>
      <c r="E171" s="934"/>
      <c r="F171" s="934"/>
      <c r="G171" s="934"/>
      <c r="H171" s="934"/>
      <c r="I171" s="934"/>
      <c r="J171" s="935"/>
    </row>
    <row r="172" spans="1:10" ht="25.5">
      <c r="A172" s="929"/>
      <c r="B172" s="930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41" t="s">
        <v>209</v>
      </c>
      <c r="B173" s="843"/>
      <c r="C173" s="333"/>
      <c r="D173" s="228" t="s">
        <v>142</v>
      </c>
      <c r="E173" s="95">
        <f>'21'!F173</f>
        <v>8610</v>
      </c>
      <c r="F173" s="155">
        <v>8610</v>
      </c>
      <c r="G173" s="155">
        <f>F173-E173</f>
        <v>0</v>
      </c>
      <c r="H173" s="99">
        <f>G173+'21'!H173</f>
        <v>26</v>
      </c>
      <c r="I173" s="155"/>
      <c r="J173" s="178">
        <f>H173/DAY(B2)</f>
        <v>1.1818181818181819</v>
      </c>
    </row>
    <row r="174" spans="1:10" ht="25.5">
      <c r="A174" s="841" t="s">
        <v>75</v>
      </c>
      <c r="B174" s="843"/>
      <c r="C174" s="333"/>
      <c r="D174" s="228" t="s">
        <v>142</v>
      </c>
      <c r="E174" s="95">
        <f>'21'!F174</f>
        <v>42918</v>
      </c>
      <c r="F174" s="157">
        <v>42929</v>
      </c>
      <c r="G174" s="155">
        <f t="shared" ref="G174:G175" si="14">F174-E174</f>
        <v>11</v>
      </c>
      <c r="H174" s="99">
        <f>G174+'21'!H174</f>
        <v>260</v>
      </c>
      <c r="I174" s="155"/>
      <c r="J174" s="178">
        <f>H174/DAY(B2)</f>
        <v>11.818181818181818</v>
      </c>
    </row>
    <row r="175" spans="1:10" ht="25.5">
      <c r="A175" s="841" t="s">
        <v>76</v>
      </c>
      <c r="B175" s="842"/>
      <c r="C175" s="843"/>
      <c r="D175" s="228" t="s">
        <v>142</v>
      </c>
      <c r="E175" s="95">
        <f>'21'!F175</f>
        <v>25663</v>
      </c>
      <c r="F175" s="155">
        <v>25676</v>
      </c>
      <c r="G175" s="155">
        <f t="shared" si="14"/>
        <v>13</v>
      </c>
      <c r="H175" s="99">
        <f>G175+'21'!H175</f>
        <v>283</v>
      </c>
      <c r="I175" s="155"/>
      <c r="J175" s="178">
        <f>H175/DAY(B2)</f>
        <v>12.863636363636363</v>
      </c>
    </row>
    <row r="176" spans="1:10" ht="25.5">
      <c r="A176" s="853" t="s">
        <v>196</v>
      </c>
      <c r="B176" s="854"/>
      <c r="C176" s="400"/>
      <c r="D176" s="228" t="s">
        <v>142</v>
      </c>
      <c r="E176" s="95"/>
      <c r="F176" s="155"/>
      <c r="G176" s="155">
        <f>SUM(G173:G175)</f>
        <v>24</v>
      </c>
      <c r="H176" s="99">
        <f>G176+'21'!H176</f>
        <v>569</v>
      </c>
      <c r="I176" s="155"/>
      <c r="J176" s="178">
        <f>H176/DAY(B2)</f>
        <v>25.863636363636363</v>
      </c>
    </row>
    <row r="177" spans="1:10" ht="25.5">
      <c r="A177" s="841" t="s">
        <v>77</v>
      </c>
      <c r="B177" s="843"/>
      <c r="C177" s="333"/>
      <c r="D177" s="228" t="s">
        <v>142</v>
      </c>
      <c r="E177" s="95"/>
      <c r="F177" s="155"/>
      <c r="G177" s="155"/>
      <c r="H177" s="99">
        <f>G177+'21'!H177</f>
        <v>0</v>
      </c>
      <c r="I177" s="155"/>
      <c r="J177" s="178">
        <f>H177/DAY(B2)</f>
        <v>0</v>
      </c>
    </row>
    <row r="178" spans="1:10" ht="25.5">
      <c r="A178" s="841" t="s">
        <v>210</v>
      </c>
      <c r="B178" s="843"/>
      <c r="C178" s="333"/>
      <c r="D178" s="228" t="s">
        <v>142</v>
      </c>
      <c r="E178" s="95">
        <f>'21'!F178</f>
        <v>105824</v>
      </c>
      <c r="F178" s="155">
        <v>105937</v>
      </c>
      <c r="G178" s="155">
        <f>F178-E178</f>
        <v>113</v>
      </c>
      <c r="H178" s="99">
        <f>G178+'21'!H178</f>
        <v>2294</v>
      </c>
      <c r="I178" s="155"/>
      <c r="J178" s="178">
        <f>H178/DAY(B2)</f>
        <v>104.27272727272727</v>
      </c>
    </row>
    <row r="179" spans="1:10" ht="25.5">
      <c r="A179" s="841" t="s">
        <v>211</v>
      </c>
      <c r="B179" s="843"/>
      <c r="C179" s="333"/>
      <c r="D179" s="228" t="s">
        <v>142</v>
      </c>
      <c r="E179" s="95">
        <f>'21'!F179</f>
        <v>37501</v>
      </c>
      <c r="F179" s="155">
        <v>37501</v>
      </c>
      <c r="G179" s="155">
        <f t="shared" ref="G179:G180" si="15">F179-E179</f>
        <v>0</v>
      </c>
      <c r="H179" s="99">
        <f>G179+'21'!H179</f>
        <v>0</v>
      </c>
      <c r="I179" s="155"/>
      <c r="J179" s="178">
        <f>H179/DAY(B2)</f>
        <v>0</v>
      </c>
    </row>
    <row r="180" spans="1:10" ht="25.5">
      <c r="A180" s="841" t="s">
        <v>212</v>
      </c>
      <c r="B180" s="843"/>
      <c r="C180" s="333"/>
      <c r="D180" s="228" t="s">
        <v>142</v>
      </c>
      <c r="E180" s="95">
        <f>'21'!F180</f>
        <v>7504</v>
      </c>
      <c r="F180" s="155">
        <v>7515</v>
      </c>
      <c r="G180" s="374">
        <f t="shared" si="15"/>
        <v>11</v>
      </c>
      <c r="H180" s="99">
        <f>G180+'21'!H180</f>
        <v>95</v>
      </c>
      <c r="I180" s="155"/>
      <c r="J180" s="178">
        <f>H180/DAY(B2)</f>
        <v>4.3181818181818183</v>
      </c>
    </row>
    <row r="181" spans="1:10" ht="27.75" customHeight="1">
      <c r="A181" s="927" t="s">
        <v>108</v>
      </c>
      <c r="B181" s="928"/>
      <c r="C181" s="400"/>
      <c r="D181" s="228" t="s">
        <v>142</v>
      </c>
      <c r="E181" s="95"/>
      <c r="F181" s="155"/>
      <c r="G181" s="155">
        <f>SUM(G178:G180)</f>
        <v>124</v>
      </c>
      <c r="H181" s="99">
        <f>G181+'21'!H181</f>
        <v>2389</v>
      </c>
      <c r="I181" s="155"/>
      <c r="J181" s="178">
        <f>H181/DAY(B2)</f>
        <v>108.59090909090909</v>
      </c>
    </row>
    <row r="182" spans="1:10" ht="25.5">
      <c r="A182" s="841" t="s">
        <v>213</v>
      </c>
      <c r="B182" s="843"/>
      <c r="C182" s="333"/>
      <c r="D182" s="228" t="s">
        <v>142</v>
      </c>
      <c r="E182" s="95"/>
      <c r="F182" s="155"/>
      <c r="G182" s="155"/>
      <c r="H182" s="99">
        <f>G182+'21'!H182</f>
        <v>0</v>
      </c>
      <c r="I182" s="155"/>
      <c r="J182" s="178">
        <f>H182/DAY(B2)</f>
        <v>0</v>
      </c>
    </row>
    <row r="183" spans="1:10" ht="25.5">
      <c r="A183" s="841" t="s">
        <v>214</v>
      </c>
      <c r="B183" s="843"/>
      <c r="C183" s="334"/>
      <c r="D183" s="228" t="s">
        <v>142</v>
      </c>
      <c r="E183" s="95">
        <f>'21'!F183</f>
        <v>18317</v>
      </c>
      <c r="F183" s="157">
        <v>18322</v>
      </c>
      <c r="G183" s="157">
        <f>F183-E183</f>
        <v>5</v>
      </c>
      <c r="H183" s="99">
        <f>G183+'21'!H183</f>
        <v>154</v>
      </c>
      <c r="I183" s="155"/>
      <c r="J183" s="178">
        <f>H183/DAY(B2)</f>
        <v>7</v>
      </c>
    </row>
    <row r="184" spans="1:10" ht="25.5">
      <c r="A184" s="841" t="s">
        <v>215</v>
      </c>
      <c r="B184" s="843"/>
      <c r="C184" s="334"/>
      <c r="D184" s="228" t="s">
        <v>142</v>
      </c>
      <c r="E184" s="95">
        <f>'21'!F184</f>
        <v>12913</v>
      </c>
      <c r="F184" s="157">
        <v>12923</v>
      </c>
      <c r="G184" s="157">
        <f t="shared" ref="G184:G185" si="16">F184-E184</f>
        <v>10</v>
      </c>
      <c r="H184" s="99">
        <f>G184+'21'!H184</f>
        <v>192</v>
      </c>
      <c r="I184" s="155"/>
      <c r="J184" s="178">
        <f>H184/DAY(B2)</f>
        <v>8.7272727272727266</v>
      </c>
    </row>
    <row r="185" spans="1:10" ht="25.5">
      <c r="A185" s="841" t="s">
        <v>216</v>
      </c>
      <c r="B185" s="843"/>
      <c r="C185" s="334"/>
      <c r="D185" s="228" t="s">
        <v>142</v>
      </c>
      <c r="E185" s="95">
        <f>'21'!F185</f>
        <v>0</v>
      </c>
      <c r="F185" s="157"/>
      <c r="G185" s="157">
        <f t="shared" si="16"/>
        <v>0</v>
      </c>
      <c r="H185" s="99">
        <f>G185+'21'!H185</f>
        <v>0</v>
      </c>
      <c r="I185" s="155"/>
      <c r="J185" s="178">
        <f>H185/DAY(B2)</f>
        <v>0</v>
      </c>
    </row>
    <row r="186" spans="1:10" ht="25.5">
      <c r="A186" s="853" t="s">
        <v>196</v>
      </c>
      <c r="B186" s="854"/>
      <c r="C186" s="399"/>
      <c r="D186" s="228" t="s">
        <v>142</v>
      </c>
      <c r="E186" s="95"/>
      <c r="F186" s="157"/>
      <c r="G186" s="157">
        <f>SUM(G183:G185)</f>
        <v>15</v>
      </c>
      <c r="H186" s="99">
        <f>G186+'21'!H186</f>
        <v>346</v>
      </c>
      <c r="I186" s="157"/>
      <c r="J186" s="178">
        <f>H186/DAY(B2)</f>
        <v>15.727272727272727</v>
      </c>
    </row>
    <row r="187" spans="1:10" ht="25.5">
      <c r="A187" s="931" t="s">
        <v>217</v>
      </c>
      <c r="B187" s="932"/>
      <c r="C187" s="333"/>
      <c r="D187" s="230" t="s">
        <v>142</v>
      </c>
      <c r="E187" s="95"/>
      <c r="F187" s="159"/>
      <c r="G187" s="377">
        <f>G62+G19</f>
        <v>212</v>
      </c>
      <c r="H187" s="99">
        <f>G187+'21'!H187</f>
        <v>3847</v>
      </c>
      <c r="I187" s="158"/>
      <c r="J187" s="179">
        <f>H187/DAY(B2)</f>
        <v>174.86363636363637</v>
      </c>
    </row>
    <row r="188" spans="1:10" ht="25.5">
      <c r="A188" s="931" t="s">
        <v>218</v>
      </c>
      <c r="B188" s="932"/>
      <c r="C188" s="333"/>
      <c r="D188" s="230" t="s">
        <v>142</v>
      </c>
      <c r="E188" s="95"/>
      <c r="F188" s="159"/>
      <c r="G188" s="377">
        <f>G65+G66+G67+G69+G70</f>
        <v>176</v>
      </c>
      <c r="H188" s="99">
        <f>G188+'21'!H188</f>
        <v>1487</v>
      </c>
      <c r="I188" s="158"/>
      <c r="J188" s="179">
        <f>H188/DAY(B2)</f>
        <v>67.590909090909093</v>
      </c>
    </row>
    <row r="189" spans="1:10" ht="25.5">
      <c r="A189" s="931" t="s">
        <v>219</v>
      </c>
      <c r="B189" s="932"/>
      <c r="C189" s="333"/>
      <c r="D189" s="230" t="s">
        <v>142</v>
      </c>
      <c r="E189" s="95"/>
      <c r="F189" s="157"/>
      <c r="G189" s="376">
        <f>G181</f>
        <v>124</v>
      </c>
      <c r="H189" s="99">
        <f>G189+'21'!H189</f>
        <v>529</v>
      </c>
      <c r="I189" s="158"/>
      <c r="J189" s="179">
        <f>H189/DAY(B2)</f>
        <v>24.045454545454547</v>
      </c>
    </row>
    <row r="190" spans="1:10" ht="25.5">
      <c r="A190" s="925"/>
      <c r="B190" s="926"/>
      <c r="C190" s="398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</sheetData>
  <mergeCells count="115">
    <mergeCell ref="A160:J160"/>
    <mergeCell ref="A166:B166"/>
    <mergeCell ref="A167:B16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68:B168"/>
    <mergeCell ref="A136:J136"/>
    <mergeCell ref="A138:C138"/>
    <mergeCell ref="A139:C139"/>
    <mergeCell ref="A140:C140"/>
    <mergeCell ref="A141:C141"/>
    <mergeCell ref="A148:C148"/>
    <mergeCell ref="A149:C149"/>
    <mergeCell ref="A143:C143"/>
    <mergeCell ref="A144:C144"/>
    <mergeCell ref="A145:C145"/>
    <mergeCell ref="A146:C146"/>
    <mergeCell ref="A147:C147"/>
    <mergeCell ref="A142:C142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9:C119"/>
    <mergeCell ref="A120:C120"/>
    <mergeCell ref="A121:C121"/>
    <mergeCell ref="A122:C122"/>
    <mergeCell ref="A116:C116"/>
    <mergeCell ref="A135:B135"/>
    <mergeCell ref="A124:C124"/>
    <mergeCell ref="A125:B125"/>
    <mergeCell ref="A126:J126"/>
    <mergeCell ref="A127:B127"/>
    <mergeCell ref="A128:C128"/>
    <mergeCell ref="A131:C131"/>
    <mergeCell ref="A132:C13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79:C79"/>
    <mergeCell ref="A33:C33"/>
    <mergeCell ref="A61:C61"/>
    <mergeCell ref="A62:C62"/>
    <mergeCell ref="A63:C63"/>
    <mergeCell ref="A71:C71"/>
    <mergeCell ref="A73:C73"/>
    <mergeCell ref="A72:B72"/>
    <mergeCell ref="A78:C78"/>
    <mergeCell ref="A74:C74"/>
    <mergeCell ref="A75:C75"/>
    <mergeCell ref="A76:C76"/>
    <mergeCell ref="A77:C77"/>
    <mergeCell ref="A64:C64"/>
    <mergeCell ref="A65:C65"/>
    <mergeCell ref="A133:C133"/>
    <mergeCell ref="A134:C134"/>
    <mergeCell ref="A80:C80"/>
    <mergeCell ref="A81:C81"/>
    <mergeCell ref="A123:C123"/>
    <mergeCell ref="A93:C93"/>
    <mergeCell ref="A94:C94"/>
    <mergeCell ref="A95:C95"/>
    <mergeCell ref="A96:C96"/>
    <mergeCell ref="A109:B109"/>
    <mergeCell ref="A97:C97"/>
    <mergeCell ref="A98:C98"/>
    <mergeCell ref="A105:C105"/>
    <mergeCell ref="A108:J108"/>
    <mergeCell ref="A110:J110"/>
    <mergeCell ref="A99:C99"/>
    <mergeCell ref="A100:C100"/>
    <mergeCell ref="A101:C101"/>
    <mergeCell ref="A102:C102"/>
    <mergeCell ref="A103:C103"/>
    <mergeCell ref="A104:C104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R190"/>
  <sheetViews>
    <sheetView view="pageBreakPreview" zoomScale="50" zoomScaleNormal="80" zoomScaleSheetLayoutView="50" workbookViewId="0">
      <selection activeCell="F56" sqref="F56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>
      <c r="A1" s="867" t="s">
        <v>115</v>
      </c>
      <c r="B1" s="868"/>
      <c r="C1" s="868"/>
      <c r="D1" s="868"/>
      <c r="E1" s="868"/>
      <c r="F1" s="868"/>
      <c r="G1" s="868"/>
      <c r="H1" s="868"/>
      <c r="I1" s="868"/>
      <c r="J1" s="869"/>
    </row>
    <row r="2" spans="1:15" s="57" customFormat="1" ht="30.75" customHeight="1">
      <c r="A2" s="191" t="s">
        <v>355</v>
      </c>
      <c r="B2" s="262">
        <v>44918</v>
      </c>
      <c r="C2" s="348" t="s">
        <v>67</v>
      </c>
      <c r="D2" s="218">
        <v>0.78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>
      <c r="A3" s="189"/>
      <c r="B3" s="221"/>
      <c r="C3" s="348" t="s">
        <v>118</v>
      </c>
      <c r="D3" s="219">
        <v>29</v>
      </c>
      <c r="E3" s="876" t="s">
        <v>119</v>
      </c>
      <c r="F3" s="877"/>
      <c r="G3" s="101"/>
      <c r="H3" s="102"/>
      <c r="I3" s="102"/>
      <c r="J3" s="222"/>
      <c r="K3" s="61"/>
      <c r="L3" s="58"/>
    </row>
    <row r="4" spans="1:15" s="57" customFormat="1" ht="30.75" customHeight="1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>
      <c r="A6" s="870" t="s">
        <v>128</v>
      </c>
      <c r="B6" s="871"/>
      <c r="C6" s="87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>
      <c r="A7" s="194" t="s">
        <v>129</v>
      </c>
      <c r="B7" s="195"/>
      <c r="C7" s="195"/>
      <c r="D7" s="151" t="s">
        <v>130</v>
      </c>
      <c r="E7" s="95">
        <f>'22'!F7</f>
        <v>784115</v>
      </c>
      <c r="F7" s="95">
        <v>804694</v>
      </c>
      <c r="G7" s="112">
        <f>F7-E7</f>
        <v>20579</v>
      </c>
      <c r="H7" s="99">
        <f>G7+'22'!H7</f>
        <v>531011.44999999995</v>
      </c>
      <c r="I7" s="113">
        <f>'1'!I7</f>
        <v>12000</v>
      </c>
      <c r="J7" s="175">
        <f>H7/DAY(B2)</f>
        <v>23087.454347826086</v>
      </c>
      <c r="K7" s="172">
        <v>1375467</v>
      </c>
      <c r="L7" s="66"/>
      <c r="N7" s="87"/>
      <c r="O7" s="71"/>
    </row>
    <row r="8" spans="1:15" ht="30.75" customHeight="1" thickBot="1">
      <c r="A8" s="196" t="s">
        <v>131</v>
      </c>
      <c r="B8" s="197"/>
      <c r="C8" s="198"/>
      <c r="D8" s="224" t="s">
        <v>24</v>
      </c>
      <c r="E8" s="95">
        <f>'22'!F8</f>
        <v>964718</v>
      </c>
      <c r="F8" s="114">
        <v>985418</v>
      </c>
      <c r="G8" s="115">
        <f>F8-E8</f>
        <v>20700</v>
      </c>
      <c r="H8" s="99">
        <f>G8+'22'!H8</f>
        <v>534157</v>
      </c>
      <c r="I8" s="116"/>
      <c r="J8" s="175">
        <f>H8/DAY(B2)</f>
        <v>23224.217391304348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>
      <c r="A9" s="199" t="s">
        <v>132</v>
      </c>
      <c r="B9" s="200"/>
      <c r="C9" s="200"/>
      <c r="D9" s="151" t="s">
        <v>130</v>
      </c>
      <c r="E9" s="95">
        <f>'22'!F9</f>
        <v>4282598</v>
      </c>
      <c r="F9" s="468">
        <v>4293996</v>
      </c>
      <c r="G9" s="112">
        <f>F9-E9</f>
        <v>11398</v>
      </c>
      <c r="H9" s="99">
        <f>G9+'22'!H9</f>
        <v>179825.70000000019</v>
      </c>
      <c r="I9" s="124">
        <f>I7-J7</f>
        <v>-11087.454347826086</v>
      </c>
      <c r="J9" s="175">
        <f>H9/DAY(B2)</f>
        <v>7818.5086956521818</v>
      </c>
      <c r="K9" s="79">
        <f>K8-100</f>
        <v>1715817</v>
      </c>
      <c r="L9" s="66"/>
      <c r="N9" s="87"/>
      <c r="O9" s="71"/>
    </row>
    <row r="10" spans="1:15" ht="30.75" customHeight="1">
      <c r="A10" s="194" t="s">
        <v>133</v>
      </c>
      <c r="B10" s="195"/>
      <c r="C10" s="195"/>
      <c r="D10" s="151" t="s">
        <v>130</v>
      </c>
      <c r="E10" s="95">
        <f>'22'!F10</f>
        <v>4017692</v>
      </c>
      <c r="F10" s="353">
        <v>4026314</v>
      </c>
      <c r="G10" s="112">
        <f t="shared" ref="G10:G11" si="0">F10-E10</f>
        <v>8622</v>
      </c>
      <c r="H10" s="99">
        <f>G10+'22'!H10</f>
        <v>336834.89999999991</v>
      </c>
      <c r="I10" s="282"/>
      <c r="J10" s="175">
        <f>H10/DAY(B2)</f>
        <v>14644.99565217391</v>
      </c>
      <c r="K10" s="79"/>
      <c r="L10" s="66"/>
      <c r="N10" s="87"/>
      <c r="O10" s="71"/>
    </row>
    <row r="11" spans="1:15" ht="30.75" customHeight="1">
      <c r="A11" s="194" t="s">
        <v>134</v>
      </c>
      <c r="B11" s="195"/>
      <c r="C11" s="195"/>
      <c r="D11" s="151" t="s">
        <v>130</v>
      </c>
      <c r="E11" s="95">
        <f>'22'!F11</f>
        <v>38700</v>
      </c>
      <c r="F11" s="95">
        <v>38700</v>
      </c>
      <c r="G11" s="112">
        <f t="shared" si="0"/>
        <v>0</v>
      </c>
      <c r="H11" s="99">
        <f>G11+'22'!H11</f>
        <v>580</v>
      </c>
      <c r="I11" s="282"/>
      <c r="J11" s="175">
        <f>H11/DAY(B2)</f>
        <v>25.217391304347824</v>
      </c>
      <c r="K11" s="79"/>
      <c r="L11" s="66"/>
      <c r="N11" s="87"/>
      <c r="O11" s="71"/>
    </row>
    <row r="12" spans="1:15" ht="30.75" customHeight="1">
      <c r="A12" s="194" t="s">
        <v>135</v>
      </c>
      <c r="B12" s="195"/>
      <c r="C12" s="195"/>
      <c r="D12" s="151" t="s">
        <v>130</v>
      </c>
      <c r="E12" s="95">
        <f>'22'!F12</f>
        <v>40550</v>
      </c>
      <c r="F12" s="117">
        <v>40550</v>
      </c>
      <c r="G12" s="112">
        <v>0</v>
      </c>
      <c r="H12" s="99">
        <f>G12+'22'!H12</f>
        <v>160</v>
      </c>
      <c r="I12" s="282"/>
      <c r="J12" s="175">
        <f>H12/DAY(B2)</f>
        <v>6.9565217391304346</v>
      </c>
      <c r="K12" s="79"/>
      <c r="L12" s="66"/>
      <c r="N12" s="87"/>
      <c r="O12" s="71"/>
    </row>
    <row r="13" spans="1:15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20020</v>
      </c>
      <c r="H13" s="99">
        <f>G13+'22'!H13</f>
        <v>521629.29999999981</v>
      </c>
      <c r="I13" s="120">
        <f>G7-G13</f>
        <v>559</v>
      </c>
      <c r="J13" s="175">
        <f>H13/DAY(B2)</f>
        <v>22679.534782608687</v>
      </c>
      <c r="K13" s="79"/>
      <c r="L13" s="66"/>
      <c r="N13" s="87"/>
      <c r="O13" s="71"/>
    </row>
    <row r="14" spans="1:15" ht="30.75" customHeight="1">
      <c r="A14" s="873" t="s">
        <v>137</v>
      </c>
      <c r="B14" s="874"/>
      <c r="C14" s="87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>
      <c r="A15" s="345" t="s">
        <v>138</v>
      </c>
      <c r="B15" s="205"/>
      <c r="C15" s="205"/>
      <c r="D15" s="151" t="s">
        <v>139</v>
      </c>
      <c r="E15" s="95">
        <f>'22'!F15</f>
        <v>2242883</v>
      </c>
      <c r="F15" s="468">
        <v>2243987</v>
      </c>
      <c r="G15" s="112">
        <f>(F15-E15)</f>
        <v>1104</v>
      </c>
      <c r="H15" s="99">
        <f>G15+'22'!H15</f>
        <v>25046</v>
      </c>
      <c r="I15" s="113">
        <f>'1'!I15</f>
        <v>800</v>
      </c>
      <c r="J15" s="175">
        <f>H15/DAY(B2)</f>
        <v>1088.9565217391305</v>
      </c>
      <c r="K15" s="79"/>
      <c r="L15" s="66"/>
      <c r="N15" s="87"/>
      <c r="O15" s="71"/>
    </row>
    <row r="16" spans="1:15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-288.95652173913049</v>
      </c>
      <c r="J16" s="176"/>
      <c r="K16" s="79"/>
      <c r="L16" s="66"/>
      <c r="N16" s="87"/>
      <c r="O16" s="71"/>
    </row>
    <row r="17" spans="1:15" ht="30.75" customHeight="1">
      <c r="A17" s="873" t="s">
        <v>140</v>
      </c>
      <c r="B17" s="874"/>
      <c r="C17" s="87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864" t="s">
        <v>141</v>
      </c>
      <c r="B18" s="865"/>
      <c r="C18" s="866"/>
      <c r="D18" s="151" t="s">
        <v>142</v>
      </c>
      <c r="E18" s="95">
        <f>'22'!F18</f>
        <v>22</v>
      </c>
      <c r="F18" s="122">
        <v>20</v>
      </c>
      <c r="G18" s="119">
        <f>F18*10</f>
        <v>200</v>
      </c>
      <c r="H18" s="99">
        <f>G18+'22'!H18</f>
        <v>6260</v>
      </c>
      <c r="I18" s="113">
        <f>'1'!I18</f>
        <v>65</v>
      </c>
      <c r="J18" s="175">
        <f>H18/DAY(B2)</f>
        <v>272.17391304347825</v>
      </c>
      <c r="K18" s="79"/>
      <c r="L18" s="66"/>
      <c r="N18" s="87"/>
      <c r="O18" s="71"/>
    </row>
    <row r="19" spans="1:15" ht="30.75" customHeight="1">
      <c r="A19" s="864" t="s">
        <v>69</v>
      </c>
      <c r="B19" s="865"/>
      <c r="C19" s="866"/>
      <c r="D19" s="151" t="s">
        <v>142</v>
      </c>
      <c r="E19" s="95">
        <f>'22'!F19</f>
        <v>169066</v>
      </c>
      <c r="F19" s="122">
        <v>169124</v>
      </c>
      <c r="G19" s="112">
        <f t="shared" ref="G19" si="1">F19-E19</f>
        <v>58</v>
      </c>
      <c r="H19" s="99">
        <f>G19+'22'!H19</f>
        <v>1248</v>
      </c>
      <c r="I19" s="335"/>
      <c r="J19" s="175">
        <f>H19/DAY(B2)</f>
        <v>54.260869565217391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258</v>
      </c>
      <c r="H20" s="99">
        <f>G20+'22'!H20</f>
        <v>7508</v>
      </c>
      <c r="I20" s="336">
        <f>I18-J20</f>
        <v>-261.43478260869563</v>
      </c>
      <c r="J20" s="175">
        <f>H20/DAY(B2)</f>
        <v>326.43478260869563</v>
      </c>
      <c r="K20" s="79"/>
      <c r="L20" s="66"/>
      <c r="N20" s="87"/>
      <c r="O20" s="71"/>
    </row>
    <row r="21" spans="1:15" ht="30.75" customHeight="1">
      <c r="A21" s="873" t="s">
        <v>144</v>
      </c>
      <c r="B21" s="874"/>
      <c r="C21" s="87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'22'!F22</f>
        <v>2970</v>
      </c>
      <c r="F22" s="122">
        <v>2970</v>
      </c>
      <c r="G22" s="119">
        <f t="shared" ref="G22" si="2">(F22-E22)</f>
        <v>0</v>
      </c>
      <c r="H22" s="99">
        <f>G22+'22'!H22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'22'!F23</f>
        <v>1860</v>
      </c>
      <c r="F23" s="122">
        <v>1860</v>
      </c>
      <c r="G23" s="119">
        <v>0</v>
      </c>
      <c r="H23" s="99">
        <f>G23+'22'!H23</f>
        <v>-100</v>
      </c>
      <c r="I23" s="118"/>
      <c r="J23" s="175">
        <f>H23/DAY(B2)</f>
        <v>-4.3478260869565215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f>'22'!F24</f>
        <v>4830</v>
      </c>
      <c r="F24" s="128">
        <v>4830</v>
      </c>
      <c r="G24" s="119">
        <v>0</v>
      </c>
      <c r="H24" s="99">
        <f>G24+'22'!H24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878" t="s">
        <v>149</v>
      </c>
      <c r="B25" s="879"/>
      <c r="C25" s="88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20700</v>
      </c>
      <c r="F27" s="136">
        <v>9</v>
      </c>
      <c r="G27" s="137">
        <f>E27*F27</f>
        <v>186300</v>
      </c>
      <c r="H27" s="99">
        <f>G27+'22'!H27</f>
        <v>4830003.8</v>
      </c>
      <c r="I27" s="138"/>
      <c r="J27" s="175">
        <f>H27/DAY(B2)</f>
        <v>210000.1652173913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1104</v>
      </c>
      <c r="F28" s="136">
        <v>70</v>
      </c>
      <c r="G28" s="137">
        <f>E28*F28</f>
        <v>77280</v>
      </c>
      <c r="H28" s="99">
        <f>G28+'22'!H28</f>
        <v>1763731.7500000005</v>
      </c>
      <c r="I28" s="140"/>
      <c r="J28" s="175">
        <f>H28/DAY(B2)</f>
        <v>76683.989130434798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G29+'22'!H29</f>
        <v>20700</v>
      </c>
      <c r="I29" s="140"/>
      <c r="J29" s="175">
        <f>H29/DAY(B2)</f>
        <v>900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58</v>
      </c>
      <c r="F30" s="136">
        <v>151</v>
      </c>
      <c r="G30" s="137">
        <f>E30*F30</f>
        <v>8758</v>
      </c>
      <c r="H30" s="99">
        <f>G30+'22'!H30</f>
        <v>188448</v>
      </c>
      <c r="I30" s="140"/>
      <c r="J30" s="175">
        <f>H30/DAY(B2)</f>
        <v>8193.391304347826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G31+'22'!H31</f>
        <v>500800</v>
      </c>
      <c r="I31" s="140"/>
      <c r="J31" s="175">
        <f>H31/DAY(B2)</f>
        <v>21773.91304347826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288338</v>
      </c>
      <c r="H32" s="99">
        <f>G32+'22'!H32</f>
        <v>7303683.5500000007</v>
      </c>
      <c r="I32" s="144"/>
      <c r="J32" s="175">
        <f>H32/DAY(B2)</f>
        <v>317551.4586956522</v>
      </c>
      <c r="K32" s="63"/>
      <c r="L32" s="89"/>
      <c r="N32" s="87"/>
      <c r="O32" s="71"/>
    </row>
    <row r="33" spans="1:15" ht="30.75" customHeight="1">
      <c r="A33" s="881" t="s">
        <v>331</v>
      </c>
      <c r="B33" s="882"/>
      <c r="C33" s="88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'22'!F35</f>
        <v>430402</v>
      </c>
      <c r="F35" s="145">
        <v>433074</v>
      </c>
      <c r="G35" s="112">
        <f t="shared" ref="G35:G46" si="3">F35-E35</f>
        <v>2672</v>
      </c>
      <c r="H35" s="99">
        <f>G35+'22'!H35</f>
        <v>63977.090000000026</v>
      </c>
      <c r="I35" s="95"/>
      <c r="J35" s="175">
        <f>H35/DAY(B2)</f>
        <v>2781.6126086956533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'22'!F36</f>
        <v>346046</v>
      </c>
      <c r="F36" s="145">
        <v>346840</v>
      </c>
      <c r="G36" s="112">
        <f t="shared" si="3"/>
        <v>794</v>
      </c>
      <c r="H36" s="99">
        <f>G36+'22'!H36</f>
        <v>24622.890000000014</v>
      </c>
      <c r="I36" s="95"/>
      <c r="J36" s="175">
        <f>H36/DAY(B2)</f>
        <v>1070.5604347826093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'22'!F37</f>
        <v>325374</v>
      </c>
      <c r="F37" s="145">
        <v>326829</v>
      </c>
      <c r="G37" s="112">
        <f t="shared" si="3"/>
        <v>1455</v>
      </c>
      <c r="H37" s="99">
        <f>G37+'22'!H37</f>
        <v>3830.3099999999977</v>
      </c>
      <c r="I37" s="95"/>
      <c r="J37" s="175">
        <f>H37/DAY(B2)</f>
        <v>166.53521739130426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'22'!F38</f>
        <v>774720</v>
      </c>
      <c r="F38" s="108">
        <v>777081</v>
      </c>
      <c r="G38" s="112">
        <f t="shared" si="3"/>
        <v>2361</v>
      </c>
      <c r="H38" s="99">
        <f>G38+'22'!H38</f>
        <v>41228.609999999986</v>
      </c>
      <c r="I38" s="95"/>
      <c r="J38" s="175">
        <f>H38/DAY(B2)</f>
        <v>1792.5482608695645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'22'!F39</f>
        <v>595710</v>
      </c>
      <c r="F39" s="145">
        <v>598431</v>
      </c>
      <c r="G39" s="112">
        <f t="shared" si="3"/>
        <v>2721</v>
      </c>
      <c r="H39" s="99">
        <f>G39+'22'!H39</f>
        <v>6846.8100000000559</v>
      </c>
      <c r="I39" s="95"/>
      <c r="J39" s="175">
        <f>H39/DAY(B2)</f>
        <v>297.68739130435023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'22'!F40</f>
        <v>205903</v>
      </c>
      <c r="F40" s="145">
        <v>206327</v>
      </c>
      <c r="G40" s="112">
        <f t="shared" si="3"/>
        <v>424</v>
      </c>
      <c r="H40" s="99">
        <f>G40+'22'!H40</f>
        <v>9597.0299999999988</v>
      </c>
      <c r="I40" s="95"/>
      <c r="J40" s="175">
        <f>H40/DAY(B2)</f>
        <v>417.26217391304345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'22'!F41</f>
        <v>420212</v>
      </c>
      <c r="F41" s="145">
        <v>420212</v>
      </c>
      <c r="G41" s="112">
        <f t="shared" si="3"/>
        <v>0</v>
      </c>
      <c r="H41" s="99">
        <f>G41+'22'!H41</f>
        <v>1044.4099999999744</v>
      </c>
      <c r="I41" s="95"/>
      <c r="J41" s="175">
        <f>H41/DAY(B2)</f>
        <v>45.409130434781495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'22'!F42</f>
        <v>890810</v>
      </c>
      <c r="F42" s="145">
        <v>890810</v>
      </c>
      <c r="G42" s="112">
        <f t="shared" si="3"/>
        <v>0</v>
      </c>
      <c r="H42" s="99">
        <f>G42+'22'!H42</f>
        <v>19039.920000000042</v>
      </c>
      <c r="I42" s="95"/>
      <c r="J42" s="175">
        <f>H42/DAY(B2)</f>
        <v>827.82260869565403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'22'!F43</f>
        <v>422444</v>
      </c>
      <c r="F43" s="145">
        <v>422444</v>
      </c>
      <c r="G43" s="112">
        <f t="shared" si="3"/>
        <v>0</v>
      </c>
      <c r="H43" s="99">
        <f>G43+'22'!H43</f>
        <v>15416</v>
      </c>
      <c r="I43" s="95"/>
      <c r="J43" s="175">
        <f>H43/DAY(B2)</f>
        <v>670.26086956521738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'22'!F44</f>
        <v>0</v>
      </c>
      <c r="F44" s="145">
        <v>0</v>
      </c>
      <c r="G44" s="112">
        <f t="shared" si="3"/>
        <v>0</v>
      </c>
      <c r="H44" s="99">
        <f>G44+'22'!H44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'22'!F45</f>
        <v>0</v>
      </c>
      <c r="F45" s="145">
        <v>0</v>
      </c>
      <c r="G45" s="112">
        <f t="shared" si="3"/>
        <v>0</v>
      </c>
      <c r="H45" s="99">
        <f>G45+'22'!H45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'22'!F46</f>
        <v>0</v>
      </c>
      <c r="F46" s="145">
        <v>0</v>
      </c>
      <c r="G46" s="112">
        <f t="shared" si="3"/>
        <v>0</v>
      </c>
      <c r="H46" s="99">
        <f>G46+'22'!H46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10427</v>
      </c>
      <c r="H47" s="99">
        <f>G47+'22'!H47</f>
        <v>185603.07000000009</v>
      </c>
      <c r="I47" s="95"/>
      <c r="J47" s="175">
        <f>H47/DAY(B2)</f>
        <v>8069.6986956521778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'22'!F49</f>
        <v>803225</v>
      </c>
      <c r="F49" s="145">
        <v>803572</v>
      </c>
      <c r="G49" s="112">
        <f t="shared" ref="G49:G58" si="4">F49-E49</f>
        <v>347</v>
      </c>
      <c r="H49" s="99">
        <f>G49+'22'!H49</f>
        <v>9949.0500000000466</v>
      </c>
      <c r="I49" s="95"/>
      <c r="J49" s="175">
        <f>H49/DAY(B2)</f>
        <v>432.56739130434983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'22'!F50</f>
        <v>489357</v>
      </c>
      <c r="F50" s="145">
        <v>490520</v>
      </c>
      <c r="G50" s="112">
        <f t="shared" si="4"/>
        <v>1163</v>
      </c>
      <c r="H50" s="99">
        <f>G50+'22'!H50</f>
        <v>33850.929999999993</v>
      </c>
      <c r="I50" s="95"/>
      <c r="J50" s="175">
        <f>H50/DAY(B2)</f>
        <v>1471.7795652173911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'22'!F51</f>
        <v>156958</v>
      </c>
      <c r="F51" s="145">
        <v>156958</v>
      </c>
      <c r="G51" s="112">
        <f t="shared" si="4"/>
        <v>0</v>
      </c>
      <c r="H51" s="99">
        <f>G51+'22'!H51</f>
        <v>21713.450000000012</v>
      </c>
      <c r="I51" s="95"/>
      <c r="J51" s="175">
        <f>H51/DAY(B2)</f>
        <v>944.06304347826142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'22'!F52</f>
        <v>9.76</v>
      </c>
      <c r="F52" s="145">
        <v>9.76</v>
      </c>
      <c r="G52" s="112">
        <f t="shared" si="4"/>
        <v>0</v>
      </c>
      <c r="H52" s="99">
        <f>G52+'22'!H52</f>
        <v>-0.24000000000000021</v>
      </c>
      <c r="I52" s="95"/>
      <c r="J52" s="175">
        <f>H52/DAY(B2)</f>
        <v>-1.0434782608695662E-2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'22'!F53</f>
        <v>630355</v>
      </c>
      <c r="F53" s="145">
        <v>630355</v>
      </c>
      <c r="G53" s="112">
        <f t="shared" si="4"/>
        <v>0</v>
      </c>
      <c r="H53" s="99">
        <f>G53+'22'!H53</f>
        <v>83813.729999999981</v>
      </c>
      <c r="I53" s="95"/>
      <c r="J53" s="175">
        <f>H53/DAY(B2)</f>
        <v>3644.0752173913033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'22'!F54</f>
        <v>111386</v>
      </c>
      <c r="F54" s="145">
        <v>111735</v>
      </c>
      <c r="G54" s="112">
        <f t="shared" si="4"/>
        <v>349</v>
      </c>
      <c r="H54" s="99">
        <f>G54+'22'!H54</f>
        <v>4071.8399999999965</v>
      </c>
      <c r="I54" s="95"/>
      <c r="J54" s="175">
        <f>H54/DAY(B2)</f>
        <v>177.03652173913028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'22'!F55</f>
        <v>576336</v>
      </c>
      <c r="F55" s="145">
        <v>576335.63</v>
      </c>
      <c r="G55" s="112">
        <f t="shared" si="4"/>
        <v>-0.36999999999534339</v>
      </c>
      <c r="H55" s="99">
        <f>G55+'22'!H55</f>
        <v>14850.959999999963</v>
      </c>
      <c r="I55" s="95"/>
      <c r="J55" s="175">
        <f>H55/DAY(B2)</f>
        <v>645.69391304347664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'22'!F56</f>
        <v>327218</v>
      </c>
      <c r="F56" s="145">
        <v>330237</v>
      </c>
      <c r="G56" s="112">
        <f t="shared" si="4"/>
        <v>3019</v>
      </c>
      <c r="H56" s="99">
        <f>G56+'22'!H56</f>
        <v>62121.989999999991</v>
      </c>
      <c r="I56" s="95"/>
      <c r="J56" s="175">
        <f>H56/DAY(B2)</f>
        <v>2700.9560869565212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'22'!F57</f>
        <v>607792</v>
      </c>
      <c r="F57" s="145">
        <v>610355</v>
      </c>
      <c r="G57" s="112">
        <f t="shared" si="4"/>
        <v>2563</v>
      </c>
      <c r="H57" s="99">
        <f>G57+'22'!H57</f>
        <v>46795.530000000028</v>
      </c>
      <c r="I57" s="95"/>
      <c r="J57" s="175">
        <f>H57/DAY(B2)</f>
        <v>2034.5882608695665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'22'!F58</f>
        <v>83926</v>
      </c>
      <c r="F58" s="145">
        <v>84186</v>
      </c>
      <c r="G58" s="112">
        <f t="shared" si="4"/>
        <v>260</v>
      </c>
      <c r="H58" s="99">
        <f>G58+'22'!H58</f>
        <v>5470.3099999999977</v>
      </c>
      <c r="I58" s="95"/>
      <c r="J58" s="175">
        <f>H58/DAY(B2)</f>
        <v>237.8395652173912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7700.6300000000047</v>
      </c>
      <c r="H59" s="99">
        <f>G59+'22'!H59</f>
        <v>282637.55</v>
      </c>
      <c r="I59" s="95">
        <f>G7-G60</f>
        <v>2451.3699999999953</v>
      </c>
      <c r="J59" s="175">
        <f>H59/DAY(B2)</f>
        <v>12288.589130434782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18127.630000000005</v>
      </c>
      <c r="H60" s="99">
        <f>G60+'22'!H60</f>
        <v>468240.62000000023</v>
      </c>
      <c r="I60" s="95">
        <f>G13-G60</f>
        <v>1892.3699999999953</v>
      </c>
      <c r="J60" s="175">
        <f>H60/DAY(B2)</f>
        <v>20358.287826086966</v>
      </c>
      <c r="K60" s="79"/>
      <c r="L60" s="66"/>
      <c r="N60" s="87"/>
      <c r="O60" s="71"/>
    </row>
    <row r="61" spans="1:15" s="68" customFormat="1" ht="30.75" customHeight="1">
      <c r="A61" s="883" t="s">
        <v>332</v>
      </c>
      <c r="B61" s="884"/>
      <c r="C61" s="88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>
      <c r="A62" s="864" t="s">
        <v>198</v>
      </c>
      <c r="B62" s="865"/>
      <c r="C62" s="866"/>
      <c r="D62" s="151" t="s">
        <v>142</v>
      </c>
      <c r="E62" s="95">
        <f>'22'!F62</f>
        <v>310971</v>
      </c>
      <c r="F62" s="122">
        <v>311035</v>
      </c>
      <c r="G62" s="112">
        <f t="shared" ref="G62:G63" si="5">F62-E62</f>
        <v>64</v>
      </c>
      <c r="H62" s="99">
        <f>G62+'22'!H62</f>
        <v>2721</v>
      </c>
      <c r="I62" s="118"/>
      <c r="J62" s="175">
        <f>H62/DAY(B2)</f>
        <v>118.30434782608695</v>
      </c>
      <c r="K62" s="80"/>
      <c r="L62" s="66"/>
      <c r="N62" s="87"/>
      <c r="O62" s="71"/>
    </row>
    <row r="63" spans="1:15" ht="30.75" customHeight="1">
      <c r="A63" s="864" t="s">
        <v>199</v>
      </c>
      <c r="B63" s="865"/>
      <c r="C63" s="866"/>
      <c r="D63" s="151" t="s">
        <v>142</v>
      </c>
      <c r="E63" s="95">
        <f>'22'!F63</f>
        <v>248221</v>
      </c>
      <c r="F63" s="122">
        <v>248294</v>
      </c>
      <c r="G63" s="112">
        <f t="shared" si="5"/>
        <v>73</v>
      </c>
      <c r="H63" s="99">
        <f>G63+'22'!H63</f>
        <v>1365</v>
      </c>
      <c r="I63" s="118"/>
      <c r="J63" s="175">
        <f>H63/DAY(B2)</f>
        <v>59.347826086956523</v>
      </c>
      <c r="K63" s="69"/>
      <c r="L63" s="66"/>
      <c r="N63" s="87"/>
      <c r="O63" s="71"/>
    </row>
    <row r="64" spans="1:15" ht="30.75" customHeight="1">
      <c r="A64" s="861" t="s">
        <v>200</v>
      </c>
      <c r="B64" s="862"/>
      <c r="C64" s="863"/>
      <c r="D64" s="151"/>
      <c r="E64" s="95">
        <f>'22'!F64</f>
        <v>0</v>
      </c>
      <c r="F64" s="122"/>
      <c r="G64" s="112">
        <f>G62+G63</f>
        <v>137</v>
      </c>
      <c r="H64" s="99">
        <f>G64+'22'!H64</f>
        <v>4086</v>
      </c>
      <c r="I64" s="118"/>
      <c r="J64" s="175">
        <f>H64/DAY(B2)</f>
        <v>177.65217391304347</v>
      </c>
      <c r="K64" s="69"/>
      <c r="L64" s="66"/>
      <c r="N64" s="87"/>
      <c r="O64" s="71"/>
    </row>
    <row r="65" spans="1:15" ht="30.75" customHeight="1">
      <c r="A65" s="864" t="s">
        <v>201</v>
      </c>
      <c r="B65" s="865"/>
      <c r="C65" s="866"/>
      <c r="D65" s="151" t="s">
        <v>142</v>
      </c>
      <c r="E65" s="95">
        <f>'22'!F65</f>
        <v>470863</v>
      </c>
      <c r="F65" s="122">
        <v>470974</v>
      </c>
      <c r="G65" s="112">
        <f t="shared" ref="G65:G70" si="6">F65-E65</f>
        <v>111</v>
      </c>
      <c r="H65" s="99">
        <f>G65+'22'!H65</f>
        <v>3073</v>
      </c>
      <c r="I65" s="118"/>
      <c r="J65" s="175">
        <f>H65/DAY(B2)</f>
        <v>133.60869565217391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'22'!F66</f>
        <v>113427</v>
      </c>
      <c r="F66" s="122">
        <v>113436</v>
      </c>
      <c r="G66" s="112">
        <f t="shared" si="6"/>
        <v>9</v>
      </c>
      <c r="H66" s="99">
        <f>G66+'22'!H66</f>
        <v>55689</v>
      </c>
      <c r="I66" s="118"/>
      <c r="J66" s="175">
        <f>H66/DAY(B2)</f>
        <v>2421.2608695652175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'22'!F67</f>
        <v>116320</v>
      </c>
      <c r="F67" s="150">
        <v>116344</v>
      </c>
      <c r="G67" s="112">
        <f t="shared" si="6"/>
        <v>24</v>
      </c>
      <c r="H67" s="99">
        <f>G67+'22'!H67</f>
        <v>489</v>
      </c>
      <c r="I67" s="118"/>
      <c r="J67" s="175">
        <f>H67/DAY(B2)</f>
        <v>21.260869565217391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'22'!F68</f>
        <v>169163</v>
      </c>
      <c r="F68" s="122">
        <v>169187</v>
      </c>
      <c r="G68" s="112">
        <f t="shared" si="6"/>
        <v>24</v>
      </c>
      <c r="H68" s="99">
        <f>G68+'22'!H68</f>
        <v>680</v>
      </c>
      <c r="I68" s="118"/>
      <c r="J68" s="175">
        <f>H68/DAY(B2)</f>
        <v>29.565217391304348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'22'!F69</f>
        <v>12927</v>
      </c>
      <c r="F69" s="122">
        <v>12932</v>
      </c>
      <c r="G69" s="112">
        <f t="shared" si="6"/>
        <v>5</v>
      </c>
      <c r="H69" s="99">
        <f>G69+'22'!H69</f>
        <v>122</v>
      </c>
      <c r="I69" s="118"/>
      <c r="J69" s="175">
        <f>H69/DAY(B2)</f>
        <v>5.3043478260869561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'22'!F70</f>
        <v>10941</v>
      </c>
      <c r="F70" s="150">
        <v>10949</v>
      </c>
      <c r="G70" s="112">
        <f t="shared" si="6"/>
        <v>8</v>
      </c>
      <c r="H70" s="99">
        <f>G70+'22'!H70</f>
        <v>170</v>
      </c>
      <c r="I70" s="118"/>
      <c r="J70" s="175">
        <f>H70/DAY(B2)</f>
        <v>7.3913043478260869</v>
      </c>
      <c r="K70" s="69"/>
      <c r="L70" s="66"/>
      <c r="N70" s="87"/>
      <c r="O70" s="71"/>
    </row>
    <row r="71" spans="1:15" ht="30.75" customHeight="1">
      <c r="A71" s="861" t="s">
        <v>208</v>
      </c>
      <c r="B71" s="862"/>
      <c r="C71" s="863"/>
      <c r="D71" s="152"/>
      <c r="E71" s="152"/>
      <c r="F71" s="152"/>
      <c r="G71" s="153">
        <f>SUM(G65:G70)</f>
        <v>181</v>
      </c>
      <c r="H71" s="99">
        <f>G71+'22'!H71</f>
        <v>60223</v>
      </c>
      <c r="I71" s="154"/>
      <c r="J71" s="175">
        <f>H71/DAY(B2)</f>
        <v>2618.391304347826</v>
      </c>
      <c r="K71" s="69"/>
      <c r="L71" s="66"/>
      <c r="N71" s="87"/>
      <c r="O71" s="71"/>
    </row>
    <row r="72" spans="1:15" s="88" customFormat="1" ht="30.75" customHeight="1">
      <c r="A72" s="904"/>
      <c r="B72" s="89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909" t="s">
        <v>333</v>
      </c>
      <c r="B73" s="910"/>
      <c r="C73" s="91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864" t="s">
        <v>220</v>
      </c>
      <c r="B74" s="865"/>
      <c r="C74" s="866"/>
      <c r="D74" s="151" t="s">
        <v>139</v>
      </c>
      <c r="E74" s="95">
        <f>'22'!F74</f>
        <v>999799</v>
      </c>
      <c r="F74" s="117">
        <v>1000096</v>
      </c>
      <c r="G74" s="112">
        <f t="shared" ref="G74:G78" si="7">F74-E74</f>
        <v>297</v>
      </c>
      <c r="H74" s="99">
        <f>G74+'22'!H74</f>
        <v>6736.9699999999721</v>
      </c>
      <c r="I74" s="154"/>
      <c r="J74" s="175">
        <f>H74/DAY(B2)</f>
        <v>292.91173913043355</v>
      </c>
      <c r="K74" s="69"/>
      <c r="L74" s="66"/>
      <c r="N74" s="87"/>
      <c r="O74" s="71"/>
    </row>
    <row r="75" spans="1:15" ht="30.75" customHeight="1">
      <c r="A75" s="864" t="s">
        <v>221</v>
      </c>
      <c r="B75" s="865"/>
      <c r="C75" s="866"/>
      <c r="D75" s="151" t="s">
        <v>139</v>
      </c>
      <c r="E75" s="95">
        <f>'22'!F75</f>
        <v>73586.8</v>
      </c>
      <c r="F75" s="123">
        <v>73586.8</v>
      </c>
      <c r="G75" s="112">
        <f t="shared" si="7"/>
        <v>0</v>
      </c>
      <c r="H75" s="99">
        <f>G75+'22'!H75</f>
        <v>0.80000000000291038</v>
      </c>
      <c r="I75" s="154"/>
      <c r="J75" s="175">
        <f>H75/DAY(B2)</f>
        <v>3.4782608695778712E-2</v>
      </c>
      <c r="K75" s="69"/>
      <c r="L75" s="66"/>
      <c r="N75" s="87"/>
      <c r="O75" s="71"/>
    </row>
    <row r="76" spans="1:15" ht="30.75" customHeight="1">
      <c r="A76" s="905" t="s">
        <v>222</v>
      </c>
      <c r="B76" s="891"/>
      <c r="C76" s="892"/>
      <c r="D76" s="151" t="s">
        <v>139</v>
      </c>
      <c r="E76" s="95">
        <f>'22'!F76</f>
        <v>206419</v>
      </c>
      <c r="F76" s="123">
        <v>206517</v>
      </c>
      <c r="G76" s="112">
        <f t="shared" si="7"/>
        <v>98</v>
      </c>
      <c r="H76" s="99">
        <f>G76+'22'!H76</f>
        <v>2855</v>
      </c>
      <c r="I76" s="154"/>
      <c r="J76" s="175">
        <f>H76/DAY(B2)</f>
        <v>124.1304347826087</v>
      </c>
      <c r="K76" s="69"/>
      <c r="L76" s="66"/>
      <c r="N76" s="87"/>
      <c r="O76" s="71"/>
    </row>
    <row r="77" spans="1:15" ht="30.75" customHeight="1">
      <c r="A77" s="905" t="s">
        <v>223</v>
      </c>
      <c r="B77" s="891"/>
      <c r="C77" s="892"/>
      <c r="D77" s="151" t="s">
        <v>139</v>
      </c>
      <c r="E77" s="95">
        <f>'22'!F77</f>
        <v>57689</v>
      </c>
      <c r="F77" s="123">
        <v>57735</v>
      </c>
      <c r="G77" s="112">
        <f t="shared" si="7"/>
        <v>46</v>
      </c>
      <c r="H77" s="99">
        <f>G77+'22'!H77</f>
        <v>1213</v>
      </c>
      <c r="I77" s="154"/>
      <c r="J77" s="175">
        <f>H77/DAY(B2)</f>
        <v>52.739130434782609</v>
      </c>
      <c r="K77" s="69"/>
      <c r="L77" s="66"/>
      <c r="N77" s="87"/>
      <c r="O77" s="71"/>
    </row>
    <row r="78" spans="1:15" ht="30.75" customHeight="1">
      <c r="A78" s="905" t="s">
        <v>224</v>
      </c>
      <c r="B78" s="891"/>
      <c r="C78" s="892"/>
      <c r="D78" s="151" t="s">
        <v>139</v>
      </c>
      <c r="E78" s="95">
        <f>'22'!F78</f>
        <v>9564</v>
      </c>
      <c r="F78" s="123">
        <v>9564</v>
      </c>
      <c r="G78" s="112">
        <f t="shared" si="7"/>
        <v>0</v>
      </c>
      <c r="H78" s="99">
        <f>G78+'22'!H78</f>
        <v>-0.3999999999996362</v>
      </c>
      <c r="I78" s="118"/>
      <c r="J78" s="175">
        <f>H78/DAY(B2)</f>
        <v>-1.739130434781027E-2</v>
      </c>
      <c r="K78" s="69"/>
      <c r="L78" s="66"/>
      <c r="N78" s="87"/>
      <c r="O78" s="71"/>
    </row>
    <row r="79" spans="1:15" s="57" customFormat="1" ht="30.75" customHeight="1">
      <c r="A79" s="905" t="s">
        <v>225</v>
      </c>
      <c r="B79" s="891"/>
      <c r="C79" s="892"/>
      <c r="D79" s="151"/>
      <c r="E79" s="95">
        <f>'22'!F79</f>
        <v>0</v>
      </c>
      <c r="F79" s="123"/>
      <c r="G79" s="112">
        <f>G15-SUM(G74:G78)</f>
        <v>663</v>
      </c>
      <c r="H79" s="99">
        <f>G79+'22'!H79</f>
        <v>14240.630000000025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861" t="s">
        <v>329</v>
      </c>
      <c r="B80" s="862"/>
      <c r="C80" s="863"/>
      <c r="D80" s="151"/>
      <c r="E80" s="117"/>
      <c r="F80" s="117"/>
      <c r="G80" s="112">
        <f>SUM(G74:G79)</f>
        <v>1104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897" t="s">
        <v>226</v>
      </c>
      <c r="B81" s="898"/>
      <c r="C81" s="899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'22'!F82</f>
        <v>0</v>
      </c>
      <c r="F82" s="122">
        <v>0</v>
      </c>
      <c r="G82" s="112">
        <f t="shared" ref="G82:G92" si="8">F82-E82</f>
        <v>0</v>
      </c>
      <c r="H82" s="99">
        <f>G82+'22'!H82</f>
        <v>0</v>
      </c>
      <c r="I82" s="545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'22'!F83</f>
        <v>0</v>
      </c>
      <c r="F83" s="122">
        <v>0</v>
      </c>
      <c r="G83" s="112">
        <f t="shared" si="8"/>
        <v>0</v>
      </c>
      <c r="H83" s="99">
        <f>G83+'22'!H83</f>
        <v>0</v>
      </c>
      <c r="I83" s="545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'22'!F84</f>
        <v>43546</v>
      </c>
      <c r="F84" s="164">
        <v>43546</v>
      </c>
      <c r="G84" s="112">
        <f t="shared" si="8"/>
        <v>0</v>
      </c>
      <c r="H84" s="99">
        <f>G84+'22'!H84</f>
        <v>2005.7900000000009</v>
      </c>
      <c r="I84" s="545"/>
      <c r="J84" s="175">
        <f>H84/DAY(B2)</f>
        <v>87.208260869565251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95">
        <f>'22'!F85</f>
        <v>5768</v>
      </c>
      <c r="F85" s="164">
        <v>5768</v>
      </c>
      <c r="G85" s="112">
        <f t="shared" si="8"/>
        <v>0</v>
      </c>
      <c r="H85" s="99">
        <f>G85+'22'!H85</f>
        <v>84</v>
      </c>
      <c r="I85" s="545"/>
      <c r="J85" s="175">
        <f>H85/DAY(B2)</f>
        <v>3.652173913043478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'22'!F86</f>
        <v>46834</v>
      </c>
      <c r="F86" s="164">
        <v>46834</v>
      </c>
      <c r="G86" s="112">
        <f t="shared" si="8"/>
        <v>0</v>
      </c>
      <c r="H86" s="99">
        <f>G86+'22'!H86</f>
        <v>80.069999999999709</v>
      </c>
      <c r="I86" s="545"/>
      <c r="J86" s="175">
        <f>H86/DAY(B2)</f>
        <v>3.4813043478260743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'22'!F87</f>
        <v>36960</v>
      </c>
      <c r="F87" s="164">
        <v>36984</v>
      </c>
      <c r="G87" s="112">
        <f t="shared" si="8"/>
        <v>24</v>
      </c>
      <c r="H87" s="99">
        <f>G87+'22'!H87</f>
        <v>433.79000000000087</v>
      </c>
      <c r="I87" s="545">
        <f>G84+G85+G86+G87</f>
        <v>24</v>
      </c>
      <c r="J87" s="175">
        <f>H87/DAY(B2)</f>
        <v>18.860434782608735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'22'!F88</f>
        <v>24533.48</v>
      </c>
      <c r="F88" s="164">
        <v>24541</v>
      </c>
      <c r="G88" s="112">
        <f t="shared" si="8"/>
        <v>7.5200000000004366</v>
      </c>
      <c r="H88" s="99">
        <f>G88+'22'!H88</f>
        <v>29.200000000000728</v>
      </c>
      <c r="I88" s="545"/>
      <c r="J88" s="175">
        <f>H88/DAY(B2)</f>
        <v>1.2695652173913359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'22'!F89</f>
        <v>28707</v>
      </c>
      <c r="F89" s="164">
        <v>28711</v>
      </c>
      <c r="G89" s="112">
        <f t="shared" si="8"/>
        <v>4</v>
      </c>
      <c r="H89" s="99">
        <f>G89+'22'!H89</f>
        <v>209.29999999999927</v>
      </c>
      <c r="I89" s="545">
        <f>G88+G89</f>
        <v>11.520000000000437</v>
      </c>
      <c r="J89" s="175">
        <f>H89/DAY(B2)</f>
        <v>9.0999999999999677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'22'!F90</f>
        <v>74111</v>
      </c>
      <c r="F90" s="164">
        <v>74122</v>
      </c>
      <c r="G90" s="112">
        <f t="shared" si="8"/>
        <v>11</v>
      </c>
      <c r="H90" s="99">
        <f>G90+'22'!H90</f>
        <v>261.39999999999418</v>
      </c>
      <c r="I90" s="545">
        <f>G90</f>
        <v>11</v>
      </c>
      <c r="J90" s="175">
        <f>H90/DAY(B2)</f>
        <v>11.365217391304094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'22'!F91</f>
        <v>5565.57</v>
      </c>
      <c r="F91" s="122">
        <v>5577</v>
      </c>
      <c r="G91" s="112">
        <f t="shared" si="8"/>
        <v>11.430000000000291</v>
      </c>
      <c r="H91" s="99">
        <f>G91+'22'!H91</f>
        <v>224.22999999999956</v>
      </c>
      <c r="I91" s="546"/>
      <c r="J91" s="175">
        <f>H91/DAY(B2)</f>
        <v>9.7491304347825896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'22'!F92</f>
        <v>7031.67</v>
      </c>
      <c r="F92" s="122">
        <v>7031.67</v>
      </c>
      <c r="G92" s="112">
        <f t="shared" si="8"/>
        <v>0</v>
      </c>
      <c r="H92" s="99">
        <f>G92+'22'!H92</f>
        <v>31.670000000000073</v>
      </c>
      <c r="I92" s="547">
        <f>G91+G92</f>
        <v>11.430000000000291</v>
      </c>
      <c r="J92" s="175">
        <f>H92/DAY(B2)</f>
        <v>1.3769565217391335</v>
      </c>
      <c r="O92" s="71"/>
    </row>
    <row r="93" spans="1:15" ht="30.75" customHeight="1">
      <c r="A93" s="906" t="s">
        <v>239</v>
      </c>
      <c r="B93" s="907"/>
      <c r="C93" s="90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864" t="s">
        <v>240</v>
      </c>
      <c r="B94" s="865"/>
      <c r="C94" s="866"/>
      <c r="D94" s="151" t="s">
        <v>130</v>
      </c>
      <c r="E94" s="151"/>
      <c r="F94" s="151"/>
      <c r="G94" s="99">
        <f>G35+G43+G49+G57</f>
        <v>5582</v>
      </c>
      <c r="H94" s="99">
        <f>G94+'22'!H94</f>
        <v>136137.6700000001</v>
      </c>
      <c r="I94" s="118"/>
      <c r="J94" s="175">
        <f>H94/DAY(B2)</f>
        <v>5919.0291304347866</v>
      </c>
      <c r="K94" s="69"/>
      <c r="L94" s="66"/>
      <c r="O94" s="71"/>
    </row>
    <row r="95" spans="1:15" ht="30.75" customHeight="1">
      <c r="A95" s="864" t="s">
        <v>241</v>
      </c>
      <c r="B95" s="865"/>
      <c r="C95" s="866"/>
      <c r="D95" s="151" t="s">
        <v>23</v>
      </c>
      <c r="E95" s="146"/>
      <c r="F95" s="146"/>
      <c r="G95" s="166">
        <f>G94/G7</f>
        <v>0.27124738811409688</v>
      </c>
      <c r="H95" s="99">
        <f>G95+'22'!H95</f>
        <v>5.8967137051877554</v>
      </c>
      <c r="I95" s="167"/>
      <c r="J95" s="175">
        <f>H95/DAY(B2)</f>
        <v>0.25637885674729372</v>
      </c>
      <c r="K95" s="69"/>
      <c r="L95" s="66"/>
      <c r="O95" s="71"/>
    </row>
    <row r="96" spans="1:15" ht="30.75" customHeight="1">
      <c r="A96" s="864" t="s">
        <v>242</v>
      </c>
      <c r="B96" s="865"/>
      <c r="C96" s="866"/>
      <c r="D96" s="151" t="s">
        <v>130</v>
      </c>
      <c r="E96" s="95"/>
      <c r="F96" s="95"/>
      <c r="G96" s="99">
        <f>G41+G42+G55+G56</f>
        <v>3018.6300000000047</v>
      </c>
      <c r="H96" s="99">
        <f>G96+'22'!H96</f>
        <v>97057.27999999997</v>
      </c>
      <c r="I96" s="118"/>
      <c r="J96" s="175">
        <f>H96/DAY(B2)</f>
        <v>4219.8817391304337</v>
      </c>
      <c r="K96" s="69"/>
      <c r="L96" s="66"/>
      <c r="O96" s="71"/>
    </row>
    <row r="97" spans="1:15" ht="30.75" customHeight="1">
      <c r="A97" s="864" t="s">
        <v>243</v>
      </c>
      <c r="B97" s="865"/>
      <c r="C97" s="866"/>
      <c r="D97" s="151" t="s">
        <v>23</v>
      </c>
      <c r="E97" s="95"/>
      <c r="F97" s="95"/>
      <c r="G97" s="166">
        <f>G96/G7</f>
        <v>0.14668497011516618</v>
      </c>
      <c r="H97" s="99">
        <f>G97+'22'!H97</f>
        <v>4.1660782119385305</v>
      </c>
      <c r="I97" s="167"/>
      <c r="J97" s="175">
        <f>H97/DAY(B2)</f>
        <v>0.18113383530167523</v>
      </c>
      <c r="K97" s="69"/>
      <c r="L97" s="66"/>
      <c r="O97" s="71"/>
    </row>
    <row r="98" spans="1:15" ht="30.75" customHeight="1">
      <c r="A98" s="864" t="s">
        <v>244</v>
      </c>
      <c r="B98" s="865"/>
      <c r="C98" s="866"/>
      <c r="D98" s="151" t="s">
        <v>130</v>
      </c>
      <c r="E98" s="95"/>
      <c r="F98" s="95"/>
      <c r="G98" s="99">
        <f>G39+G53</f>
        <v>2721</v>
      </c>
      <c r="H98" s="99">
        <f>G98+'22'!H98</f>
        <v>90660.540000000037</v>
      </c>
      <c r="I98" s="168"/>
      <c r="J98" s="175">
        <f>H98/DAY(B2)</f>
        <v>3941.7626086956539</v>
      </c>
      <c r="K98" s="69"/>
      <c r="L98" s="66"/>
      <c r="O98" s="71"/>
    </row>
    <row r="99" spans="1:15" ht="30.75" customHeight="1">
      <c r="A99" s="864" t="s">
        <v>245</v>
      </c>
      <c r="B99" s="865"/>
      <c r="C99" s="866"/>
      <c r="D99" s="151" t="s">
        <v>23</v>
      </c>
      <c r="E99" s="95"/>
      <c r="F99" s="95"/>
      <c r="G99" s="166">
        <f>G98/G7</f>
        <v>0.13222216822974878</v>
      </c>
      <c r="H99" s="99">
        <f>G99+'22'!H99</f>
        <v>3.9277710239344912</v>
      </c>
      <c r="I99" s="168"/>
      <c r="J99" s="175">
        <f>H99/DAY(B2)</f>
        <v>0.1707726532145431</v>
      </c>
      <c r="O99" s="71"/>
    </row>
    <row r="100" spans="1:15" ht="30.75" customHeight="1">
      <c r="A100" s="864" t="s">
        <v>246</v>
      </c>
      <c r="B100" s="865"/>
      <c r="C100" s="866"/>
      <c r="D100" s="151" t="s">
        <v>180</v>
      </c>
      <c r="E100" s="95"/>
      <c r="F100" s="95"/>
      <c r="G100" s="99">
        <f>G38+G52</f>
        <v>2361</v>
      </c>
      <c r="H100" s="99">
        <f>G100+'22'!H100</f>
        <v>41228.369999999988</v>
      </c>
      <c r="I100" s="118"/>
      <c r="J100" s="175">
        <f>H100/DAY(B2)</f>
        <v>1792.5378260869561</v>
      </c>
      <c r="K100" s="70"/>
      <c r="O100" s="71"/>
    </row>
    <row r="101" spans="1:15" ht="30.75" customHeight="1">
      <c r="A101" s="864" t="s">
        <v>247</v>
      </c>
      <c r="B101" s="865"/>
      <c r="C101" s="866"/>
      <c r="D101" s="151" t="s">
        <v>23</v>
      </c>
      <c r="E101" s="95"/>
      <c r="F101" s="95"/>
      <c r="G101" s="166">
        <f>G100/G7</f>
        <v>0.11472860683220759</v>
      </c>
      <c r="H101" s="99">
        <f>G101+'22'!H101</f>
        <v>1.8098569295318174</v>
      </c>
      <c r="I101" s="168"/>
      <c r="J101" s="175">
        <f>H101/DAY(B2)</f>
        <v>7.8689431718774669E-2</v>
      </c>
      <c r="O101" s="71"/>
    </row>
    <row r="102" spans="1:15" ht="30.75" customHeight="1">
      <c r="A102" s="864" t="s">
        <v>248</v>
      </c>
      <c r="B102" s="865"/>
      <c r="C102" s="866"/>
      <c r="D102" s="151" t="s">
        <v>180</v>
      </c>
      <c r="E102" s="95"/>
      <c r="F102" s="95"/>
      <c r="G102" s="99">
        <f>G36+G50</f>
        <v>1957</v>
      </c>
      <c r="H102" s="99">
        <f>G102+'22'!H102</f>
        <v>58473.820000000007</v>
      </c>
      <c r="I102" s="168"/>
      <c r="J102" s="175">
        <f>H102/DAY(B2)</f>
        <v>2542.34</v>
      </c>
      <c r="O102" s="71"/>
    </row>
    <row r="103" spans="1:15" ht="30.75" customHeight="1">
      <c r="A103" s="864" t="s">
        <v>249</v>
      </c>
      <c r="B103" s="865"/>
      <c r="C103" s="866"/>
      <c r="D103" s="151" t="s">
        <v>23</v>
      </c>
      <c r="E103" s="95"/>
      <c r="F103" s="95"/>
      <c r="G103" s="166">
        <f>G102/G7</f>
        <v>9.5096943486078042E-2</v>
      </c>
      <c r="H103" s="99">
        <f>G103+'22'!H103</f>
        <v>2.5308036453229676</v>
      </c>
      <c r="I103" s="118"/>
      <c r="J103" s="175">
        <f>H103/DAY(B2)</f>
        <v>0.1100349411009986</v>
      </c>
      <c r="O103" s="71"/>
    </row>
    <row r="104" spans="1:15" ht="30.75" customHeight="1">
      <c r="A104" s="864" t="s">
        <v>250</v>
      </c>
      <c r="B104" s="865"/>
      <c r="C104" s="866"/>
      <c r="D104" s="151" t="s">
        <v>180</v>
      </c>
      <c r="E104" s="95"/>
      <c r="F104" s="95"/>
      <c r="G104" s="99">
        <f>G37+G51</f>
        <v>1455</v>
      </c>
      <c r="H104" s="99">
        <f>G104+'22'!H104</f>
        <v>25543.760000000009</v>
      </c>
      <c r="I104" s="118"/>
      <c r="J104" s="175">
        <f>H104/DAY(B2)</f>
        <v>1110.5982608695656</v>
      </c>
      <c r="O104" s="71"/>
    </row>
    <row r="105" spans="1:15" ht="30.75" customHeight="1" thickBot="1">
      <c r="A105" s="901" t="s">
        <v>251</v>
      </c>
      <c r="B105" s="902"/>
      <c r="C105" s="903"/>
      <c r="D105" s="231" t="s">
        <v>23</v>
      </c>
      <c r="E105" s="185"/>
      <c r="F105" s="185"/>
      <c r="G105" s="186">
        <f>G104/G7</f>
        <v>7.0703143981728944E-2</v>
      </c>
      <c r="H105" s="99">
        <f>G105+'22'!H105</f>
        <v>1.1124095262045701</v>
      </c>
      <c r="I105" s="187"/>
      <c r="J105" s="188">
        <f>H105/DAY(B2)</f>
        <v>4.8365631574111743E-2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915" t="s">
        <v>324</v>
      </c>
      <c r="B108" s="915"/>
      <c r="C108" s="915"/>
      <c r="D108" s="915"/>
      <c r="E108" s="915"/>
      <c r="F108" s="915"/>
      <c r="G108" s="915"/>
      <c r="H108" s="915"/>
      <c r="I108" s="915"/>
      <c r="J108" s="915"/>
    </row>
    <row r="109" spans="1:15" ht="30.75" customHeight="1">
      <c r="A109" s="900"/>
      <c r="B109" s="900"/>
    </row>
    <row r="110" spans="1:15" ht="30.75" customHeight="1">
      <c r="A110" s="916" t="s">
        <v>165</v>
      </c>
      <c r="B110" s="917"/>
      <c r="C110" s="917"/>
      <c r="D110" s="917"/>
      <c r="E110" s="917"/>
      <c r="F110" s="917"/>
      <c r="G110" s="917"/>
      <c r="H110" s="917"/>
      <c r="I110" s="917"/>
      <c r="J110" s="918"/>
    </row>
    <row r="111" spans="1:15" ht="30.75" customHeight="1">
      <c r="A111" s="919"/>
      <c r="B111" s="920"/>
      <c r="C111" s="921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894" t="s">
        <v>252</v>
      </c>
      <c r="B112" s="895"/>
      <c r="C112" s="896"/>
      <c r="D112" s="146" t="s">
        <v>183</v>
      </c>
      <c r="E112" s="95">
        <f>'22'!F112</f>
        <v>16967</v>
      </c>
      <c r="F112" s="237">
        <v>17027</v>
      </c>
      <c r="G112" s="112">
        <f t="shared" ref="G112:G123" si="9">F112-E112</f>
        <v>60</v>
      </c>
      <c r="H112" s="99">
        <f>G112+'22'!H112</f>
        <v>1413.2000000000007</v>
      </c>
      <c r="I112" s="165"/>
      <c r="J112" s="328">
        <f>H112/DAY(B2)</f>
        <v>61.443478260869597</v>
      </c>
    </row>
    <row r="113" spans="1:18" ht="30.75" customHeight="1">
      <c r="A113" s="894" t="s">
        <v>253</v>
      </c>
      <c r="B113" s="895"/>
      <c r="C113" s="896"/>
      <c r="D113" s="146" t="s">
        <v>183</v>
      </c>
      <c r="E113" s="95">
        <f>'22'!F113</f>
        <v>35719</v>
      </c>
      <c r="F113" s="237">
        <v>35872</v>
      </c>
      <c r="G113" s="112">
        <f t="shared" si="9"/>
        <v>153</v>
      </c>
      <c r="H113" s="99">
        <f>G113+'22'!H113</f>
        <v>3421.3300000000017</v>
      </c>
      <c r="I113" s="165"/>
      <c r="J113" s="328">
        <f>H113/DAY(B2)</f>
        <v>148.75347826086963</v>
      </c>
    </row>
    <row r="114" spans="1:18" ht="30.75" customHeight="1">
      <c r="A114" s="894" t="s">
        <v>254</v>
      </c>
      <c r="B114" s="895"/>
      <c r="C114" s="896"/>
      <c r="D114" s="146" t="s">
        <v>183</v>
      </c>
      <c r="E114" s="95">
        <f>'22'!F114</f>
        <v>52491</v>
      </c>
      <c r="F114" s="237">
        <v>52687</v>
      </c>
      <c r="G114" s="112">
        <f t="shared" si="9"/>
        <v>196</v>
      </c>
      <c r="H114" s="99">
        <f>G114+'22'!H114</f>
        <v>4720.6999999999971</v>
      </c>
      <c r="I114" s="165"/>
      <c r="J114" s="328">
        <f>H114/DAY(B2)</f>
        <v>205.24782608695639</v>
      </c>
    </row>
    <row r="115" spans="1:18" ht="30.75" customHeight="1">
      <c r="A115" s="894" t="s">
        <v>255</v>
      </c>
      <c r="B115" s="895"/>
      <c r="C115" s="896"/>
      <c r="D115" s="146" t="s">
        <v>183</v>
      </c>
      <c r="E115" s="95">
        <f>'22'!F115</f>
        <v>33737</v>
      </c>
      <c r="F115" s="237">
        <v>33873</v>
      </c>
      <c r="G115" s="112">
        <f t="shared" si="9"/>
        <v>136</v>
      </c>
      <c r="H115" s="99">
        <f>G115+'22'!H115</f>
        <v>3436.5999999999985</v>
      </c>
      <c r="I115" s="165"/>
      <c r="J115" s="328">
        <f>H115/DAY(B2)</f>
        <v>149.41739130434777</v>
      </c>
    </row>
    <row r="116" spans="1:18" ht="30.75" customHeight="1">
      <c r="A116" s="912" t="s">
        <v>96</v>
      </c>
      <c r="B116" s="913"/>
      <c r="C116" s="914"/>
      <c r="D116" s="146" t="s">
        <v>183</v>
      </c>
      <c r="E116" s="95">
        <f>'22'!F116</f>
        <v>130906</v>
      </c>
      <c r="F116" s="237">
        <v>131225</v>
      </c>
      <c r="G116" s="112">
        <f t="shared" si="9"/>
        <v>319</v>
      </c>
      <c r="H116" s="99">
        <f>G116+'22'!H116</f>
        <v>8364.8000000000029</v>
      </c>
      <c r="I116" s="165"/>
      <c r="J116" s="328">
        <f>H116/DAY(B2)</f>
        <v>363.68695652173926</v>
      </c>
      <c r="Q116" s="894" t="s">
        <v>311</v>
      </c>
      <c r="R116" s="896"/>
    </row>
    <row r="117" spans="1:18" ht="30.75" customHeight="1">
      <c r="A117" s="912" t="s">
        <v>184</v>
      </c>
      <c r="B117" s="913"/>
      <c r="C117" s="914"/>
      <c r="D117" s="146" t="s">
        <v>183</v>
      </c>
      <c r="E117" s="95">
        <f>'22'!F117</f>
        <v>79838</v>
      </c>
      <c r="F117" s="237">
        <v>80135</v>
      </c>
      <c r="G117" s="112">
        <f t="shared" si="9"/>
        <v>297</v>
      </c>
      <c r="H117" s="99">
        <f>G117+'22'!H117</f>
        <v>6153.8000000000029</v>
      </c>
      <c r="I117" s="165"/>
      <c r="J117" s="328">
        <f>H117/DAY(B2)</f>
        <v>267.55652173913057</v>
      </c>
      <c r="Q117" s="894" t="s">
        <v>312</v>
      </c>
      <c r="R117" s="896"/>
    </row>
    <row r="118" spans="1:18" ht="30.75" customHeight="1">
      <c r="A118" s="889" t="s">
        <v>97</v>
      </c>
      <c r="B118" s="889"/>
      <c r="C118" s="889"/>
      <c r="D118" s="151" t="s">
        <v>183</v>
      </c>
      <c r="E118" s="95">
        <f>'22'!F118</f>
        <v>152749</v>
      </c>
      <c r="F118" s="237">
        <v>153363</v>
      </c>
      <c r="G118" s="112">
        <f t="shared" si="9"/>
        <v>614</v>
      </c>
      <c r="H118" s="99">
        <f>G118+'22'!H118</f>
        <v>14550.549999999988</v>
      </c>
      <c r="I118" s="165"/>
      <c r="J118" s="328">
        <f>H118/DAY(B2)</f>
        <v>632.6326086956517</v>
      </c>
      <c r="Q118" s="894" t="s">
        <v>311</v>
      </c>
      <c r="R118" s="896"/>
    </row>
    <row r="119" spans="1:18" ht="30.75" customHeight="1">
      <c r="A119" s="889" t="s">
        <v>98</v>
      </c>
      <c r="B119" s="889"/>
      <c r="C119" s="889"/>
      <c r="D119" s="151" t="s">
        <v>183</v>
      </c>
      <c r="E119" s="95">
        <f>'22'!F119</f>
        <v>43661</v>
      </c>
      <c r="F119" s="237">
        <v>43680</v>
      </c>
      <c r="G119" s="112">
        <f t="shared" si="9"/>
        <v>19</v>
      </c>
      <c r="H119" s="99">
        <f>G119+'22'!H119</f>
        <v>326.30000000000291</v>
      </c>
      <c r="I119" s="165"/>
      <c r="J119" s="328">
        <f>H119/DAY(B2)</f>
        <v>14.186956521739257</v>
      </c>
    </row>
    <row r="120" spans="1:18" ht="30.75" customHeight="1">
      <c r="A120" s="889" t="s">
        <v>99</v>
      </c>
      <c r="B120" s="889"/>
      <c r="C120" s="889"/>
      <c r="D120" s="151" t="s">
        <v>183</v>
      </c>
      <c r="E120" s="95">
        <f>'22'!F120</f>
        <v>104786</v>
      </c>
      <c r="F120" s="237">
        <v>105198</v>
      </c>
      <c r="G120" s="112">
        <f t="shared" si="9"/>
        <v>412</v>
      </c>
      <c r="H120" s="99">
        <f>G120+'22'!H120</f>
        <v>9490.3999999999942</v>
      </c>
      <c r="I120" s="165"/>
      <c r="J120" s="328">
        <f>H120/DAY(B2)</f>
        <v>412.62608695652148</v>
      </c>
    </row>
    <row r="121" spans="1:18" ht="30.75" customHeight="1">
      <c r="A121" s="889" t="s">
        <v>100</v>
      </c>
      <c r="B121" s="889"/>
      <c r="C121" s="889"/>
      <c r="D121" s="151" t="s">
        <v>183</v>
      </c>
      <c r="E121" s="95">
        <f>'22'!F121</f>
        <v>117354</v>
      </c>
      <c r="F121" s="237">
        <v>117824</v>
      </c>
      <c r="G121" s="112">
        <f t="shared" si="9"/>
        <v>470</v>
      </c>
      <c r="H121" s="99">
        <f>G121+'22'!H121</f>
        <v>9994.9499999999971</v>
      </c>
      <c r="I121" s="165"/>
      <c r="J121" s="328">
        <f>H121/DAY(B2)</f>
        <v>434.56304347826074</v>
      </c>
    </row>
    <row r="122" spans="1:18" ht="30.75" customHeight="1">
      <c r="A122" s="889" t="s">
        <v>101</v>
      </c>
      <c r="B122" s="889"/>
      <c r="C122" s="889"/>
      <c r="D122" s="151" t="s">
        <v>183</v>
      </c>
      <c r="E122" s="95">
        <f>'22'!F122</f>
        <v>78560</v>
      </c>
      <c r="F122" s="237">
        <v>78865</v>
      </c>
      <c r="G122" s="112">
        <f t="shared" si="9"/>
        <v>305</v>
      </c>
      <c r="H122" s="99">
        <f>G122+'22'!H122</f>
        <v>7827.1000000000058</v>
      </c>
      <c r="I122" s="165"/>
      <c r="J122" s="328">
        <f>H122/DAY(B2)</f>
        <v>340.30869565217415</v>
      </c>
    </row>
    <row r="123" spans="1:18" ht="30.75" customHeight="1">
      <c r="A123" s="889" t="s">
        <v>102</v>
      </c>
      <c r="B123" s="889"/>
      <c r="C123" s="889"/>
      <c r="D123" s="151" t="s">
        <v>183</v>
      </c>
      <c r="E123" s="95">
        <f>'22'!F123</f>
        <v>75176</v>
      </c>
      <c r="F123" s="237">
        <v>75509</v>
      </c>
      <c r="G123" s="112">
        <f t="shared" si="9"/>
        <v>333</v>
      </c>
      <c r="H123" s="99">
        <f>G123+'22'!H123</f>
        <v>7151.6999999999971</v>
      </c>
      <c r="I123" s="165"/>
      <c r="J123" s="328">
        <f>H123/DAY(B2)</f>
        <v>310.94347826086943</v>
      </c>
    </row>
    <row r="124" spans="1:18" ht="30.75" customHeight="1">
      <c r="A124" s="919"/>
      <c r="B124" s="920"/>
      <c r="C124" s="921"/>
      <c r="D124" s="165"/>
      <c r="E124" s="95">
        <f>'22'!F124</f>
        <v>0</v>
      </c>
      <c r="F124" s="165"/>
      <c r="G124" s="327"/>
      <c r="H124" s="99">
        <f>G124+'22'!H124</f>
        <v>0</v>
      </c>
      <c r="I124" s="165"/>
      <c r="J124" s="327"/>
    </row>
    <row r="125" spans="1:18" ht="30.75" customHeight="1">
      <c r="A125" s="853" t="s">
        <v>196</v>
      </c>
      <c r="B125" s="854"/>
      <c r="C125" s="245"/>
      <c r="D125" s="307"/>
      <c r="E125" s="308"/>
      <c r="F125" s="308"/>
      <c r="G125" s="309">
        <f>SUM(G112:G124)</f>
        <v>3314</v>
      </c>
      <c r="H125" s="156"/>
      <c r="I125" s="327">
        <f>G125-(G39+G53)</f>
        <v>593</v>
      </c>
      <c r="J125" s="327"/>
    </row>
    <row r="126" spans="1:18" ht="30.75" customHeight="1">
      <c r="A126" s="922" t="s">
        <v>317</v>
      </c>
      <c r="B126" s="922"/>
      <c r="C126" s="922"/>
      <c r="D126" s="922"/>
      <c r="E126" s="922"/>
      <c r="F126" s="922"/>
      <c r="G126" s="922"/>
      <c r="H126" s="922"/>
      <c r="I126" s="922"/>
      <c r="J126" s="922"/>
    </row>
    <row r="127" spans="1:18" ht="30.75" customHeight="1">
      <c r="A127" s="923"/>
      <c r="B127" s="923"/>
      <c r="C127" s="245"/>
      <c r="D127" s="307"/>
      <c r="E127" s="308"/>
      <c r="F127" s="308"/>
      <c r="G127" s="309"/>
      <c r="H127" s="99">
        <f>G127+'22'!H127</f>
        <v>0</v>
      </c>
      <c r="I127" s="165"/>
      <c r="J127" s="328">
        <f>H127/DAY(B2)</f>
        <v>0</v>
      </c>
    </row>
    <row r="128" spans="1:18" ht="30.75" customHeight="1">
      <c r="A128" s="894" t="s">
        <v>318</v>
      </c>
      <c r="B128" s="895"/>
      <c r="C128" s="896"/>
      <c r="D128" s="151" t="s">
        <v>183</v>
      </c>
      <c r="E128" s="95">
        <f>'22'!F128</f>
        <v>187958</v>
      </c>
      <c r="F128" s="155">
        <v>188417</v>
      </c>
      <c r="G128" s="112">
        <f t="shared" ref="G128:G134" si="10">F128-E128</f>
        <v>459</v>
      </c>
      <c r="H128" s="99">
        <f>G128+'22'!H128</f>
        <v>9005.1499999999942</v>
      </c>
      <c r="I128" s="165"/>
      <c r="J128" s="328">
        <f>H128/DAY(B2)</f>
        <v>391.52826086956497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'22'!F129</f>
        <v>99845</v>
      </c>
      <c r="F129" s="155">
        <v>100013</v>
      </c>
      <c r="G129" s="112">
        <f t="shared" si="10"/>
        <v>168</v>
      </c>
      <c r="H129" s="99">
        <f>G129+'22'!H129</f>
        <v>3983.5</v>
      </c>
      <c r="I129" s="165"/>
      <c r="J129" s="328">
        <f>H129/DAY(B2)</f>
        <v>173.19565217391303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'22'!F130</f>
        <v>262080</v>
      </c>
      <c r="F130" s="155">
        <v>262672</v>
      </c>
      <c r="G130" s="112">
        <f t="shared" si="10"/>
        <v>592</v>
      </c>
      <c r="H130" s="99">
        <f>G130+'22'!H130</f>
        <v>15832.25</v>
      </c>
      <c r="I130" s="165"/>
      <c r="J130" s="328">
        <f>H130/DAY(B2)</f>
        <v>688.35869565217388</v>
      </c>
      <c r="N130" s="240"/>
      <c r="O130" s="241"/>
    </row>
    <row r="131" spans="1:15" ht="30.75" customHeight="1">
      <c r="A131" s="894" t="s">
        <v>321</v>
      </c>
      <c r="B131" s="895"/>
      <c r="C131" s="896"/>
      <c r="D131" s="151" t="s">
        <v>183</v>
      </c>
      <c r="E131" s="95">
        <f>'22'!F131</f>
        <v>78460</v>
      </c>
      <c r="F131" s="155">
        <v>78603</v>
      </c>
      <c r="G131" s="112">
        <f t="shared" si="10"/>
        <v>143</v>
      </c>
      <c r="H131" s="99">
        <f>G131+'22'!H131</f>
        <v>5092.3999999999942</v>
      </c>
      <c r="I131" s="165"/>
      <c r="J131" s="328">
        <f>H131/DAY(B2)</f>
        <v>221.40869565217366</v>
      </c>
      <c r="N131" s="240"/>
      <c r="O131" s="241"/>
    </row>
    <row r="132" spans="1:15" ht="30.75" customHeight="1">
      <c r="A132" s="894" t="s">
        <v>322</v>
      </c>
      <c r="B132" s="895"/>
      <c r="C132" s="896"/>
      <c r="D132" s="151" t="s">
        <v>183</v>
      </c>
      <c r="E132" s="95">
        <f>'22'!F132</f>
        <v>148274</v>
      </c>
      <c r="F132" s="155">
        <v>148274</v>
      </c>
      <c r="G132" s="112">
        <f t="shared" si="10"/>
        <v>0</v>
      </c>
      <c r="H132" s="99">
        <f>G132+'22'!H132</f>
        <v>1289</v>
      </c>
      <c r="I132" s="165"/>
      <c r="J132" s="328">
        <f>H132/DAY(B2)</f>
        <v>56.043478260869563</v>
      </c>
    </row>
    <row r="133" spans="1:15" ht="30.75" customHeight="1">
      <c r="A133" s="894" t="s">
        <v>359</v>
      </c>
      <c r="B133" s="895"/>
      <c r="C133" s="896"/>
      <c r="D133" s="151" t="s">
        <v>183</v>
      </c>
      <c r="E133" s="95">
        <f>'22'!F133</f>
        <v>926687</v>
      </c>
      <c r="F133" s="155">
        <v>927419</v>
      </c>
      <c r="G133" s="112">
        <f t="shared" si="10"/>
        <v>732</v>
      </c>
      <c r="H133" s="99">
        <f>G133+'22'!H133</f>
        <v>17175</v>
      </c>
      <c r="I133" s="165"/>
      <c r="J133" s="328">
        <f>H133/DAY(B2)</f>
        <v>746.73913043478262</v>
      </c>
    </row>
    <row r="134" spans="1:15" ht="30.75" customHeight="1">
      <c r="A134" s="894" t="s">
        <v>340</v>
      </c>
      <c r="B134" s="895"/>
      <c r="C134" s="896"/>
      <c r="D134" s="151" t="s">
        <v>183</v>
      </c>
      <c r="E134" s="95">
        <f>'22'!F134</f>
        <v>83589</v>
      </c>
      <c r="F134" s="374">
        <v>83848</v>
      </c>
      <c r="G134" s="112">
        <f t="shared" si="10"/>
        <v>259</v>
      </c>
      <c r="H134" s="99">
        <f>G134+'22'!H134</f>
        <v>5088.3999999999942</v>
      </c>
      <c r="I134" s="165"/>
      <c r="J134" s="328">
        <f>H134/DAY(B2)</f>
        <v>221.23478260869541</v>
      </c>
    </row>
    <row r="135" spans="1:15" ht="30.75" customHeight="1">
      <c r="A135" s="853" t="s">
        <v>196</v>
      </c>
      <c r="B135" s="854"/>
      <c r="C135" s="331"/>
      <c r="D135" s="151"/>
      <c r="E135" s="95"/>
      <c r="F135" s="464"/>
      <c r="G135" s="112">
        <f>SUM(G128:G134)</f>
        <v>2353</v>
      </c>
      <c r="H135" s="99">
        <f>G135+'10'!H135</f>
        <v>27026.469999999987</v>
      </c>
      <c r="I135" s="327">
        <f>G135-(G35+G49)</f>
        <v>-666</v>
      </c>
      <c r="J135" s="328"/>
    </row>
    <row r="136" spans="1:15" ht="30.75" customHeight="1">
      <c r="A136" s="924" t="s">
        <v>325</v>
      </c>
      <c r="B136" s="924"/>
      <c r="C136" s="924"/>
      <c r="D136" s="924"/>
      <c r="E136" s="924"/>
      <c r="F136" s="924"/>
      <c r="G136" s="924"/>
      <c r="H136" s="924"/>
      <c r="I136" s="924"/>
      <c r="J136" s="924"/>
    </row>
    <row r="137" spans="1:15" ht="30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>
      <c r="A138" s="889" t="s">
        <v>185</v>
      </c>
      <c r="B138" s="889"/>
      <c r="C138" s="889"/>
      <c r="D138" s="151" t="s">
        <v>183</v>
      </c>
      <c r="E138" s="95">
        <f>'22'!F138</f>
        <v>908351</v>
      </c>
      <c r="F138" s="147">
        <v>908490</v>
      </c>
      <c r="G138" s="112">
        <f t="shared" ref="G138:G152" si="11">F138-E138</f>
        <v>139</v>
      </c>
      <c r="H138" s="99">
        <f>G138+'22'!H138</f>
        <v>2863</v>
      </c>
      <c r="I138" s="118"/>
      <c r="J138" s="328">
        <f>H138/DAY(B2)</f>
        <v>124.47826086956522</v>
      </c>
    </row>
    <row r="139" spans="1:15" ht="30.75" customHeight="1">
      <c r="A139" s="889" t="s">
        <v>186</v>
      </c>
      <c r="B139" s="889"/>
      <c r="C139" s="889"/>
      <c r="D139" s="151" t="s">
        <v>183</v>
      </c>
      <c r="E139" s="95">
        <f>'22'!F139</f>
        <v>930931</v>
      </c>
      <c r="F139" s="148">
        <v>931088</v>
      </c>
      <c r="G139" s="112">
        <f t="shared" si="11"/>
        <v>157</v>
      </c>
      <c r="H139" s="99">
        <f>G139+'22'!H139</f>
        <v>3807</v>
      </c>
      <c r="I139" s="118"/>
      <c r="J139" s="328">
        <f>H139/DAY(B2)</f>
        <v>165.52173913043478</v>
      </c>
    </row>
    <row r="140" spans="1:15" ht="30.75" customHeight="1">
      <c r="A140" s="889" t="s">
        <v>187</v>
      </c>
      <c r="B140" s="889"/>
      <c r="C140" s="889"/>
      <c r="D140" s="151" t="s">
        <v>183</v>
      </c>
      <c r="E140" s="95">
        <f>'22'!F140</f>
        <v>3850</v>
      </c>
      <c r="F140" s="149">
        <v>3877</v>
      </c>
      <c r="G140" s="112">
        <f t="shared" si="11"/>
        <v>27</v>
      </c>
      <c r="H140" s="99">
        <f>G140+'22'!H140</f>
        <v>545.90000000000009</v>
      </c>
      <c r="I140" s="118"/>
      <c r="J140" s="328">
        <f>H140/DAY(B2)</f>
        <v>23.734782608695657</v>
      </c>
    </row>
    <row r="141" spans="1:15" ht="30.75" customHeight="1">
      <c r="A141" s="893" t="s">
        <v>188</v>
      </c>
      <c r="B141" s="893"/>
      <c r="C141" s="893"/>
      <c r="D141" s="151" t="s">
        <v>183</v>
      </c>
      <c r="E141" s="95">
        <f>'22'!F141</f>
        <v>122678</v>
      </c>
      <c r="F141" s="149">
        <v>122895</v>
      </c>
      <c r="G141" s="112">
        <f t="shared" si="11"/>
        <v>217</v>
      </c>
      <c r="H141" s="99">
        <f>G141+'22'!H141</f>
        <v>5337.0200000000041</v>
      </c>
      <c r="I141" s="118"/>
      <c r="J141" s="328">
        <f>H141/DAY(B2)</f>
        <v>232.04434782608715</v>
      </c>
    </row>
    <row r="142" spans="1:15" ht="30.75" customHeight="1">
      <c r="A142" s="893" t="s">
        <v>189</v>
      </c>
      <c r="B142" s="893"/>
      <c r="C142" s="893"/>
      <c r="D142" s="151" t="s">
        <v>183</v>
      </c>
      <c r="E142" s="95">
        <f>'22'!F142</f>
        <v>49693</v>
      </c>
      <c r="F142" s="148">
        <v>49783</v>
      </c>
      <c r="G142" s="112">
        <f t="shared" si="11"/>
        <v>90</v>
      </c>
      <c r="H142" s="99">
        <f>G142+'22'!H142</f>
        <v>2278.5</v>
      </c>
      <c r="I142" s="140"/>
      <c r="J142" s="328">
        <f>H142/DAY(B2)</f>
        <v>99.065217391304344</v>
      </c>
    </row>
    <row r="143" spans="1:15" ht="30.75" customHeight="1">
      <c r="A143" s="889" t="s">
        <v>91</v>
      </c>
      <c r="B143" s="889"/>
      <c r="C143" s="889"/>
      <c r="D143" s="151" t="s">
        <v>183</v>
      </c>
      <c r="E143" s="95">
        <f>'22'!F143</f>
        <v>13093</v>
      </c>
      <c r="F143" s="149">
        <v>13127</v>
      </c>
      <c r="G143" s="112">
        <f t="shared" si="11"/>
        <v>34</v>
      </c>
      <c r="H143" s="99">
        <f>G143+'22'!H143</f>
        <v>711.60000000000036</v>
      </c>
      <c r="I143" s="140"/>
      <c r="J143" s="328">
        <f>H143/DAY(B2)</f>
        <v>30.939130434782623</v>
      </c>
    </row>
    <row r="144" spans="1:15" ht="30.75" customHeight="1">
      <c r="A144" s="893" t="s">
        <v>90</v>
      </c>
      <c r="B144" s="893"/>
      <c r="C144" s="893"/>
      <c r="D144" s="151" t="s">
        <v>183</v>
      </c>
      <c r="E144" s="95">
        <f>'22'!F144</f>
        <v>953325</v>
      </c>
      <c r="F144" s="149">
        <v>953555</v>
      </c>
      <c r="G144" s="112">
        <f t="shared" si="11"/>
        <v>230</v>
      </c>
      <c r="H144" s="99">
        <f>G144+'22'!H144</f>
        <v>5357</v>
      </c>
      <c r="I144" s="140"/>
      <c r="J144" s="328">
        <f>H144/DAY(B2)</f>
        <v>232.91304347826087</v>
      </c>
    </row>
    <row r="145" spans="1:10" ht="30.75" customHeight="1">
      <c r="A145" s="889" t="s">
        <v>190</v>
      </c>
      <c r="B145" s="889"/>
      <c r="C145" s="889"/>
      <c r="D145" s="152" t="s">
        <v>183</v>
      </c>
      <c r="E145" s="95">
        <f>'22'!F145</f>
        <v>25810</v>
      </c>
      <c r="F145" s="149">
        <v>26007</v>
      </c>
      <c r="G145" s="112">
        <f t="shared" si="11"/>
        <v>197</v>
      </c>
      <c r="H145" s="99">
        <f>G145+'22'!H145</f>
        <v>3410.9000000000015</v>
      </c>
      <c r="I145" s="140"/>
      <c r="J145" s="328">
        <f>H145/DAY(B2)</f>
        <v>148.30000000000007</v>
      </c>
    </row>
    <row r="146" spans="1:10" ht="30.75" customHeight="1">
      <c r="A146" s="890" t="s">
        <v>191</v>
      </c>
      <c r="B146" s="891"/>
      <c r="C146" s="892"/>
      <c r="D146" s="152" t="s">
        <v>183</v>
      </c>
      <c r="E146" s="95">
        <f>'22'!F146</f>
        <v>787539</v>
      </c>
      <c r="F146" s="148">
        <v>787565</v>
      </c>
      <c r="G146" s="112">
        <f t="shared" si="11"/>
        <v>26</v>
      </c>
      <c r="H146" s="99">
        <f>G146+'22'!H146</f>
        <v>897</v>
      </c>
      <c r="I146" s="140"/>
      <c r="J146" s="328">
        <f>H146/DAY(B2)</f>
        <v>39</v>
      </c>
    </row>
    <row r="147" spans="1:10" ht="30.75" customHeight="1">
      <c r="A147" s="893" t="s">
        <v>192</v>
      </c>
      <c r="B147" s="893"/>
      <c r="C147" s="893"/>
      <c r="D147" s="152" t="s">
        <v>183</v>
      </c>
      <c r="E147" s="95">
        <f>'22'!F147</f>
        <v>756701</v>
      </c>
      <c r="F147" s="148">
        <v>757051</v>
      </c>
      <c r="G147" s="112">
        <f t="shared" si="11"/>
        <v>350</v>
      </c>
      <c r="H147" s="99">
        <f>G147+'22'!H147</f>
        <v>9496.8399999999674</v>
      </c>
      <c r="I147" s="140"/>
      <c r="J147" s="328">
        <f>H147/DAY(B2)</f>
        <v>412.90608695652031</v>
      </c>
    </row>
    <row r="148" spans="1:10" ht="30.75" customHeight="1">
      <c r="A148" s="886" t="s">
        <v>193</v>
      </c>
      <c r="B148" s="887"/>
      <c r="C148" s="888"/>
      <c r="D148" s="123" t="s">
        <v>130</v>
      </c>
      <c r="E148" s="95">
        <f>'22'!F148</f>
        <v>793423</v>
      </c>
      <c r="F148" s="150">
        <v>793674</v>
      </c>
      <c r="G148" s="112">
        <f t="shared" si="11"/>
        <v>251</v>
      </c>
      <c r="H148" s="99">
        <f>G148+'22'!H148</f>
        <v>9029</v>
      </c>
      <c r="I148" s="124"/>
      <c r="J148" s="328">
        <f>H148/DAY(B2)</f>
        <v>392.56521739130437</v>
      </c>
    </row>
    <row r="149" spans="1:10" ht="30.75" customHeight="1">
      <c r="A149" s="886" t="s">
        <v>336</v>
      </c>
      <c r="B149" s="887"/>
      <c r="C149" s="888"/>
      <c r="D149" s="227" t="s">
        <v>130</v>
      </c>
      <c r="E149" s="95">
        <f>'22'!F149</f>
        <v>196202</v>
      </c>
      <c r="F149" s="227">
        <v>196616</v>
      </c>
      <c r="G149" s="112">
        <f t="shared" si="11"/>
        <v>414</v>
      </c>
      <c r="H149" s="99">
        <f>G149+'22'!H149</f>
        <v>11319.109999999986</v>
      </c>
      <c r="I149" s="119"/>
      <c r="J149" s="328">
        <f>H149/DAY(B2)</f>
        <v>492.13521739130374</v>
      </c>
    </row>
    <row r="150" spans="1:10" ht="30.75" customHeight="1">
      <c r="A150" s="886" t="s">
        <v>337</v>
      </c>
      <c r="B150" s="887"/>
      <c r="C150" s="888"/>
      <c r="D150" s="117" t="s">
        <v>130</v>
      </c>
      <c r="E150" s="95">
        <f>'22'!F150</f>
        <v>82755</v>
      </c>
      <c r="F150" s="233">
        <v>82996</v>
      </c>
      <c r="G150" s="112">
        <f t="shared" si="11"/>
        <v>241</v>
      </c>
      <c r="H150" s="99">
        <f>G150+'22'!H150</f>
        <v>6107.6999999999971</v>
      </c>
      <c r="I150" s="119"/>
      <c r="J150" s="328">
        <f>H150/DAY(B2)</f>
        <v>265.55217391304336</v>
      </c>
    </row>
    <row r="151" spans="1:10" ht="30.75" customHeight="1">
      <c r="A151" s="886" t="s">
        <v>338</v>
      </c>
      <c r="B151" s="887"/>
      <c r="C151" s="888"/>
      <c r="D151" s="117" t="s">
        <v>130</v>
      </c>
      <c r="E151" s="95">
        <f>'22'!F151</f>
        <v>164111</v>
      </c>
      <c r="F151" s="233">
        <v>164397</v>
      </c>
      <c r="G151" s="112">
        <f t="shared" si="11"/>
        <v>286</v>
      </c>
      <c r="H151" s="99">
        <f>G151+'22'!H151</f>
        <v>6087</v>
      </c>
      <c r="I151" s="119"/>
      <c r="J151" s="328">
        <f>H151/DAY(B2)</f>
        <v>264.6521739130435</v>
      </c>
    </row>
    <row r="152" spans="1:10" ht="30.75" customHeight="1">
      <c r="A152" s="886" t="s">
        <v>339</v>
      </c>
      <c r="B152" s="887"/>
      <c r="C152" s="888"/>
      <c r="D152" s="117" t="s">
        <v>130</v>
      </c>
      <c r="E152" s="95">
        <f>'22'!F152</f>
        <v>41451</v>
      </c>
      <c r="F152" s="233">
        <v>41511</v>
      </c>
      <c r="G152" s="112">
        <f t="shared" si="11"/>
        <v>60</v>
      </c>
      <c r="H152" s="99">
        <f>G152+'22'!H152</f>
        <v>2895.0999999999985</v>
      </c>
      <c r="I152" s="119"/>
      <c r="J152" s="328">
        <f>H152/DAY(B2)</f>
        <v>125.8739130434782</v>
      </c>
    </row>
    <row r="153" spans="1:10" ht="30.75" customHeight="1">
      <c r="A153" s="853" t="s">
        <v>196</v>
      </c>
      <c r="B153" s="854"/>
      <c r="C153" s="365"/>
      <c r="D153" s="358"/>
      <c r="E153" s="360"/>
      <c r="F153" s="361"/>
      <c r="G153" s="362">
        <f>SUM(G138:G152)</f>
        <v>2719</v>
      </c>
      <c r="H153" s="363"/>
      <c r="I153" s="119">
        <f>G153-(G38+G52)</f>
        <v>358</v>
      </c>
      <c r="J153" s="366"/>
    </row>
    <row r="154" spans="1:10" ht="30.75" customHeight="1">
      <c r="A154" s="924" t="s">
        <v>344</v>
      </c>
      <c r="B154" s="924"/>
      <c r="C154" s="924"/>
      <c r="D154" s="924"/>
      <c r="E154" s="924"/>
      <c r="F154" s="924"/>
      <c r="G154" s="924"/>
      <c r="H154" s="924"/>
      <c r="I154" s="924"/>
      <c r="J154" s="924"/>
    </row>
    <row r="155" spans="1:10" ht="30.75" customHeight="1">
      <c r="A155" s="893" t="s">
        <v>345</v>
      </c>
      <c r="B155" s="893"/>
      <c r="C155" s="893"/>
      <c r="D155" s="117" t="s">
        <v>130</v>
      </c>
      <c r="E155" s="95">
        <f>'22'!F155</f>
        <v>233714</v>
      </c>
      <c r="F155" s="374">
        <v>234312</v>
      </c>
      <c r="G155" s="112">
        <f t="shared" ref="G155:G158" si="12">F155-E155</f>
        <v>598</v>
      </c>
      <c r="H155" s="99">
        <f>G155+'22'!H155</f>
        <v>14324.299999999988</v>
      </c>
      <c r="I155" s="364"/>
      <c r="J155" s="161">
        <v>329</v>
      </c>
    </row>
    <row r="156" spans="1:10" ht="30.75" customHeight="1">
      <c r="A156" s="893" t="s">
        <v>347</v>
      </c>
      <c r="B156" s="893"/>
      <c r="C156" s="893"/>
      <c r="D156" s="117" t="s">
        <v>130</v>
      </c>
      <c r="E156" s="95">
        <f>'22'!F156</f>
        <v>28618</v>
      </c>
      <c r="F156" s="374">
        <v>28715</v>
      </c>
      <c r="G156" s="112">
        <f t="shared" si="12"/>
        <v>97</v>
      </c>
      <c r="H156" s="99">
        <f>G156+'22'!H156</f>
        <v>2184.7999999999993</v>
      </c>
      <c r="I156" s="165"/>
      <c r="J156" s="328">
        <f>H156/DAY(B2)</f>
        <v>94.991304347826059</v>
      </c>
    </row>
    <row r="157" spans="1:10" ht="30.75" customHeight="1">
      <c r="A157" s="886" t="s">
        <v>360</v>
      </c>
      <c r="B157" s="887"/>
      <c r="C157" s="888"/>
      <c r="D157" s="117" t="s">
        <v>130</v>
      </c>
      <c r="E157" s="95">
        <f>'22'!F157</f>
        <v>37559</v>
      </c>
      <c r="F157" s="95">
        <v>37559</v>
      </c>
      <c r="G157" s="112">
        <f t="shared" si="12"/>
        <v>0</v>
      </c>
      <c r="H157" s="99">
        <f>G157+'22'!H157</f>
        <v>0</v>
      </c>
      <c r="I157" s="165"/>
      <c r="J157" s="328">
        <f>H157/DAY(B2)</f>
        <v>0</v>
      </c>
    </row>
    <row r="158" spans="1:10" ht="30.75" customHeight="1">
      <c r="A158" s="886" t="s">
        <v>361</v>
      </c>
      <c r="B158" s="887"/>
      <c r="C158" s="888"/>
      <c r="D158" s="117" t="s">
        <v>130</v>
      </c>
      <c r="E158" s="95">
        <f>'22'!F158</f>
        <v>1748</v>
      </c>
      <c r="F158" s="95">
        <v>1748.23</v>
      </c>
      <c r="G158" s="112">
        <f t="shared" si="12"/>
        <v>0.23000000000001819</v>
      </c>
      <c r="H158" s="99">
        <f>G158+'22'!H158</f>
        <v>5.1100000000001273</v>
      </c>
      <c r="I158" s="165"/>
      <c r="J158" s="328">
        <f>H158/DAY(B2)</f>
        <v>0.2221739130434838</v>
      </c>
    </row>
    <row r="159" spans="1:10" ht="30.75" customHeight="1">
      <c r="A159" s="942"/>
      <c r="B159" s="943"/>
      <c r="C159" s="944"/>
      <c r="D159" s="117"/>
      <c r="E159" s="95"/>
      <c r="F159" s="165"/>
      <c r="G159" s="112"/>
      <c r="H159" s="99"/>
      <c r="I159" s="165"/>
      <c r="J159" s="328"/>
    </row>
    <row r="160" spans="1:10" ht="30.75" customHeight="1">
      <c r="A160" s="924" t="s">
        <v>326</v>
      </c>
      <c r="B160" s="924"/>
      <c r="C160" s="924"/>
      <c r="D160" s="924"/>
      <c r="E160" s="924"/>
      <c r="F160" s="924"/>
      <c r="G160" s="924"/>
      <c r="H160" s="924"/>
      <c r="I160" s="924"/>
      <c r="J160" s="924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'22'!F161</f>
        <v>507168</v>
      </c>
      <c r="F161" s="235">
        <v>507301</v>
      </c>
      <c r="G161" s="238">
        <f t="shared" ref="G161:G165" si="13">F161-E161</f>
        <v>133</v>
      </c>
      <c r="H161" s="99">
        <f>G161+'22'!H161</f>
        <v>3929.8400000000256</v>
      </c>
      <c r="I161" s="236"/>
      <c r="J161" s="239">
        <f>H161/DAY(B2)</f>
        <v>170.86260869565328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'22'!F162</f>
        <v>514</v>
      </c>
      <c r="F162" s="235">
        <v>553</v>
      </c>
      <c r="G162" s="238">
        <f t="shared" si="13"/>
        <v>39</v>
      </c>
      <c r="H162" s="99">
        <f>G162+'22'!H162</f>
        <v>933.19999999999413</v>
      </c>
      <c r="I162" s="236"/>
      <c r="J162" s="239">
        <f>H162/DAY(B2)</f>
        <v>40.573913043478008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'22'!F163</f>
        <v>0</v>
      </c>
      <c r="F163" s="235">
        <v>0</v>
      </c>
      <c r="G163" s="238">
        <f t="shared" si="13"/>
        <v>0</v>
      </c>
      <c r="H163" s="99">
        <f>G163+'22'!H163</f>
        <v>0</v>
      </c>
      <c r="I163" s="236"/>
      <c r="J163" s="239">
        <f>H163/DAY(B2)</f>
        <v>0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'22'!F164</f>
        <v>7156</v>
      </c>
      <c r="F164" s="235">
        <v>7158</v>
      </c>
      <c r="G164" s="238">
        <f t="shared" si="13"/>
        <v>2</v>
      </c>
      <c r="H164" s="99">
        <f>G164+'22'!H164</f>
        <v>167.80000000000018</v>
      </c>
      <c r="I164" s="236"/>
      <c r="J164" s="239">
        <f>H164/DAY(B2)</f>
        <v>7.2956521739130515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'22'!F165</f>
        <v>32729</v>
      </c>
      <c r="F165" s="235">
        <v>32736</v>
      </c>
      <c r="G165" s="238">
        <f t="shared" si="13"/>
        <v>7</v>
      </c>
      <c r="H165" s="99">
        <f>G165+'22'!H165</f>
        <v>161.90000000000146</v>
      </c>
      <c r="I165" s="236"/>
      <c r="J165" s="239">
        <f>H165/DAY(B2)</f>
        <v>7.0391304347826722</v>
      </c>
    </row>
    <row r="166" spans="1:10" ht="30.75" customHeight="1">
      <c r="A166" s="923"/>
      <c r="B166" s="923"/>
      <c r="C166" s="246"/>
      <c r="D166" s="244" t="s">
        <v>180</v>
      </c>
      <c r="E166" s="95">
        <f>'22'!F166</f>
        <v>0</v>
      </c>
      <c r="F166" s="165"/>
      <c r="G166" s="165"/>
      <c r="H166" s="99">
        <f>G166+'22'!H166</f>
        <v>0</v>
      </c>
      <c r="I166" s="165"/>
      <c r="J166" s="239">
        <f>H166/DAY(B2)</f>
        <v>0</v>
      </c>
    </row>
    <row r="167" spans="1:10" ht="30.75" customHeight="1">
      <c r="A167" s="923"/>
      <c r="B167" s="923"/>
      <c r="C167" s="246"/>
      <c r="D167" s="244" t="s">
        <v>180</v>
      </c>
      <c r="E167" s="95">
        <f>'22'!F167</f>
        <v>0</v>
      </c>
      <c r="F167" s="165"/>
      <c r="G167" s="165"/>
      <c r="H167" s="99">
        <f>G167+'22'!H167</f>
        <v>0</v>
      </c>
      <c r="I167" s="165"/>
      <c r="J167" s="239">
        <f>H167/DAY(B2)</f>
        <v>0</v>
      </c>
    </row>
    <row r="168" spans="1:10" ht="30.75" customHeight="1">
      <c r="A168" s="923"/>
      <c r="B168" s="923"/>
      <c r="C168" s="246"/>
      <c r="D168" s="244" t="s">
        <v>180</v>
      </c>
      <c r="E168" s="95">
        <f>'22'!F168</f>
        <v>0</v>
      </c>
      <c r="F168" s="165"/>
      <c r="G168" s="165"/>
      <c r="H168" s="99">
        <f>G168+'22'!H168</f>
        <v>0</v>
      </c>
      <c r="I168" s="165"/>
      <c r="J168" s="239">
        <f>H168/DAY(B2)</f>
        <v>0</v>
      </c>
    </row>
    <row r="171" spans="1:10" ht="30.75" customHeight="1">
      <c r="A171" s="933" t="s">
        <v>330</v>
      </c>
      <c r="B171" s="934"/>
      <c r="C171" s="934"/>
      <c r="D171" s="934"/>
      <c r="E171" s="934"/>
      <c r="F171" s="934"/>
      <c r="G171" s="934"/>
      <c r="H171" s="934"/>
      <c r="I171" s="934"/>
      <c r="J171" s="935"/>
    </row>
    <row r="172" spans="1:10" ht="30.75" customHeight="1">
      <c r="A172" s="929"/>
      <c r="B172" s="930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841" t="s">
        <v>209</v>
      </c>
      <c r="B173" s="843"/>
      <c r="C173" s="333"/>
      <c r="D173" s="228" t="s">
        <v>142</v>
      </c>
      <c r="E173" s="95">
        <f>'22'!F173</f>
        <v>8610</v>
      </c>
      <c r="F173" s="155">
        <v>8610</v>
      </c>
      <c r="G173" s="155">
        <f>F173-E173</f>
        <v>0</v>
      </c>
      <c r="H173" s="99">
        <f>G173+'22'!H173</f>
        <v>26</v>
      </c>
      <c r="I173" s="155"/>
      <c r="J173" s="178">
        <f>H173/DAY(B2)</f>
        <v>1.1304347826086956</v>
      </c>
    </row>
    <row r="174" spans="1:10" ht="30.75" customHeight="1">
      <c r="A174" s="841" t="s">
        <v>75</v>
      </c>
      <c r="B174" s="843"/>
      <c r="C174" s="333"/>
      <c r="D174" s="228" t="s">
        <v>142</v>
      </c>
      <c r="E174" s="95">
        <f>'22'!F174</f>
        <v>42929</v>
      </c>
      <c r="F174" s="157">
        <v>42941</v>
      </c>
      <c r="G174" s="155">
        <f t="shared" ref="G174:G175" si="14">F174-E174</f>
        <v>12</v>
      </c>
      <c r="H174" s="99">
        <f>G174+'22'!H174</f>
        <v>272</v>
      </c>
      <c r="I174" s="155"/>
      <c r="J174" s="178">
        <f>H174/DAY(B2)</f>
        <v>11.826086956521738</v>
      </c>
    </row>
    <row r="175" spans="1:10" ht="30.75" customHeight="1">
      <c r="A175" s="841" t="s">
        <v>76</v>
      </c>
      <c r="B175" s="842"/>
      <c r="C175" s="843"/>
      <c r="D175" s="228" t="s">
        <v>142</v>
      </c>
      <c r="E175" s="95">
        <f>'22'!F175</f>
        <v>25676</v>
      </c>
      <c r="F175" s="155">
        <v>25690</v>
      </c>
      <c r="G175" s="155">
        <f t="shared" si="14"/>
        <v>14</v>
      </c>
      <c r="H175" s="99">
        <f>G175+'22'!H175</f>
        <v>297</v>
      </c>
      <c r="I175" s="155"/>
      <c r="J175" s="178">
        <f>H175/DAY(B2)</f>
        <v>12.913043478260869</v>
      </c>
    </row>
    <row r="176" spans="1:10" ht="30.75" customHeight="1">
      <c r="A176" s="853" t="s">
        <v>196</v>
      </c>
      <c r="B176" s="854"/>
      <c r="C176" s="400"/>
      <c r="D176" s="228"/>
      <c r="E176" s="95"/>
      <c r="F176" s="155"/>
      <c r="G176" s="155">
        <f>SUM(G173:G175)</f>
        <v>26</v>
      </c>
      <c r="H176" s="99">
        <f>G176+'22'!H176</f>
        <v>595</v>
      </c>
      <c r="I176" s="155"/>
      <c r="J176" s="178">
        <f>H176/DAY(B2)</f>
        <v>25.869565217391305</v>
      </c>
    </row>
    <row r="177" spans="1:10" ht="30.75" customHeight="1">
      <c r="A177" s="841" t="s">
        <v>77</v>
      </c>
      <c r="B177" s="843"/>
      <c r="C177" s="333"/>
      <c r="D177" s="228" t="s">
        <v>142</v>
      </c>
      <c r="E177" s="95"/>
      <c r="F177" s="155"/>
      <c r="G177" s="155"/>
      <c r="H177" s="99">
        <f>G177+'22'!H177</f>
        <v>0</v>
      </c>
      <c r="I177" s="155"/>
      <c r="J177" s="178">
        <f>H177/DAY(B2)</f>
        <v>0</v>
      </c>
    </row>
    <row r="178" spans="1:10" ht="30.75" customHeight="1">
      <c r="A178" s="841" t="s">
        <v>210</v>
      </c>
      <c r="B178" s="843"/>
      <c r="C178" s="333"/>
      <c r="D178" s="228" t="s">
        <v>142</v>
      </c>
      <c r="E178" s="95">
        <f>'22'!F178</f>
        <v>105937</v>
      </c>
      <c r="F178" s="155">
        <v>106078</v>
      </c>
      <c r="G178" s="155">
        <f>F178-E178</f>
        <v>141</v>
      </c>
      <c r="H178" s="99">
        <f>G178+'22'!H178</f>
        <v>2435</v>
      </c>
      <c r="I178" s="155"/>
      <c r="J178" s="178">
        <f>H178/DAY(B2)</f>
        <v>105.8695652173913</v>
      </c>
    </row>
    <row r="179" spans="1:10" ht="30.75" customHeight="1">
      <c r="A179" s="841" t="s">
        <v>211</v>
      </c>
      <c r="B179" s="843"/>
      <c r="C179" s="333"/>
      <c r="D179" s="228" t="s">
        <v>142</v>
      </c>
      <c r="E179" s="95">
        <f>'22'!F179</f>
        <v>37501</v>
      </c>
      <c r="F179" s="155">
        <v>37501</v>
      </c>
      <c r="G179" s="155">
        <f t="shared" ref="G179:G180" si="15">F179-E179</f>
        <v>0</v>
      </c>
      <c r="H179" s="99">
        <f>G179+'22'!H179</f>
        <v>0</v>
      </c>
      <c r="I179" s="155"/>
      <c r="J179" s="178">
        <f>H179/DAY(B2)</f>
        <v>0</v>
      </c>
    </row>
    <row r="180" spans="1:10" ht="30.75" customHeight="1">
      <c r="A180" s="841" t="s">
        <v>212</v>
      </c>
      <c r="B180" s="843"/>
      <c r="C180" s="333"/>
      <c r="D180" s="228" t="s">
        <v>142</v>
      </c>
      <c r="E180" s="95">
        <f>'22'!F180</f>
        <v>7515</v>
      </c>
      <c r="F180" s="155">
        <v>7515</v>
      </c>
      <c r="G180" s="155">
        <f t="shared" si="15"/>
        <v>0</v>
      </c>
      <c r="H180" s="99">
        <f>G180+'22'!H180</f>
        <v>95</v>
      </c>
      <c r="I180" s="155"/>
      <c r="J180" s="178">
        <f>H180/DAY(B2)</f>
        <v>4.1304347826086953</v>
      </c>
    </row>
    <row r="181" spans="1:10" ht="30.75" customHeight="1">
      <c r="A181" s="927" t="s">
        <v>108</v>
      </c>
      <c r="B181" s="928"/>
      <c r="C181" s="400"/>
      <c r="D181" s="228"/>
      <c r="E181" s="95"/>
      <c r="F181" s="155"/>
      <c r="G181" s="155">
        <f>SUM(G178:G180)</f>
        <v>141</v>
      </c>
      <c r="H181" s="99">
        <f>G181+'22'!H181</f>
        <v>2530</v>
      </c>
      <c r="I181" s="155"/>
      <c r="J181" s="178">
        <f>H181/DAY(B2)</f>
        <v>110</v>
      </c>
    </row>
    <row r="182" spans="1:10" ht="30.75" customHeight="1">
      <c r="A182" s="841" t="s">
        <v>213</v>
      </c>
      <c r="B182" s="843"/>
      <c r="C182" s="333"/>
      <c r="D182" s="228"/>
      <c r="E182" s="95"/>
      <c r="F182" s="155"/>
      <c r="G182" s="155"/>
      <c r="H182" s="99">
        <f>G182+'22'!H182</f>
        <v>0</v>
      </c>
      <c r="I182" s="155"/>
      <c r="J182" s="178">
        <f>H182/DAY(B2)</f>
        <v>0</v>
      </c>
    </row>
    <row r="183" spans="1:10" ht="30.75" customHeight="1">
      <c r="A183" s="841" t="s">
        <v>214</v>
      </c>
      <c r="B183" s="843"/>
      <c r="C183" s="334"/>
      <c r="D183" s="228" t="s">
        <v>142</v>
      </c>
      <c r="E183" s="95">
        <f>'22'!F183</f>
        <v>18322</v>
      </c>
      <c r="F183" s="157">
        <v>18326</v>
      </c>
      <c r="G183" s="157">
        <f>F183-E183</f>
        <v>4</v>
      </c>
      <c r="H183" s="99">
        <f>G183+'22'!H183</f>
        <v>158</v>
      </c>
      <c r="I183" s="155"/>
      <c r="J183" s="178">
        <f>H183/DAY(B2)</f>
        <v>6.8695652173913047</v>
      </c>
    </row>
    <row r="184" spans="1:10" ht="30.75" customHeight="1">
      <c r="A184" s="841" t="s">
        <v>215</v>
      </c>
      <c r="B184" s="843"/>
      <c r="C184" s="334"/>
      <c r="D184" s="228" t="s">
        <v>142</v>
      </c>
      <c r="E184" s="95">
        <f>'22'!F184</f>
        <v>12923</v>
      </c>
      <c r="F184" s="157">
        <v>12930</v>
      </c>
      <c r="G184" s="157">
        <f t="shared" ref="G184:G185" si="16">F184-E184</f>
        <v>7</v>
      </c>
      <c r="H184" s="99">
        <f>G184+'22'!H184</f>
        <v>199</v>
      </c>
      <c r="I184" s="155"/>
      <c r="J184" s="178">
        <f>H184/DAY(B2)</f>
        <v>8.6521739130434785</v>
      </c>
    </row>
    <row r="185" spans="1:10" ht="30.75" customHeight="1">
      <c r="A185" s="841" t="s">
        <v>216</v>
      </c>
      <c r="B185" s="843"/>
      <c r="C185" s="334"/>
      <c r="D185" s="228" t="s">
        <v>142</v>
      </c>
      <c r="E185" s="95">
        <f>'22'!F185</f>
        <v>0</v>
      </c>
      <c r="F185" s="157">
        <v>0</v>
      </c>
      <c r="G185" s="157">
        <f t="shared" si="16"/>
        <v>0</v>
      </c>
      <c r="H185" s="99">
        <f>G185+'22'!H185</f>
        <v>0</v>
      </c>
      <c r="I185" s="155"/>
      <c r="J185" s="178">
        <f>H185/DAY(B2)</f>
        <v>0</v>
      </c>
    </row>
    <row r="186" spans="1:10" ht="30.75" customHeight="1">
      <c r="A186" s="853" t="s">
        <v>196</v>
      </c>
      <c r="B186" s="854"/>
      <c r="C186" s="399"/>
      <c r="D186" s="229"/>
      <c r="E186" s="95"/>
      <c r="F186" s="157"/>
      <c r="G186" s="157">
        <f>SUM(G183:G185)</f>
        <v>11</v>
      </c>
      <c r="H186" s="99">
        <f>G186+'22'!H186</f>
        <v>357</v>
      </c>
      <c r="I186" s="157"/>
      <c r="J186" s="178">
        <f>H186/DAY(B2)</f>
        <v>15.521739130434783</v>
      </c>
    </row>
    <row r="187" spans="1:10" ht="30.75" customHeight="1">
      <c r="A187" s="931" t="s">
        <v>217</v>
      </c>
      <c r="B187" s="932"/>
      <c r="C187" s="333"/>
      <c r="D187" s="230" t="s">
        <v>142</v>
      </c>
      <c r="E187" s="95"/>
      <c r="F187" s="159"/>
      <c r="G187" s="377">
        <f>G62+G19</f>
        <v>122</v>
      </c>
      <c r="H187" s="99">
        <f>G187+'22'!H187</f>
        <v>3969</v>
      </c>
      <c r="I187" s="158"/>
      <c r="J187" s="179">
        <f>H187/DAY(B2)</f>
        <v>172.56521739130434</v>
      </c>
    </row>
    <row r="188" spans="1:10" ht="30.75" customHeight="1">
      <c r="A188" s="931" t="s">
        <v>218</v>
      </c>
      <c r="B188" s="932"/>
      <c r="C188" s="333"/>
      <c r="D188" s="230" t="s">
        <v>142</v>
      </c>
      <c r="E188" s="95"/>
      <c r="F188" s="159"/>
      <c r="G188" s="377">
        <f>G65+G66+G67+G69+G70</f>
        <v>157</v>
      </c>
      <c r="H188" s="99">
        <f>G188+'22'!H188</f>
        <v>1644</v>
      </c>
      <c r="I188" s="158"/>
      <c r="J188" s="179">
        <f>H188/DAY(B2)</f>
        <v>71.478260869565219</v>
      </c>
    </row>
    <row r="189" spans="1:10" ht="30.75" customHeight="1">
      <c r="A189" s="931" t="s">
        <v>219</v>
      </c>
      <c r="B189" s="932"/>
      <c r="C189" s="333"/>
      <c r="D189" s="230" t="s">
        <v>142</v>
      </c>
      <c r="E189" s="95"/>
      <c r="F189" s="157"/>
      <c r="G189" s="376">
        <f>G181</f>
        <v>141</v>
      </c>
      <c r="H189" s="99">
        <f>G189+'22'!H189</f>
        <v>670</v>
      </c>
      <c r="I189" s="158"/>
      <c r="J189" s="179">
        <f>H189/DAY(B2)</f>
        <v>29.130434782608695</v>
      </c>
    </row>
    <row r="190" spans="1:10" ht="30.75" customHeight="1">
      <c r="A190" s="925"/>
      <c r="B190" s="926"/>
      <c r="C190" s="398"/>
      <c r="D190" s="395"/>
      <c r="E190" s="395" t="s">
        <v>207</v>
      </c>
      <c r="F190" s="395"/>
      <c r="G190" s="395"/>
      <c r="H190" s="396"/>
      <c r="I190" s="395"/>
      <c r="J190" s="397"/>
    </row>
  </sheetData>
  <mergeCells count="115">
    <mergeCell ref="A187:B187"/>
    <mergeCell ref="A188:B188"/>
    <mergeCell ref="A189:B189"/>
    <mergeCell ref="A190:B190"/>
    <mergeCell ref="A180:B180"/>
    <mergeCell ref="A181:B181"/>
    <mergeCell ref="A182:B182"/>
    <mergeCell ref="A185:B185"/>
    <mergeCell ref="A186:B186"/>
    <mergeCell ref="A174:B174"/>
    <mergeCell ref="A176:B176"/>
    <mergeCell ref="A177:B177"/>
    <mergeCell ref="A178:B178"/>
    <mergeCell ref="A179:B179"/>
    <mergeCell ref="A167:B167"/>
    <mergeCell ref="A168:B168"/>
    <mergeCell ref="A171:J171"/>
    <mergeCell ref="A172:B172"/>
    <mergeCell ref="A173:B173"/>
    <mergeCell ref="A140:C140"/>
    <mergeCell ref="A141:C141"/>
    <mergeCell ref="A142:C142"/>
    <mergeCell ref="A160:J160"/>
    <mergeCell ref="A166:B166"/>
    <mergeCell ref="A134:C134"/>
    <mergeCell ref="A136:J136"/>
    <mergeCell ref="A138:C138"/>
    <mergeCell ref="A139:C139"/>
    <mergeCell ref="A143:C143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57:C157"/>
    <mergeCell ref="A158:C158"/>
    <mergeCell ref="A159:C159"/>
    <mergeCell ref="A127:B127"/>
    <mergeCell ref="A128:C128"/>
    <mergeCell ref="A131:C131"/>
    <mergeCell ref="A132:C132"/>
    <mergeCell ref="A133:C133"/>
    <mergeCell ref="A121:C121"/>
    <mergeCell ref="A122:C122"/>
    <mergeCell ref="A124:C124"/>
    <mergeCell ref="A125:B125"/>
    <mergeCell ref="A126:J126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84:B184"/>
    <mergeCell ref="A183:B183"/>
    <mergeCell ref="A175:C175"/>
    <mergeCell ref="A119:C119"/>
    <mergeCell ref="A120:C120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44:C144"/>
    <mergeCell ref="A145:C145"/>
    <mergeCell ref="A146:C146"/>
    <mergeCell ref="A147:C147"/>
    <mergeCell ref="A148:C148"/>
    <mergeCell ref="A95:C95"/>
    <mergeCell ref="A96:C96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71:C71"/>
    <mergeCell ref="A72:B72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7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R1701"/>
  <sheetViews>
    <sheetView view="pageBreakPreview" zoomScale="55" zoomScaleNormal="44" zoomScaleSheetLayoutView="55" workbookViewId="0">
      <selection activeCell="D3" sqref="D3"/>
    </sheetView>
  </sheetViews>
  <sheetFormatPr defaultColWidth="22.33203125" defaultRowHeight="21.95" customHeight="1"/>
  <cols>
    <col min="1" max="1" width="51.21875" style="94" customWidth="1"/>
    <col min="2" max="2" width="24" style="97" customWidth="1"/>
    <col min="3" max="3" width="15.88671875" style="97" customWidth="1"/>
    <col min="4" max="4" width="13.6640625" style="160" customWidth="1"/>
    <col min="5" max="5" width="24.77734375" style="160" customWidth="1"/>
    <col min="6" max="6" width="22" style="160" customWidth="1"/>
    <col min="7" max="7" width="22.44140625" style="160" customWidth="1"/>
    <col min="8" max="8" width="22.5546875" style="161" customWidth="1"/>
    <col min="9" max="9" width="21.1093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67" t="s">
        <v>115</v>
      </c>
      <c r="B1" s="868"/>
      <c r="C1" s="868"/>
      <c r="D1" s="868"/>
      <c r="E1" s="868"/>
      <c r="F1" s="868"/>
      <c r="G1" s="868"/>
      <c r="H1" s="868"/>
      <c r="I1" s="868"/>
      <c r="J1" s="869"/>
    </row>
    <row r="2" spans="1:15" s="57" customFormat="1" ht="23.25">
      <c r="A2" s="191" t="s">
        <v>354</v>
      </c>
      <c r="B2" s="262">
        <v>44919</v>
      </c>
      <c r="C2" s="348" t="s">
        <v>67</v>
      </c>
      <c r="D2" s="218">
        <v>0.41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29</v>
      </c>
      <c r="E3" s="876" t="s">
        <v>119</v>
      </c>
      <c r="F3" s="877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0" t="s">
        <v>128</v>
      </c>
      <c r="B6" s="871"/>
      <c r="C6" s="87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'23'!F7</f>
        <v>804694</v>
      </c>
      <c r="F7" s="95">
        <v>825227.35400000005</v>
      </c>
      <c r="G7" s="112">
        <f>F7-E7</f>
        <v>20533.35400000005</v>
      </c>
      <c r="H7" s="99">
        <f>G7+'23'!H7</f>
        <v>551544.804</v>
      </c>
      <c r="I7" s="113">
        <f>'1'!I7</f>
        <v>12000</v>
      </c>
      <c r="J7" s="175">
        <f>H7/DAY(B2)</f>
        <v>22981.033500000001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'23'!F8</f>
        <v>985418</v>
      </c>
      <c r="F8" s="114">
        <v>1006067</v>
      </c>
      <c r="G8" s="115">
        <f>F8-E8</f>
        <v>20649</v>
      </c>
      <c r="H8" s="99">
        <f>G8+'23'!H8</f>
        <v>554806</v>
      </c>
      <c r="I8" s="116"/>
      <c r="J8" s="175">
        <f>H8/DAY(B2)</f>
        <v>23116.916666666668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'23'!F9</f>
        <v>4293996</v>
      </c>
      <c r="F9" s="468">
        <v>4305395.0999999996</v>
      </c>
      <c r="G9" s="112">
        <f>F9-E9</f>
        <v>11399.099999999627</v>
      </c>
      <c r="H9" s="99">
        <f>G9+'23'!H9</f>
        <v>191224.79999999981</v>
      </c>
      <c r="I9" s="124">
        <f>I7-J7</f>
        <v>-10981.033500000001</v>
      </c>
      <c r="J9" s="175">
        <f>H9/DAY(B2)</f>
        <v>7967.6999999999925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'23'!F10</f>
        <v>4026314</v>
      </c>
      <c r="F10" s="353">
        <v>4034912.3</v>
      </c>
      <c r="G10" s="112">
        <f t="shared" ref="G10:G12" si="0">F10-E10</f>
        <v>8598.2999999998137</v>
      </c>
      <c r="H10" s="99">
        <f>G10+'23'!H10</f>
        <v>345433.19999999972</v>
      </c>
      <c r="I10" s="282"/>
      <c r="J10" s="175">
        <f>H10/DAY(B2)</f>
        <v>14393.049999999988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'23'!F11</f>
        <v>38700</v>
      </c>
      <c r="F11" s="95">
        <v>38700</v>
      </c>
      <c r="G11" s="112">
        <f t="shared" si="0"/>
        <v>0</v>
      </c>
      <c r="H11" s="99">
        <f>G11+'23'!H11</f>
        <v>580</v>
      </c>
      <c r="I11" s="282"/>
      <c r="J11" s="175">
        <f>H11/DAY(B2)</f>
        <v>24.166666666666668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'23'!F12</f>
        <v>40550</v>
      </c>
      <c r="F12" s="117">
        <v>40550</v>
      </c>
      <c r="G12" s="112">
        <f t="shared" si="0"/>
        <v>0</v>
      </c>
      <c r="H12" s="99">
        <f>G12+'23'!H12</f>
        <v>160</v>
      </c>
      <c r="I12" s="282"/>
      <c r="J12" s="175">
        <f>H12/DAY(B2)</f>
        <v>6.666666666666667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19997.399999999441</v>
      </c>
      <c r="H13" s="99">
        <f>G13+'23'!H13</f>
        <v>541626.69999999925</v>
      </c>
      <c r="I13" s="120">
        <f>G7-G13</f>
        <v>535.95400000060908</v>
      </c>
      <c r="J13" s="175">
        <f>H13/DAY(B2)</f>
        <v>22567.779166666634</v>
      </c>
      <c r="K13" s="79"/>
      <c r="L13" s="66"/>
      <c r="N13" s="87"/>
      <c r="O13" s="71"/>
    </row>
    <row r="14" spans="1:15" ht="26.25">
      <c r="A14" s="873" t="s">
        <v>137</v>
      </c>
      <c r="B14" s="874"/>
      <c r="C14" s="87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'23'!F15</f>
        <v>2243987</v>
      </c>
      <c r="F15" s="468">
        <v>2245115</v>
      </c>
      <c r="G15" s="112">
        <f>(F15-E15)</f>
        <v>1128</v>
      </c>
      <c r="H15" s="99">
        <f>G15+'23'!H15</f>
        <v>26174</v>
      </c>
      <c r="I15" s="113">
        <f>'1'!I15</f>
        <v>800</v>
      </c>
      <c r="J15" s="175">
        <f>H15/DAY(B2)</f>
        <v>1090.5833333333333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-290.58333333333326</v>
      </c>
      <c r="J16" s="176"/>
      <c r="K16" s="79"/>
      <c r="L16" s="66"/>
      <c r="N16" s="87"/>
      <c r="O16" s="71"/>
    </row>
    <row r="17" spans="1:15" ht="26.25">
      <c r="A17" s="873" t="s">
        <v>140</v>
      </c>
      <c r="B17" s="874"/>
      <c r="C17" s="87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64" t="s">
        <v>141</v>
      </c>
      <c r="B18" s="865"/>
      <c r="C18" s="866"/>
      <c r="D18" s="151" t="s">
        <v>142</v>
      </c>
      <c r="E18" s="95">
        <f>'23'!F18</f>
        <v>20</v>
      </c>
      <c r="F18" s="122">
        <v>22</v>
      </c>
      <c r="G18" s="119">
        <f>F18*10</f>
        <v>220</v>
      </c>
      <c r="H18" s="99">
        <f>G18+'23'!H18</f>
        <v>6480</v>
      </c>
      <c r="I18" s="113">
        <f>'1'!I18</f>
        <v>65</v>
      </c>
      <c r="J18" s="175">
        <f>H18/DAY(B2)</f>
        <v>270</v>
      </c>
      <c r="K18" s="79"/>
      <c r="L18" s="66"/>
      <c r="N18" s="87"/>
      <c r="O18" s="71"/>
    </row>
    <row r="19" spans="1:15" ht="25.5">
      <c r="A19" s="864" t="s">
        <v>69</v>
      </c>
      <c r="B19" s="865"/>
      <c r="C19" s="866"/>
      <c r="D19" s="151" t="s">
        <v>142</v>
      </c>
      <c r="E19" s="95">
        <f>'23'!F19</f>
        <v>169124</v>
      </c>
      <c r="F19" s="122">
        <v>169181</v>
      </c>
      <c r="G19" s="112">
        <f t="shared" ref="G19" si="1">F19-E19</f>
        <v>57</v>
      </c>
      <c r="H19" s="99">
        <f>G19+'23'!H19</f>
        <v>1305</v>
      </c>
      <c r="I19" s="335"/>
      <c r="J19" s="175">
        <f>H19/DAY(B2)</f>
        <v>54.375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277</v>
      </c>
      <c r="H20" s="99">
        <f>G20+'23'!H20</f>
        <v>7785</v>
      </c>
      <c r="I20" s="336">
        <f>I18-J20</f>
        <v>-259.375</v>
      </c>
      <c r="J20" s="175">
        <f>H20/DAY(B2)</f>
        <v>324.375</v>
      </c>
      <c r="K20" s="79"/>
      <c r="L20" s="66"/>
      <c r="N20" s="87"/>
      <c r="O20" s="71"/>
    </row>
    <row r="21" spans="1:15" ht="26.25">
      <c r="A21" s="873" t="s">
        <v>144</v>
      </c>
      <c r="B21" s="874"/>
      <c r="C21" s="87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'23'!F22</f>
        <v>2970</v>
      </c>
      <c r="F22" s="122">
        <v>2970</v>
      </c>
      <c r="G22" s="119">
        <f t="shared" ref="G22" si="2">(F22-E22)</f>
        <v>0</v>
      </c>
      <c r="H22" s="99">
        <f>G22+'23'!H22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'23'!F23</f>
        <v>1860</v>
      </c>
      <c r="F23" s="122">
        <v>1860</v>
      </c>
      <c r="G23" s="119">
        <v>0</v>
      </c>
      <c r="H23" s="99">
        <f>G23+'23'!H23</f>
        <v>-100</v>
      </c>
      <c r="I23" s="118"/>
      <c r="J23" s="175">
        <f>H23/DAY(B2)</f>
        <v>-4.166666666666667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'23'!F24</f>
        <v>4830</v>
      </c>
      <c r="F24" s="128">
        <v>4830</v>
      </c>
      <c r="G24" s="119">
        <v>0</v>
      </c>
      <c r="H24" s="99">
        <f>G24+'23'!H24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78" t="s">
        <v>149</v>
      </c>
      <c r="B25" s="879"/>
      <c r="C25" s="88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20649</v>
      </c>
      <c r="F27" s="136">
        <v>9</v>
      </c>
      <c r="G27" s="137">
        <f>E27*F27</f>
        <v>185841</v>
      </c>
      <c r="H27" s="99">
        <f>G27+'23'!H27</f>
        <v>5015844.8</v>
      </c>
      <c r="I27" s="138"/>
      <c r="J27" s="175">
        <f>H27/DAY(B2)</f>
        <v>208993.53333333333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1128</v>
      </c>
      <c r="F28" s="136">
        <v>70</v>
      </c>
      <c r="G28" s="137">
        <f>E28*F28</f>
        <v>78960</v>
      </c>
      <c r="H28" s="99">
        <f>G28+'23'!H28</f>
        <v>1842691.7500000005</v>
      </c>
      <c r="I28" s="140"/>
      <c r="J28" s="175">
        <f>H28/DAY(B2)</f>
        <v>76778.822916666686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G29+'23'!H29</f>
        <v>20700</v>
      </c>
      <c r="I29" s="140"/>
      <c r="J29" s="175">
        <f>H29/DAY(B2)</f>
        <v>862.5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57</v>
      </c>
      <c r="F30" s="136">
        <v>151</v>
      </c>
      <c r="G30" s="137">
        <f>E30*F30</f>
        <v>8607</v>
      </c>
      <c r="H30" s="99">
        <f>G30+'23'!H30</f>
        <v>197055</v>
      </c>
      <c r="I30" s="140"/>
      <c r="J30" s="175">
        <f>H30/DAY(B2)</f>
        <v>8210.625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G31+'23'!H31</f>
        <v>518400</v>
      </c>
      <c r="I31" s="140"/>
      <c r="J31" s="175">
        <f>H31/DAY(B2)</f>
        <v>21600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291008</v>
      </c>
      <c r="H32" s="99">
        <f>G32+'23'!H32</f>
        <v>7594691.5500000007</v>
      </c>
      <c r="I32" s="144"/>
      <c r="J32" s="175">
        <f>H32/DAY(B2)</f>
        <v>316445.48125000001</v>
      </c>
      <c r="K32" s="63"/>
      <c r="L32" s="89"/>
      <c r="N32" s="87"/>
      <c r="O32" s="71"/>
    </row>
    <row r="33" spans="1:15" ht="25.5">
      <c r="A33" s="881" t="s">
        <v>331</v>
      </c>
      <c r="B33" s="882"/>
      <c r="C33" s="88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'23'!F35</f>
        <v>433074</v>
      </c>
      <c r="F35" s="145">
        <v>435668.31</v>
      </c>
      <c r="G35" s="112">
        <f t="shared" ref="G35:G46" si="3">F35-E35</f>
        <v>2594.3099999999977</v>
      </c>
      <c r="H35" s="99">
        <f>G35+'23'!H35</f>
        <v>66571.400000000023</v>
      </c>
      <c r="I35" s="95"/>
      <c r="J35" s="175">
        <f>H35/DAY(B2)</f>
        <v>2773.8083333333343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'23'!F36</f>
        <v>346840</v>
      </c>
      <c r="F36" s="145">
        <v>347571.63</v>
      </c>
      <c r="G36" s="112">
        <f t="shared" si="3"/>
        <v>731.63000000000466</v>
      </c>
      <c r="H36" s="99">
        <f>G36+'23'!H36</f>
        <v>25354.520000000019</v>
      </c>
      <c r="I36" s="95"/>
      <c r="J36" s="175">
        <f>H36/DAY(B2)</f>
        <v>1056.4383333333342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'23'!F37</f>
        <v>326829</v>
      </c>
      <c r="F37" s="145">
        <v>328305.51</v>
      </c>
      <c r="G37" s="112">
        <f t="shared" si="3"/>
        <v>1476.5100000000093</v>
      </c>
      <c r="H37" s="99">
        <f>G37+'23'!H37</f>
        <v>5306.820000000007</v>
      </c>
      <c r="I37" s="95"/>
      <c r="J37" s="175">
        <f>H37/DAY(B2)</f>
        <v>221.11750000000029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'23'!F38</f>
        <v>777081</v>
      </c>
      <c r="F38" s="108">
        <v>779533.35</v>
      </c>
      <c r="G38" s="112">
        <f t="shared" si="3"/>
        <v>2452.3499999999767</v>
      </c>
      <c r="H38" s="99">
        <f>G38+'23'!H38</f>
        <v>43680.959999999963</v>
      </c>
      <c r="I38" s="95"/>
      <c r="J38" s="175">
        <f>H38/DAY(B2)</f>
        <v>1820.0399999999984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'23'!F39</f>
        <v>598431</v>
      </c>
      <c r="F39" s="145">
        <v>601161.99</v>
      </c>
      <c r="G39" s="112">
        <f t="shared" si="3"/>
        <v>2730.9899999999907</v>
      </c>
      <c r="H39" s="99">
        <f>G39+'23'!H39</f>
        <v>9577.8000000000466</v>
      </c>
      <c r="I39" s="95"/>
      <c r="J39" s="175">
        <f>H39/DAY(B2)</f>
        <v>399.07500000000192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'23'!F40</f>
        <v>206327</v>
      </c>
      <c r="F40" s="145">
        <v>206725.71</v>
      </c>
      <c r="G40" s="112">
        <f t="shared" si="3"/>
        <v>398.70999999999185</v>
      </c>
      <c r="H40" s="99">
        <f>G40+'23'!H40</f>
        <v>9995.7399999999907</v>
      </c>
      <c r="I40" s="95"/>
      <c r="J40" s="175">
        <f>H40/DAY(B2)</f>
        <v>416.48916666666628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'23'!F41</f>
        <v>420212</v>
      </c>
      <c r="F41" s="145">
        <v>420212.51</v>
      </c>
      <c r="G41" s="112">
        <f t="shared" si="3"/>
        <v>0.51000000000931323</v>
      </c>
      <c r="H41" s="99">
        <f>G41+'23'!H41</f>
        <v>1044.9199999999837</v>
      </c>
      <c r="I41" s="95"/>
      <c r="J41" s="175">
        <f>H41/DAY(B2)</f>
        <v>43.538333333332652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'23'!F42</f>
        <v>890810</v>
      </c>
      <c r="F42" s="145">
        <v>890810.79</v>
      </c>
      <c r="G42" s="112">
        <f t="shared" si="3"/>
        <v>0.7900000000372529</v>
      </c>
      <c r="H42" s="99">
        <f>G42+'23'!H42</f>
        <v>19040.710000000079</v>
      </c>
      <c r="I42" s="95"/>
      <c r="J42" s="175">
        <f>H42/DAY(B2)</f>
        <v>793.36291666667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'23'!F43</f>
        <v>422444</v>
      </c>
      <c r="F43" s="145">
        <v>422444</v>
      </c>
      <c r="G43" s="112">
        <f t="shared" si="3"/>
        <v>0</v>
      </c>
      <c r="H43" s="99">
        <f>G43+'23'!H43</f>
        <v>15416</v>
      </c>
      <c r="I43" s="95"/>
      <c r="J43" s="175">
        <f>H43/DAY(B2)</f>
        <v>642.33333333333337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'23'!F44</f>
        <v>0</v>
      </c>
      <c r="F44" s="145">
        <v>0</v>
      </c>
      <c r="G44" s="112">
        <f t="shared" si="3"/>
        <v>0</v>
      </c>
      <c r="H44" s="99">
        <f>G44+'23'!H44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'23'!F45</f>
        <v>0</v>
      </c>
      <c r="F45" s="145">
        <v>0</v>
      </c>
      <c r="G45" s="112">
        <f t="shared" si="3"/>
        <v>0</v>
      </c>
      <c r="H45" s="99">
        <f>G45+'23'!H45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'23'!F46</f>
        <v>0</v>
      </c>
      <c r="F46" s="145">
        <v>0</v>
      </c>
      <c r="G46" s="112">
        <f t="shared" si="3"/>
        <v>0</v>
      </c>
      <c r="H46" s="99">
        <f>G46+'23'!H46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10385.800000000017</v>
      </c>
      <c r="H47" s="99">
        <f>G47+'23'!H47</f>
        <v>195988.87000000011</v>
      </c>
      <c r="I47" s="95"/>
      <c r="J47" s="175">
        <f>H47/DAY(B2)</f>
        <v>8166.2029166666716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'23'!F49</f>
        <v>803572</v>
      </c>
      <c r="F49" s="145">
        <v>803921.99</v>
      </c>
      <c r="G49" s="112">
        <f t="shared" ref="G49:G58" si="4">F49-E49</f>
        <v>349.98999999999069</v>
      </c>
      <c r="H49" s="99">
        <f>G49+'23'!H49</f>
        <v>10299.040000000037</v>
      </c>
      <c r="I49" s="95"/>
      <c r="J49" s="175">
        <f>H49/DAY(B2)</f>
        <v>429.1266666666682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'23'!F50</f>
        <v>490520</v>
      </c>
      <c r="F50" s="145">
        <v>491866.91</v>
      </c>
      <c r="G50" s="112">
        <f t="shared" si="4"/>
        <v>1346.9099999999744</v>
      </c>
      <c r="H50" s="99">
        <f>G50+'23'!H50</f>
        <v>35197.839999999967</v>
      </c>
      <c r="I50" s="95"/>
      <c r="J50" s="175">
        <f>H50/DAY(B2)</f>
        <v>1466.5766666666652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'23'!F51</f>
        <v>156958</v>
      </c>
      <c r="F51" s="145">
        <v>156958.44</v>
      </c>
      <c r="G51" s="112">
        <f t="shared" si="4"/>
        <v>0.44000000000232831</v>
      </c>
      <c r="H51" s="99">
        <f>G51+'23'!H51</f>
        <v>21713.890000000014</v>
      </c>
      <c r="I51" s="95"/>
      <c r="J51" s="175">
        <f>H51/DAY(B2)</f>
        <v>904.74541666666721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'23'!F52</f>
        <v>9.76</v>
      </c>
      <c r="F52" s="145">
        <v>9.76</v>
      </c>
      <c r="G52" s="112">
        <f t="shared" si="4"/>
        <v>0</v>
      </c>
      <c r="H52" s="99">
        <f>G52+'23'!H52</f>
        <v>-0.24000000000000021</v>
      </c>
      <c r="I52" s="95"/>
      <c r="J52" s="175">
        <f>H52/DAY(B2)</f>
        <v>-1.0000000000000009E-2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'23'!F53</f>
        <v>630355</v>
      </c>
      <c r="F53" s="145">
        <v>630355.03</v>
      </c>
      <c r="G53" s="112">
        <f t="shared" si="4"/>
        <v>3.0000000027939677E-2</v>
      </c>
      <c r="H53" s="99">
        <f>G53+'23'!H53</f>
        <v>83813.760000000009</v>
      </c>
      <c r="I53" s="95"/>
      <c r="J53" s="175">
        <f>H53/DAY(B2)</f>
        <v>3492.2400000000002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'23'!F54</f>
        <v>111735</v>
      </c>
      <c r="F54" s="145">
        <v>112094.9</v>
      </c>
      <c r="G54" s="112">
        <f t="shared" si="4"/>
        <v>359.89999999999418</v>
      </c>
      <c r="H54" s="99">
        <f>G54+'23'!H54</f>
        <v>4431.7399999999907</v>
      </c>
      <c r="I54" s="95"/>
      <c r="J54" s="175">
        <f>H54/DAY(B2)</f>
        <v>184.65583333333294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'23'!F55</f>
        <v>576335.63</v>
      </c>
      <c r="F55" s="145">
        <v>576335.63</v>
      </c>
      <c r="G55" s="112">
        <f t="shared" si="4"/>
        <v>0</v>
      </c>
      <c r="H55" s="99">
        <f>G55+'23'!H55</f>
        <v>14850.959999999963</v>
      </c>
      <c r="I55" s="95"/>
      <c r="J55" s="175">
        <f>H55/DAY(B2)</f>
        <v>618.78999999999849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'23'!F56</f>
        <v>330237</v>
      </c>
      <c r="F56" s="145">
        <v>333128.09000000003</v>
      </c>
      <c r="G56" s="112">
        <f t="shared" si="4"/>
        <v>2891.0900000000256</v>
      </c>
      <c r="H56" s="99">
        <f>G56+'23'!H56</f>
        <v>65013.080000000016</v>
      </c>
      <c r="I56" s="95"/>
      <c r="J56" s="175">
        <f>H56/DAY(B2)</f>
        <v>2708.878333333334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'23'!F57</f>
        <v>610355</v>
      </c>
      <c r="F57" s="145">
        <v>612442.03</v>
      </c>
      <c r="G57" s="112">
        <f t="shared" si="4"/>
        <v>2087.0300000000279</v>
      </c>
      <c r="H57" s="99">
        <f>G57+'23'!H57</f>
        <v>48882.560000000056</v>
      </c>
      <c r="I57" s="95"/>
      <c r="J57" s="175">
        <f>H57/DAY(B2)</f>
        <v>2036.7733333333356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'23'!F58</f>
        <v>84186</v>
      </c>
      <c r="F58" s="145">
        <v>84440.73</v>
      </c>
      <c r="G58" s="112">
        <f t="shared" si="4"/>
        <v>254.72999999999593</v>
      </c>
      <c r="H58" s="99">
        <f>G58+'23'!H58</f>
        <v>5725.0399999999936</v>
      </c>
      <c r="I58" s="95"/>
      <c r="J58" s="175">
        <f>H58/DAY(B2)</f>
        <v>238.54333333333307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7290.120000000039</v>
      </c>
      <c r="H59" s="99">
        <f>G59+'23'!H59</f>
        <v>289927.67000000004</v>
      </c>
      <c r="I59" s="95">
        <f>G7-G60</f>
        <v>2857.4339999999938</v>
      </c>
      <c r="J59" s="175">
        <f>H59/DAY(B2)</f>
        <v>12080.319583333336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17675.920000000056</v>
      </c>
      <c r="H60" s="99">
        <f>G60+'23'!H60</f>
        <v>485916.54000000027</v>
      </c>
      <c r="I60" s="95">
        <f>G13-G60</f>
        <v>2321.4799999993847</v>
      </c>
      <c r="J60" s="175">
        <f>H60/DAY(B2)</f>
        <v>20246.52250000001</v>
      </c>
      <c r="K60" s="79"/>
      <c r="L60" s="66"/>
      <c r="N60" s="87"/>
      <c r="O60" s="71"/>
    </row>
    <row r="61" spans="1:15" s="68" customFormat="1" ht="26.25">
      <c r="A61" s="883" t="s">
        <v>332</v>
      </c>
      <c r="B61" s="884"/>
      <c r="C61" s="88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64" t="s">
        <v>198</v>
      </c>
      <c r="B62" s="865"/>
      <c r="C62" s="866"/>
      <c r="D62" s="151" t="s">
        <v>142</v>
      </c>
      <c r="E62" s="95">
        <f>'23'!F62</f>
        <v>311035</v>
      </c>
      <c r="F62" s="122">
        <v>311135.40000000002</v>
      </c>
      <c r="G62" s="112">
        <f t="shared" ref="G62:G63" si="5">F62-E62</f>
        <v>100.40000000002328</v>
      </c>
      <c r="H62" s="99">
        <f>G62+'23'!H62</f>
        <v>2821.4000000000233</v>
      </c>
      <c r="I62" s="118"/>
      <c r="J62" s="175">
        <f>H62/DAY(B2)</f>
        <v>117.5583333333343</v>
      </c>
      <c r="K62" s="80"/>
      <c r="L62" s="66"/>
      <c r="N62" s="87"/>
      <c r="O62" s="71"/>
    </row>
    <row r="63" spans="1:15" ht="25.5">
      <c r="A63" s="864" t="s">
        <v>199</v>
      </c>
      <c r="B63" s="865"/>
      <c r="C63" s="866"/>
      <c r="D63" s="151" t="s">
        <v>142</v>
      </c>
      <c r="E63" s="95">
        <f>'23'!F63</f>
        <v>248294</v>
      </c>
      <c r="F63" s="122">
        <v>248384</v>
      </c>
      <c r="G63" s="112">
        <f t="shared" si="5"/>
        <v>90</v>
      </c>
      <c r="H63" s="99">
        <f>G63+'23'!H63</f>
        <v>1455</v>
      </c>
      <c r="I63" s="118"/>
      <c r="J63" s="175">
        <f>H63/DAY(B2)</f>
        <v>60.625</v>
      </c>
      <c r="K63" s="69"/>
      <c r="L63" s="66"/>
      <c r="N63" s="87"/>
      <c r="O63" s="71"/>
    </row>
    <row r="64" spans="1:15" ht="26.25">
      <c r="A64" s="861" t="s">
        <v>200</v>
      </c>
      <c r="B64" s="862"/>
      <c r="C64" s="863"/>
      <c r="D64" s="151"/>
      <c r="E64" s="95">
        <f>'23'!F64</f>
        <v>0</v>
      </c>
      <c r="F64" s="122"/>
      <c r="G64" s="112">
        <f>G62+G63</f>
        <v>190.40000000002328</v>
      </c>
      <c r="H64" s="99">
        <f>G64+'23'!H64</f>
        <v>4276.4000000000233</v>
      </c>
      <c r="I64" s="118"/>
      <c r="J64" s="175">
        <f>H64/DAY(B2)</f>
        <v>178.1833333333343</v>
      </c>
      <c r="K64" s="69"/>
      <c r="L64" s="66"/>
      <c r="N64" s="87"/>
      <c r="O64" s="71"/>
    </row>
    <row r="65" spans="1:15" ht="25.5">
      <c r="A65" s="864" t="s">
        <v>201</v>
      </c>
      <c r="B65" s="865"/>
      <c r="C65" s="866"/>
      <c r="D65" s="151" t="s">
        <v>142</v>
      </c>
      <c r="E65" s="95">
        <f>'23'!F65</f>
        <v>470974</v>
      </c>
      <c r="F65" s="122">
        <v>471098</v>
      </c>
      <c r="G65" s="112">
        <f t="shared" ref="G65:G70" si="6">F65-E65</f>
        <v>124</v>
      </c>
      <c r="H65" s="99">
        <f>G65+'23'!H65</f>
        <v>3197</v>
      </c>
      <c r="I65" s="118"/>
      <c r="J65" s="175">
        <f>H65/DAY(B2)</f>
        <v>133.20833333333334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'23'!F66</f>
        <v>113436</v>
      </c>
      <c r="F66" s="122">
        <v>113452</v>
      </c>
      <c r="G66" s="112">
        <f t="shared" si="6"/>
        <v>16</v>
      </c>
      <c r="H66" s="99">
        <f>G66+'23'!H66</f>
        <v>55705</v>
      </c>
      <c r="I66" s="118"/>
      <c r="J66" s="175">
        <f>H66/DAY(B2)</f>
        <v>2321.0416666666665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'23'!F67</f>
        <v>116344</v>
      </c>
      <c r="F67" s="122">
        <v>116373</v>
      </c>
      <c r="G67" s="112">
        <f t="shared" si="6"/>
        <v>29</v>
      </c>
      <c r="H67" s="99">
        <f>G67+'23'!H67</f>
        <v>518</v>
      </c>
      <c r="I67" s="118"/>
      <c r="J67" s="175">
        <f>H67/DAY(B2)</f>
        <v>21.583333333333332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'23'!F68</f>
        <v>169187</v>
      </c>
      <c r="F68" s="122">
        <v>169222</v>
      </c>
      <c r="G68" s="112">
        <f t="shared" si="6"/>
        <v>35</v>
      </c>
      <c r="H68" s="99">
        <f>G68+'23'!H68</f>
        <v>715</v>
      </c>
      <c r="I68" s="118"/>
      <c r="J68" s="175">
        <f>H68/DAY(B2)</f>
        <v>29.791666666666668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'23'!F69</f>
        <v>12932</v>
      </c>
      <c r="F69" s="122">
        <v>12933</v>
      </c>
      <c r="G69" s="112">
        <f t="shared" si="6"/>
        <v>1</v>
      </c>
      <c r="H69" s="99">
        <f>G69+'23'!H69</f>
        <v>123</v>
      </c>
      <c r="I69" s="118"/>
      <c r="J69" s="175">
        <f>H69/DAY(B2)</f>
        <v>5.125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'23'!F70</f>
        <v>10949</v>
      </c>
      <c r="F70" s="122">
        <v>10957</v>
      </c>
      <c r="G70" s="112">
        <f t="shared" si="6"/>
        <v>8</v>
      </c>
      <c r="H70" s="99">
        <f>G70+'23'!H70</f>
        <v>178</v>
      </c>
      <c r="I70" s="118"/>
      <c r="J70" s="175">
        <f>H70/DAY(B2)</f>
        <v>7.416666666666667</v>
      </c>
      <c r="K70" s="69"/>
      <c r="L70" s="66"/>
      <c r="N70" s="87"/>
      <c r="O70" s="71"/>
    </row>
    <row r="71" spans="1:15" ht="26.25">
      <c r="A71" s="861" t="s">
        <v>208</v>
      </c>
      <c r="B71" s="862"/>
      <c r="C71" s="863"/>
      <c r="D71" s="152"/>
      <c r="E71" s="152"/>
      <c r="F71" s="152"/>
      <c r="G71" s="153">
        <f>SUM(G65:G70)</f>
        <v>213</v>
      </c>
      <c r="H71" s="99">
        <f>G71+'23'!H71</f>
        <v>60436</v>
      </c>
      <c r="I71" s="154"/>
      <c r="J71" s="175">
        <f>H71/DAY(B2)</f>
        <v>2518.1666666666665</v>
      </c>
      <c r="K71" s="69"/>
      <c r="L71" s="66"/>
      <c r="N71" s="87"/>
      <c r="O71" s="71"/>
    </row>
    <row r="72" spans="1:15" s="88" customFormat="1" ht="25.5">
      <c r="A72" s="904"/>
      <c r="B72" s="89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09" t="s">
        <v>333</v>
      </c>
      <c r="B73" s="910"/>
      <c r="C73" s="91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64" t="s">
        <v>220</v>
      </c>
      <c r="B74" s="865"/>
      <c r="C74" s="866"/>
      <c r="D74" s="151" t="s">
        <v>139</v>
      </c>
      <c r="E74" s="95">
        <f>'23'!F74</f>
        <v>1000096</v>
      </c>
      <c r="F74" s="117">
        <v>1000392</v>
      </c>
      <c r="G74" s="112">
        <f t="shared" ref="G74:G78" si="7">F74-E74</f>
        <v>296</v>
      </c>
      <c r="H74" s="99">
        <f>G74+'23'!H74</f>
        <v>7032.9699999999721</v>
      </c>
      <c r="I74" s="154"/>
      <c r="J74" s="175">
        <f>H74/DAY(B2)</f>
        <v>293.04041666666552</v>
      </c>
      <c r="K74" s="69"/>
      <c r="L74" s="66"/>
      <c r="N74" s="87"/>
      <c r="O74" s="71"/>
    </row>
    <row r="75" spans="1:15" ht="25.5">
      <c r="A75" s="864" t="s">
        <v>221</v>
      </c>
      <c r="B75" s="865"/>
      <c r="C75" s="866"/>
      <c r="D75" s="151" t="s">
        <v>139</v>
      </c>
      <c r="E75" s="95">
        <f>'23'!F75</f>
        <v>73586.8</v>
      </c>
      <c r="F75" s="123">
        <v>73586.8</v>
      </c>
      <c r="G75" s="112">
        <f t="shared" si="7"/>
        <v>0</v>
      </c>
      <c r="H75" s="99">
        <f>G75+'23'!H75</f>
        <v>0.80000000000291038</v>
      </c>
      <c r="I75" s="154"/>
      <c r="J75" s="175">
        <f>H75/DAY(B2)</f>
        <v>3.3333333333454597E-2</v>
      </c>
      <c r="K75" s="69"/>
      <c r="L75" s="66"/>
      <c r="N75" s="87"/>
      <c r="O75" s="71"/>
    </row>
    <row r="76" spans="1:15" ht="25.5">
      <c r="A76" s="905" t="s">
        <v>222</v>
      </c>
      <c r="B76" s="891"/>
      <c r="C76" s="892"/>
      <c r="D76" s="151" t="s">
        <v>139</v>
      </c>
      <c r="E76" s="95">
        <f>'23'!F76</f>
        <v>206517</v>
      </c>
      <c r="F76" s="123">
        <v>206610</v>
      </c>
      <c r="G76" s="112">
        <f t="shared" si="7"/>
        <v>93</v>
      </c>
      <c r="H76" s="99">
        <f>G76+'23'!H76</f>
        <v>2948</v>
      </c>
      <c r="I76" s="154"/>
      <c r="J76" s="175">
        <f>H76/DAY(B2)</f>
        <v>122.83333333333333</v>
      </c>
      <c r="K76" s="69"/>
      <c r="L76" s="66"/>
      <c r="N76" s="87"/>
      <c r="O76" s="71"/>
    </row>
    <row r="77" spans="1:15" ht="25.5">
      <c r="A77" s="905" t="s">
        <v>223</v>
      </c>
      <c r="B77" s="891"/>
      <c r="C77" s="892"/>
      <c r="D77" s="151" t="s">
        <v>139</v>
      </c>
      <c r="E77" s="95">
        <f>'23'!F77</f>
        <v>57735</v>
      </c>
      <c r="F77" s="123">
        <v>57794</v>
      </c>
      <c r="G77" s="112">
        <f t="shared" si="7"/>
        <v>59</v>
      </c>
      <c r="H77" s="99">
        <f>G77+'23'!H77</f>
        <v>1272</v>
      </c>
      <c r="I77" s="154"/>
      <c r="J77" s="175">
        <f>H77/DAY(B2)</f>
        <v>53</v>
      </c>
      <c r="K77" s="69"/>
      <c r="L77" s="66"/>
      <c r="N77" s="87"/>
      <c r="O77" s="71"/>
    </row>
    <row r="78" spans="1:15" ht="25.5">
      <c r="A78" s="905" t="s">
        <v>224</v>
      </c>
      <c r="B78" s="891"/>
      <c r="C78" s="892"/>
      <c r="D78" s="151" t="s">
        <v>139</v>
      </c>
      <c r="E78" s="95">
        <f>'23'!F78</f>
        <v>9564</v>
      </c>
      <c r="F78" s="123">
        <v>9564</v>
      </c>
      <c r="G78" s="112">
        <f t="shared" si="7"/>
        <v>0</v>
      </c>
      <c r="H78" s="99">
        <f>G78+'23'!H78</f>
        <v>-0.3999999999996362</v>
      </c>
      <c r="I78" s="118"/>
      <c r="J78" s="175">
        <f>H78/DAY(B2)</f>
        <v>-1.6666666666651508E-2</v>
      </c>
      <c r="K78" s="69"/>
      <c r="L78" s="66"/>
      <c r="N78" s="87"/>
      <c r="O78" s="71"/>
    </row>
    <row r="79" spans="1:15" s="57" customFormat="1" ht="25.5">
      <c r="A79" s="905" t="s">
        <v>225</v>
      </c>
      <c r="B79" s="891"/>
      <c r="C79" s="892"/>
      <c r="D79" s="151"/>
      <c r="E79" s="95">
        <f>'23'!F79</f>
        <v>0</v>
      </c>
      <c r="F79" s="117"/>
      <c r="G79" s="112">
        <f>G15-SUM(G74:G78)</f>
        <v>680</v>
      </c>
      <c r="H79" s="99">
        <f>G79+'23'!H79</f>
        <v>14920.630000000025</v>
      </c>
      <c r="I79" s="118"/>
      <c r="J79" s="175">
        <f>H79/DAY(B2)</f>
        <v>621.69291666666766</v>
      </c>
      <c r="K79" s="59"/>
      <c r="L79" s="58"/>
      <c r="N79" s="87"/>
      <c r="O79" s="71"/>
    </row>
    <row r="80" spans="1:15" s="57" customFormat="1" ht="26.25">
      <c r="A80" s="861" t="s">
        <v>329</v>
      </c>
      <c r="B80" s="862"/>
      <c r="C80" s="863"/>
      <c r="D80" s="151"/>
      <c r="E80" s="117"/>
      <c r="F80" s="117"/>
      <c r="G80" s="112">
        <f>SUM(G74:G79)</f>
        <v>1128</v>
      </c>
      <c r="H80" s="99"/>
      <c r="I80" s="118"/>
      <c r="J80" s="175"/>
      <c r="K80" s="59"/>
      <c r="L80" s="58"/>
      <c r="N80" s="87"/>
      <c r="O80" s="71"/>
    </row>
    <row r="81" spans="1:15" ht="25.5">
      <c r="A81" s="897" t="s">
        <v>226</v>
      </c>
      <c r="B81" s="898"/>
      <c r="C81" s="89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'23'!F82</f>
        <v>0</v>
      </c>
      <c r="F82" s="122">
        <v>0</v>
      </c>
      <c r="G82" s="112">
        <f t="shared" ref="G82:G92" si="8">F82-E82</f>
        <v>0</v>
      </c>
      <c r="H82" s="99">
        <f>G82+'23'!H82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'23'!F83</f>
        <v>0</v>
      </c>
      <c r="F83" s="122">
        <v>0</v>
      </c>
      <c r="G83" s="112">
        <f t="shared" si="8"/>
        <v>0</v>
      </c>
      <c r="H83" s="99">
        <f>G83+'23'!H83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'23'!F84</f>
        <v>43546</v>
      </c>
      <c r="F84" s="164">
        <v>43546</v>
      </c>
      <c r="G84" s="112">
        <f t="shared" si="8"/>
        <v>0</v>
      </c>
      <c r="H84" s="99">
        <f>G84+'23'!H84</f>
        <v>2005.7900000000009</v>
      </c>
      <c r="I84" s="545"/>
      <c r="J84" s="175">
        <f>H84/DAY(B2)</f>
        <v>83.574583333333365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'23'!F85</f>
        <v>5768</v>
      </c>
      <c r="F85" s="164">
        <v>5768</v>
      </c>
      <c r="G85" s="112">
        <f t="shared" si="8"/>
        <v>0</v>
      </c>
      <c r="H85" s="99">
        <f>G85+'23'!H85</f>
        <v>84</v>
      </c>
      <c r="I85" s="545"/>
      <c r="J85" s="175">
        <f>H85/DAY(B2)</f>
        <v>3.5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'23'!F86</f>
        <v>46834</v>
      </c>
      <c r="F86" s="164">
        <v>46834</v>
      </c>
      <c r="G86" s="112">
        <f t="shared" si="8"/>
        <v>0</v>
      </c>
      <c r="H86" s="99">
        <f>G86+'23'!H86</f>
        <v>80.069999999999709</v>
      </c>
      <c r="I86" s="545"/>
      <c r="J86" s="175">
        <f>H86/DAY(B2)</f>
        <v>3.3362499999999877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'23'!F87</f>
        <v>36984</v>
      </c>
      <c r="F87" s="164">
        <v>37008.42</v>
      </c>
      <c r="G87" s="112">
        <f t="shared" si="8"/>
        <v>24.419999999998254</v>
      </c>
      <c r="H87" s="99">
        <f>G87+'23'!H87</f>
        <v>458.20999999999913</v>
      </c>
      <c r="I87" s="545">
        <f>G84+G85+G86+G87</f>
        <v>24.419999999998254</v>
      </c>
      <c r="J87" s="175">
        <f>H87/DAY(B2)</f>
        <v>19.092083333333296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'23'!F88</f>
        <v>24541</v>
      </c>
      <c r="F88" s="164">
        <v>24550</v>
      </c>
      <c r="G88" s="112">
        <f t="shared" si="8"/>
        <v>9</v>
      </c>
      <c r="H88" s="99">
        <f>G88+'23'!H88</f>
        <v>38.200000000000728</v>
      </c>
      <c r="I88" s="545"/>
      <c r="J88" s="175">
        <f>H88/DAY(B2)</f>
        <v>1.591666666666697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'23'!F89</f>
        <v>28711</v>
      </c>
      <c r="F89" s="164">
        <v>28712.67</v>
      </c>
      <c r="G89" s="112">
        <f t="shared" si="8"/>
        <v>1.6699999999982538</v>
      </c>
      <c r="H89" s="99">
        <f>G89+'23'!H89</f>
        <v>210.96999999999753</v>
      </c>
      <c r="I89" s="545">
        <f>G88+G89</f>
        <v>10.669999999998254</v>
      </c>
      <c r="J89" s="175">
        <f>H89/DAY(B2)</f>
        <v>8.7904166666665642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'23'!F90</f>
        <v>74122</v>
      </c>
      <c r="F90" s="164">
        <v>74136.149999999994</v>
      </c>
      <c r="G90" s="112">
        <f t="shared" si="8"/>
        <v>14.149999999994179</v>
      </c>
      <c r="H90" s="99">
        <f>G90+'23'!H90</f>
        <v>275.54999999998836</v>
      </c>
      <c r="I90" s="545">
        <f>G90</f>
        <v>14.149999999994179</v>
      </c>
      <c r="J90" s="175">
        <f>H90/DAY(B2)</f>
        <v>11.481249999999514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'23'!F91</f>
        <v>5577</v>
      </c>
      <c r="F91" s="122">
        <v>5588.24</v>
      </c>
      <c r="G91" s="112">
        <f t="shared" si="8"/>
        <v>11.239999999999782</v>
      </c>
      <c r="H91" s="99">
        <f>G91+'23'!H91</f>
        <v>235.46999999999935</v>
      </c>
      <c r="I91" s="546"/>
      <c r="J91" s="175">
        <f>H91/DAY(B2)</f>
        <v>9.8112499999999727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'23'!F92</f>
        <v>7031.67</v>
      </c>
      <c r="F92" s="122">
        <v>7031.67</v>
      </c>
      <c r="G92" s="112">
        <f t="shared" si="8"/>
        <v>0</v>
      </c>
      <c r="H92" s="99">
        <f>G92+'23'!H92</f>
        <v>31.670000000000073</v>
      </c>
      <c r="I92" s="547">
        <f>G91+G92</f>
        <v>11.239999999999782</v>
      </c>
      <c r="J92" s="175">
        <f>H92/DAY(B2)</f>
        <v>1.3195833333333364</v>
      </c>
      <c r="O92" s="71"/>
    </row>
    <row r="93" spans="1:15" ht="26.25">
      <c r="A93" s="906" t="s">
        <v>239</v>
      </c>
      <c r="B93" s="907"/>
      <c r="C93" s="90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64" t="s">
        <v>240</v>
      </c>
      <c r="B94" s="865"/>
      <c r="C94" s="866"/>
      <c r="D94" s="151" t="s">
        <v>130</v>
      </c>
      <c r="E94" s="151"/>
      <c r="F94" s="151"/>
      <c r="G94" s="99">
        <f>G35+G43+G49+G57</f>
        <v>5031.3300000000163</v>
      </c>
      <c r="H94" s="99">
        <f>G94+'23'!H94</f>
        <v>141169.00000000012</v>
      </c>
      <c r="I94" s="118"/>
      <c r="J94" s="175">
        <f>H94/DAY(B2)</f>
        <v>5882.0416666666715</v>
      </c>
      <c r="K94" s="69"/>
      <c r="L94" s="66"/>
      <c r="O94" s="71"/>
    </row>
    <row r="95" spans="1:15" ht="25.5">
      <c r="A95" s="864" t="s">
        <v>241</v>
      </c>
      <c r="B95" s="865"/>
      <c r="C95" s="866"/>
      <c r="D95" s="151" t="s">
        <v>23</v>
      </c>
      <c r="E95" s="146"/>
      <c r="F95" s="146"/>
      <c r="G95" s="166">
        <f>G94/G7</f>
        <v>0.24503205857162955</v>
      </c>
      <c r="H95" s="99">
        <f>G95+'23'!H95</f>
        <v>6.1417457637593849</v>
      </c>
      <c r="I95" s="167"/>
      <c r="J95" s="175">
        <f>H95/DAY(B2)</f>
        <v>0.25590607348997435</v>
      </c>
      <c r="K95" s="69"/>
      <c r="L95" s="66"/>
      <c r="O95" s="71"/>
    </row>
    <row r="96" spans="1:15" ht="25.5">
      <c r="A96" s="864" t="s">
        <v>242</v>
      </c>
      <c r="B96" s="865"/>
      <c r="C96" s="866"/>
      <c r="D96" s="151" t="s">
        <v>130</v>
      </c>
      <c r="E96" s="95"/>
      <c r="F96" s="95"/>
      <c r="G96" s="99">
        <f>G41+G42+G55+G56</f>
        <v>2892.3900000000722</v>
      </c>
      <c r="H96" s="99">
        <f>G96+'23'!H96</f>
        <v>99949.670000000042</v>
      </c>
      <c r="I96" s="118"/>
      <c r="J96" s="175">
        <f>H96/DAY(B2)</f>
        <v>4164.5695833333348</v>
      </c>
      <c r="K96" s="69"/>
      <c r="L96" s="66"/>
      <c r="O96" s="71"/>
    </row>
    <row r="97" spans="1:15" ht="25.5">
      <c r="A97" s="864" t="s">
        <v>243</v>
      </c>
      <c r="B97" s="865"/>
      <c r="C97" s="866"/>
      <c r="D97" s="151" t="s">
        <v>23</v>
      </c>
      <c r="E97" s="95"/>
      <c r="F97" s="95"/>
      <c r="G97" s="166">
        <f>G96/G7</f>
        <v>0.14086300757295009</v>
      </c>
      <c r="H97" s="99">
        <f>G97+'23'!H97</f>
        <v>4.3069412195114802</v>
      </c>
      <c r="I97" s="167"/>
      <c r="J97" s="175">
        <f>H97/DAY(B2)</f>
        <v>0.17945588414631167</v>
      </c>
      <c r="K97" s="69"/>
      <c r="L97" s="66"/>
      <c r="O97" s="71"/>
    </row>
    <row r="98" spans="1:15" ht="25.5">
      <c r="A98" s="864" t="s">
        <v>244</v>
      </c>
      <c r="B98" s="865"/>
      <c r="C98" s="866"/>
      <c r="D98" s="151" t="s">
        <v>130</v>
      </c>
      <c r="E98" s="95"/>
      <c r="F98" s="95"/>
      <c r="G98" s="99">
        <f>G39+G53</f>
        <v>2731.0200000000186</v>
      </c>
      <c r="H98" s="99">
        <f>G98+'23'!H98</f>
        <v>93391.560000000056</v>
      </c>
      <c r="I98" s="168"/>
      <c r="J98" s="175">
        <f>H98/DAY(B2)</f>
        <v>3891.3150000000023</v>
      </c>
      <c r="K98" s="69"/>
      <c r="L98" s="66"/>
      <c r="O98" s="71"/>
    </row>
    <row r="99" spans="1:15" ht="25.5">
      <c r="A99" s="864" t="s">
        <v>245</v>
      </c>
      <c r="B99" s="865"/>
      <c r="C99" s="866"/>
      <c r="D99" s="151" t="s">
        <v>23</v>
      </c>
      <c r="E99" s="95"/>
      <c r="F99" s="95"/>
      <c r="G99" s="166">
        <f>G98/G7</f>
        <v>0.13300408691147156</v>
      </c>
      <c r="H99" s="99">
        <f>G99+'23'!H99</f>
        <v>4.0607751108459631</v>
      </c>
      <c r="I99" s="168"/>
      <c r="J99" s="175">
        <f>H99/DAY(B2)</f>
        <v>0.16919896295191514</v>
      </c>
      <c r="O99" s="71"/>
    </row>
    <row r="100" spans="1:15" ht="26.25">
      <c r="A100" s="864" t="s">
        <v>246</v>
      </c>
      <c r="B100" s="865"/>
      <c r="C100" s="866"/>
      <c r="D100" s="151" t="s">
        <v>180</v>
      </c>
      <c r="E100" s="95"/>
      <c r="F100" s="95"/>
      <c r="G100" s="99">
        <f>G38+G52</f>
        <v>2452.3499999999767</v>
      </c>
      <c r="H100" s="99">
        <f>G100+'23'!H100</f>
        <v>43680.719999999965</v>
      </c>
      <c r="I100" s="118"/>
      <c r="J100" s="175">
        <f>H100/DAY(B2)</f>
        <v>1820.0299999999986</v>
      </c>
      <c r="K100" s="70"/>
      <c r="O100" s="71"/>
    </row>
    <row r="101" spans="1:15" ht="25.5">
      <c r="A101" s="864" t="s">
        <v>247</v>
      </c>
      <c r="B101" s="865"/>
      <c r="C101" s="866"/>
      <c r="D101" s="151" t="s">
        <v>23</v>
      </c>
      <c r="E101" s="95"/>
      <c r="F101" s="95"/>
      <c r="G101" s="166">
        <f>G100/G7</f>
        <v>0.11943250966208301</v>
      </c>
      <c r="H101" s="99">
        <f>G101+'23'!H101</f>
        <v>1.9292894391939004</v>
      </c>
      <c r="I101" s="168"/>
      <c r="J101" s="175">
        <f>H101/DAY(B2)</f>
        <v>8.0387059966412516E-2</v>
      </c>
      <c r="O101" s="71"/>
    </row>
    <row r="102" spans="1:15" ht="25.5">
      <c r="A102" s="864" t="s">
        <v>248</v>
      </c>
      <c r="B102" s="865"/>
      <c r="C102" s="866"/>
      <c r="D102" s="151" t="s">
        <v>180</v>
      </c>
      <c r="E102" s="95"/>
      <c r="F102" s="95"/>
      <c r="G102" s="99">
        <f>G36+G50</f>
        <v>2078.539999999979</v>
      </c>
      <c r="H102" s="99">
        <f>G102+'23'!H102</f>
        <v>60552.359999999986</v>
      </c>
      <c r="I102" s="168"/>
      <c r="J102" s="175">
        <f>H102/DAY(B2)</f>
        <v>2523.0149999999994</v>
      </c>
      <c r="O102" s="71"/>
    </row>
    <row r="103" spans="1:15" ht="25.5">
      <c r="A103" s="864" t="s">
        <v>249</v>
      </c>
      <c r="B103" s="865"/>
      <c r="C103" s="866"/>
      <c r="D103" s="151" t="s">
        <v>23</v>
      </c>
      <c r="E103" s="95"/>
      <c r="F103" s="95"/>
      <c r="G103" s="166">
        <f>G102/G7</f>
        <v>0.10122749551777922</v>
      </c>
      <c r="H103" s="99">
        <f>G103+'23'!H103</f>
        <v>2.6320311408407471</v>
      </c>
      <c r="I103" s="118"/>
      <c r="J103" s="175">
        <f>H103/DAY(B2)</f>
        <v>0.10966796420169779</v>
      </c>
      <c r="O103" s="71"/>
    </row>
    <row r="104" spans="1:15" ht="25.5">
      <c r="A104" s="864" t="s">
        <v>250</v>
      </c>
      <c r="B104" s="865"/>
      <c r="C104" s="866"/>
      <c r="D104" s="151" t="s">
        <v>180</v>
      </c>
      <c r="E104" s="95"/>
      <c r="F104" s="95"/>
      <c r="G104" s="99">
        <f>G37+G51</f>
        <v>1476.9500000000116</v>
      </c>
      <c r="H104" s="99">
        <f>G104+'23'!H104</f>
        <v>27020.710000000021</v>
      </c>
      <c r="I104" s="118"/>
      <c r="J104" s="175">
        <f>H104/DAY(B2)</f>
        <v>1125.8629166666676</v>
      </c>
      <c r="O104" s="71"/>
    </row>
    <row r="105" spans="1:15" ht="26.25" thickBot="1">
      <c r="A105" s="901" t="s">
        <v>251</v>
      </c>
      <c r="B105" s="902"/>
      <c r="C105" s="903"/>
      <c r="D105" s="231" t="s">
        <v>23</v>
      </c>
      <c r="E105" s="185"/>
      <c r="F105" s="185"/>
      <c r="G105" s="186">
        <f>G104/G7</f>
        <v>7.1929310720499337E-2</v>
      </c>
      <c r="H105" s="99">
        <f>G105+'23'!H105</f>
        <v>1.1843388369250694</v>
      </c>
      <c r="I105" s="187"/>
      <c r="J105" s="188">
        <f>H105/DAY(B2)</f>
        <v>4.9347451538544557E-2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15" t="s">
        <v>324</v>
      </c>
      <c r="B108" s="915"/>
      <c r="C108" s="915"/>
      <c r="D108" s="915"/>
      <c r="E108" s="915"/>
      <c r="F108" s="915"/>
      <c r="G108" s="915"/>
      <c r="H108" s="915"/>
      <c r="I108" s="915"/>
      <c r="J108" s="915"/>
    </row>
    <row r="109" spans="1:15" ht="26.25">
      <c r="A109" s="900"/>
      <c r="B109" s="900"/>
    </row>
    <row r="110" spans="1:15" ht="26.25">
      <c r="A110" s="916" t="s">
        <v>165</v>
      </c>
      <c r="B110" s="917"/>
      <c r="C110" s="917"/>
      <c r="D110" s="917"/>
      <c r="E110" s="917"/>
      <c r="F110" s="917"/>
      <c r="G110" s="917"/>
      <c r="H110" s="917"/>
      <c r="I110" s="917"/>
      <c r="J110" s="918"/>
    </row>
    <row r="111" spans="1:15" ht="25.5">
      <c r="A111" s="919"/>
      <c r="B111" s="920"/>
      <c r="C111" s="921"/>
      <c r="D111" s="165"/>
      <c r="E111" s="165"/>
      <c r="F111" s="165"/>
      <c r="G111" s="165"/>
      <c r="H111" s="156"/>
      <c r="I111" s="165"/>
      <c r="J111" s="327"/>
    </row>
    <row r="112" spans="1:15" ht="25.5">
      <c r="A112" s="894" t="s">
        <v>252</v>
      </c>
      <c r="B112" s="895"/>
      <c r="C112" s="896"/>
      <c r="D112" s="146" t="s">
        <v>183</v>
      </c>
      <c r="E112" s="95">
        <f>'23'!F112</f>
        <v>17027</v>
      </c>
      <c r="F112" s="237">
        <v>17088.490000000002</v>
      </c>
      <c r="G112" s="112">
        <f t="shared" ref="G112:G123" si="9">F112-E112</f>
        <v>61.490000000001601</v>
      </c>
      <c r="H112" s="99">
        <f>G112+'23'!H112</f>
        <v>1474.6900000000023</v>
      </c>
      <c r="I112" s="165"/>
      <c r="J112" s="328">
        <f>H112/DAY(B2)</f>
        <v>61.445416666666766</v>
      </c>
    </row>
    <row r="113" spans="1:18" ht="29.25" customHeight="1">
      <c r="A113" s="894" t="s">
        <v>253</v>
      </c>
      <c r="B113" s="895"/>
      <c r="C113" s="896"/>
      <c r="D113" s="146" t="s">
        <v>183</v>
      </c>
      <c r="E113" s="95">
        <f>'23'!F113</f>
        <v>35872</v>
      </c>
      <c r="F113" s="237">
        <v>36026.75</v>
      </c>
      <c r="G113" s="112">
        <f t="shared" si="9"/>
        <v>154.75</v>
      </c>
      <c r="H113" s="99">
        <f>G113+'23'!H113</f>
        <v>3576.0800000000017</v>
      </c>
      <c r="I113" s="165"/>
      <c r="J113" s="328">
        <f>H113/DAY(B2)</f>
        <v>149.00333333333342</v>
      </c>
    </row>
    <row r="114" spans="1:18" ht="29.25" customHeight="1">
      <c r="A114" s="894" t="s">
        <v>254</v>
      </c>
      <c r="B114" s="895"/>
      <c r="C114" s="896"/>
      <c r="D114" s="146" t="s">
        <v>183</v>
      </c>
      <c r="E114" s="95">
        <f>'23'!F114</f>
        <v>52687</v>
      </c>
      <c r="F114" s="237">
        <v>52884.57</v>
      </c>
      <c r="G114" s="112">
        <f t="shared" si="9"/>
        <v>197.56999999999971</v>
      </c>
      <c r="H114" s="99">
        <f>G114+'23'!H114</f>
        <v>4918.2699999999968</v>
      </c>
      <c r="I114" s="165"/>
      <c r="J114" s="328">
        <f>H114/DAY(B2)</f>
        <v>204.92791666666653</v>
      </c>
    </row>
    <row r="115" spans="1:18" ht="29.25" customHeight="1">
      <c r="A115" s="894" t="s">
        <v>255</v>
      </c>
      <c r="B115" s="895"/>
      <c r="C115" s="896"/>
      <c r="D115" s="146" t="s">
        <v>183</v>
      </c>
      <c r="E115" s="95">
        <f>'23'!F115</f>
        <v>33873</v>
      </c>
      <c r="F115" s="237">
        <v>34002.400000000001</v>
      </c>
      <c r="G115" s="112">
        <f t="shared" si="9"/>
        <v>129.40000000000146</v>
      </c>
      <c r="H115" s="99">
        <f>G115+'23'!H115</f>
        <v>3566</v>
      </c>
      <c r="I115" s="165"/>
      <c r="J115" s="328">
        <f>H115/DAY(B2)</f>
        <v>148.58333333333334</v>
      </c>
    </row>
    <row r="116" spans="1:18" ht="29.25" customHeight="1">
      <c r="A116" s="912" t="s">
        <v>96</v>
      </c>
      <c r="B116" s="913"/>
      <c r="C116" s="914"/>
      <c r="D116" s="146" t="s">
        <v>183</v>
      </c>
      <c r="E116" s="95">
        <f>'23'!F116</f>
        <v>131225</v>
      </c>
      <c r="F116" s="416">
        <v>131666.62</v>
      </c>
      <c r="G116" s="112">
        <f t="shared" si="9"/>
        <v>441.61999999999534</v>
      </c>
      <c r="H116" s="99">
        <f>G116+'23'!H116</f>
        <v>8806.4199999999983</v>
      </c>
      <c r="I116" s="165"/>
      <c r="J116" s="328">
        <f>H116/DAY(B2)</f>
        <v>366.93416666666661</v>
      </c>
      <c r="Q116" s="894"/>
      <c r="R116" s="896"/>
    </row>
    <row r="117" spans="1:18" ht="29.25" customHeight="1">
      <c r="A117" s="912" t="s">
        <v>184</v>
      </c>
      <c r="B117" s="913"/>
      <c r="C117" s="914"/>
      <c r="D117" s="146" t="s">
        <v>183</v>
      </c>
      <c r="E117" s="95">
        <f>'23'!F117</f>
        <v>80135</v>
      </c>
      <c r="F117" s="237">
        <v>80469</v>
      </c>
      <c r="G117" s="112">
        <f t="shared" si="9"/>
        <v>334</v>
      </c>
      <c r="H117" s="99">
        <f>G117+'23'!H117</f>
        <v>6487.8000000000029</v>
      </c>
      <c r="I117" s="165"/>
      <c r="J117" s="328">
        <f>H117/DAY(B2)</f>
        <v>270.3250000000001</v>
      </c>
      <c r="Q117" s="894"/>
      <c r="R117" s="896"/>
    </row>
    <row r="118" spans="1:18" ht="25.5">
      <c r="A118" s="889" t="s">
        <v>97</v>
      </c>
      <c r="B118" s="889"/>
      <c r="C118" s="889"/>
      <c r="D118" s="151" t="s">
        <v>183</v>
      </c>
      <c r="E118" s="95">
        <f>'23'!F118</f>
        <v>153363</v>
      </c>
      <c r="F118" s="237">
        <v>153955</v>
      </c>
      <c r="G118" s="112">
        <f t="shared" si="9"/>
        <v>592</v>
      </c>
      <c r="H118" s="99">
        <f>G118+'23'!H118</f>
        <v>15142.549999999988</v>
      </c>
      <c r="I118" s="165"/>
      <c r="J118" s="328">
        <f>H118/DAY(B2)</f>
        <v>630.93958333333285</v>
      </c>
      <c r="Q118" s="894"/>
      <c r="R118" s="896"/>
    </row>
    <row r="119" spans="1:18" ht="25.5">
      <c r="A119" s="889" t="s">
        <v>98</v>
      </c>
      <c r="B119" s="889"/>
      <c r="C119" s="889"/>
      <c r="D119" s="151" t="s">
        <v>183</v>
      </c>
      <c r="E119" s="95">
        <f>'23'!F119</f>
        <v>43680</v>
      </c>
      <c r="F119" s="237">
        <v>43703</v>
      </c>
      <c r="G119" s="112">
        <f t="shared" si="9"/>
        <v>23</v>
      </c>
      <c r="H119" s="99">
        <f>G119+'23'!H119</f>
        <v>349.30000000000291</v>
      </c>
      <c r="I119" s="165"/>
      <c r="J119" s="328">
        <f>H119/DAY(B2)</f>
        <v>14.554166666666788</v>
      </c>
    </row>
    <row r="120" spans="1:18" ht="25.5">
      <c r="A120" s="889" t="s">
        <v>99</v>
      </c>
      <c r="B120" s="889"/>
      <c r="C120" s="889"/>
      <c r="D120" s="151" t="s">
        <v>183</v>
      </c>
      <c r="E120" s="95">
        <f>'23'!F120</f>
        <v>105198</v>
      </c>
      <c r="F120" s="237">
        <v>105607</v>
      </c>
      <c r="G120" s="112">
        <f t="shared" si="9"/>
        <v>409</v>
      </c>
      <c r="H120" s="99">
        <f>G120+'23'!H120</f>
        <v>9899.3999999999942</v>
      </c>
      <c r="I120" s="165"/>
      <c r="J120" s="328">
        <f>H120/DAY(B2)</f>
        <v>412.47499999999974</v>
      </c>
    </row>
    <row r="121" spans="1:18" ht="25.5">
      <c r="A121" s="889" t="s">
        <v>100</v>
      </c>
      <c r="B121" s="889"/>
      <c r="C121" s="889"/>
      <c r="D121" s="151" t="s">
        <v>183</v>
      </c>
      <c r="E121" s="95">
        <f>'23'!F121</f>
        <v>117824</v>
      </c>
      <c r="F121" s="237">
        <v>118245</v>
      </c>
      <c r="G121" s="112">
        <f t="shared" si="9"/>
        <v>421</v>
      </c>
      <c r="H121" s="99">
        <f>G121+'23'!H121</f>
        <v>10415.949999999997</v>
      </c>
      <c r="I121" s="165"/>
      <c r="J121" s="328">
        <f>H121/DAY(B2)</f>
        <v>433.99791666666653</v>
      </c>
    </row>
    <row r="122" spans="1:18" ht="25.5">
      <c r="A122" s="889" t="s">
        <v>101</v>
      </c>
      <c r="B122" s="889"/>
      <c r="C122" s="889"/>
      <c r="D122" s="151" t="s">
        <v>183</v>
      </c>
      <c r="E122" s="95">
        <f>'23'!F122</f>
        <v>78865</v>
      </c>
      <c r="F122" s="237">
        <v>79165</v>
      </c>
      <c r="G122" s="112">
        <f t="shared" si="9"/>
        <v>300</v>
      </c>
      <c r="H122" s="99">
        <f>G122+'23'!H122</f>
        <v>8127.1000000000058</v>
      </c>
      <c r="I122" s="165"/>
      <c r="J122" s="328">
        <f>H122/DAY(B2)</f>
        <v>338.62916666666689</v>
      </c>
    </row>
    <row r="123" spans="1:18" ht="25.5">
      <c r="A123" s="889" t="s">
        <v>102</v>
      </c>
      <c r="B123" s="889"/>
      <c r="C123" s="889"/>
      <c r="D123" s="151" t="s">
        <v>183</v>
      </c>
      <c r="E123" s="95">
        <f>'23'!F123</f>
        <v>75509</v>
      </c>
      <c r="F123" s="237">
        <v>75843</v>
      </c>
      <c r="G123" s="112">
        <f t="shared" si="9"/>
        <v>334</v>
      </c>
      <c r="H123" s="99">
        <f>G123+'23'!H123</f>
        <v>7485.6999999999971</v>
      </c>
      <c r="I123" s="165"/>
      <c r="J123" s="328">
        <f>H123/DAY(B2)</f>
        <v>311.90416666666653</v>
      </c>
    </row>
    <row r="124" spans="1:18" ht="29.25" customHeight="1">
      <c r="A124" s="919"/>
      <c r="B124" s="920"/>
      <c r="C124" s="921"/>
      <c r="D124" s="165"/>
      <c r="E124" s="95">
        <f>'23'!F124</f>
        <v>0</v>
      </c>
      <c r="F124" s="165"/>
      <c r="G124" s="327"/>
      <c r="H124" s="156"/>
      <c r="I124" s="165"/>
      <c r="J124" s="327"/>
    </row>
    <row r="125" spans="1:18" ht="25.5">
      <c r="A125" s="853" t="s">
        <v>196</v>
      </c>
      <c r="B125" s="854"/>
      <c r="C125" s="245"/>
      <c r="D125" s="307"/>
      <c r="E125" s="308"/>
      <c r="F125" s="308"/>
      <c r="G125" s="309">
        <f>SUM(G112:G124)</f>
        <v>3397.8299999999981</v>
      </c>
      <c r="H125" s="156"/>
      <c r="I125" s="327">
        <f>G125-(G39+G53)</f>
        <v>666.80999999997948</v>
      </c>
      <c r="J125" s="327"/>
    </row>
    <row r="126" spans="1:18" ht="25.5">
      <c r="A126" s="922" t="s">
        <v>317</v>
      </c>
      <c r="B126" s="922"/>
      <c r="C126" s="922"/>
      <c r="D126" s="922"/>
      <c r="E126" s="922"/>
      <c r="F126" s="922"/>
      <c r="G126" s="922"/>
      <c r="H126" s="922"/>
      <c r="I126" s="922"/>
      <c r="J126" s="922"/>
    </row>
    <row r="127" spans="1:18" ht="25.5">
      <c r="A127" s="923"/>
      <c r="B127" s="923"/>
      <c r="C127" s="245"/>
      <c r="D127" s="307"/>
      <c r="E127" s="308"/>
      <c r="F127" s="308"/>
      <c r="G127" s="309"/>
      <c r="H127" s="99">
        <f>G127+'23'!H127</f>
        <v>0</v>
      </c>
      <c r="I127" s="165"/>
      <c r="J127" s="328">
        <f>H127/DAY(B2)</f>
        <v>0</v>
      </c>
    </row>
    <row r="128" spans="1:18" ht="29.25" customHeight="1">
      <c r="A128" s="894" t="s">
        <v>318</v>
      </c>
      <c r="B128" s="895"/>
      <c r="C128" s="896"/>
      <c r="D128" s="151" t="s">
        <v>183</v>
      </c>
      <c r="E128" s="95">
        <f>'23'!F128</f>
        <v>188417</v>
      </c>
      <c r="F128" s="165">
        <v>188876</v>
      </c>
      <c r="G128" s="112">
        <f t="shared" ref="G128:G134" si="10">F128-E128</f>
        <v>459</v>
      </c>
      <c r="H128" s="99">
        <f>G128+'23'!H128</f>
        <v>9464.1499999999942</v>
      </c>
      <c r="I128" s="165"/>
      <c r="J128" s="328">
        <f>H128/DAY(B2)</f>
        <v>394.33958333333311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'23'!F129</f>
        <v>100013</v>
      </c>
      <c r="F129" s="165">
        <v>100184</v>
      </c>
      <c r="G129" s="112">
        <f t="shared" si="10"/>
        <v>171</v>
      </c>
      <c r="H129" s="99">
        <f>G129+'23'!H129</f>
        <v>4154.5</v>
      </c>
      <c r="I129" s="165"/>
      <c r="J129" s="328">
        <f>H129/DAY(B2)</f>
        <v>173.10416666666666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'23'!F130</f>
        <v>262672</v>
      </c>
      <c r="F130" s="165">
        <v>263334</v>
      </c>
      <c r="G130" s="112">
        <f t="shared" si="10"/>
        <v>662</v>
      </c>
      <c r="H130" s="99">
        <f>G130+'23'!H130</f>
        <v>16494.25</v>
      </c>
      <c r="I130" s="165"/>
      <c r="J130" s="328">
        <f>H130/DAY(B2)</f>
        <v>687.26041666666663</v>
      </c>
      <c r="N130" s="240"/>
      <c r="O130" s="241"/>
    </row>
    <row r="131" spans="1:15" ht="25.5">
      <c r="A131" s="894" t="s">
        <v>321</v>
      </c>
      <c r="B131" s="895"/>
      <c r="C131" s="896"/>
      <c r="D131" s="151" t="s">
        <v>183</v>
      </c>
      <c r="E131" s="95">
        <f>'23'!F131</f>
        <v>78603</v>
      </c>
      <c r="F131" s="165">
        <v>78703</v>
      </c>
      <c r="G131" s="112">
        <f t="shared" si="10"/>
        <v>100</v>
      </c>
      <c r="H131" s="99">
        <f>G131+'23'!H131</f>
        <v>5192.3999999999942</v>
      </c>
      <c r="I131" s="165"/>
      <c r="J131" s="328">
        <f>H131/DAY(B2)</f>
        <v>216.34999999999977</v>
      </c>
      <c r="N131" s="240"/>
      <c r="O131" s="241"/>
    </row>
    <row r="132" spans="1:15" ht="25.5">
      <c r="A132" s="894" t="s">
        <v>322</v>
      </c>
      <c r="B132" s="895"/>
      <c r="C132" s="896"/>
      <c r="D132" s="151" t="s">
        <v>183</v>
      </c>
      <c r="E132" s="95">
        <f>'23'!F132</f>
        <v>148274</v>
      </c>
      <c r="F132" s="165">
        <v>148274</v>
      </c>
      <c r="G132" s="112">
        <f t="shared" si="10"/>
        <v>0</v>
      </c>
      <c r="H132" s="99">
        <f>G132+'23'!H132</f>
        <v>1289</v>
      </c>
      <c r="I132" s="165"/>
      <c r="J132" s="328">
        <f>H132/DAY(B2)</f>
        <v>53.708333333333336</v>
      </c>
    </row>
    <row r="133" spans="1:15" ht="25.5">
      <c r="A133" s="894" t="s">
        <v>359</v>
      </c>
      <c r="B133" s="895"/>
      <c r="C133" s="896"/>
      <c r="D133" s="151" t="s">
        <v>183</v>
      </c>
      <c r="E133" s="95">
        <f>'23'!F133</f>
        <v>927419</v>
      </c>
      <c r="F133" s="165">
        <v>928061</v>
      </c>
      <c r="G133" s="112">
        <f t="shared" si="10"/>
        <v>642</v>
      </c>
      <c r="H133" s="99">
        <f>G133+'23'!H133</f>
        <v>17817</v>
      </c>
      <c r="I133" s="165"/>
      <c r="J133" s="328">
        <f>H133/DAY(B2)</f>
        <v>742.375</v>
      </c>
    </row>
    <row r="134" spans="1:15" ht="25.5">
      <c r="A134" s="894" t="s">
        <v>340</v>
      </c>
      <c r="B134" s="895"/>
      <c r="C134" s="896"/>
      <c r="D134" s="151" t="s">
        <v>183</v>
      </c>
      <c r="E134" s="95">
        <f>'23'!F134</f>
        <v>83848</v>
      </c>
      <c r="F134" s="158">
        <v>84115</v>
      </c>
      <c r="G134" s="112">
        <f t="shared" si="10"/>
        <v>267</v>
      </c>
      <c r="H134" s="99">
        <f>G134+'23'!H134</f>
        <v>5355.3999999999942</v>
      </c>
      <c r="I134" s="165"/>
      <c r="J134" s="328">
        <f>H134/DAY(B2)</f>
        <v>223.14166666666642</v>
      </c>
    </row>
    <row r="135" spans="1:15" ht="25.5">
      <c r="A135" s="853" t="s">
        <v>196</v>
      </c>
      <c r="B135" s="854"/>
      <c r="C135" s="331"/>
      <c r="D135" s="151"/>
      <c r="E135" s="95"/>
      <c r="F135" s="165"/>
      <c r="G135" s="112">
        <f>SUM(G128:G134)</f>
        <v>2301</v>
      </c>
      <c r="H135" s="99">
        <f>G135+'23'!H135</f>
        <v>29327.469999999987</v>
      </c>
      <c r="I135" s="327">
        <f>G135-(G35+G49)</f>
        <v>-643.29999999998836</v>
      </c>
      <c r="J135" s="328"/>
    </row>
    <row r="136" spans="1:15" ht="27.75">
      <c r="A136" s="924" t="s">
        <v>325</v>
      </c>
      <c r="B136" s="924"/>
      <c r="C136" s="924"/>
      <c r="D136" s="924"/>
      <c r="E136" s="924"/>
      <c r="F136" s="924"/>
      <c r="G136" s="924"/>
      <c r="H136" s="924"/>
      <c r="I136" s="924"/>
      <c r="J136" s="92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9" t="s">
        <v>185</v>
      </c>
      <c r="B138" s="889"/>
      <c r="C138" s="889"/>
      <c r="D138" s="151" t="s">
        <v>183</v>
      </c>
      <c r="E138" s="95">
        <f>'23'!F138</f>
        <v>908490</v>
      </c>
      <c r="F138" s="147">
        <v>908617</v>
      </c>
      <c r="G138" s="112">
        <f t="shared" ref="G138:G152" si="11">F138-E138</f>
        <v>127</v>
      </c>
      <c r="H138" s="99">
        <f>G138+'23'!H138</f>
        <v>2990</v>
      </c>
      <c r="I138" s="118"/>
      <c r="J138" s="328">
        <f>H138/DAY(B2)</f>
        <v>124.58333333333333</v>
      </c>
    </row>
    <row r="139" spans="1:15" ht="25.5">
      <c r="A139" s="889" t="s">
        <v>186</v>
      </c>
      <c r="B139" s="889"/>
      <c r="C139" s="889"/>
      <c r="D139" s="151" t="s">
        <v>183</v>
      </c>
      <c r="E139" s="95">
        <f>'23'!F139</f>
        <v>931088</v>
      </c>
      <c r="F139" s="148">
        <v>931243</v>
      </c>
      <c r="G139" s="112">
        <f t="shared" si="11"/>
        <v>155</v>
      </c>
      <c r="H139" s="99">
        <f>G139+'23'!H139</f>
        <v>3962</v>
      </c>
      <c r="I139" s="118"/>
      <c r="J139" s="328">
        <f>H139/DAY(B2)</f>
        <v>165.08333333333334</v>
      </c>
    </row>
    <row r="140" spans="1:15" ht="25.5">
      <c r="A140" s="889" t="s">
        <v>187</v>
      </c>
      <c r="B140" s="889"/>
      <c r="C140" s="889"/>
      <c r="D140" s="151" t="s">
        <v>183</v>
      </c>
      <c r="E140" s="95">
        <f>'23'!F140</f>
        <v>3877</v>
      </c>
      <c r="F140" s="149">
        <v>3898.71</v>
      </c>
      <c r="G140" s="112">
        <f t="shared" si="11"/>
        <v>21.710000000000036</v>
      </c>
      <c r="H140" s="99">
        <f>G140+'23'!H140</f>
        <v>567.61000000000013</v>
      </c>
      <c r="I140" s="118"/>
      <c r="J140" s="328">
        <f>H140/DAY(B2)</f>
        <v>23.650416666666672</v>
      </c>
    </row>
    <row r="141" spans="1:15" ht="25.5">
      <c r="A141" s="893" t="s">
        <v>188</v>
      </c>
      <c r="B141" s="893"/>
      <c r="C141" s="893"/>
      <c r="D141" s="151" t="s">
        <v>183</v>
      </c>
      <c r="E141" s="95">
        <f>'23'!F141</f>
        <v>122895</v>
      </c>
      <c r="F141" s="149">
        <v>123119</v>
      </c>
      <c r="G141" s="112">
        <f t="shared" si="11"/>
        <v>224</v>
      </c>
      <c r="H141" s="99">
        <f>G141+'23'!H141</f>
        <v>5561.0200000000041</v>
      </c>
      <c r="I141" s="118"/>
      <c r="J141" s="328">
        <f>H141/DAY(B2)</f>
        <v>231.70916666666685</v>
      </c>
    </row>
    <row r="142" spans="1:15" ht="25.5">
      <c r="A142" s="893" t="s">
        <v>189</v>
      </c>
      <c r="B142" s="893"/>
      <c r="C142" s="893"/>
      <c r="D142" s="151" t="s">
        <v>183</v>
      </c>
      <c r="E142" s="95">
        <f>'23'!F142</f>
        <v>49783</v>
      </c>
      <c r="F142" s="148">
        <v>49865</v>
      </c>
      <c r="G142" s="112">
        <f t="shared" si="11"/>
        <v>82</v>
      </c>
      <c r="H142" s="99">
        <f>G142+'23'!H142</f>
        <v>2360.5</v>
      </c>
      <c r="I142" s="140"/>
      <c r="J142" s="328">
        <f>H142/DAY(B2)</f>
        <v>98.354166666666671</v>
      </c>
    </row>
    <row r="143" spans="1:15" ht="25.5">
      <c r="A143" s="889" t="s">
        <v>91</v>
      </c>
      <c r="B143" s="889"/>
      <c r="C143" s="889"/>
      <c r="D143" s="151" t="s">
        <v>183</v>
      </c>
      <c r="E143" s="95">
        <f>'23'!F143</f>
        <v>13127</v>
      </c>
      <c r="F143" s="149">
        <v>13159</v>
      </c>
      <c r="G143" s="112">
        <f t="shared" si="11"/>
        <v>32</v>
      </c>
      <c r="H143" s="99">
        <f>G143+'23'!H143</f>
        <v>743.60000000000036</v>
      </c>
      <c r="I143" s="140"/>
      <c r="J143" s="328">
        <f>H143/DAY(B2)</f>
        <v>30.983333333333348</v>
      </c>
    </row>
    <row r="144" spans="1:15" ht="25.5">
      <c r="A144" s="893" t="s">
        <v>90</v>
      </c>
      <c r="B144" s="893"/>
      <c r="C144" s="893"/>
      <c r="D144" s="151" t="s">
        <v>183</v>
      </c>
      <c r="E144" s="95">
        <f>'23'!F144</f>
        <v>953555</v>
      </c>
      <c r="F144" s="149">
        <v>953773</v>
      </c>
      <c r="G144" s="112">
        <f t="shared" si="11"/>
        <v>218</v>
      </c>
      <c r="H144" s="99">
        <f>G144+'23'!H144</f>
        <v>5575</v>
      </c>
      <c r="I144" s="140"/>
      <c r="J144" s="328">
        <f>H144/DAY(B2)</f>
        <v>232.29166666666666</v>
      </c>
    </row>
    <row r="145" spans="1:10" ht="25.5">
      <c r="A145" s="889" t="s">
        <v>190</v>
      </c>
      <c r="B145" s="889"/>
      <c r="C145" s="889"/>
      <c r="D145" s="152" t="s">
        <v>183</v>
      </c>
      <c r="E145" s="95">
        <f>'23'!F145</f>
        <v>26007</v>
      </c>
      <c r="F145" s="149">
        <v>26190.83</v>
      </c>
      <c r="G145" s="112">
        <f t="shared" si="11"/>
        <v>183.83000000000175</v>
      </c>
      <c r="H145" s="99">
        <f>G145+'23'!H145</f>
        <v>3594.7300000000032</v>
      </c>
      <c r="I145" s="140"/>
      <c r="J145" s="328">
        <f>H145/DAY(B2)</f>
        <v>149.78041666666681</v>
      </c>
    </row>
    <row r="146" spans="1:10" ht="25.5">
      <c r="A146" s="890" t="s">
        <v>191</v>
      </c>
      <c r="B146" s="891"/>
      <c r="C146" s="892"/>
      <c r="D146" s="152" t="s">
        <v>183</v>
      </c>
      <c r="E146" s="95">
        <f>'23'!F146</f>
        <v>787565</v>
      </c>
      <c r="F146" s="148">
        <v>787624</v>
      </c>
      <c r="G146" s="112">
        <f t="shared" si="11"/>
        <v>59</v>
      </c>
      <c r="H146" s="99">
        <f>G146+'23'!H146</f>
        <v>956</v>
      </c>
      <c r="I146" s="140"/>
      <c r="J146" s="328">
        <f>H146/DAY(B2)</f>
        <v>39.833333333333336</v>
      </c>
    </row>
    <row r="147" spans="1:10" ht="25.5">
      <c r="A147" s="893" t="s">
        <v>192</v>
      </c>
      <c r="B147" s="893"/>
      <c r="C147" s="893"/>
      <c r="D147" s="152" t="s">
        <v>183</v>
      </c>
      <c r="E147" s="95">
        <f>'23'!F147</f>
        <v>757051</v>
      </c>
      <c r="F147" s="148">
        <v>757428.14</v>
      </c>
      <c r="G147" s="112">
        <f t="shared" si="11"/>
        <v>377.14000000001397</v>
      </c>
      <c r="H147" s="99">
        <f>G147+'23'!H147</f>
        <v>9873.9799999999814</v>
      </c>
      <c r="I147" s="140"/>
      <c r="J147" s="328">
        <f>H147/DAY(B2)</f>
        <v>411.41583333333256</v>
      </c>
    </row>
    <row r="148" spans="1:10" ht="25.5">
      <c r="A148" s="886" t="s">
        <v>193</v>
      </c>
      <c r="B148" s="887"/>
      <c r="C148" s="888"/>
      <c r="D148" s="123" t="s">
        <v>130</v>
      </c>
      <c r="E148" s="95">
        <f>'23'!F148</f>
        <v>793674</v>
      </c>
      <c r="F148" s="150">
        <v>793908</v>
      </c>
      <c r="G148" s="112">
        <f t="shared" si="11"/>
        <v>234</v>
      </c>
      <c r="H148" s="99">
        <f>G148+'23'!H148</f>
        <v>9263</v>
      </c>
      <c r="I148" s="124"/>
      <c r="J148" s="328">
        <f>H148/DAY(B2)</f>
        <v>385.95833333333331</v>
      </c>
    </row>
    <row r="149" spans="1:10" ht="25.5">
      <c r="A149" s="886" t="s">
        <v>336</v>
      </c>
      <c r="B149" s="887"/>
      <c r="C149" s="888"/>
      <c r="D149" s="227" t="s">
        <v>130</v>
      </c>
      <c r="E149" s="95">
        <f>'23'!F149</f>
        <v>196616</v>
      </c>
      <c r="F149" s="146">
        <v>197090</v>
      </c>
      <c r="G149" s="112">
        <f t="shared" si="11"/>
        <v>474</v>
      </c>
      <c r="H149" s="99">
        <f>G149+'23'!H149</f>
        <v>11793.109999999986</v>
      </c>
      <c r="I149" s="119"/>
      <c r="J149" s="328">
        <f>H149/DAY(B2)</f>
        <v>491.37958333333273</v>
      </c>
    </row>
    <row r="150" spans="1:10" ht="25.5">
      <c r="A150" s="886" t="s">
        <v>337</v>
      </c>
      <c r="B150" s="887"/>
      <c r="C150" s="888"/>
      <c r="D150" s="117" t="s">
        <v>130</v>
      </c>
      <c r="E150" s="95">
        <f>'23'!F150</f>
        <v>82996</v>
      </c>
      <c r="F150" s="233">
        <v>83249</v>
      </c>
      <c r="G150" s="112">
        <f t="shared" si="11"/>
        <v>253</v>
      </c>
      <c r="H150" s="99">
        <f>G150+'23'!H150</f>
        <v>6360.6999999999971</v>
      </c>
      <c r="I150" s="119"/>
      <c r="J150" s="328">
        <f>H150/DAY(B2)</f>
        <v>265.02916666666653</v>
      </c>
    </row>
    <row r="151" spans="1:10" ht="25.5">
      <c r="A151" s="886" t="s">
        <v>338</v>
      </c>
      <c r="B151" s="887"/>
      <c r="C151" s="888"/>
      <c r="D151" s="117" t="s">
        <v>130</v>
      </c>
      <c r="E151" s="95">
        <f>'23'!F151</f>
        <v>164397</v>
      </c>
      <c r="F151" s="233">
        <v>164692</v>
      </c>
      <c r="G151" s="112">
        <f t="shared" si="11"/>
        <v>295</v>
      </c>
      <c r="H151" s="99">
        <f>G151+'23'!H151</f>
        <v>6382</v>
      </c>
      <c r="I151" s="119"/>
      <c r="J151" s="328">
        <f>H151/DAY(B2)</f>
        <v>265.91666666666669</v>
      </c>
    </row>
    <row r="152" spans="1:10" ht="25.5">
      <c r="A152" s="886" t="s">
        <v>339</v>
      </c>
      <c r="B152" s="887"/>
      <c r="C152" s="888"/>
      <c r="D152" s="117" t="s">
        <v>130</v>
      </c>
      <c r="E152" s="95">
        <f>'23'!F152</f>
        <v>41511</v>
      </c>
      <c r="F152" s="233">
        <v>41618</v>
      </c>
      <c r="G152" s="112">
        <f t="shared" si="11"/>
        <v>107</v>
      </c>
      <c r="H152" s="99">
        <f>G152+'23'!H152</f>
        <v>3002.0999999999985</v>
      </c>
      <c r="I152" s="119"/>
      <c r="J152" s="328">
        <f>H152/DAY(B2)</f>
        <v>125.08749999999993</v>
      </c>
    </row>
    <row r="153" spans="1:10" ht="25.5">
      <c r="A153" s="853" t="s">
        <v>196</v>
      </c>
      <c r="B153" s="854"/>
      <c r="C153" s="365"/>
      <c r="D153" s="358"/>
      <c r="E153" s="360"/>
      <c r="F153" s="361"/>
      <c r="G153" s="362">
        <f>SUM(G138:G152)</f>
        <v>2842.6800000000158</v>
      </c>
      <c r="H153" s="363"/>
      <c r="I153" s="119">
        <f>G153-(G38+G52)</f>
        <v>390.33000000003904</v>
      </c>
      <c r="J153" s="366"/>
    </row>
    <row r="154" spans="1:10" ht="27.75">
      <c r="A154" s="924" t="s">
        <v>344</v>
      </c>
      <c r="B154" s="924"/>
      <c r="C154" s="924"/>
      <c r="D154" s="924"/>
      <c r="E154" s="924"/>
      <c r="F154" s="924"/>
      <c r="G154" s="924"/>
      <c r="H154" s="924"/>
      <c r="I154" s="924"/>
      <c r="J154" s="924"/>
    </row>
    <row r="155" spans="1:10" ht="27.75">
      <c r="A155" s="893" t="s">
        <v>345</v>
      </c>
      <c r="B155" s="893"/>
      <c r="C155" s="893"/>
      <c r="D155" s="117" t="s">
        <v>130</v>
      </c>
      <c r="E155" s="95">
        <f>'23'!F155</f>
        <v>234312</v>
      </c>
      <c r="F155" s="559">
        <v>234909</v>
      </c>
      <c r="G155" s="112">
        <f t="shared" ref="G155:G158" si="12">F155-E155</f>
        <v>597</v>
      </c>
      <c r="H155" s="99">
        <f>G155+'23'!H155</f>
        <v>14921.299999999988</v>
      </c>
      <c r="I155" s="364"/>
      <c r="J155" s="328">
        <f>H155/DAY(B2)</f>
        <v>621.72083333333285</v>
      </c>
    </row>
    <row r="156" spans="1:10" ht="25.5">
      <c r="A156" s="893" t="s">
        <v>347</v>
      </c>
      <c r="B156" s="893"/>
      <c r="C156" s="893"/>
      <c r="D156" s="117" t="s">
        <v>130</v>
      </c>
      <c r="E156" s="95">
        <f>'23'!F156</f>
        <v>28715</v>
      </c>
      <c r="F156" s="155">
        <v>28821.200000000001</v>
      </c>
      <c r="G156" s="112">
        <f t="shared" si="12"/>
        <v>106.20000000000073</v>
      </c>
      <c r="H156" s="99">
        <f>G156+'23'!H156</f>
        <v>2291</v>
      </c>
      <c r="I156" s="165"/>
      <c r="J156" s="328">
        <f>H156/DAY(B2)</f>
        <v>95.458333333333329</v>
      </c>
    </row>
    <row r="157" spans="1:10" ht="25.5">
      <c r="A157" s="886" t="s">
        <v>360</v>
      </c>
      <c r="B157" s="887"/>
      <c r="C157" s="888"/>
      <c r="D157" s="117" t="s">
        <v>130</v>
      </c>
      <c r="E157" s="95">
        <f>'23'!F157</f>
        <v>37559</v>
      </c>
      <c r="F157" s="155">
        <v>37559</v>
      </c>
      <c r="G157" s="112">
        <f t="shared" si="12"/>
        <v>0</v>
      </c>
      <c r="H157" s="99">
        <f>G157+'23'!H157</f>
        <v>0</v>
      </c>
      <c r="I157" s="165"/>
      <c r="J157" s="328"/>
    </row>
    <row r="158" spans="1:10" ht="25.5">
      <c r="A158" s="886" t="s">
        <v>361</v>
      </c>
      <c r="B158" s="887"/>
      <c r="C158" s="888"/>
      <c r="D158" s="117" t="s">
        <v>130</v>
      </c>
      <c r="E158" s="95">
        <f>'23'!F158</f>
        <v>1748.23</v>
      </c>
      <c r="F158" s="155">
        <v>1751</v>
      </c>
      <c r="G158" s="112">
        <f t="shared" si="12"/>
        <v>2.7699999999999818</v>
      </c>
      <c r="H158" s="99">
        <f>G158+'23'!H158</f>
        <v>7.8800000000001091</v>
      </c>
      <c r="I158" s="165"/>
      <c r="J158" s="328"/>
    </row>
    <row r="159" spans="1:10" ht="25.5">
      <c r="A159" s="942"/>
      <c r="B159" s="943"/>
      <c r="C159" s="944"/>
      <c r="D159" s="117"/>
      <c r="E159" s="95"/>
      <c r="F159" s="165"/>
      <c r="G159" s="112"/>
      <c r="H159" s="99"/>
      <c r="I159" s="165"/>
      <c r="J159" s="328"/>
    </row>
    <row r="160" spans="1:10" ht="27.75">
      <c r="A160" s="924" t="s">
        <v>326</v>
      </c>
      <c r="B160" s="924"/>
      <c r="C160" s="924"/>
      <c r="D160" s="924"/>
      <c r="E160" s="924"/>
      <c r="F160" s="924"/>
      <c r="G160" s="924"/>
      <c r="H160" s="924"/>
      <c r="I160" s="924"/>
      <c r="J160" s="924"/>
    </row>
    <row r="161" spans="1:10" ht="26.25">
      <c r="A161" s="242" t="s">
        <v>92</v>
      </c>
      <c r="B161" s="243"/>
      <c r="C161" s="243"/>
      <c r="D161" s="244" t="s">
        <v>180</v>
      </c>
      <c r="E161" s="95">
        <f>'23'!F161</f>
        <v>507301</v>
      </c>
      <c r="F161" s="235">
        <v>507382</v>
      </c>
      <c r="G161" s="238">
        <f t="shared" ref="G161:G165" si="13">F161-E161</f>
        <v>81</v>
      </c>
      <c r="H161" s="99">
        <f>G161+'23'!H161</f>
        <v>4010.8400000000256</v>
      </c>
      <c r="I161" s="236"/>
      <c r="J161" s="239">
        <f>H161/DAY(B2)</f>
        <v>167.11833333333439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'23'!F162</f>
        <v>553</v>
      </c>
      <c r="F162" s="235">
        <v>575</v>
      </c>
      <c r="G162" s="238">
        <f t="shared" si="13"/>
        <v>22</v>
      </c>
      <c r="H162" s="99">
        <f>G162+'23'!H162</f>
        <v>955.19999999999413</v>
      </c>
      <c r="I162" s="236"/>
      <c r="J162" s="239">
        <f>H162/DAY(B2)</f>
        <v>39.799999999999756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'23'!F163</f>
        <v>0</v>
      </c>
      <c r="F163" s="235">
        <v>0</v>
      </c>
      <c r="G163" s="238">
        <f t="shared" si="13"/>
        <v>0</v>
      </c>
      <c r="H163" s="99">
        <f>G163+'23'!H163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'23'!F164</f>
        <v>7158</v>
      </c>
      <c r="F164" s="235">
        <v>7164</v>
      </c>
      <c r="G164" s="238">
        <f t="shared" si="13"/>
        <v>6</v>
      </c>
      <c r="H164" s="99">
        <f>G164+'23'!H164</f>
        <v>173.80000000000018</v>
      </c>
      <c r="I164" s="236"/>
      <c r="J164" s="239">
        <f>H164/DAY(B2)</f>
        <v>7.2416666666666742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'23'!F165</f>
        <v>32736</v>
      </c>
      <c r="F165" s="235">
        <v>32739</v>
      </c>
      <c r="G165" s="238">
        <f t="shared" si="13"/>
        <v>3</v>
      </c>
      <c r="H165" s="99">
        <f>G165+'23'!H165</f>
        <v>164.90000000000146</v>
      </c>
      <c r="I165" s="236"/>
      <c r="J165" s="239">
        <f>H165/DAY(B2)</f>
        <v>6.870833333333394</v>
      </c>
    </row>
    <row r="166" spans="1:10" ht="26.25">
      <c r="A166" s="923"/>
      <c r="B166" s="923"/>
      <c r="C166" s="246"/>
      <c r="D166" s="244" t="s">
        <v>180</v>
      </c>
      <c r="E166" s="95">
        <f>'23'!F166</f>
        <v>0</v>
      </c>
      <c r="F166" s="165"/>
      <c r="G166" s="165"/>
      <c r="H166" s="99">
        <f>G166+'23'!H166</f>
        <v>0</v>
      </c>
      <c r="I166" s="165"/>
      <c r="J166" s="239">
        <f>H166/DAY(B2)</f>
        <v>0</v>
      </c>
    </row>
    <row r="167" spans="1:10" ht="26.25">
      <c r="A167" s="923"/>
      <c r="B167" s="923"/>
      <c r="C167" s="246"/>
      <c r="D167" s="244" t="s">
        <v>180</v>
      </c>
      <c r="E167" s="95">
        <f>'23'!F167</f>
        <v>0</v>
      </c>
      <c r="F167" s="165"/>
      <c r="G167" s="165"/>
      <c r="H167" s="99">
        <f>G167+'23'!H167</f>
        <v>0</v>
      </c>
      <c r="I167" s="165"/>
      <c r="J167" s="239">
        <f>H167/DAY(B2)</f>
        <v>0</v>
      </c>
    </row>
    <row r="168" spans="1:10" ht="26.25">
      <c r="A168" s="923"/>
      <c r="B168" s="923"/>
      <c r="C168" s="246"/>
      <c r="D168" s="244" t="s">
        <v>180</v>
      </c>
      <c r="E168" s="95">
        <f>'23'!F168</f>
        <v>0</v>
      </c>
      <c r="F168" s="165"/>
      <c r="G168" s="165"/>
      <c r="H168" s="99">
        <f>G168+'23'!H168</f>
        <v>0</v>
      </c>
      <c r="I168" s="165"/>
      <c r="J168" s="239">
        <f>H168/DAY(B2)</f>
        <v>0</v>
      </c>
    </row>
    <row r="169" spans="1:10" ht="26.25"/>
    <row r="170" spans="1:10" ht="21.75" customHeight="1"/>
    <row r="171" spans="1:10" ht="21.75" customHeight="1">
      <c r="A171" s="933" t="s">
        <v>330</v>
      </c>
      <c r="B171" s="934"/>
      <c r="C171" s="934"/>
      <c r="D171" s="934"/>
      <c r="E171" s="934"/>
      <c r="F171" s="934"/>
      <c r="G171" s="934"/>
      <c r="H171" s="934"/>
      <c r="I171" s="934"/>
      <c r="J171" s="935"/>
    </row>
    <row r="172" spans="1:10" ht="21.75" customHeight="1">
      <c r="A172" s="929"/>
      <c r="B172" s="930"/>
      <c r="C172" s="332"/>
      <c r="D172" s="228"/>
      <c r="E172" s="155"/>
      <c r="F172" s="155"/>
      <c r="G172" s="155"/>
      <c r="H172" s="156"/>
      <c r="I172" s="155"/>
      <c r="J172" s="178"/>
    </row>
    <row r="173" spans="1:10" ht="25.5" customHeight="1">
      <c r="A173" s="841" t="s">
        <v>209</v>
      </c>
      <c r="B173" s="843"/>
      <c r="C173" s="333"/>
      <c r="D173" s="228" t="s">
        <v>142</v>
      </c>
      <c r="E173" s="95">
        <f>'23'!F173</f>
        <v>8610</v>
      </c>
      <c r="F173" s="155">
        <v>8612</v>
      </c>
      <c r="G173" s="155">
        <f>F173-E173</f>
        <v>2</v>
      </c>
      <c r="H173" s="99">
        <f>G173+'23'!H173</f>
        <v>28</v>
      </c>
      <c r="I173" s="155"/>
      <c r="J173" s="178">
        <f>H173/DAY(B2)</f>
        <v>1.1666666666666667</v>
      </c>
    </row>
    <row r="174" spans="1:10" ht="27" customHeight="1">
      <c r="A174" s="841" t="s">
        <v>75</v>
      </c>
      <c r="B174" s="843"/>
      <c r="C174" s="333"/>
      <c r="D174" s="228" t="s">
        <v>142</v>
      </c>
      <c r="E174" s="95">
        <f>'23'!F174</f>
        <v>42941</v>
      </c>
      <c r="F174" s="157">
        <v>42953</v>
      </c>
      <c r="G174" s="155">
        <f t="shared" ref="G174:G175" si="14">F174-E174</f>
        <v>12</v>
      </c>
      <c r="H174" s="99">
        <f>G174+'23'!H174</f>
        <v>284</v>
      </c>
      <c r="I174" s="155"/>
      <c r="J174" s="178">
        <f>H174/DAY(B2)</f>
        <v>11.833333333333334</v>
      </c>
    </row>
    <row r="175" spans="1:10" ht="27" customHeight="1">
      <c r="A175" s="841" t="s">
        <v>76</v>
      </c>
      <c r="B175" s="842"/>
      <c r="C175" s="843"/>
      <c r="D175" s="228" t="s">
        <v>142</v>
      </c>
      <c r="E175" s="95">
        <f>'23'!F175</f>
        <v>25690</v>
      </c>
      <c r="F175" s="155">
        <v>25706</v>
      </c>
      <c r="G175" s="155">
        <f t="shared" si="14"/>
        <v>16</v>
      </c>
      <c r="H175" s="99">
        <f>G175+'23'!H175</f>
        <v>313</v>
      </c>
      <c r="I175" s="155"/>
      <c r="J175" s="178">
        <f>H175/DAY(B2)</f>
        <v>13.041666666666666</v>
      </c>
    </row>
    <row r="176" spans="1:10" ht="21.75" customHeight="1">
      <c r="A176" s="853" t="s">
        <v>196</v>
      </c>
      <c r="B176" s="854"/>
      <c r="C176" s="400"/>
      <c r="D176" s="228" t="s">
        <v>142</v>
      </c>
      <c r="E176" s="95"/>
      <c r="F176" s="155"/>
      <c r="G176" s="155">
        <f>SUM(G173:G175)</f>
        <v>30</v>
      </c>
      <c r="H176" s="99">
        <f>G176+'23'!H176</f>
        <v>625</v>
      </c>
      <c r="I176" s="155"/>
      <c r="J176" s="178">
        <f>H176/DAY(B2)</f>
        <v>26.041666666666668</v>
      </c>
    </row>
    <row r="177" spans="1:10" ht="21.75" customHeight="1">
      <c r="A177" s="841" t="s">
        <v>77</v>
      </c>
      <c r="B177" s="843"/>
      <c r="C177" s="333"/>
      <c r="D177" s="228" t="s">
        <v>142</v>
      </c>
      <c r="E177" s="95"/>
      <c r="F177" s="155"/>
      <c r="G177" s="155"/>
      <c r="H177" s="99">
        <f>G177+'23'!H177</f>
        <v>0</v>
      </c>
      <c r="I177" s="155"/>
      <c r="J177" s="178">
        <f>H177/DAY(B2)</f>
        <v>0</v>
      </c>
    </row>
    <row r="178" spans="1:10" ht="25.5">
      <c r="A178" s="841" t="s">
        <v>210</v>
      </c>
      <c r="B178" s="843"/>
      <c r="C178" s="333"/>
      <c r="D178" s="228" t="s">
        <v>142</v>
      </c>
      <c r="E178" s="95">
        <f>'23'!F178</f>
        <v>106078</v>
      </c>
      <c r="F178" s="155">
        <v>106182</v>
      </c>
      <c r="G178" s="155">
        <f>F178-E178</f>
        <v>104</v>
      </c>
      <c r="H178" s="99">
        <f>G178+'23'!H178</f>
        <v>2539</v>
      </c>
      <c r="I178" s="155"/>
      <c r="J178" s="178">
        <f>H178/DAY(B2)</f>
        <v>105.79166666666667</v>
      </c>
    </row>
    <row r="179" spans="1:10" ht="24" customHeight="1">
      <c r="A179" s="841" t="s">
        <v>211</v>
      </c>
      <c r="B179" s="843"/>
      <c r="C179" s="333"/>
      <c r="D179" s="228" t="s">
        <v>142</v>
      </c>
      <c r="E179" s="95">
        <f>'23'!F179</f>
        <v>37501</v>
      </c>
      <c r="F179" s="155">
        <v>37501</v>
      </c>
      <c r="G179" s="155">
        <f t="shared" ref="G179:G180" si="15">F179-E179</f>
        <v>0</v>
      </c>
      <c r="H179" s="99">
        <f>G179+'23'!H179</f>
        <v>0</v>
      </c>
      <c r="I179" s="155"/>
      <c r="J179" s="178">
        <f>H179/DAY(B2)</f>
        <v>0</v>
      </c>
    </row>
    <row r="180" spans="1:10" ht="25.5">
      <c r="A180" s="841" t="s">
        <v>212</v>
      </c>
      <c r="B180" s="843"/>
      <c r="C180" s="333"/>
      <c r="D180" s="228" t="s">
        <v>142</v>
      </c>
      <c r="E180" s="95">
        <f>'23'!F180</f>
        <v>7515</v>
      </c>
      <c r="F180" s="155">
        <v>7520</v>
      </c>
      <c r="G180" s="155">
        <f t="shared" si="15"/>
        <v>5</v>
      </c>
      <c r="H180" s="99">
        <f>G180+'23'!H180</f>
        <v>100</v>
      </c>
      <c r="I180" s="155"/>
      <c r="J180" s="178">
        <f>H180/DAY(B2)</f>
        <v>4.166666666666667</v>
      </c>
    </row>
    <row r="181" spans="1:10" ht="25.5">
      <c r="A181" s="927" t="s">
        <v>108</v>
      </c>
      <c r="B181" s="928"/>
      <c r="C181" s="400"/>
      <c r="D181" s="228" t="s">
        <v>142</v>
      </c>
      <c r="E181" s="95"/>
      <c r="F181" s="155"/>
      <c r="G181" s="155">
        <f>SUM(G178:G180)</f>
        <v>109</v>
      </c>
      <c r="H181" s="99">
        <f>G181+'23'!H181</f>
        <v>2639</v>
      </c>
      <c r="I181" s="155"/>
      <c r="J181" s="178">
        <f>H181/DAY(B2)</f>
        <v>109.95833333333333</v>
      </c>
    </row>
    <row r="182" spans="1:10" ht="25.5">
      <c r="A182" s="841" t="s">
        <v>213</v>
      </c>
      <c r="B182" s="843"/>
      <c r="C182" s="333"/>
      <c r="D182" s="228" t="s">
        <v>142</v>
      </c>
      <c r="E182" s="95"/>
      <c r="F182" s="155"/>
      <c r="G182" s="155"/>
      <c r="H182" s="99">
        <f>G182+'23'!H182</f>
        <v>0</v>
      </c>
      <c r="I182" s="155"/>
      <c r="J182" s="178">
        <f>H182/DAY(B2)</f>
        <v>0</v>
      </c>
    </row>
    <row r="183" spans="1:10" ht="25.5">
      <c r="A183" s="841" t="s">
        <v>214</v>
      </c>
      <c r="B183" s="843"/>
      <c r="C183" s="334"/>
      <c r="D183" s="228" t="s">
        <v>142</v>
      </c>
      <c r="E183" s="95">
        <f>'23'!F183</f>
        <v>18326</v>
      </c>
      <c r="F183" s="157">
        <v>18330</v>
      </c>
      <c r="G183" s="157">
        <f>F183-E183</f>
        <v>4</v>
      </c>
      <c r="H183" s="99">
        <f>G183+'23'!H183</f>
        <v>162</v>
      </c>
      <c r="I183" s="155"/>
      <c r="J183" s="178">
        <f>H183/DAY(B2)</f>
        <v>6.75</v>
      </c>
    </row>
    <row r="184" spans="1:10" ht="25.5">
      <c r="A184" s="841" t="s">
        <v>215</v>
      </c>
      <c r="B184" s="843"/>
      <c r="C184" s="334"/>
      <c r="D184" s="228" t="s">
        <v>142</v>
      </c>
      <c r="E184" s="95">
        <f>'23'!F184</f>
        <v>12930</v>
      </c>
      <c r="F184" s="157">
        <v>12939</v>
      </c>
      <c r="G184" s="157">
        <f t="shared" ref="G184:G185" si="16">F184-E184</f>
        <v>9</v>
      </c>
      <c r="H184" s="99">
        <f>G184+'23'!H184</f>
        <v>208</v>
      </c>
      <c r="I184" s="155"/>
      <c r="J184" s="178">
        <f>H184/DAY(B2)</f>
        <v>8.6666666666666661</v>
      </c>
    </row>
    <row r="185" spans="1:10" ht="26.25" customHeight="1">
      <c r="A185" s="841" t="s">
        <v>216</v>
      </c>
      <c r="B185" s="843"/>
      <c r="C185" s="334"/>
      <c r="D185" s="228" t="s">
        <v>142</v>
      </c>
      <c r="E185" s="95">
        <f>'23'!F185</f>
        <v>0</v>
      </c>
      <c r="F185" s="157"/>
      <c r="G185" s="157">
        <f t="shared" si="16"/>
        <v>0</v>
      </c>
      <c r="H185" s="99">
        <f>G185+'23'!H185</f>
        <v>0</v>
      </c>
      <c r="I185" s="155"/>
      <c r="J185" s="178">
        <f>H185/DAY(B2)</f>
        <v>0</v>
      </c>
    </row>
    <row r="186" spans="1:10" ht="25.5">
      <c r="A186" s="853" t="s">
        <v>196</v>
      </c>
      <c r="B186" s="854"/>
      <c r="C186" s="399"/>
      <c r="D186" s="228" t="s">
        <v>142</v>
      </c>
      <c r="E186" s="95"/>
      <c r="F186" s="157"/>
      <c r="G186" s="157">
        <f>SUM(G183:G185)</f>
        <v>13</v>
      </c>
      <c r="H186" s="99">
        <f>G186+'23'!H186</f>
        <v>370</v>
      </c>
      <c r="I186" s="157"/>
      <c r="J186" s="178">
        <f>H186/DAY(B2)</f>
        <v>15.416666666666666</v>
      </c>
    </row>
    <row r="187" spans="1:10" ht="25.5">
      <c r="A187" s="931" t="s">
        <v>217</v>
      </c>
      <c r="B187" s="932"/>
      <c r="C187" s="333"/>
      <c r="D187" s="230" t="s">
        <v>142</v>
      </c>
      <c r="E187" s="95">
        <f>'23'!F187</f>
        <v>0</v>
      </c>
      <c r="F187" s="159"/>
      <c r="G187" s="377">
        <f>G62+G19</f>
        <v>157.40000000002328</v>
      </c>
      <c r="H187" s="99">
        <f>G187+'23'!H187</f>
        <v>4126.4000000000233</v>
      </c>
      <c r="I187" s="158"/>
      <c r="J187" s="179">
        <f>H187/DAY(B2)</f>
        <v>171.9333333333343</v>
      </c>
    </row>
    <row r="188" spans="1:10" ht="25.5">
      <c r="A188" s="931" t="s">
        <v>218</v>
      </c>
      <c r="B188" s="932"/>
      <c r="C188" s="333"/>
      <c r="D188" s="230" t="s">
        <v>142</v>
      </c>
      <c r="E188" s="95">
        <f>'23'!F188</f>
        <v>0</v>
      </c>
      <c r="F188" s="159"/>
      <c r="G188" s="377">
        <f>G65+G66+G67+G69+G70</f>
        <v>178</v>
      </c>
      <c r="H188" s="99">
        <f>G188+'23'!H188</f>
        <v>1822</v>
      </c>
      <c r="I188" s="158"/>
      <c r="J188" s="179">
        <f>H188/DAY(B2)</f>
        <v>75.916666666666671</v>
      </c>
    </row>
    <row r="189" spans="1:10" ht="25.5">
      <c r="A189" s="931" t="s">
        <v>219</v>
      </c>
      <c r="B189" s="932"/>
      <c r="C189" s="333"/>
      <c r="D189" s="230" t="s">
        <v>142</v>
      </c>
      <c r="E189" s="95">
        <f>'23'!F189</f>
        <v>0</v>
      </c>
      <c r="F189" s="157"/>
      <c r="G189" s="376">
        <f>G181</f>
        <v>109</v>
      </c>
      <c r="H189" s="99">
        <f>G189+'23'!H189</f>
        <v>779</v>
      </c>
      <c r="I189" s="158"/>
      <c r="J189" s="179">
        <f>H189/DAY(B2)</f>
        <v>32.458333333333336</v>
      </c>
    </row>
    <row r="190" spans="1:10" ht="25.5">
      <c r="A190" s="925"/>
      <c r="B190" s="926"/>
      <c r="C190" s="398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3:B183"/>
    <mergeCell ref="A184:B184"/>
    <mergeCell ref="A181:B181"/>
    <mergeCell ref="A182:B182"/>
    <mergeCell ref="A185:B185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14:C114"/>
    <mergeCell ref="A115:C115"/>
    <mergeCell ref="A116:C116"/>
    <mergeCell ref="A61:C61"/>
    <mergeCell ref="A62:C62"/>
    <mergeCell ref="A63:C63"/>
    <mergeCell ref="A71:C71"/>
    <mergeCell ref="A72:B72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64:C64"/>
    <mergeCell ref="A65:C65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119:C119"/>
    <mergeCell ref="A120:C120"/>
    <mergeCell ref="A121:C121"/>
    <mergeCell ref="A122:C122"/>
    <mergeCell ref="A109:B109"/>
    <mergeCell ref="A111:C111"/>
    <mergeCell ref="A112:C112"/>
    <mergeCell ref="A113:C113"/>
    <mergeCell ref="A102:C102"/>
    <mergeCell ref="A97:C97"/>
    <mergeCell ref="A98:C98"/>
    <mergeCell ref="A99:C99"/>
    <mergeCell ref="A100:C100"/>
    <mergeCell ref="A101:C101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R1701"/>
  <sheetViews>
    <sheetView view="pageBreakPreview" zoomScale="55" zoomScaleNormal="49" zoomScaleSheetLayoutView="55" workbookViewId="0">
      <selection activeCell="E134" sqref="E134"/>
    </sheetView>
  </sheetViews>
  <sheetFormatPr defaultColWidth="22.33203125" defaultRowHeight="21.95" customHeight="1"/>
  <cols>
    <col min="1" max="1" width="40.5546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67" t="s">
        <v>115</v>
      </c>
      <c r="B1" s="868"/>
      <c r="C1" s="868"/>
      <c r="D1" s="868"/>
      <c r="E1" s="868"/>
      <c r="F1" s="868"/>
      <c r="G1" s="868"/>
      <c r="H1" s="868"/>
      <c r="I1" s="868"/>
      <c r="J1" s="869"/>
    </row>
    <row r="2" spans="1:15" s="57" customFormat="1" ht="23.25">
      <c r="A2" s="191" t="s">
        <v>354</v>
      </c>
      <c r="B2" s="262">
        <v>44920</v>
      </c>
      <c r="C2" s="348" t="s">
        <v>67</v>
      </c>
      <c r="D2" s="218">
        <v>0.3861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876" t="s">
        <v>119</v>
      </c>
      <c r="F3" s="877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0" t="s">
        <v>128</v>
      </c>
      <c r="B6" s="871"/>
      <c r="C6" s="87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'24'!F7</f>
        <v>825227.35400000005</v>
      </c>
      <c r="F7" s="95">
        <v>846595.03</v>
      </c>
      <c r="G7" s="112">
        <f>F7-E7</f>
        <v>21367.675999999978</v>
      </c>
      <c r="H7" s="99">
        <f>G7+'24'!H7</f>
        <v>572912.48</v>
      </c>
      <c r="I7" s="113">
        <f>'1'!I7</f>
        <v>12000</v>
      </c>
      <c r="J7" s="175">
        <f>H7/DAY(B2)</f>
        <v>22916.499199999998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v>6067</v>
      </c>
      <c r="F8" s="114">
        <v>27542</v>
      </c>
      <c r="G8" s="115">
        <f>F8-E8</f>
        <v>21475</v>
      </c>
      <c r="H8" s="99">
        <f>G8+'24'!H8</f>
        <v>576281</v>
      </c>
      <c r="I8" s="116"/>
      <c r="J8" s="175">
        <f>H8/DAY(B2)</f>
        <v>23051.24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'24'!F9</f>
        <v>4305395.0999999996</v>
      </c>
      <c r="F9" s="468">
        <v>4320456.3</v>
      </c>
      <c r="G9" s="112">
        <f>F9-E9</f>
        <v>15061.200000000186</v>
      </c>
      <c r="H9" s="99">
        <f>G9+'24'!H9</f>
        <v>206286</v>
      </c>
      <c r="I9" s="124">
        <f>I7-J7</f>
        <v>-10916.499199999998</v>
      </c>
      <c r="J9" s="175">
        <f>H9/DAY(B2)</f>
        <v>8251.44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'24'!F10</f>
        <v>4034912.3</v>
      </c>
      <c r="F10" s="353">
        <v>4040609</v>
      </c>
      <c r="G10" s="112">
        <f t="shared" ref="G10:G12" si="0">F10-E10</f>
        <v>5696.7000000001863</v>
      </c>
      <c r="H10" s="99">
        <f>G10+'24'!H10</f>
        <v>351129.89999999991</v>
      </c>
      <c r="I10" s="282"/>
      <c r="J10" s="175">
        <f>H10/DAY(B2)</f>
        <v>14045.195999999996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'24'!F11</f>
        <v>38700</v>
      </c>
      <c r="F11" s="95">
        <v>38700</v>
      </c>
      <c r="G11" s="112">
        <f t="shared" si="0"/>
        <v>0</v>
      </c>
      <c r="H11" s="99">
        <f>G11+'24'!H11</f>
        <v>580</v>
      </c>
      <c r="I11" s="282"/>
      <c r="J11" s="175">
        <f>H11/DAY(B2)</f>
        <v>23.2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'24'!F12</f>
        <v>40550</v>
      </c>
      <c r="F12" s="117">
        <v>40550</v>
      </c>
      <c r="G12" s="112">
        <f t="shared" si="0"/>
        <v>0</v>
      </c>
      <c r="H12" s="99">
        <f>G12+'24'!H12</f>
        <v>160</v>
      </c>
      <c r="I12" s="282"/>
      <c r="J12" s="175">
        <f>H12/DAY(B2)</f>
        <v>6.4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20757.900000000373</v>
      </c>
      <c r="H13" s="99">
        <f>G13+'24'!H13</f>
        <v>562384.59999999963</v>
      </c>
      <c r="I13" s="120">
        <f>G7-G13</f>
        <v>609.77599999960512</v>
      </c>
      <c r="J13" s="175">
        <f>H13/DAY(B2)</f>
        <v>22495.383999999984</v>
      </c>
      <c r="K13" s="79"/>
      <c r="L13" s="66"/>
      <c r="N13" s="87"/>
      <c r="O13" s="71"/>
    </row>
    <row r="14" spans="1:15" ht="26.25">
      <c r="A14" s="873" t="s">
        <v>137</v>
      </c>
      <c r="B14" s="874"/>
      <c r="C14" s="87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'24'!F15</f>
        <v>2245115</v>
      </c>
      <c r="F15" s="468">
        <v>2246242.7999999998</v>
      </c>
      <c r="G15" s="112">
        <f>(F15-E15)</f>
        <v>1127.7999999998137</v>
      </c>
      <c r="H15" s="99">
        <f>G15+'24'!H15</f>
        <v>27301.799999999814</v>
      </c>
      <c r="I15" s="113">
        <f>'1'!I15</f>
        <v>800</v>
      </c>
      <c r="J15" s="175">
        <f>H15/DAY(B2)</f>
        <v>1092.0719999999926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-292.07199999999261</v>
      </c>
      <c r="J16" s="176"/>
      <c r="K16" s="79"/>
      <c r="L16" s="66"/>
      <c r="N16" s="87"/>
      <c r="O16" s="71"/>
    </row>
    <row r="17" spans="1:15" ht="26.25">
      <c r="A17" s="873" t="s">
        <v>140</v>
      </c>
      <c r="B17" s="874"/>
      <c r="C17" s="87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64" t="s">
        <v>141</v>
      </c>
      <c r="B18" s="865"/>
      <c r="C18" s="866"/>
      <c r="D18" s="151" t="s">
        <v>142</v>
      </c>
      <c r="E18" s="95">
        <f>'24'!F18</f>
        <v>22</v>
      </c>
      <c r="F18" s="122">
        <v>22</v>
      </c>
      <c r="G18" s="119">
        <f>F18*10</f>
        <v>220</v>
      </c>
      <c r="H18" s="99">
        <f>G18+'24'!H18</f>
        <v>6700</v>
      </c>
      <c r="I18" s="113">
        <f>'1'!I18</f>
        <v>65</v>
      </c>
      <c r="J18" s="175">
        <f>H18/DAY(B2)</f>
        <v>268</v>
      </c>
      <c r="K18" s="79"/>
      <c r="L18" s="66"/>
      <c r="N18" s="87"/>
      <c r="O18" s="71"/>
    </row>
    <row r="19" spans="1:15" ht="25.5">
      <c r="A19" s="864" t="s">
        <v>69</v>
      </c>
      <c r="B19" s="865"/>
      <c r="C19" s="866"/>
      <c r="D19" s="151" t="s">
        <v>142</v>
      </c>
      <c r="E19" s="95">
        <f>'24'!F19</f>
        <v>169181</v>
      </c>
      <c r="F19" s="122">
        <v>169240</v>
      </c>
      <c r="G19" s="112">
        <f t="shared" ref="G19" si="1">F19-E19</f>
        <v>59</v>
      </c>
      <c r="H19" s="99">
        <f>G19+'24'!H19</f>
        <v>1364</v>
      </c>
      <c r="I19" s="335"/>
      <c r="J19" s="175">
        <f>H19/DAY(B2)</f>
        <v>54.56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279</v>
      </c>
      <c r="H20" s="99">
        <f>G20+'24'!H20</f>
        <v>8064</v>
      </c>
      <c r="I20" s="336">
        <f>I18-J20</f>
        <v>-257.56</v>
      </c>
      <c r="J20" s="175">
        <f>H20/DAY(B2)</f>
        <v>322.56</v>
      </c>
      <c r="K20" s="79"/>
      <c r="L20" s="66"/>
      <c r="N20" s="87"/>
      <c r="O20" s="71"/>
    </row>
    <row r="21" spans="1:15" ht="26.25">
      <c r="A21" s="873" t="s">
        <v>144</v>
      </c>
      <c r="B21" s="874"/>
      <c r="C21" s="87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'24'!F22</f>
        <v>2970</v>
      </c>
      <c r="F22" s="122">
        <v>2970</v>
      </c>
      <c r="G22" s="119">
        <f t="shared" ref="G22" si="2">(F22-E22)</f>
        <v>0</v>
      </c>
      <c r="H22" s="99">
        <f>G22+'24'!H22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'24'!F23</f>
        <v>1860</v>
      </c>
      <c r="F23" s="122">
        <v>1860</v>
      </c>
      <c r="G23" s="119">
        <v>0</v>
      </c>
      <c r="H23" s="99">
        <f>G23+'24'!H23</f>
        <v>-100</v>
      </c>
      <c r="I23" s="118"/>
      <c r="J23" s="175">
        <f>H23/DAY(B2)</f>
        <v>-4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'24'!F24</f>
        <v>4830</v>
      </c>
      <c r="F24" s="128">
        <v>4830</v>
      </c>
      <c r="G24" s="119">
        <v>0</v>
      </c>
      <c r="H24" s="99">
        <f>G24+'24'!H24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78" t="s">
        <v>149</v>
      </c>
      <c r="B25" s="879"/>
      <c r="C25" s="88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21475</v>
      </c>
      <c r="F27" s="136">
        <v>9</v>
      </c>
      <c r="G27" s="137">
        <f>E27*F27</f>
        <v>193275</v>
      </c>
      <c r="H27" s="99">
        <f>G27+'24'!H27</f>
        <v>5209119.8</v>
      </c>
      <c r="I27" s="138"/>
      <c r="J27" s="175">
        <f>H27/DAY(B2)</f>
        <v>208364.79199999999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1127.7999999998137</v>
      </c>
      <c r="F28" s="136">
        <v>70</v>
      </c>
      <c r="G28" s="137">
        <f>E28*F28</f>
        <v>78945.999999986961</v>
      </c>
      <c r="H28" s="99">
        <f>G28+'24'!H28</f>
        <v>1921637.7499999874</v>
      </c>
      <c r="I28" s="140"/>
      <c r="J28" s="175">
        <f>H28/DAY(B2)</f>
        <v>76865.5099999995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G29+'24'!H29</f>
        <v>20700</v>
      </c>
      <c r="I29" s="140"/>
      <c r="J29" s="175">
        <f>H29/DAY(B2)</f>
        <v>828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59</v>
      </c>
      <c r="F30" s="136">
        <v>151</v>
      </c>
      <c r="G30" s="137">
        <f>E30*F30</f>
        <v>8909</v>
      </c>
      <c r="H30" s="99">
        <f>G30+'24'!H30</f>
        <v>205964</v>
      </c>
      <c r="I30" s="140"/>
      <c r="J30" s="175">
        <f>H30/DAY(B2)</f>
        <v>8238.56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G31+'24'!H31</f>
        <v>536000</v>
      </c>
      <c r="I31" s="140"/>
      <c r="J31" s="175">
        <f>H31/DAY(B2)</f>
        <v>21440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298729.99999998696</v>
      </c>
      <c r="H32" s="99">
        <f>G32+'24'!H32</f>
        <v>7893421.5499999877</v>
      </c>
      <c r="I32" s="144"/>
      <c r="J32" s="175">
        <f>H32/DAY(B2)</f>
        <v>315736.8619999995</v>
      </c>
      <c r="K32" s="63"/>
      <c r="L32" s="89"/>
      <c r="N32" s="87"/>
      <c r="O32" s="71"/>
    </row>
    <row r="33" spans="1:15" ht="25.5">
      <c r="A33" s="881" t="s">
        <v>331</v>
      </c>
      <c r="B33" s="882"/>
      <c r="C33" s="88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'24'!F35</f>
        <v>435668.31</v>
      </c>
      <c r="F35" s="145">
        <v>438272</v>
      </c>
      <c r="G35" s="112">
        <f t="shared" ref="G35:G46" si="3">F35-E35</f>
        <v>2603.6900000000023</v>
      </c>
      <c r="H35" s="99">
        <f>G35+'24'!H35</f>
        <v>69175.090000000026</v>
      </c>
      <c r="I35" s="95"/>
      <c r="J35" s="175">
        <f>H35/DAY(B2)</f>
        <v>2767.0036000000009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'24'!F36</f>
        <v>347571.63</v>
      </c>
      <c r="F36" s="145">
        <v>348343</v>
      </c>
      <c r="G36" s="112">
        <f t="shared" si="3"/>
        <v>771.36999999999534</v>
      </c>
      <c r="H36" s="99">
        <f>G36+'24'!H36</f>
        <v>26125.890000000014</v>
      </c>
      <c r="I36" s="95"/>
      <c r="J36" s="175">
        <f>H36/DAY(B2)</f>
        <v>1045.0356000000006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'24'!F37</f>
        <v>328305.51</v>
      </c>
      <c r="F37" s="145">
        <v>329767</v>
      </c>
      <c r="G37" s="112">
        <f t="shared" si="3"/>
        <v>1461.4899999999907</v>
      </c>
      <c r="H37" s="99">
        <f>G37+'24'!H37</f>
        <v>6768.3099999999977</v>
      </c>
      <c r="I37" s="95"/>
      <c r="J37" s="175">
        <f>H37/DAY(B2)</f>
        <v>270.73239999999993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'24'!F38</f>
        <v>779533.35</v>
      </c>
      <c r="F38" s="108">
        <v>782109</v>
      </c>
      <c r="G38" s="112">
        <f t="shared" si="3"/>
        <v>2575.6500000000233</v>
      </c>
      <c r="H38" s="99">
        <f>G38+'24'!H38</f>
        <v>46256.609999999986</v>
      </c>
      <c r="I38" s="95"/>
      <c r="J38" s="175">
        <f>H38/DAY(B2)</f>
        <v>1850.2643999999993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'24'!F39</f>
        <v>601161.99</v>
      </c>
      <c r="F39" s="145">
        <v>603832</v>
      </c>
      <c r="G39" s="112">
        <f t="shared" si="3"/>
        <v>2670.0100000000093</v>
      </c>
      <c r="H39" s="99">
        <f>G39+'24'!H39</f>
        <v>12247.810000000056</v>
      </c>
      <c r="I39" s="95"/>
      <c r="J39" s="175">
        <f>H39/DAY(B2)</f>
        <v>489.91240000000221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'24'!F40</f>
        <v>206725.71</v>
      </c>
      <c r="F40" s="145">
        <v>207181</v>
      </c>
      <c r="G40" s="112">
        <f t="shared" si="3"/>
        <v>455.29000000000815</v>
      </c>
      <c r="H40" s="99">
        <f>G40+'24'!H40</f>
        <v>10451.029999999999</v>
      </c>
      <c r="I40" s="95"/>
      <c r="J40" s="175">
        <f>H40/DAY(B2)</f>
        <v>418.04119999999995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'24'!F41</f>
        <v>420212.51</v>
      </c>
      <c r="F41" s="145">
        <v>420212.5</v>
      </c>
      <c r="G41" s="112">
        <f t="shared" si="3"/>
        <v>-1.0000000009313226E-2</v>
      </c>
      <c r="H41" s="99">
        <f>G41+'24'!H41</f>
        <v>1044.9099999999744</v>
      </c>
      <c r="I41" s="95"/>
      <c r="J41" s="175">
        <f>H41/DAY(B2)</f>
        <v>41.796399999998975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'24'!F42</f>
        <v>890810.79</v>
      </c>
      <c r="F42" s="145">
        <v>894509</v>
      </c>
      <c r="G42" s="112">
        <f t="shared" si="3"/>
        <v>3698.2099999999627</v>
      </c>
      <c r="H42" s="99">
        <f>G42+'24'!H42</f>
        <v>22738.920000000042</v>
      </c>
      <c r="I42" s="95"/>
      <c r="J42" s="175">
        <f>H42/DAY(B2)</f>
        <v>909.55680000000166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'24'!F43</f>
        <v>422444</v>
      </c>
      <c r="F43" s="145">
        <v>422444</v>
      </c>
      <c r="G43" s="112">
        <f t="shared" si="3"/>
        <v>0</v>
      </c>
      <c r="H43" s="99">
        <f>G43+'24'!H43</f>
        <v>15416</v>
      </c>
      <c r="I43" s="95"/>
      <c r="J43" s="175">
        <f>H43/DAY(B2)</f>
        <v>616.64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'24'!F44</f>
        <v>0</v>
      </c>
      <c r="F44" s="145">
        <v>0</v>
      </c>
      <c r="G44" s="112">
        <f t="shared" si="3"/>
        <v>0</v>
      </c>
      <c r="H44" s="99">
        <f>G44+'24'!H44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'24'!F45</f>
        <v>0</v>
      </c>
      <c r="F45" s="145">
        <v>0</v>
      </c>
      <c r="G45" s="112">
        <f t="shared" si="3"/>
        <v>0</v>
      </c>
      <c r="H45" s="99">
        <f>G45+'24'!H45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'24'!F46</f>
        <v>0</v>
      </c>
      <c r="F46" s="145">
        <v>0</v>
      </c>
      <c r="G46" s="112">
        <f t="shared" si="3"/>
        <v>0</v>
      </c>
      <c r="H46" s="99">
        <f>G46+'24'!H46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14235.699999999983</v>
      </c>
      <c r="H47" s="99">
        <f>G47+'24'!H47</f>
        <v>210224.57000000009</v>
      </c>
      <c r="I47" s="95"/>
      <c r="J47" s="175">
        <f>H47/DAY(B2)</f>
        <v>8408.9828000000034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'24'!F49</f>
        <v>803921.99</v>
      </c>
      <c r="F49" s="145">
        <v>804263.99</v>
      </c>
      <c r="G49" s="112">
        <f t="shared" ref="G49:G58" si="4">F49-E49</f>
        <v>342</v>
      </c>
      <c r="H49" s="99">
        <f>G49+'24'!H49</f>
        <v>10641.040000000037</v>
      </c>
      <c r="I49" s="95"/>
      <c r="J49" s="175">
        <f>H49/DAY(B2)</f>
        <v>425.64160000000152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'24'!F50</f>
        <v>491866.91</v>
      </c>
      <c r="F50" s="145">
        <v>493284.3</v>
      </c>
      <c r="G50" s="112">
        <f t="shared" si="4"/>
        <v>1417.390000000014</v>
      </c>
      <c r="H50" s="99">
        <f>G50+'24'!H50</f>
        <v>36615.229999999981</v>
      </c>
      <c r="I50" s="95"/>
      <c r="J50" s="175">
        <f>H50/DAY(B2)</f>
        <v>1464.6091999999992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'24'!F51</f>
        <v>156958.44</v>
      </c>
      <c r="F51" s="145">
        <v>156958</v>
      </c>
      <c r="G51" s="112">
        <f t="shared" si="4"/>
        <v>-0.44000000000232831</v>
      </c>
      <c r="H51" s="99">
        <f>G51+'24'!H51</f>
        <v>21713.450000000012</v>
      </c>
      <c r="I51" s="95"/>
      <c r="J51" s="175">
        <f>H51/DAY(B2)</f>
        <v>868.53800000000047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'24'!F52</f>
        <v>9.76</v>
      </c>
      <c r="F52" s="145">
        <v>9.76</v>
      </c>
      <c r="G52" s="112">
        <f t="shared" si="4"/>
        <v>0</v>
      </c>
      <c r="H52" s="99">
        <f>G52+'24'!H52</f>
        <v>-0.24000000000000021</v>
      </c>
      <c r="I52" s="95"/>
      <c r="J52" s="175">
        <f>H52/DAY(B2)</f>
        <v>-9.6000000000000078E-3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'24'!F53</f>
        <v>630355.03</v>
      </c>
      <c r="F53" s="145">
        <v>630355</v>
      </c>
      <c r="G53" s="112">
        <f t="shared" si="4"/>
        <v>-3.0000000027939677E-2</v>
      </c>
      <c r="H53" s="99">
        <f>G53+'24'!H53</f>
        <v>83813.729999999981</v>
      </c>
      <c r="I53" s="95"/>
      <c r="J53" s="175">
        <f>H53/DAY(B2)</f>
        <v>3352.5491999999995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'24'!F54</f>
        <v>112094.9</v>
      </c>
      <c r="F54" s="145">
        <v>112455</v>
      </c>
      <c r="G54" s="112">
        <f t="shared" si="4"/>
        <v>360.10000000000582</v>
      </c>
      <c r="H54" s="99">
        <f>G54+'24'!H54</f>
        <v>4791.8399999999965</v>
      </c>
      <c r="I54" s="95"/>
      <c r="J54" s="175">
        <f>H54/DAY(B2)</f>
        <v>191.67359999999985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'24'!F55</f>
        <v>576335.63</v>
      </c>
      <c r="F55" s="145">
        <v>576335.63</v>
      </c>
      <c r="G55" s="112">
        <f t="shared" si="4"/>
        <v>0</v>
      </c>
      <c r="H55" s="99">
        <f>G55+'24'!H55</f>
        <v>14850.959999999963</v>
      </c>
      <c r="I55" s="95"/>
      <c r="J55" s="175">
        <f>H55/DAY(B2)</f>
        <v>594.03839999999855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'24'!F56</f>
        <v>333128.09000000003</v>
      </c>
      <c r="F56" s="145">
        <v>333759.90000000002</v>
      </c>
      <c r="G56" s="112">
        <f t="shared" si="4"/>
        <v>631.80999999999767</v>
      </c>
      <c r="H56" s="99">
        <f>G56+'24'!H56</f>
        <v>65644.890000000014</v>
      </c>
      <c r="I56" s="95"/>
      <c r="J56" s="175">
        <f>H56/DAY(B2)</f>
        <v>2625.7956000000004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'24'!F57</f>
        <v>612442.03</v>
      </c>
      <c r="F57" s="145">
        <v>615191.9</v>
      </c>
      <c r="G57" s="112">
        <f t="shared" si="4"/>
        <v>2749.8699999999953</v>
      </c>
      <c r="H57" s="99">
        <f>G57+'24'!H57</f>
        <v>51632.430000000051</v>
      </c>
      <c r="I57" s="95"/>
      <c r="J57" s="175">
        <f>H57/DAY(B2)</f>
        <v>2065.2972000000022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'24'!F58</f>
        <v>84440.73</v>
      </c>
      <c r="F58" s="145">
        <v>84711.6</v>
      </c>
      <c r="G58" s="112">
        <f t="shared" si="4"/>
        <v>270.8700000000099</v>
      </c>
      <c r="H58" s="99">
        <f>G58+'24'!H58</f>
        <v>5995.9100000000035</v>
      </c>
      <c r="I58" s="95"/>
      <c r="J58" s="175">
        <f>H58/DAY(B2)</f>
        <v>239.83640000000014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5771.5699999999924</v>
      </c>
      <c r="H59" s="99">
        <f>G59+'24'!H59</f>
        <v>295699.24000000005</v>
      </c>
      <c r="I59" s="95">
        <f>G7-G60</f>
        <v>1360.4060000000027</v>
      </c>
      <c r="J59" s="175">
        <f>H59/DAY(B2)</f>
        <v>11827.969600000002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20007.269999999975</v>
      </c>
      <c r="H60" s="99">
        <f>G60+'24'!H60</f>
        <v>505923.81000000023</v>
      </c>
      <c r="I60" s="95">
        <f>G13-G60</f>
        <v>750.63000000039756</v>
      </c>
      <c r="J60" s="175">
        <f>H60/DAY(B2)</f>
        <v>20236.952400000009</v>
      </c>
      <c r="K60" s="79"/>
      <c r="L60" s="66"/>
      <c r="N60" s="87"/>
      <c r="O60" s="71"/>
    </row>
    <row r="61" spans="1:15" s="68" customFormat="1" ht="26.25">
      <c r="A61" s="883" t="s">
        <v>332</v>
      </c>
      <c r="B61" s="884"/>
      <c r="C61" s="88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64" t="s">
        <v>198</v>
      </c>
      <c r="B62" s="865"/>
      <c r="C62" s="866"/>
      <c r="D62" s="151" t="s">
        <v>142</v>
      </c>
      <c r="E62" s="95">
        <f>'24'!F62</f>
        <v>311135.40000000002</v>
      </c>
      <c r="F62" s="122">
        <v>311293</v>
      </c>
      <c r="G62" s="112">
        <f t="shared" ref="G62:G63" si="5">F62-E62</f>
        <v>157.59999999997672</v>
      </c>
      <c r="H62" s="99">
        <f>G62+'24'!H62</f>
        <v>2979</v>
      </c>
      <c r="I62" s="118"/>
      <c r="J62" s="175">
        <f>H62/DAY(B2)</f>
        <v>119.16</v>
      </c>
      <c r="K62" s="80"/>
      <c r="L62" s="66"/>
      <c r="N62" s="87"/>
      <c r="O62" s="71"/>
    </row>
    <row r="63" spans="1:15" ht="25.5">
      <c r="A63" s="864" t="s">
        <v>199</v>
      </c>
      <c r="B63" s="865"/>
      <c r="C63" s="866"/>
      <c r="D63" s="151" t="s">
        <v>142</v>
      </c>
      <c r="E63" s="95">
        <f>'24'!F63</f>
        <v>248384</v>
      </c>
      <c r="F63" s="122">
        <v>248452</v>
      </c>
      <c r="G63" s="112">
        <f t="shared" si="5"/>
        <v>68</v>
      </c>
      <c r="H63" s="99">
        <f>G63+'24'!H63</f>
        <v>1523</v>
      </c>
      <c r="I63" s="118"/>
      <c r="J63" s="175">
        <f>H63/DAY(B2)</f>
        <v>60.92</v>
      </c>
      <c r="K63" s="69"/>
      <c r="L63" s="66"/>
      <c r="N63" s="87"/>
      <c r="O63" s="71"/>
    </row>
    <row r="64" spans="1:15" ht="26.25">
      <c r="A64" s="861" t="s">
        <v>200</v>
      </c>
      <c r="B64" s="862"/>
      <c r="C64" s="863"/>
      <c r="D64" s="151"/>
      <c r="E64" s="95">
        <f>'24'!F64</f>
        <v>0</v>
      </c>
      <c r="F64" s="122"/>
      <c r="G64" s="112">
        <f>G62+G63</f>
        <v>225.59999999997672</v>
      </c>
      <c r="H64" s="99">
        <f>G64+'24'!H64</f>
        <v>4502</v>
      </c>
      <c r="I64" s="118"/>
      <c r="J64" s="175">
        <f>H64/DAY(B2)</f>
        <v>180.08</v>
      </c>
      <c r="K64" s="69"/>
      <c r="L64" s="66"/>
      <c r="N64" s="87"/>
      <c r="O64" s="71"/>
    </row>
    <row r="65" spans="1:15" ht="25.5">
      <c r="A65" s="864" t="s">
        <v>201</v>
      </c>
      <c r="B65" s="865"/>
      <c r="C65" s="866"/>
      <c r="D65" s="151" t="s">
        <v>142</v>
      </c>
      <c r="E65" s="95">
        <f>'24'!F65</f>
        <v>471098</v>
      </c>
      <c r="F65" s="122">
        <v>471234</v>
      </c>
      <c r="G65" s="112">
        <f t="shared" ref="G65:G70" si="6">F65-E65</f>
        <v>136</v>
      </c>
      <c r="H65" s="99">
        <f>G65+'24'!H65</f>
        <v>3333</v>
      </c>
      <c r="I65" s="118"/>
      <c r="J65" s="175">
        <f>H65/DAY(B2)</f>
        <v>133.32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'24'!F66</f>
        <v>113452</v>
      </c>
      <c r="F66" s="122">
        <v>113465</v>
      </c>
      <c r="G66" s="112">
        <f t="shared" si="6"/>
        <v>13</v>
      </c>
      <c r="H66" s="99">
        <f>G66+'24'!H66</f>
        <v>55718</v>
      </c>
      <c r="I66" s="118"/>
      <c r="J66" s="175">
        <f>H66/DAY(B2)</f>
        <v>2228.7199999999998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'24'!F67</f>
        <v>116373</v>
      </c>
      <c r="F67" s="122">
        <v>116399</v>
      </c>
      <c r="G67" s="112">
        <f t="shared" si="6"/>
        <v>26</v>
      </c>
      <c r="H67" s="99">
        <f>G67+'24'!H67</f>
        <v>544</v>
      </c>
      <c r="I67" s="118"/>
      <c r="J67" s="175">
        <f>H67/DAY(B2)</f>
        <v>21.76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'24'!F68</f>
        <v>169222</v>
      </c>
      <c r="F68" s="122">
        <v>169253</v>
      </c>
      <c r="G68" s="112">
        <f t="shared" si="6"/>
        <v>31</v>
      </c>
      <c r="H68" s="99">
        <f>G68+'24'!H68</f>
        <v>746</v>
      </c>
      <c r="I68" s="118"/>
      <c r="J68" s="175">
        <f>H68/DAY(B2)</f>
        <v>29.84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'24'!F69</f>
        <v>12933</v>
      </c>
      <c r="F69" s="122">
        <v>12936</v>
      </c>
      <c r="G69" s="112">
        <f t="shared" si="6"/>
        <v>3</v>
      </c>
      <c r="H69" s="99">
        <f>G69+'24'!H69</f>
        <v>126</v>
      </c>
      <c r="I69" s="118"/>
      <c r="J69" s="175">
        <f>H69/DAY(B2)</f>
        <v>5.04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'24'!F70</f>
        <v>10957</v>
      </c>
      <c r="F70" s="122">
        <v>10965</v>
      </c>
      <c r="G70" s="112">
        <f t="shared" si="6"/>
        <v>8</v>
      </c>
      <c r="H70" s="99">
        <f>G70+'24'!H70</f>
        <v>186</v>
      </c>
      <c r="I70" s="118"/>
      <c r="J70" s="175">
        <f>H70/DAY(B2)</f>
        <v>7.44</v>
      </c>
      <c r="K70" s="69"/>
      <c r="L70" s="66"/>
      <c r="N70" s="87"/>
      <c r="O70" s="71"/>
    </row>
    <row r="71" spans="1:15" ht="26.25">
      <c r="A71" s="861" t="s">
        <v>208</v>
      </c>
      <c r="B71" s="862"/>
      <c r="C71" s="863"/>
      <c r="D71" s="152"/>
      <c r="E71" s="152"/>
      <c r="F71" s="152"/>
      <c r="G71" s="153">
        <f>SUM(G65:G70)</f>
        <v>217</v>
      </c>
      <c r="H71" s="99">
        <f>G71+'24'!H71</f>
        <v>60653</v>
      </c>
      <c r="I71" s="154"/>
      <c r="J71" s="175">
        <f>H71/DAY(B2)</f>
        <v>2426.12</v>
      </c>
      <c r="K71" s="69"/>
      <c r="L71" s="66"/>
      <c r="N71" s="87"/>
      <c r="O71" s="71"/>
    </row>
    <row r="72" spans="1:15" s="88" customFormat="1" ht="25.5">
      <c r="A72" s="904"/>
      <c r="B72" s="89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09" t="s">
        <v>333</v>
      </c>
      <c r="B73" s="910"/>
      <c r="C73" s="911"/>
      <c r="D73" s="339"/>
      <c r="E73" s="339"/>
      <c r="F73" s="233"/>
      <c r="G73" s="235"/>
      <c r="H73" s="342"/>
      <c r="I73" s="342"/>
      <c r="J73" s="343"/>
      <c r="K73" s="69"/>
      <c r="L73" s="66"/>
      <c r="N73" s="87"/>
      <c r="O73" s="71"/>
    </row>
    <row r="74" spans="1:15" ht="25.5">
      <c r="A74" s="864" t="s">
        <v>220</v>
      </c>
      <c r="B74" s="865"/>
      <c r="C74" s="866"/>
      <c r="D74" s="151" t="s">
        <v>139</v>
      </c>
      <c r="E74" s="95">
        <v>392</v>
      </c>
      <c r="F74" s="409">
        <v>691</v>
      </c>
      <c r="G74" s="236">
        <f t="shared" ref="G74:G78" si="7">F74-E74</f>
        <v>299</v>
      </c>
      <c r="H74" s="99">
        <f>G74+'24'!H74</f>
        <v>7331.9699999999721</v>
      </c>
      <c r="I74" s="154"/>
      <c r="J74" s="175">
        <f>H74/DAY(B2)</f>
        <v>293.27879999999891</v>
      </c>
      <c r="K74" s="69"/>
      <c r="L74" s="66"/>
      <c r="N74" s="87"/>
      <c r="O74" s="71"/>
    </row>
    <row r="75" spans="1:15" ht="25.5">
      <c r="A75" s="864" t="s">
        <v>221</v>
      </c>
      <c r="B75" s="865"/>
      <c r="C75" s="866"/>
      <c r="D75" s="151" t="s">
        <v>139</v>
      </c>
      <c r="E75" s="95">
        <f>'24'!F75</f>
        <v>73586.8</v>
      </c>
      <c r="F75" s="409">
        <v>73586.8</v>
      </c>
      <c r="G75" s="236">
        <f t="shared" si="7"/>
        <v>0</v>
      </c>
      <c r="H75" s="99">
        <f>G75+'24'!H75</f>
        <v>0.80000000000291038</v>
      </c>
      <c r="I75" s="154"/>
      <c r="J75" s="175">
        <f>H75/DAY(B2)</f>
        <v>3.2000000000116414E-2</v>
      </c>
      <c r="K75" s="69"/>
      <c r="L75" s="66"/>
      <c r="N75" s="87"/>
      <c r="O75" s="71"/>
    </row>
    <row r="76" spans="1:15" ht="25.5">
      <c r="A76" s="905" t="s">
        <v>222</v>
      </c>
      <c r="B76" s="891"/>
      <c r="C76" s="892"/>
      <c r="D76" s="151" t="s">
        <v>139</v>
      </c>
      <c r="E76" s="95">
        <f>'24'!F76</f>
        <v>206610</v>
      </c>
      <c r="F76" s="409">
        <v>206700</v>
      </c>
      <c r="G76" s="236">
        <f t="shared" si="7"/>
        <v>90</v>
      </c>
      <c r="H76" s="99">
        <f>G76+'24'!H76</f>
        <v>3038</v>
      </c>
      <c r="I76" s="154"/>
      <c r="J76" s="175">
        <f>H76/DAY(B2)</f>
        <v>121.52</v>
      </c>
      <c r="K76" s="69"/>
      <c r="L76" s="66"/>
      <c r="N76" s="87"/>
      <c r="O76" s="71"/>
    </row>
    <row r="77" spans="1:15" ht="25.5">
      <c r="A77" s="905" t="s">
        <v>223</v>
      </c>
      <c r="B77" s="891"/>
      <c r="C77" s="892"/>
      <c r="D77" s="151" t="s">
        <v>139</v>
      </c>
      <c r="E77" s="95">
        <f>'24'!F77</f>
        <v>57794</v>
      </c>
      <c r="F77" s="409">
        <v>57843</v>
      </c>
      <c r="G77" s="236">
        <f t="shared" si="7"/>
        <v>49</v>
      </c>
      <c r="H77" s="99">
        <f>G77+'24'!H77</f>
        <v>1321</v>
      </c>
      <c r="I77" s="154"/>
      <c r="J77" s="175">
        <f>H77/DAY(B2)</f>
        <v>52.84</v>
      </c>
      <c r="K77" s="69"/>
      <c r="L77" s="66"/>
      <c r="N77" s="87"/>
      <c r="O77" s="71"/>
    </row>
    <row r="78" spans="1:15" ht="25.5">
      <c r="A78" s="905" t="s">
        <v>224</v>
      </c>
      <c r="B78" s="891"/>
      <c r="C78" s="892"/>
      <c r="D78" s="151" t="s">
        <v>139</v>
      </c>
      <c r="E78" s="95">
        <f>'24'!F78</f>
        <v>9564</v>
      </c>
      <c r="F78" s="409">
        <v>9564</v>
      </c>
      <c r="G78" s="236">
        <f t="shared" si="7"/>
        <v>0</v>
      </c>
      <c r="H78" s="99">
        <f>G78+'24'!H78</f>
        <v>-0.3999999999996362</v>
      </c>
      <c r="I78" s="118"/>
      <c r="J78" s="175">
        <f>H78/DAY(B2)</f>
        <v>-1.5999999999985449E-2</v>
      </c>
      <c r="K78" s="69"/>
      <c r="L78" s="66"/>
      <c r="N78" s="87"/>
      <c r="O78" s="71"/>
    </row>
    <row r="79" spans="1:15" s="57" customFormat="1" ht="25.5">
      <c r="A79" s="905" t="s">
        <v>225</v>
      </c>
      <c r="B79" s="891"/>
      <c r="C79" s="892"/>
      <c r="D79" s="151"/>
      <c r="E79" s="95">
        <f>'24'!F79</f>
        <v>0</v>
      </c>
      <c r="F79" s="117"/>
      <c r="G79" s="112">
        <f>G15-SUM(G74:G78)</f>
        <v>689.79999999981374</v>
      </c>
      <c r="H79" s="99">
        <f>G79+'24'!H79</f>
        <v>15610.429999999838</v>
      </c>
      <c r="I79" s="118"/>
      <c r="J79" s="175"/>
      <c r="K79" s="59"/>
      <c r="L79" s="58"/>
      <c r="N79" s="87"/>
      <c r="O79" s="71"/>
    </row>
    <row r="80" spans="1:15" s="57" customFormat="1" ht="26.25">
      <c r="A80" s="861" t="s">
        <v>329</v>
      </c>
      <c r="B80" s="862"/>
      <c r="C80" s="863"/>
      <c r="D80" s="151"/>
      <c r="E80" s="117"/>
      <c r="F80" s="117"/>
      <c r="G80" s="112">
        <f>SUM(G74:G79)</f>
        <v>1127.7999999998137</v>
      </c>
      <c r="H80" s="99"/>
      <c r="I80" s="118"/>
      <c r="J80" s="175"/>
      <c r="K80" s="59"/>
      <c r="L80" s="58"/>
      <c r="N80" s="87"/>
      <c r="O80" s="71"/>
    </row>
    <row r="81" spans="1:15" ht="25.5">
      <c r="A81" s="897" t="s">
        <v>226</v>
      </c>
      <c r="B81" s="898"/>
      <c r="C81" s="89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'24'!F82</f>
        <v>0</v>
      </c>
      <c r="F82" s="122">
        <v>0</v>
      </c>
      <c r="G82" s="112">
        <f t="shared" ref="G82:G92" si="8">F82-E82</f>
        <v>0</v>
      </c>
      <c r="H82" s="99">
        <f>G82+'24'!H82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'24'!F83</f>
        <v>0</v>
      </c>
      <c r="F83" s="122">
        <v>0</v>
      </c>
      <c r="G83" s="112">
        <f t="shared" si="8"/>
        <v>0</v>
      </c>
      <c r="H83" s="99">
        <f>G83+'24'!H83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405">
        <f>'24'!F84</f>
        <v>43546</v>
      </c>
      <c r="F84" s="164">
        <v>43546</v>
      </c>
      <c r="G84" s="236">
        <f t="shared" si="8"/>
        <v>0</v>
      </c>
      <c r="H84" s="99">
        <f>G84+'24'!H84</f>
        <v>2005.7900000000009</v>
      </c>
      <c r="I84" s="545"/>
      <c r="J84" s="175">
        <f>H84/DAY(B2)</f>
        <v>80.231600000000029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'24'!F85</f>
        <v>5768</v>
      </c>
      <c r="F85" s="164">
        <v>5789.2</v>
      </c>
      <c r="G85" s="112">
        <f t="shared" si="8"/>
        <v>21.199999999999818</v>
      </c>
      <c r="H85" s="99">
        <f>G85+'24'!H85</f>
        <v>105.19999999999982</v>
      </c>
      <c r="I85" s="545"/>
      <c r="J85" s="175">
        <f>H85/DAY(B2)</f>
        <v>4.2079999999999931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'24'!F86</f>
        <v>46834</v>
      </c>
      <c r="F86" s="164">
        <v>46834</v>
      </c>
      <c r="G86" s="112">
        <f t="shared" si="8"/>
        <v>0</v>
      </c>
      <c r="H86" s="99">
        <f>G86+'24'!H86</f>
        <v>80.069999999999709</v>
      </c>
      <c r="I86" s="545"/>
      <c r="J86" s="175">
        <f>H86/DAY(B2)</f>
        <v>3.2027999999999883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'24'!F87</f>
        <v>37008.42</v>
      </c>
      <c r="F87" s="164">
        <v>37014.300000000003</v>
      </c>
      <c r="G87" s="112">
        <f t="shared" si="8"/>
        <v>5.8800000000046566</v>
      </c>
      <c r="H87" s="99">
        <f>G87+'24'!H87</f>
        <v>464.09000000000378</v>
      </c>
      <c r="I87" s="545">
        <f>G84+G85+G86+G87</f>
        <v>27.080000000004475</v>
      </c>
      <c r="J87" s="175">
        <f>H87/DAY(B2)</f>
        <v>18.56360000000015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'24'!F88</f>
        <v>24550</v>
      </c>
      <c r="F88" s="164">
        <v>24560</v>
      </c>
      <c r="G88" s="112">
        <f t="shared" si="8"/>
        <v>10</v>
      </c>
      <c r="H88" s="99">
        <f>G88+'24'!H88</f>
        <v>48.200000000000728</v>
      </c>
      <c r="I88" s="545"/>
      <c r="J88" s="175">
        <f>H88/DAY(B2)</f>
        <v>1.928000000000029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'24'!F89</f>
        <v>28712.67</v>
      </c>
      <c r="F89" s="164">
        <v>28714</v>
      </c>
      <c r="G89" s="112">
        <f t="shared" si="8"/>
        <v>1.3300000000017462</v>
      </c>
      <c r="H89" s="99">
        <f>G89+'24'!H89</f>
        <v>212.29999999999927</v>
      </c>
      <c r="I89" s="545">
        <f>G88+G89</f>
        <v>11.330000000001746</v>
      </c>
      <c r="J89" s="175">
        <f>H89/DAY(B2)</f>
        <v>8.4919999999999707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'24'!F90</f>
        <v>74136.149999999994</v>
      </c>
      <c r="F90" s="164">
        <v>74147</v>
      </c>
      <c r="G90" s="112">
        <f t="shared" si="8"/>
        <v>10.850000000005821</v>
      </c>
      <c r="H90" s="99">
        <f>G90+'24'!H90</f>
        <v>286.39999999999418</v>
      </c>
      <c r="I90" s="545">
        <f>G90</f>
        <v>10.850000000005821</v>
      </c>
      <c r="J90" s="175">
        <f>H90/DAY(B2)</f>
        <v>11.455999999999767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'24'!F91</f>
        <v>5588.24</v>
      </c>
      <c r="F91" s="122">
        <v>5599.6</v>
      </c>
      <c r="G91" s="112">
        <f t="shared" si="8"/>
        <v>11.360000000000582</v>
      </c>
      <c r="H91" s="99">
        <f>G91+'24'!H91</f>
        <v>246.82999999999993</v>
      </c>
      <c r="I91" s="546"/>
      <c r="J91" s="175">
        <f>H91/DAY(B2)</f>
        <v>9.8731999999999971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'24'!F92</f>
        <v>7031.67</v>
      </c>
      <c r="F92" s="122">
        <v>7031.67</v>
      </c>
      <c r="G92" s="112">
        <f t="shared" si="8"/>
        <v>0</v>
      </c>
      <c r="H92" s="99">
        <f>G92+'24'!H92</f>
        <v>31.670000000000073</v>
      </c>
      <c r="I92" s="547">
        <f>G91+G92</f>
        <v>11.360000000000582</v>
      </c>
      <c r="J92" s="175">
        <f>H92/DAY(B2)</f>
        <v>1.2668000000000028</v>
      </c>
      <c r="O92" s="71"/>
    </row>
    <row r="93" spans="1:15" ht="26.25">
      <c r="A93" s="906" t="s">
        <v>239</v>
      </c>
      <c r="B93" s="907"/>
      <c r="C93" s="90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64" t="s">
        <v>240</v>
      </c>
      <c r="B94" s="865"/>
      <c r="C94" s="866"/>
      <c r="D94" s="151" t="s">
        <v>130</v>
      </c>
      <c r="E94" s="151"/>
      <c r="F94" s="151"/>
      <c r="G94" s="99">
        <f>G35+G43+G49+G57</f>
        <v>5695.5599999999977</v>
      </c>
      <c r="H94" s="99">
        <f>G94+'24'!H94</f>
        <v>146864.56000000011</v>
      </c>
      <c r="I94" s="118"/>
      <c r="J94" s="175">
        <f>H94/DAY(B2)</f>
        <v>5874.5824000000048</v>
      </c>
      <c r="K94" s="69"/>
      <c r="L94" s="66"/>
      <c r="O94" s="71"/>
    </row>
    <row r="95" spans="1:15" ht="25.5">
      <c r="A95" s="864" t="s">
        <v>241</v>
      </c>
      <c r="B95" s="865"/>
      <c r="C95" s="866"/>
      <c r="D95" s="151" t="s">
        <v>23</v>
      </c>
      <c r="E95" s="146"/>
      <c r="F95" s="146"/>
      <c r="G95" s="166">
        <f>G94/G7</f>
        <v>0.26655027902894091</v>
      </c>
      <c r="H95" s="99">
        <f>G95+'24'!H95</f>
        <v>6.4082960427883258</v>
      </c>
      <c r="I95" s="167"/>
      <c r="J95" s="175">
        <f>H95/DAY(B2)</f>
        <v>0.256331841711533</v>
      </c>
      <c r="K95" s="69"/>
      <c r="L95" s="66"/>
      <c r="O95" s="71"/>
    </row>
    <row r="96" spans="1:15" ht="25.5">
      <c r="A96" s="864" t="s">
        <v>242</v>
      </c>
      <c r="B96" s="865"/>
      <c r="C96" s="866"/>
      <c r="D96" s="151" t="s">
        <v>130</v>
      </c>
      <c r="E96" s="95"/>
      <c r="F96" s="95"/>
      <c r="G96" s="99">
        <f>G41+G42+G55+G56</f>
        <v>4330.0099999999511</v>
      </c>
      <c r="H96" s="99">
        <f>G96+'24'!H96</f>
        <v>104279.67999999999</v>
      </c>
      <c r="I96" s="118"/>
      <c r="J96" s="175">
        <f>H96/DAY(B2)</f>
        <v>4171.1871999999994</v>
      </c>
      <c r="K96" s="69"/>
      <c r="L96" s="66"/>
      <c r="O96" s="71"/>
    </row>
    <row r="97" spans="1:15" ht="25.5">
      <c r="A97" s="864" t="s">
        <v>243</v>
      </c>
      <c r="B97" s="865"/>
      <c r="C97" s="866"/>
      <c r="D97" s="151" t="s">
        <v>23</v>
      </c>
      <c r="E97" s="95"/>
      <c r="F97" s="95"/>
      <c r="G97" s="166">
        <f>G96/G7</f>
        <v>0.20264300151312456</v>
      </c>
      <c r="H97" s="99">
        <f>G97+'24'!H97</f>
        <v>4.5095842210246051</v>
      </c>
      <c r="I97" s="167"/>
      <c r="J97" s="175">
        <f>H97/DAY(B2)</f>
        <v>0.18038336884098422</v>
      </c>
      <c r="K97" s="69"/>
      <c r="L97" s="66"/>
      <c r="O97" s="71"/>
    </row>
    <row r="98" spans="1:15" ht="25.5">
      <c r="A98" s="864" t="s">
        <v>244</v>
      </c>
      <c r="B98" s="865"/>
      <c r="C98" s="866"/>
      <c r="D98" s="151" t="s">
        <v>130</v>
      </c>
      <c r="E98" s="95"/>
      <c r="F98" s="95"/>
      <c r="G98" s="99">
        <f>G39+G53</f>
        <v>2669.9799999999814</v>
      </c>
      <c r="H98" s="99">
        <f>G98+'24'!H98</f>
        <v>96061.540000000037</v>
      </c>
      <c r="I98" s="168"/>
      <c r="J98" s="175">
        <f>H98/DAY(B2)</f>
        <v>3842.4616000000015</v>
      </c>
      <c r="K98" s="69"/>
      <c r="L98" s="66"/>
      <c r="O98" s="71"/>
    </row>
    <row r="99" spans="1:15" ht="25.5">
      <c r="A99" s="864" t="s">
        <v>245</v>
      </c>
      <c r="B99" s="865"/>
      <c r="C99" s="866"/>
      <c r="D99" s="151" t="s">
        <v>23</v>
      </c>
      <c r="E99" s="95"/>
      <c r="F99" s="95"/>
      <c r="G99" s="166">
        <f>G98/G7</f>
        <v>0.12495415973173611</v>
      </c>
      <c r="H99" s="99">
        <f>G99+'24'!H99</f>
        <v>4.1857292705776992</v>
      </c>
      <c r="I99" s="168"/>
      <c r="J99" s="175">
        <f>H99/DAY(B2)</f>
        <v>0.16742917082310796</v>
      </c>
      <c r="O99" s="71"/>
    </row>
    <row r="100" spans="1:15" ht="26.25">
      <c r="A100" s="864" t="s">
        <v>246</v>
      </c>
      <c r="B100" s="865"/>
      <c r="C100" s="866"/>
      <c r="D100" s="151" t="s">
        <v>180</v>
      </c>
      <c r="E100" s="95"/>
      <c r="F100" s="95"/>
      <c r="G100" s="99">
        <f>G38+G52</f>
        <v>2575.6500000000233</v>
      </c>
      <c r="H100" s="99">
        <f>G100+'24'!H100</f>
        <v>46256.369999999988</v>
      </c>
      <c r="I100" s="118"/>
      <c r="J100" s="175">
        <f>H100/DAY(B2)</f>
        <v>1850.2547999999995</v>
      </c>
      <c r="K100" s="70"/>
      <c r="O100" s="71"/>
    </row>
    <row r="101" spans="1:15" ht="25.5">
      <c r="A101" s="864" t="s">
        <v>247</v>
      </c>
      <c r="B101" s="865"/>
      <c r="C101" s="866"/>
      <c r="D101" s="151" t="s">
        <v>23</v>
      </c>
      <c r="E101" s="95"/>
      <c r="F101" s="95"/>
      <c r="G101" s="166">
        <f>G100/G7</f>
        <v>0.12053954767940257</v>
      </c>
      <c r="H101" s="99">
        <f>G101+'24'!H101</f>
        <v>2.0498289868733028</v>
      </c>
      <c r="I101" s="168"/>
      <c r="J101" s="175">
        <f>H101/DAY(B2)</f>
        <v>8.1993159474932117E-2</v>
      </c>
      <c r="O101" s="71"/>
    </row>
    <row r="102" spans="1:15" ht="25.5">
      <c r="A102" s="864" t="s">
        <v>248</v>
      </c>
      <c r="B102" s="865"/>
      <c r="C102" s="866"/>
      <c r="D102" s="151" t="s">
        <v>180</v>
      </c>
      <c r="E102" s="95"/>
      <c r="F102" s="95"/>
      <c r="G102" s="99">
        <f>G36+G50</f>
        <v>2188.7600000000093</v>
      </c>
      <c r="H102" s="99">
        <f>G102+'24'!H102</f>
        <v>62741.119999999995</v>
      </c>
      <c r="I102" s="168"/>
      <c r="J102" s="175">
        <f>H102/DAY(B2)</f>
        <v>2509.6448</v>
      </c>
      <c r="O102" s="71"/>
    </row>
    <row r="103" spans="1:15" ht="25.5">
      <c r="A103" s="864" t="s">
        <v>249</v>
      </c>
      <c r="B103" s="865"/>
      <c r="C103" s="866"/>
      <c r="D103" s="151" t="s">
        <v>23</v>
      </c>
      <c r="E103" s="95"/>
      <c r="F103" s="95"/>
      <c r="G103" s="166">
        <f>G102/G7</f>
        <v>0.10243322671122548</v>
      </c>
      <c r="H103" s="99">
        <f>G103+'24'!H103</f>
        <v>2.7344643675519724</v>
      </c>
      <c r="I103" s="118"/>
      <c r="J103" s="175">
        <f>H103/DAY(B2)</f>
        <v>0.1093785747020789</v>
      </c>
      <c r="O103" s="71"/>
    </row>
    <row r="104" spans="1:15" ht="25.5">
      <c r="A104" s="864" t="s">
        <v>250</v>
      </c>
      <c r="B104" s="865"/>
      <c r="C104" s="866"/>
      <c r="D104" s="151" t="s">
        <v>180</v>
      </c>
      <c r="E104" s="95"/>
      <c r="F104" s="95"/>
      <c r="G104" s="99">
        <f>G37+G51</f>
        <v>1461.0499999999884</v>
      </c>
      <c r="H104" s="99">
        <f>G104+'24'!H104</f>
        <v>28481.760000000009</v>
      </c>
      <c r="I104" s="118"/>
      <c r="J104" s="175">
        <f>H104/DAY(B2)</f>
        <v>1139.2704000000003</v>
      </c>
      <c r="O104" s="71"/>
    </row>
    <row r="105" spans="1:15" ht="26.25" thickBot="1">
      <c r="A105" s="901" t="s">
        <v>251</v>
      </c>
      <c r="B105" s="902"/>
      <c r="C105" s="903"/>
      <c r="D105" s="231" t="s">
        <v>23</v>
      </c>
      <c r="E105" s="185"/>
      <c r="F105" s="185"/>
      <c r="G105" s="186">
        <f>G104/G7</f>
        <v>6.8376645171893749E-2</v>
      </c>
      <c r="H105" s="99">
        <f>G105+'24'!H105</f>
        <v>1.252715482096963</v>
      </c>
      <c r="I105" s="187"/>
      <c r="J105" s="188">
        <f>H105/DAY(B2)</f>
        <v>5.0108619283878525E-2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15" t="s">
        <v>324</v>
      </c>
      <c r="B108" s="915"/>
      <c r="C108" s="915"/>
      <c r="D108" s="915"/>
      <c r="E108" s="915"/>
      <c r="F108" s="915"/>
      <c r="G108" s="915"/>
      <c r="H108" s="915"/>
      <c r="I108" s="915"/>
      <c r="J108" s="915"/>
    </row>
    <row r="109" spans="1:15" ht="26.25">
      <c r="A109" s="900"/>
      <c r="B109" s="900"/>
    </row>
    <row r="110" spans="1:15" ht="26.25">
      <c r="A110" s="916" t="s">
        <v>165</v>
      </c>
      <c r="B110" s="917"/>
      <c r="C110" s="917"/>
      <c r="D110" s="917"/>
      <c r="E110" s="917"/>
      <c r="F110" s="917"/>
      <c r="G110" s="917"/>
      <c r="H110" s="917"/>
      <c r="I110" s="917"/>
      <c r="J110" s="918"/>
    </row>
    <row r="111" spans="1:15" ht="25.5">
      <c r="A111" s="919"/>
      <c r="B111" s="920"/>
      <c r="C111" s="921"/>
      <c r="D111" s="165"/>
      <c r="E111" s="165"/>
      <c r="F111" s="165"/>
      <c r="G111" s="165"/>
      <c r="H111" s="156"/>
      <c r="I111" s="165"/>
      <c r="J111" s="327"/>
    </row>
    <row r="112" spans="1:15" ht="25.5">
      <c r="A112" s="894" t="s">
        <v>252</v>
      </c>
      <c r="B112" s="895"/>
      <c r="C112" s="896"/>
      <c r="D112" s="146" t="s">
        <v>183</v>
      </c>
      <c r="E112" s="95">
        <f>'24'!F112</f>
        <v>17088.490000000002</v>
      </c>
      <c r="F112" s="237">
        <v>17147.93</v>
      </c>
      <c r="G112" s="112">
        <f t="shared" ref="G112:G123" si="9">F112-E112</f>
        <v>59.43999999999869</v>
      </c>
      <c r="H112" s="99">
        <f>G112+'24'!H112</f>
        <v>1534.130000000001</v>
      </c>
      <c r="I112" s="165"/>
      <c r="J112" s="328">
        <f>H112/DAY(B2)</f>
        <v>61.365200000000044</v>
      </c>
    </row>
    <row r="113" spans="1:18" ht="29.25" customHeight="1">
      <c r="A113" s="894" t="s">
        <v>253</v>
      </c>
      <c r="B113" s="895"/>
      <c r="C113" s="896"/>
      <c r="D113" s="146" t="s">
        <v>183</v>
      </c>
      <c r="E113" s="95">
        <f>'24'!F113</f>
        <v>36026.75</v>
      </c>
      <c r="F113" s="237">
        <v>36176.15</v>
      </c>
      <c r="G113" s="112">
        <f t="shared" si="9"/>
        <v>149.40000000000146</v>
      </c>
      <c r="H113" s="99">
        <f>G113+'24'!H113</f>
        <v>3725.4800000000032</v>
      </c>
      <c r="I113" s="165"/>
      <c r="J113" s="328">
        <f>H113/DAY(B2)</f>
        <v>149.01920000000013</v>
      </c>
    </row>
    <row r="114" spans="1:18" ht="29.25" customHeight="1">
      <c r="A114" s="894" t="s">
        <v>254</v>
      </c>
      <c r="B114" s="895"/>
      <c r="C114" s="896"/>
      <c r="D114" s="146" t="s">
        <v>183</v>
      </c>
      <c r="E114" s="95">
        <f>'24'!F114</f>
        <v>52884.57</v>
      </c>
      <c r="F114" s="237">
        <v>53074.64</v>
      </c>
      <c r="G114" s="112">
        <f t="shared" si="9"/>
        <v>190.06999999999971</v>
      </c>
      <c r="H114" s="99">
        <f>G114+'24'!H114</f>
        <v>5108.3399999999965</v>
      </c>
      <c r="I114" s="165"/>
      <c r="J114" s="328">
        <f>H114/DAY(B2)</f>
        <v>204.33359999999985</v>
      </c>
    </row>
    <row r="115" spans="1:18" ht="29.25" customHeight="1">
      <c r="A115" s="894" t="s">
        <v>255</v>
      </c>
      <c r="B115" s="895"/>
      <c r="C115" s="896"/>
      <c r="D115" s="146" t="s">
        <v>183</v>
      </c>
      <c r="E115" s="95">
        <f>'24'!F115</f>
        <v>34002.400000000001</v>
      </c>
      <c r="F115" s="237">
        <v>34129.29</v>
      </c>
      <c r="G115" s="112">
        <f t="shared" si="9"/>
        <v>126.88999999999942</v>
      </c>
      <c r="H115" s="99">
        <f>G115+'24'!H115</f>
        <v>3692.8899999999994</v>
      </c>
      <c r="I115" s="165"/>
      <c r="J115" s="328">
        <f>H115/DAY(B2)</f>
        <v>147.71559999999997</v>
      </c>
    </row>
    <row r="116" spans="1:18" ht="29.25" customHeight="1">
      <c r="A116" s="912" t="s">
        <v>96</v>
      </c>
      <c r="B116" s="913"/>
      <c r="C116" s="914"/>
      <c r="D116" s="146" t="s">
        <v>183</v>
      </c>
      <c r="E116" s="95">
        <f>'24'!F116</f>
        <v>131666.62</v>
      </c>
      <c r="F116" s="237">
        <v>132153</v>
      </c>
      <c r="G116" s="112">
        <f t="shared" si="9"/>
        <v>486.38000000000466</v>
      </c>
      <c r="H116" s="99">
        <f>G116+'24'!H116</f>
        <v>9292.8000000000029</v>
      </c>
      <c r="I116" s="165"/>
      <c r="J116" s="328">
        <f>H116/DAY(B2)</f>
        <v>371.7120000000001</v>
      </c>
      <c r="Q116" s="894"/>
      <c r="R116" s="896"/>
    </row>
    <row r="117" spans="1:18" ht="29.25" customHeight="1">
      <c r="A117" s="912" t="s">
        <v>184</v>
      </c>
      <c r="B117" s="913"/>
      <c r="C117" s="914"/>
      <c r="D117" s="146" t="s">
        <v>183</v>
      </c>
      <c r="E117" s="95">
        <f>'24'!F117</f>
        <v>80469</v>
      </c>
      <c r="F117" s="237">
        <v>80767.8</v>
      </c>
      <c r="G117" s="112">
        <f t="shared" si="9"/>
        <v>298.80000000000291</v>
      </c>
      <c r="H117" s="99">
        <f>G117+'24'!H117</f>
        <v>6786.6000000000058</v>
      </c>
      <c r="I117" s="165"/>
      <c r="J117" s="328">
        <f>H117/DAY(B2)</f>
        <v>271.46400000000023</v>
      </c>
      <c r="Q117" s="894"/>
      <c r="R117" s="896"/>
    </row>
    <row r="118" spans="1:18" ht="25.5">
      <c r="A118" s="889" t="s">
        <v>97</v>
      </c>
      <c r="B118" s="889"/>
      <c r="C118" s="889"/>
      <c r="D118" s="151" t="s">
        <v>183</v>
      </c>
      <c r="E118" s="95">
        <f>'24'!F118</f>
        <v>153955</v>
      </c>
      <c r="F118" s="237">
        <v>154505</v>
      </c>
      <c r="G118" s="112">
        <f t="shared" si="9"/>
        <v>550</v>
      </c>
      <c r="H118" s="99">
        <f>G118+'24'!H118</f>
        <v>15692.549999999988</v>
      </c>
      <c r="I118" s="165"/>
      <c r="J118" s="328">
        <f>H118/DAY(B2)</f>
        <v>627.70199999999954</v>
      </c>
      <c r="Q118" s="894"/>
      <c r="R118" s="896"/>
    </row>
    <row r="119" spans="1:18" ht="25.5">
      <c r="A119" s="889" t="s">
        <v>98</v>
      </c>
      <c r="B119" s="889"/>
      <c r="C119" s="889"/>
      <c r="D119" s="151" t="s">
        <v>183</v>
      </c>
      <c r="E119" s="95">
        <f>'24'!F119</f>
        <v>43703</v>
      </c>
      <c r="F119" s="237">
        <v>43731</v>
      </c>
      <c r="G119" s="112">
        <f t="shared" si="9"/>
        <v>28</v>
      </c>
      <c r="H119" s="99">
        <f>G119+'24'!H119</f>
        <v>377.30000000000291</v>
      </c>
      <c r="I119" s="165"/>
      <c r="J119" s="328">
        <f>H119/DAY(B2)</f>
        <v>15.092000000000116</v>
      </c>
    </row>
    <row r="120" spans="1:18" ht="25.5">
      <c r="A120" s="889" t="s">
        <v>99</v>
      </c>
      <c r="B120" s="889"/>
      <c r="C120" s="889"/>
      <c r="D120" s="151" t="s">
        <v>183</v>
      </c>
      <c r="E120" s="95">
        <f>'24'!F120</f>
        <v>105607</v>
      </c>
      <c r="F120" s="237">
        <v>106005</v>
      </c>
      <c r="G120" s="112">
        <f t="shared" si="9"/>
        <v>398</v>
      </c>
      <c r="H120" s="99">
        <f>G120+'24'!H120</f>
        <v>10297.399999999994</v>
      </c>
      <c r="I120" s="165"/>
      <c r="J120" s="328">
        <f>H120/DAY(B2)</f>
        <v>411.89599999999979</v>
      </c>
    </row>
    <row r="121" spans="1:18" ht="25.5">
      <c r="A121" s="889" t="s">
        <v>100</v>
      </c>
      <c r="B121" s="889"/>
      <c r="C121" s="889"/>
      <c r="D121" s="151" t="s">
        <v>183</v>
      </c>
      <c r="E121" s="95">
        <f>'24'!F121</f>
        <v>118245</v>
      </c>
      <c r="F121" s="237">
        <v>118663</v>
      </c>
      <c r="G121" s="112">
        <f t="shared" si="9"/>
        <v>418</v>
      </c>
      <c r="H121" s="99">
        <f>G121+'24'!H121</f>
        <v>10833.949999999997</v>
      </c>
      <c r="I121" s="165"/>
      <c r="J121" s="328">
        <f>H121/DAY(B2)</f>
        <v>433.35799999999989</v>
      </c>
    </row>
    <row r="122" spans="1:18" ht="25.5">
      <c r="A122" s="889" t="s">
        <v>101</v>
      </c>
      <c r="B122" s="889"/>
      <c r="C122" s="889"/>
      <c r="D122" s="151" t="s">
        <v>183</v>
      </c>
      <c r="E122" s="95">
        <f>'24'!F122</f>
        <v>79165</v>
      </c>
      <c r="F122" s="237">
        <v>79463</v>
      </c>
      <c r="G122" s="112">
        <f t="shared" si="9"/>
        <v>298</v>
      </c>
      <c r="H122" s="99">
        <f>G122+'24'!H122</f>
        <v>8425.1000000000058</v>
      </c>
      <c r="I122" s="165"/>
      <c r="J122" s="328">
        <f>H122/DAY(B2)</f>
        <v>337.00400000000025</v>
      </c>
    </row>
    <row r="123" spans="1:18" ht="25.5">
      <c r="A123" s="889" t="s">
        <v>102</v>
      </c>
      <c r="B123" s="889"/>
      <c r="C123" s="889"/>
      <c r="D123" s="151" t="s">
        <v>183</v>
      </c>
      <c r="E123" s="95">
        <f>'24'!F123</f>
        <v>75843</v>
      </c>
      <c r="F123" s="237">
        <v>76161</v>
      </c>
      <c r="G123" s="112">
        <f t="shared" si="9"/>
        <v>318</v>
      </c>
      <c r="H123" s="99">
        <f>G123+'24'!H123</f>
        <v>7803.6999999999971</v>
      </c>
      <c r="I123" s="165"/>
      <c r="J123" s="328">
        <f>H123/DAY(B2)</f>
        <v>312.14799999999991</v>
      </c>
    </row>
    <row r="124" spans="1:18" ht="29.25" customHeight="1">
      <c r="A124" s="919"/>
      <c r="B124" s="920"/>
      <c r="C124" s="921"/>
      <c r="D124" s="165"/>
      <c r="E124" s="165"/>
      <c r="F124" s="165"/>
      <c r="G124" s="327"/>
      <c r="H124" s="156"/>
      <c r="I124" s="165"/>
      <c r="J124" s="327"/>
    </row>
    <row r="125" spans="1:18" ht="25.5">
      <c r="A125" s="853" t="s">
        <v>196</v>
      </c>
      <c r="B125" s="854"/>
      <c r="C125" s="245"/>
      <c r="D125" s="307"/>
      <c r="E125" s="308"/>
      <c r="F125" s="308"/>
      <c r="G125" s="309">
        <f>SUM(G112:G124)</f>
        <v>3320.9800000000068</v>
      </c>
      <c r="H125" s="156"/>
      <c r="I125" s="327">
        <f>G125-(G39+G53)</f>
        <v>651.00000000002547</v>
      </c>
      <c r="J125" s="327"/>
    </row>
    <row r="126" spans="1:18" ht="25.5">
      <c r="A126" s="922" t="s">
        <v>317</v>
      </c>
      <c r="B126" s="922"/>
      <c r="C126" s="922"/>
      <c r="D126" s="922"/>
      <c r="E126" s="922"/>
      <c r="F126" s="922"/>
      <c r="G126" s="922"/>
      <c r="H126" s="922"/>
      <c r="I126" s="922"/>
      <c r="J126" s="922"/>
    </row>
    <row r="127" spans="1:18" ht="25.5">
      <c r="A127" s="923"/>
      <c r="B127" s="923"/>
      <c r="C127" s="245"/>
      <c r="D127" s="307"/>
      <c r="E127" s="308"/>
      <c r="F127" s="308"/>
      <c r="G127" s="309"/>
      <c r="H127" s="99">
        <f>G127+'24'!H127</f>
        <v>0</v>
      </c>
      <c r="I127" s="165"/>
      <c r="J127" s="328">
        <f>H127/DAY(B2)</f>
        <v>0</v>
      </c>
    </row>
    <row r="128" spans="1:18" ht="29.25" customHeight="1">
      <c r="A128" s="894" t="s">
        <v>318</v>
      </c>
      <c r="B128" s="895"/>
      <c r="C128" s="896"/>
      <c r="D128" s="151" t="s">
        <v>183</v>
      </c>
      <c r="E128" s="95">
        <f>'24'!F128</f>
        <v>188876</v>
      </c>
      <c r="F128" s="155">
        <v>189317.9</v>
      </c>
      <c r="G128" s="112">
        <f t="shared" ref="G128:G134" si="10">F128-E128</f>
        <v>441.89999999999418</v>
      </c>
      <c r="H128" s="99">
        <f>G128+'24'!H128</f>
        <v>9906.0499999999884</v>
      </c>
      <c r="I128" s="165"/>
      <c r="J128" s="328">
        <f>H128/DAY(B2)</f>
        <v>396.24199999999951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'24'!F129</f>
        <v>100184</v>
      </c>
      <c r="F129" s="155">
        <v>100345</v>
      </c>
      <c r="G129" s="112">
        <f t="shared" si="10"/>
        <v>161</v>
      </c>
      <c r="H129" s="99">
        <f>G129+'24'!H129</f>
        <v>4315.5</v>
      </c>
      <c r="I129" s="165"/>
      <c r="J129" s="328">
        <f>H129/DAY(B2)</f>
        <v>172.62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'24'!F130</f>
        <v>263334</v>
      </c>
      <c r="F130" s="155">
        <v>264024</v>
      </c>
      <c r="G130" s="112">
        <f t="shared" si="10"/>
        <v>690</v>
      </c>
      <c r="H130" s="99">
        <f>G130+'24'!H130</f>
        <v>17184.25</v>
      </c>
      <c r="I130" s="165"/>
      <c r="J130" s="328">
        <f>H130/DAY(B2)</f>
        <v>687.37</v>
      </c>
      <c r="N130" s="240"/>
      <c r="O130" s="241"/>
    </row>
    <row r="131" spans="1:15" ht="25.5">
      <c r="A131" s="894" t="s">
        <v>321</v>
      </c>
      <c r="B131" s="895"/>
      <c r="C131" s="896"/>
      <c r="D131" s="151" t="s">
        <v>183</v>
      </c>
      <c r="E131" s="95">
        <f>'24'!F131</f>
        <v>78703</v>
      </c>
      <c r="F131" s="155">
        <v>78808</v>
      </c>
      <c r="G131" s="112">
        <f t="shared" si="10"/>
        <v>105</v>
      </c>
      <c r="H131" s="99">
        <f>G131+'24'!H131</f>
        <v>5297.3999999999942</v>
      </c>
      <c r="I131" s="165"/>
      <c r="J131" s="328">
        <f>H131/DAY(B2)</f>
        <v>211.89599999999976</v>
      </c>
      <c r="N131" s="240"/>
      <c r="O131" s="241"/>
    </row>
    <row r="132" spans="1:15" ht="25.5">
      <c r="A132" s="894" t="s">
        <v>322</v>
      </c>
      <c r="B132" s="895"/>
      <c r="C132" s="896"/>
      <c r="D132" s="151" t="s">
        <v>183</v>
      </c>
      <c r="E132" s="95">
        <f>'24'!F132</f>
        <v>148274</v>
      </c>
      <c r="F132" s="155">
        <v>148274</v>
      </c>
      <c r="G132" s="112">
        <f t="shared" si="10"/>
        <v>0</v>
      </c>
      <c r="H132" s="99">
        <f>G132+'24'!H132</f>
        <v>1289</v>
      </c>
      <c r="I132" s="165"/>
      <c r="J132" s="328">
        <f>H132/DAY(B2)</f>
        <v>51.56</v>
      </c>
    </row>
    <row r="133" spans="1:15" ht="25.5">
      <c r="A133" s="894" t="s">
        <v>359</v>
      </c>
      <c r="B133" s="895"/>
      <c r="C133" s="896"/>
      <c r="D133" s="151" t="s">
        <v>183</v>
      </c>
      <c r="E133" s="95">
        <f>'24'!F133</f>
        <v>928061</v>
      </c>
      <c r="F133" s="155">
        <v>928611</v>
      </c>
      <c r="G133" s="112">
        <f t="shared" si="10"/>
        <v>550</v>
      </c>
      <c r="H133" s="99">
        <f>G133+'24'!H133</f>
        <v>18367</v>
      </c>
      <c r="I133" s="165"/>
      <c r="J133" s="328">
        <f>H133/DAY(B2)</f>
        <v>734.68</v>
      </c>
    </row>
    <row r="134" spans="1:15" ht="25.5">
      <c r="A134" s="894" t="s">
        <v>340</v>
      </c>
      <c r="B134" s="895"/>
      <c r="C134" s="896"/>
      <c r="D134" s="151" t="s">
        <v>183</v>
      </c>
      <c r="E134" s="95">
        <f>'24'!F134</f>
        <v>84115</v>
      </c>
      <c r="F134" s="157">
        <v>84379.5</v>
      </c>
      <c r="G134" s="112">
        <f t="shared" si="10"/>
        <v>264.5</v>
      </c>
      <c r="H134" s="99">
        <f>G134+'24'!H134</f>
        <v>5619.8999999999942</v>
      </c>
      <c r="I134" s="165"/>
      <c r="J134" s="328">
        <f>H134/DAY(B2)</f>
        <v>224.79599999999976</v>
      </c>
    </row>
    <row r="135" spans="1:15" ht="25.5">
      <c r="A135" s="853" t="s">
        <v>196</v>
      </c>
      <c r="B135" s="854"/>
      <c r="C135" s="331"/>
      <c r="D135" s="151"/>
      <c r="E135" s="95"/>
      <c r="F135" s="165"/>
      <c r="G135" s="112">
        <f>SUM(G128:G134)</f>
        <v>2212.3999999999942</v>
      </c>
      <c r="H135" s="99">
        <f>G135+'23'!H135</f>
        <v>29238.869999999981</v>
      </c>
      <c r="I135" s="327">
        <f>G135-(G35+G49)</f>
        <v>-733.29000000000815</v>
      </c>
      <c r="J135" s="328"/>
    </row>
    <row r="136" spans="1:15" ht="27.75">
      <c r="A136" s="924" t="s">
        <v>325</v>
      </c>
      <c r="B136" s="924"/>
      <c r="C136" s="924"/>
      <c r="D136" s="924"/>
      <c r="E136" s="924"/>
      <c r="F136" s="924"/>
      <c r="G136" s="924"/>
      <c r="H136" s="924"/>
      <c r="I136" s="924"/>
      <c r="J136" s="92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9" t="s">
        <v>185</v>
      </c>
      <c r="B138" s="889"/>
      <c r="C138" s="889"/>
      <c r="D138" s="151" t="s">
        <v>183</v>
      </c>
      <c r="E138" s="95">
        <f>'24'!F138</f>
        <v>908617</v>
      </c>
      <c r="F138" s="147">
        <v>908777</v>
      </c>
      <c r="G138" s="112">
        <f t="shared" ref="G138:G152" si="11">F138-E138</f>
        <v>160</v>
      </c>
      <c r="H138" s="99">
        <f>G138+'24'!H138</f>
        <v>3150</v>
      </c>
      <c r="I138" s="118"/>
      <c r="J138" s="328">
        <f>H138/DAY(B2)</f>
        <v>126</v>
      </c>
    </row>
    <row r="139" spans="1:15" ht="25.5">
      <c r="A139" s="889" t="s">
        <v>186</v>
      </c>
      <c r="B139" s="889"/>
      <c r="C139" s="889"/>
      <c r="D139" s="151" t="s">
        <v>183</v>
      </c>
      <c r="E139" s="95">
        <f>'24'!F139</f>
        <v>931243</v>
      </c>
      <c r="F139" s="148">
        <v>931387</v>
      </c>
      <c r="G139" s="112">
        <f t="shared" si="11"/>
        <v>144</v>
      </c>
      <c r="H139" s="99">
        <f>G139+'24'!H139</f>
        <v>4106</v>
      </c>
      <c r="I139" s="118"/>
      <c r="J139" s="328">
        <f>H139/DAY(B2)</f>
        <v>164.24</v>
      </c>
    </row>
    <row r="140" spans="1:15" ht="25.5">
      <c r="A140" s="889" t="s">
        <v>187</v>
      </c>
      <c r="B140" s="889"/>
      <c r="C140" s="889"/>
      <c r="D140" s="151" t="s">
        <v>183</v>
      </c>
      <c r="E140" s="95">
        <f>'24'!F140</f>
        <v>3898.71</v>
      </c>
      <c r="F140" s="149">
        <v>3919</v>
      </c>
      <c r="G140" s="112">
        <f t="shared" si="11"/>
        <v>20.289999999999964</v>
      </c>
      <c r="H140" s="99">
        <f>G140+'24'!H140</f>
        <v>587.90000000000009</v>
      </c>
      <c r="I140" s="118"/>
      <c r="J140" s="328">
        <f>H140/DAY(B2)</f>
        <v>23.516000000000005</v>
      </c>
    </row>
    <row r="141" spans="1:15" ht="25.5">
      <c r="A141" s="893" t="s">
        <v>188</v>
      </c>
      <c r="B141" s="893"/>
      <c r="C141" s="893"/>
      <c r="D141" s="151" t="s">
        <v>183</v>
      </c>
      <c r="E141" s="95">
        <f>'24'!F141</f>
        <v>123119</v>
      </c>
      <c r="F141" s="149">
        <v>123338</v>
      </c>
      <c r="G141" s="112">
        <f t="shared" si="11"/>
        <v>219</v>
      </c>
      <c r="H141" s="99">
        <f>G141+'24'!H141</f>
        <v>5780.0200000000041</v>
      </c>
      <c r="I141" s="118"/>
      <c r="J141" s="328">
        <f>H141/DAY(B2)</f>
        <v>231.20080000000016</v>
      </c>
    </row>
    <row r="142" spans="1:15" ht="25.5">
      <c r="A142" s="893" t="s">
        <v>189</v>
      </c>
      <c r="B142" s="893"/>
      <c r="C142" s="893"/>
      <c r="D142" s="151" t="s">
        <v>183</v>
      </c>
      <c r="E142" s="95">
        <f>'24'!F142</f>
        <v>49865</v>
      </c>
      <c r="F142" s="148">
        <v>49965</v>
      </c>
      <c r="G142" s="112">
        <f t="shared" si="11"/>
        <v>100</v>
      </c>
      <c r="H142" s="99">
        <f>G142+'24'!H142</f>
        <v>2460.5</v>
      </c>
      <c r="I142" s="140"/>
      <c r="J142" s="328">
        <f>H142/DAY(B2)</f>
        <v>98.42</v>
      </c>
    </row>
    <row r="143" spans="1:15" ht="25.5">
      <c r="A143" s="889" t="s">
        <v>91</v>
      </c>
      <c r="B143" s="889"/>
      <c r="C143" s="889"/>
      <c r="D143" s="151" t="s">
        <v>183</v>
      </c>
      <c r="E143" s="95">
        <f>'24'!F143</f>
        <v>13159</v>
      </c>
      <c r="F143" s="149">
        <v>13191</v>
      </c>
      <c r="G143" s="112">
        <f t="shared" si="11"/>
        <v>32</v>
      </c>
      <c r="H143" s="99">
        <f>G143+'24'!H143</f>
        <v>775.60000000000036</v>
      </c>
      <c r="I143" s="140"/>
      <c r="J143" s="328">
        <f>H143/DAY(B2)</f>
        <v>31.024000000000015</v>
      </c>
    </row>
    <row r="144" spans="1:15" ht="25.5">
      <c r="A144" s="893" t="s">
        <v>90</v>
      </c>
      <c r="B144" s="893"/>
      <c r="C144" s="893"/>
      <c r="D144" s="151" t="s">
        <v>183</v>
      </c>
      <c r="E144" s="95">
        <f>'24'!F144</f>
        <v>953773</v>
      </c>
      <c r="F144" s="149">
        <v>953991</v>
      </c>
      <c r="G144" s="112">
        <f t="shared" si="11"/>
        <v>218</v>
      </c>
      <c r="H144" s="99">
        <f>G144+'24'!H144</f>
        <v>5793</v>
      </c>
      <c r="I144" s="140"/>
      <c r="J144" s="328">
        <f>H144/DAY(B2)</f>
        <v>231.72</v>
      </c>
    </row>
    <row r="145" spans="1:10" ht="25.5">
      <c r="A145" s="889" t="s">
        <v>190</v>
      </c>
      <c r="B145" s="889"/>
      <c r="C145" s="889"/>
      <c r="D145" s="152" t="s">
        <v>183</v>
      </c>
      <c r="E145" s="95">
        <f>'24'!F145</f>
        <v>26190.83</v>
      </c>
      <c r="F145" s="149">
        <v>26325</v>
      </c>
      <c r="G145" s="112">
        <f t="shared" si="11"/>
        <v>134.16999999999825</v>
      </c>
      <c r="H145" s="99">
        <f>G145+'24'!H145</f>
        <v>3728.9000000000015</v>
      </c>
      <c r="I145" s="140"/>
      <c r="J145" s="328">
        <f>H145/DAY(B2)</f>
        <v>149.15600000000006</v>
      </c>
    </row>
    <row r="146" spans="1:10" ht="25.5">
      <c r="A146" s="890" t="s">
        <v>191</v>
      </c>
      <c r="B146" s="891"/>
      <c r="C146" s="892"/>
      <c r="D146" s="152" t="s">
        <v>183</v>
      </c>
      <c r="E146" s="95">
        <f>'24'!F146</f>
        <v>787624</v>
      </c>
      <c r="F146" s="148">
        <v>787645</v>
      </c>
      <c r="G146" s="112">
        <f t="shared" si="11"/>
        <v>21</v>
      </c>
      <c r="H146" s="99">
        <f>G146+'24'!H146</f>
        <v>977</v>
      </c>
      <c r="I146" s="140"/>
      <c r="J146" s="328">
        <f>H146/DAY(B2)</f>
        <v>39.08</v>
      </c>
    </row>
    <row r="147" spans="1:10" ht="25.5">
      <c r="A147" s="893" t="s">
        <v>192</v>
      </c>
      <c r="B147" s="893"/>
      <c r="C147" s="893"/>
      <c r="D147" s="152" t="s">
        <v>183</v>
      </c>
      <c r="E147" s="95">
        <f>'24'!F147</f>
        <v>757428.14</v>
      </c>
      <c r="F147" s="148">
        <v>757807</v>
      </c>
      <c r="G147" s="112">
        <f t="shared" si="11"/>
        <v>378.85999999998603</v>
      </c>
      <c r="H147" s="99">
        <f>G147+'24'!H147</f>
        <v>10252.839999999967</v>
      </c>
      <c r="I147" s="140"/>
      <c r="J147" s="328">
        <f>H147/DAY(B2)</f>
        <v>410.11359999999871</v>
      </c>
    </row>
    <row r="148" spans="1:10" ht="25.5">
      <c r="A148" s="886" t="s">
        <v>193</v>
      </c>
      <c r="B148" s="887"/>
      <c r="C148" s="888"/>
      <c r="D148" s="123" t="s">
        <v>130</v>
      </c>
      <c r="E148" s="95">
        <f>'24'!F148</f>
        <v>793908</v>
      </c>
      <c r="F148" s="164">
        <v>794276</v>
      </c>
      <c r="G148" s="112">
        <f t="shared" si="11"/>
        <v>368</v>
      </c>
      <c r="H148" s="99">
        <f>G148+'24'!H148</f>
        <v>9631</v>
      </c>
      <c r="I148" s="124"/>
      <c r="J148" s="328">
        <f>H148/DAY(B2)</f>
        <v>385.24</v>
      </c>
    </row>
    <row r="149" spans="1:10" ht="25.5">
      <c r="A149" s="886" t="s">
        <v>336</v>
      </c>
      <c r="B149" s="887"/>
      <c r="C149" s="888"/>
      <c r="D149" s="227" t="s">
        <v>130</v>
      </c>
      <c r="E149" s="95">
        <f>'24'!F149</f>
        <v>197090</v>
      </c>
      <c r="F149" s="146">
        <v>197621</v>
      </c>
      <c r="G149" s="112">
        <f t="shared" si="11"/>
        <v>531</v>
      </c>
      <c r="H149" s="99">
        <f>G149+'24'!H149</f>
        <v>12324.109999999986</v>
      </c>
      <c r="I149" s="119"/>
      <c r="J149" s="328">
        <f>H149/DAY(B2)</f>
        <v>492.96439999999944</v>
      </c>
    </row>
    <row r="150" spans="1:10" ht="25.5">
      <c r="A150" s="886" t="s">
        <v>337</v>
      </c>
      <c r="B150" s="887"/>
      <c r="C150" s="888"/>
      <c r="D150" s="117" t="s">
        <v>130</v>
      </c>
      <c r="E150" s="95">
        <f>'24'!F150</f>
        <v>83249</v>
      </c>
      <c r="F150" s="233">
        <v>83498</v>
      </c>
      <c r="G150" s="112">
        <f t="shared" si="11"/>
        <v>249</v>
      </c>
      <c r="H150" s="99">
        <f>G150+'24'!H150</f>
        <v>6609.6999999999971</v>
      </c>
      <c r="I150" s="119"/>
      <c r="J150" s="328">
        <f>H150/DAY(B2)</f>
        <v>264.38799999999986</v>
      </c>
    </row>
    <row r="151" spans="1:10" ht="25.5">
      <c r="A151" s="886" t="s">
        <v>338</v>
      </c>
      <c r="B151" s="887"/>
      <c r="C151" s="888"/>
      <c r="D151" s="117" t="s">
        <v>130</v>
      </c>
      <c r="E151" s="95">
        <f>'24'!F151</f>
        <v>164692</v>
      </c>
      <c r="F151" s="233">
        <v>164945</v>
      </c>
      <c r="G151" s="112">
        <f t="shared" si="11"/>
        <v>253</v>
      </c>
      <c r="H151" s="99">
        <f>G151+'24'!H151</f>
        <v>6635</v>
      </c>
      <c r="I151" s="119"/>
      <c r="J151" s="328">
        <f>H151/DAY(B2)</f>
        <v>265.39999999999998</v>
      </c>
    </row>
    <row r="152" spans="1:10" ht="25.5">
      <c r="A152" s="886" t="s">
        <v>339</v>
      </c>
      <c r="B152" s="887"/>
      <c r="C152" s="888"/>
      <c r="D152" s="117" t="s">
        <v>130</v>
      </c>
      <c r="E152" s="95">
        <f>'24'!F152</f>
        <v>41618</v>
      </c>
      <c r="F152" s="233">
        <v>41746</v>
      </c>
      <c r="G152" s="112">
        <f t="shared" si="11"/>
        <v>128</v>
      </c>
      <c r="H152" s="99">
        <f>G152+'24'!H152</f>
        <v>3130.0999999999985</v>
      </c>
      <c r="I152" s="119"/>
      <c r="J152" s="328">
        <f>H152/DAY(B2)</f>
        <v>125.20399999999994</v>
      </c>
    </row>
    <row r="153" spans="1:10" ht="25.5">
      <c r="A153" s="853" t="s">
        <v>196</v>
      </c>
      <c r="B153" s="854"/>
      <c r="C153" s="365"/>
      <c r="D153" s="358"/>
      <c r="E153" s="360"/>
      <c r="F153" s="361"/>
      <c r="G153" s="362">
        <f>SUM(G138:G152)</f>
        <v>2956.3199999999842</v>
      </c>
      <c r="H153" s="363"/>
      <c r="I153" s="119">
        <f>G153-(G38+G52)</f>
        <v>380.66999999996096</v>
      </c>
      <c r="J153" s="366"/>
    </row>
    <row r="154" spans="1:10" ht="27.75">
      <c r="A154" s="924" t="s">
        <v>344</v>
      </c>
      <c r="B154" s="924"/>
      <c r="C154" s="924"/>
      <c r="D154" s="924"/>
      <c r="E154" s="924"/>
      <c r="F154" s="924"/>
      <c r="G154" s="924"/>
      <c r="H154" s="924"/>
      <c r="I154" s="924"/>
      <c r="J154" s="924"/>
    </row>
    <row r="155" spans="1:10" ht="27.75">
      <c r="A155" s="893" t="s">
        <v>345</v>
      </c>
      <c r="B155" s="893"/>
      <c r="C155" s="893"/>
      <c r="D155" s="117" t="s">
        <v>130</v>
      </c>
      <c r="E155" s="95">
        <f>'24'!F155</f>
        <v>234909</v>
      </c>
      <c r="F155" s="374">
        <v>235529</v>
      </c>
      <c r="G155" s="112">
        <f t="shared" ref="G155:G158" si="12">F155-E155</f>
        <v>620</v>
      </c>
      <c r="H155" s="99">
        <f>G155+'24'!H155</f>
        <v>15541.299999999988</v>
      </c>
      <c r="I155" s="364"/>
      <c r="J155" s="328">
        <f>H155/DAY(B2)</f>
        <v>621.65199999999959</v>
      </c>
    </row>
    <row r="156" spans="1:10" ht="25.5">
      <c r="A156" s="893" t="s">
        <v>347</v>
      </c>
      <c r="B156" s="893"/>
      <c r="C156" s="893"/>
      <c r="D156" s="117" t="s">
        <v>130</v>
      </c>
      <c r="E156" s="95">
        <f>'24'!F156</f>
        <v>28821.200000000001</v>
      </c>
      <c r="F156" s="155">
        <v>28930</v>
      </c>
      <c r="G156" s="112">
        <f t="shared" si="12"/>
        <v>108.79999999999927</v>
      </c>
      <c r="H156" s="99">
        <f>G156+'24'!H156</f>
        <v>2399.7999999999993</v>
      </c>
      <c r="I156" s="165"/>
      <c r="J156" s="328">
        <f>H156/DAY(B2)</f>
        <v>95.991999999999976</v>
      </c>
    </row>
    <row r="157" spans="1:10" ht="25.5">
      <c r="A157" s="886" t="s">
        <v>360</v>
      </c>
      <c r="B157" s="887"/>
      <c r="C157" s="888"/>
      <c r="D157" s="117" t="s">
        <v>130</v>
      </c>
      <c r="E157" s="95">
        <f>'24'!F157</f>
        <v>37559</v>
      </c>
      <c r="F157" s="155">
        <v>37559</v>
      </c>
      <c r="G157" s="112">
        <f t="shared" si="12"/>
        <v>0</v>
      </c>
      <c r="H157" s="99">
        <f>G157+'24'!H157</f>
        <v>0</v>
      </c>
      <c r="I157" s="165"/>
      <c r="J157" s="328"/>
    </row>
    <row r="158" spans="1:10" ht="25.5">
      <c r="A158" s="886" t="s">
        <v>361</v>
      </c>
      <c r="B158" s="887"/>
      <c r="C158" s="888"/>
      <c r="D158" s="117" t="s">
        <v>130</v>
      </c>
      <c r="E158" s="95">
        <f>'24'!F158</f>
        <v>1751</v>
      </c>
      <c r="F158" s="155">
        <v>1752</v>
      </c>
      <c r="G158" s="112">
        <f t="shared" si="12"/>
        <v>1</v>
      </c>
      <c r="H158" s="99">
        <f>G158+'24'!H158</f>
        <v>8.8800000000001091</v>
      </c>
      <c r="I158" s="165"/>
      <c r="J158" s="328"/>
    </row>
    <row r="159" spans="1:10" ht="25.5">
      <c r="A159" s="942"/>
      <c r="B159" s="943"/>
      <c r="C159" s="944"/>
      <c r="D159" s="117"/>
      <c r="E159" s="95"/>
      <c r="F159" s="165"/>
      <c r="G159" s="112"/>
      <c r="H159" s="99"/>
      <c r="I159" s="165"/>
      <c r="J159" s="328"/>
    </row>
    <row r="160" spans="1:10" ht="27.75">
      <c r="A160" s="924" t="s">
        <v>326</v>
      </c>
      <c r="B160" s="924"/>
      <c r="C160" s="924"/>
      <c r="D160" s="924"/>
      <c r="E160" s="924"/>
      <c r="F160" s="924"/>
      <c r="G160" s="924"/>
      <c r="H160" s="924"/>
      <c r="I160" s="924"/>
      <c r="J160" s="924"/>
    </row>
    <row r="161" spans="1:10" ht="26.25">
      <c r="A161" s="242" t="s">
        <v>92</v>
      </c>
      <c r="B161" s="243"/>
      <c r="C161" s="243"/>
      <c r="D161" s="244" t="s">
        <v>180</v>
      </c>
      <c r="E161" s="95">
        <f>'24'!F161</f>
        <v>507382</v>
      </c>
      <c r="F161" s="235">
        <v>507449</v>
      </c>
      <c r="G161" s="238">
        <f t="shared" ref="G161:G165" si="13">F161-E161</f>
        <v>67</v>
      </c>
      <c r="H161" s="99">
        <f>G161+'24'!H161</f>
        <v>4077.8400000000256</v>
      </c>
      <c r="I161" s="236"/>
      <c r="J161" s="239">
        <f>H161/DAY(B2)</f>
        <v>163.11360000000101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'24'!F162</f>
        <v>575</v>
      </c>
      <c r="F162" s="235">
        <v>595</v>
      </c>
      <c r="G162" s="238">
        <f t="shared" si="13"/>
        <v>20</v>
      </c>
      <c r="H162" s="99">
        <f>G162+'24'!H162</f>
        <v>975.19999999999413</v>
      </c>
      <c r="I162" s="236"/>
      <c r="J162" s="239">
        <f>H162/DAY(B2)</f>
        <v>39.007999999999768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'24'!F163</f>
        <v>0</v>
      </c>
      <c r="F163" s="235">
        <v>0</v>
      </c>
      <c r="G163" s="238">
        <f t="shared" si="13"/>
        <v>0</v>
      </c>
      <c r="H163" s="99">
        <f>G163+'24'!H163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'24'!F164</f>
        <v>7164</v>
      </c>
      <c r="F164" s="235">
        <v>7168</v>
      </c>
      <c r="G164" s="238">
        <f t="shared" si="13"/>
        <v>4</v>
      </c>
      <c r="H164" s="99">
        <f>G164+'24'!H164</f>
        <v>177.80000000000018</v>
      </c>
      <c r="I164" s="236"/>
      <c r="J164" s="239">
        <f>H164/DAY(B2)</f>
        <v>7.1120000000000072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'24'!F165</f>
        <v>32739</v>
      </c>
      <c r="F165" s="235">
        <v>32741</v>
      </c>
      <c r="G165" s="238">
        <f t="shared" si="13"/>
        <v>2</v>
      </c>
      <c r="H165" s="99">
        <f>G165+'24'!H165</f>
        <v>166.90000000000146</v>
      </c>
      <c r="I165" s="236"/>
      <c r="J165" s="239">
        <f>H165/DAY(B2)</f>
        <v>6.6760000000000579</v>
      </c>
    </row>
    <row r="166" spans="1:10" ht="26.25">
      <c r="A166" s="923"/>
      <c r="B166" s="923"/>
      <c r="C166" s="246"/>
      <c r="D166" s="244" t="s">
        <v>180</v>
      </c>
      <c r="E166" s="95">
        <f>'24'!F166</f>
        <v>0</v>
      </c>
      <c r="F166" s="165"/>
      <c r="G166" s="165"/>
      <c r="H166" s="99">
        <f>G166+'24'!H166</f>
        <v>0</v>
      </c>
      <c r="I166" s="165"/>
      <c r="J166" s="239">
        <f>H166/DAY(B2)</f>
        <v>0</v>
      </c>
    </row>
    <row r="167" spans="1:10" ht="26.25">
      <c r="A167" s="923"/>
      <c r="B167" s="923"/>
      <c r="C167" s="246"/>
      <c r="D167" s="244" t="s">
        <v>180</v>
      </c>
      <c r="E167" s="95">
        <f>'24'!F167</f>
        <v>0</v>
      </c>
      <c r="F167" s="165"/>
      <c r="G167" s="165"/>
      <c r="H167" s="99">
        <f>G167+'24'!H167</f>
        <v>0</v>
      </c>
      <c r="I167" s="165"/>
      <c r="J167" s="239">
        <f>H167/DAY(B2)</f>
        <v>0</v>
      </c>
    </row>
    <row r="168" spans="1:10" ht="26.25">
      <c r="A168" s="923"/>
      <c r="B168" s="923"/>
      <c r="C168" s="246"/>
      <c r="D168" s="244" t="s">
        <v>180</v>
      </c>
      <c r="E168" s="95">
        <f>'24'!F168</f>
        <v>0</v>
      </c>
      <c r="F168" s="165"/>
      <c r="G168" s="165"/>
      <c r="H168" s="99">
        <f>G168+'24'!H168</f>
        <v>0</v>
      </c>
      <c r="I168" s="165"/>
      <c r="J168" s="239">
        <f>H168/DAY(B2)</f>
        <v>0</v>
      </c>
    </row>
    <row r="169" spans="1:10" ht="26.25">
      <c r="A169" s="245"/>
      <c r="B169" s="246"/>
      <c r="C169" s="246"/>
      <c r="D169" s="165"/>
      <c r="E169" s="165"/>
      <c r="F169" s="165"/>
      <c r="G169" s="165"/>
      <c r="H169" s="156"/>
      <c r="I169" s="165"/>
      <c r="J169" s="327"/>
    </row>
    <row r="170" spans="1:10" ht="21.75" customHeight="1">
      <c r="A170" s="245"/>
      <c r="B170" s="246"/>
      <c r="C170" s="246"/>
      <c r="D170" s="165"/>
      <c r="E170" s="165"/>
      <c r="F170" s="165"/>
      <c r="G170" s="165"/>
      <c r="H170" s="156"/>
      <c r="I170" s="165"/>
      <c r="J170" s="327"/>
    </row>
    <row r="171" spans="1:10" ht="21.75" customHeight="1">
      <c r="A171" s="933" t="s">
        <v>330</v>
      </c>
      <c r="B171" s="934"/>
      <c r="C171" s="934"/>
      <c r="D171" s="934"/>
      <c r="E171" s="934"/>
      <c r="F171" s="934"/>
      <c r="G171" s="934"/>
      <c r="H171" s="934"/>
      <c r="I171" s="934"/>
      <c r="J171" s="935"/>
    </row>
    <row r="172" spans="1:10" ht="21.75" customHeight="1">
      <c r="A172" s="929"/>
      <c r="B172" s="930"/>
      <c r="C172" s="332"/>
      <c r="D172" s="228"/>
      <c r="E172" s="155"/>
      <c r="F172" s="155"/>
      <c r="G172" s="155"/>
      <c r="H172" s="156"/>
      <c r="I172" s="155"/>
      <c r="J172" s="178"/>
    </row>
    <row r="173" spans="1:10" ht="24.75" customHeight="1">
      <c r="A173" s="841" t="s">
        <v>209</v>
      </c>
      <c r="B173" s="843"/>
      <c r="C173" s="333"/>
      <c r="D173" s="228" t="s">
        <v>142</v>
      </c>
      <c r="E173" s="95">
        <f>'24'!F173</f>
        <v>8612</v>
      </c>
      <c r="F173" s="155">
        <v>8612</v>
      </c>
      <c r="G173" s="155">
        <f>F173-E173</f>
        <v>0</v>
      </c>
      <c r="H173" s="99">
        <f>G173+'24'!H173</f>
        <v>28</v>
      </c>
      <c r="I173" s="155"/>
      <c r="J173" s="178">
        <f>H173/DAY(B2)</f>
        <v>1.1200000000000001</v>
      </c>
    </row>
    <row r="174" spans="1:10" ht="27.75" customHeight="1">
      <c r="A174" s="841" t="s">
        <v>75</v>
      </c>
      <c r="B174" s="843"/>
      <c r="C174" s="333"/>
      <c r="D174" s="228" t="s">
        <v>142</v>
      </c>
      <c r="E174" s="95">
        <f>'24'!F174</f>
        <v>42953</v>
      </c>
      <c r="F174" s="157">
        <v>42968</v>
      </c>
      <c r="G174" s="155">
        <f t="shared" ref="G174:G175" si="14">F174-E174</f>
        <v>15</v>
      </c>
      <c r="H174" s="99">
        <f>G174+'24'!H174</f>
        <v>299</v>
      </c>
      <c r="I174" s="155"/>
      <c r="J174" s="178">
        <f>H174/DAY(B2)</f>
        <v>11.96</v>
      </c>
    </row>
    <row r="175" spans="1:10" ht="21.75" customHeight="1">
      <c r="A175" s="841" t="s">
        <v>76</v>
      </c>
      <c r="B175" s="842"/>
      <c r="C175" s="843"/>
      <c r="D175" s="228" t="s">
        <v>142</v>
      </c>
      <c r="E175" s="95">
        <f>'24'!F175</f>
        <v>25706</v>
      </c>
      <c r="F175" s="155">
        <v>25720</v>
      </c>
      <c r="G175" s="155">
        <f t="shared" si="14"/>
        <v>14</v>
      </c>
      <c r="H175" s="99">
        <f>G175+'24'!H175</f>
        <v>327</v>
      </c>
      <c r="I175" s="155"/>
      <c r="J175" s="178">
        <f>H175/DAY(B2)</f>
        <v>13.08</v>
      </c>
    </row>
    <row r="176" spans="1:10" ht="23.25" customHeight="1">
      <c r="A176" s="853" t="s">
        <v>196</v>
      </c>
      <c r="B176" s="854"/>
      <c r="C176" s="400"/>
      <c r="D176" s="228" t="s">
        <v>142</v>
      </c>
      <c r="E176" s="95"/>
      <c r="F176" s="155"/>
      <c r="G176" s="155">
        <f>SUM(G173:G175)</f>
        <v>29</v>
      </c>
      <c r="H176" s="99">
        <f>G176+'24'!H176</f>
        <v>654</v>
      </c>
      <c r="I176" s="155"/>
      <c r="J176" s="178">
        <f>H176/DAY(B2)</f>
        <v>26.16</v>
      </c>
    </row>
    <row r="177" spans="1:10" ht="21.75" customHeight="1">
      <c r="A177" s="841" t="s">
        <v>77</v>
      </c>
      <c r="B177" s="843"/>
      <c r="C177" s="333"/>
      <c r="D177" s="228" t="s">
        <v>142</v>
      </c>
      <c r="E177" s="95"/>
      <c r="F177" s="155"/>
      <c r="G177" s="155"/>
      <c r="H177" s="99">
        <f>G177+'24'!H177</f>
        <v>0</v>
      </c>
      <c r="I177" s="155"/>
      <c r="J177" s="178">
        <f>H177/DAY(B2)</f>
        <v>0</v>
      </c>
    </row>
    <row r="178" spans="1:10" ht="25.5">
      <c r="A178" s="841" t="s">
        <v>210</v>
      </c>
      <c r="B178" s="843"/>
      <c r="C178" s="333"/>
      <c r="D178" s="228" t="s">
        <v>142</v>
      </c>
      <c r="E178" s="95">
        <f>'24'!F178</f>
        <v>106182</v>
      </c>
      <c r="F178" s="155">
        <v>106284</v>
      </c>
      <c r="G178" s="155">
        <f>F178-E178</f>
        <v>102</v>
      </c>
      <c r="H178" s="99">
        <f>G178+'24'!H178</f>
        <v>2641</v>
      </c>
      <c r="I178" s="155"/>
      <c r="J178" s="178">
        <f>H178/DAY(B2)</f>
        <v>105.64</v>
      </c>
    </row>
    <row r="179" spans="1:10" ht="24" customHeight="1">
      <c r="A179" s="841" t="s">
        <v>211</v>
      </c>
      <c r="B179" s="843"/>
      <c r="C179" s="333"/>
      <c r="D179" s="228" t="s">
        <v>142</v>
      </c>
      <c r="E179" s="95">
        <f>'24'!F179</f>
        <v>37501</v>
      </c>
      <c r="F179" s="155">
        <v>37501</v>
      </c>
      <c r="G179" s="155">
        <f t="shared" ref="G179:G180" si="15">F179-E179</f>
        <v>0</v>
      </c>
      <c r="H179" s="99">
        <f>G179+'24'!H179</f>
        <v>0</v>
      </c>
      <c r="I179" s="155"/>
      <c r="J179" s="178">
        <f>H179/DAY(B2)</f>
        <v>0</v>
      </c>
    </row>
    <row r="180" spans="1:10" ht="25.5">
      <c r="A180" s="841" t="s">
        <v>212</v>
      </c>
      <c r="B180" s="843"/>
      <c r="C180" s="333"/>
      <c r="D180" s="228" t="s">
        <v>142</v>
      </c>
      <c r="E180" s="95">
        <f>'24'!F180</f>
        <v>7520</v>
      </c>
      <c r="F180" s="155">
        <v>7529</v>
      </c>
      <c r="G180" s="155">
        <f t="shared" si="15"/>
        <v>9</v>
      </c>
      <c r="H180" s="99">
        <f>G180+'24'!H180</f>
        <v>109</v>
      </c>
      <c r="I180" s="155"/>
      <c r="J180" s="178">
        <f>H180/DAY(B2)</f>
        <v>4.3600000000000003</v>
      </c>
    </row>
    <row r="181" spans="1:10" ht="25.5">
      <c r="A181" s="927" t="s">
        <v>108</v>
      </c>
      <c r="B181" s="928"/>
      <c r="C181" s="400"/>
      <c r="D181" s="228" t="s">
        <v>142</v>
      </c>
      <c r="E181" s="95"/>
      <c r="F181" s="155"/>
      <c r="G181" s="155">
        <f>SUM(G178:G180)</f>
        <v>111</v>
      </c>
      <c r="H181" s="99">
        <f>G181+'24'!H181</f>
        <v>2750</v>
      </c>
      <c r="I181" s="155"/>
      <c r="J181" s="178">
        <f>H181/DAY(B2)</f>
        <v>110</v>
      </c>
    </row>
    <row r="182" spans="1:10" ht="25.5">
      <c r="A182" s="841" t="s">
        <v>213</v>
      </c>
      <c r="B182" s="843"/>
      <c r="C182" s="333"/>
      <c r="D182" s="228" t="s">
        <v>142</v>
      </c>
      <c r="E182" s="95"/>
      <c r="F182" s="155"/>
      <c r="G182" s="155"/>
      <c r="H182" s="99">
        <f>G182+'24'!H182</f>
        <v>0</v>
      </c>
      <c r="I182" s="155"/>
      <c r="J182" s="178">
        <f>H182/DAY(B2)</f>
        <v>0</v>
      </c>
    </row>
    <row r="183" spans="1:10" ht="25.5">
      <c r="A183" s="841" t="s">
        <v>214</v>
      </c>
      <c r="B183" s="843"/>
      <c r="C183" s="334"/>
      <c r="D183" s="228" t="s">
        <v>142</v>
      </c>
      <c r="E183" s="95">
        <f>'24'!F183</f>
        <v>18330</v>
      </c>
      <c r="F183" s="157">
        <v>18335</v>
      </c>
      <c r="G183" s="157">
        <f>F183-E183</f>
        <v>5</v>
      </c>
      <c r="H183" s="99">
        <f>G183+'24'!H183</f>
        <v>167</v>
      </c>
      <c r="I183" s="155"/>
      <c r="J183" s="178">
        <f>H183/DAY(B2)</f>
        <v>6.68</v>
      </c>
    </row>
    <row r="184" spans="1:10" ht="30.75" customHeight="1">
      <c r="A184" s="841" t="s">
        <v>215</v>
      </c>
      <c r="B184" s="843"/>
      <c r="C184" s="334"/>
      <c r="D184" s="228" t="s">
        <v>142</v>
      </c>
      <c r="E184" s="95">
        <f>'24'!F184</f>
        <v>12939</v>
      </c>
      <c r="F184" s="157">
        <v>12946</v>
      </c>
      <c r="G184" s="157">
        <f t="shared" ref="G184:G185" si="16">F184-E184</f>
        <v>7</v>
      </c>
      <c r="H184" s="99">
        <f>G184+'24'!H184</f>
        <v>215</v>
      </c>
      <c r="I184" s="155"/>
      <c r="J184" s="178">
        <f>H184/DAY(B2)</f>
        <v>8.6</v>
      </c>
    </row>
    <row r="185" spans="1:10" ht="23.25" customHeight="1">
      <c r="A185" s="841" t="s">
        <v>216</v>
      </c>
      <c r="B185" s="843"/>
      <c r="C185" s="334"/>
      <c r="D185" s="228" t="s">
        <v>142</v>
      </c>
      <c r="E185" s="95">
        <f>'24'!F185</f>
        <v>0</v>
      </c>
      <c r="F185" s="157">
        <v>0</v>
      </c>
      <c r="G185" s="157">
        <f t="shared" si="16"/>
        <v>0</v>
      </c>
      <c r="H185" s="99">
        <f>G185+'24'!H185</f>
        <v>0</v>
      </c>
      <c r="I185" s="155"/>
      <c r="J185" s="178">
        <f>H185/DAY(B2)</f>
        <v>0</v>
      </c>
    </row>
    <row r="186" spans="1:10" ht="25.5">
      <c r="A186" s="853" t="s">
        <v>196</v>
      </c>
      <c r="B186" s="854"/>
      <c r="C186" s="399"/>
      <c r="D186" s="228" t="s">
        <v>142</v>
      </c>
      <c r="E186" s="95"/>
      <c r="F186" s="157">
        <v>0</v>
      </c>
      <c r="G186" s="157">
        <f>SUM(G183:G185)</f>
        <v>12</v>
      </c>
      <c r="H186" s="99">
        <f>G186+'24'!H186</f>
        <v>382</v>
      </c>
      <c r="I186" s="157"/>
      <c r="J186" s="178">
        <f>H186/DAY(B2)</f>
        <v>15.28</v>
      </c>
    </row>
    <row r="187" spans="1:10" ht="25.5">
      <c r="A187" s="931" t="s">
        <v>217</v>
      </c>
      <c r="B187" s="932"/>
      <c r="C187" s="333"/>
      <c r="D187" s="228" t="s">
        <v>142</v>
      </c>
      <c r="E187" s="95">
        <f>'24'!F187</f>
        <v>0</v>
      </c>
      <c r="F187" s="159"/>
      <c r="G187" s="377">
        <f>G62+G19</f>
        <v>216.59999999997672</v>
      </c>
      <c r="H187" s="99">
        <f>G187+'24'!H187</f>
        <v>4343</v>
      </c>
      <c r="I187" s="158"/>
      <c r="J187" s="179">
        <f>H187/DAY(B2)</f>
        <v>173.72</v>
      </c>
    </row>
    <row r="188" spans="1:10" ht="25.5">
      <c r="A188" s="931" t="s">
        <v>218</v>
      </c>
      <c r="B188" s="932"/>
      <c r="C188" s="333"/>
      <c r="D188" s="230" t="s">
        <v>142</v>
      </c>
      <c r="E188" s="95">
        <f>'24'!F188</f>
        <v>0</v>
      </c>
      <c r="F188" s="159"/>
      <c r="G188" s="377">
        <f>G65+G66+G67+G69+G70</f>
        <v>186</v>
      </c>
      <c r="H188" s="99">
        <f>G188+'24'!H188</f>
        <v>2008</v>
      </c>
      <c r="I188" s="158"/>
      <c r="J188" s="179">
        <f>H188/DAY(B2)</f>
        <v>80.319999999999993</v>
      </c>
    </row>
    <row r="189" spans="1:10" ht="25.5">
      <c r="A189" s="931" t="s">
        <v>219</v>
      </c>
      <c r="B189" s="932"/>
      <c r="C189" s="333"/>
      <c r="D189" s="230" t="s">
        <v>142</v>
      </c>
      <c r="E189" s="95">
        <f>'24'!F189</f>
        <v>0</v>
      </c>
      <c r="F189" s="157"/>
      <c r="G189" s="376">
        <f>G181</f>
        <v>111</v>
      </c>
      <c r="H189" s="99">
        <f>G189+'24'!H189</f>
        <v>890</v>
      </c>
      <c r="I189" s="158"/>
      <c r="J189" s="179">
        <f>H189/DAY(B2)</f>
        <v>35.6</v>
      </c>
    </row>
    <row r="190" spans="1:10" ht="25.5">
      <c r="A190" s="925"/>
      <c r="B190" s="926"/>
      <c r="C190" s="398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4:B184"/>
    <mergeCell ref="A181:B181"/>
    <mergeCell ref="A183:B183"/>
    <mergeCell ref="A182:B182"/>
    <mergeCell ref="A185:B185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15:C115"/>
    <mergeCell ref="A116:C116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48:C148"/>
    <mergeCell ref="A143:C143"/>
    <mergeCell ref="A123:C123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42:C142"/>
    <mergeCell ref="A135:B135"/>
    <mergeCell ref="A109:B109"/>
    <mergeCell ref="A94:C94"/>
    <mergeCell ref="A95:C95"/>
    <mergeCell ref="A96:C96"/>
    <mergeCell ref="A81:C81"/>
    <mergeCell ref="A93:C93"/>
    <mergeCell ref="A79:C79"/>
    <mergeCell ref="A80:C80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102:C102"/>
    <mergeCell ref="A73:C73"/>
    <mergeCell ref="A74:C74"/>
    <mergeCell ref="A71:C71"/>
    <mergeCell ref="A72:B72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20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R1701"/>
  <sheetViews>
    <sheetView view="pageBreakPreview" zoomScale="60" workbookViewId="0">
      <selection activeCell="H18" sqref="H18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7" style="160" customWidth="1"/>
    <col min="7" max="7" width="27.33203125" style="450" customWidth="1"/>
    <col min="8" max="8" width="27" style="161" customWidth="1"/>
    <col min="9" max="9" width="21.66406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7.5" customHeight="1">
      <c r="A1" s="867" t="s">
        <v>115</v>
      </c>
      <c r="B1" s="868"/>
      <c r="C1" s="868"/>
      <c r="D1" s="868"/>
      <c r="E1" s="868"/>
      <c r="F1" s="868"/>
      <c r="G1" s="868"/>
      <c r="H1" s="868"/>
      <c r="I1" s="868"/>
      <c r="J1" s="869"/>
    </row>
    <row r="2" spans="1:15" s="57" customFormat="1" ht="23.25">
      <c r="A2" s="191" t="s">
        <v>374</v>
      </c>
      <c r="B2" s="262">
        <v>44921</v>
      </c>
      <c r="C2" s="348" t="s">
        <v>67</v>
      </c>
      <c r="D2" s="218">
        <v>1</v>
      </c>
      <c r="E2" s="100"/>
      <c r="F2" s="100"/>
      <c r="G2" s="427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876" t="s">
        <v>119</v>
      </c>
      <c r="F3" s="877"/>
      <c r="G3" s="428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428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29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0" t="s">
        <v>128</v>
      </c>
      <c r="B6" s="871"/>
      <c r="C6" s="872"/>
      <c r="D6" s="110"/>
      <c r="E6" s="110"/>
      <c r="F6" s="110"/>
      <c r="G6" s="43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'25'!F7</f>
        <v>846595.03</v>
      </c>
      <c r="F7" s="95">
        <v>866790.71</v>
      </c>
      <c r="G7" s="431">
        <f>F7-E7</f>
        <v>20195.679999999935</v>
      </c>
      <c r="H7" s="99">
        <f>G7+'25'!H7</f>
        <v>593108.15999999992</v>
      </c>
      <c r="I7" s="113">
        <f>'1'!I7</f>
        <v>12000</v>
      </c>
      <c r="J7" s="175">
        <f>H7/DAY(B2)</f>
        <v>22811.852307692305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'25'!F8</f>
        <v>27542</v>
      </c>
      <c r="F8" s="114">
        <v>47740</v>
      </c>
      <c r="G8" s="432">
        <f>F8-E8</f>
        <v>20198</v>
      </c>
      <c r="H8" s="99">
        <f>G8+'25'!H8</f>
        <v>596479</v>
      </c>
      <c r="I8" s="116"/>
      <c r="J8" s="175">
        <f>H8/DAY(B2)</f>
        <v>22941.5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'25'!F9</f>
        <v>4320456.3</v>
      </c>
      <c r="F9" s="468">
        <v>4335325</v>
      </c>
      <c r="G9" s="431">
        <f>F9-E9</f>
        <v>14868.700000000186</v>
      </c>
      <c r="H9" s="99">
        <f>G9+'25'!H9</f>
        <v>221154.70000000019</v>
      </c>
      <c r="I9" s="124">
        <f>I7-J7</f>
        <v>-10811.852307692305</v>
      </c>
      <c r="J9" s="175">
        <f>H9/DAY(B2)</f>
        <v>8505.950000000008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'25'!F10</f>
        <v>4040609</v>
      </c>
      <c r="F10" s="353">
        <v>4044882.7</v>
      </c>
      <c r="G10" s="431">
        <f t="shared" ref="G10:G12" si="0">F10-E10</f>
        <v>4273.7000000001863</v>
      </c>
      <c r="H10" s="99">
        <f>G10+'25'!H10</f>
        <v>355403.60000000009</v>
      </c>
      <c r="I10" s="282"/>
      <c r="J10" s="175">
        <f>H10/DAY(B2)</f>
        <v>13669.369230769234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'25'!F11</f>
        <v>38700</v>
      </c>
      <c r="F11" s="95">
        <v>38700</v>
      </c>
      <c r="G11" s="431">
        <f t="shared" si="0"/>
        <v>0</v>
      </c>
      <c r="H11" s="99">
        <f>G11+'25'!H11</f>
        <v>580</v>
      </c>
      <c r="I11" s="282"/>
      <c r="J11" s="175">
        <f>H11/DAY(B2)</f>
        <v>22.307692307692307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'25'!F12</f>
        <v>40550</v>
      </c>
      <c r="F12" s="117">
        <v>40550</v>
      </c>
      <c r="G12" s="431">
        <f t="shared" si="0"/>
        <v>0</v>
      </c>
      <c r="H12" s="99">
        <f>G12+'25'!H12</f>
        <v>160</v>
      </c>
      <c r="I12" s="282"/>
      <c r="J12" s="175">
        <f>H12/DAY(B2)</f>
        <v>6.1538461538461542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433">
        <f>G9+G10+G11+G12</f>
        <v>19142.400000000373</v>
      </c>
      <c r="H13" s="99">
        <f>G13+'25'!H13</f>
        <v>581527</v>
      </c>
      <c r="I13" s="120">
        <f>G7-G13</f>
        <v>1053.2799999995623</v>
      </c>
      <c r="J13" s="175">
        <f>H13/DAY(B2)</f>
        <v>22366.423076923078</v>
      </c>
      <c r="K13" s="79"/>
      <c r="L13" s="66"/>
      <c r="N13" s="87"/>
      <c r="O13" s="71"/>
    </row>
    <row r="14" spans="1:15" ht="26.25">
      <c r="A14" s="873" t="s">
        <v>137</v>
      </c>
      <c r="B14" s="874"/>
      <c r="C14" s="875"/>
      <c r="D14" s="111"/>
      <c r="E14" s="111"/>
      <c r="F14" s="111"/>
      <c r="G14" s="434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8">
        <f>'25'!F15</f>
        <v>2246242.7999999998</v>
      </c>
      <c r="F15" s="468">
        <v>2247378.79</v>
      </c>
      <c r="G15" s="431">
        <f>(F15-E15)</f>
        <v>1135.9900000002235</v>
      </c>
      <c r="H15" s="99">
        <f>G15+'25'!H15</f>
        <v>28437.790000000037</v>
      </c>
      <c r="I15" s="113">
        <f>'1'!I15</f>
        <v>800</v>
      </c>
      <c r="J15" s="175">
        <f>H15/DAY(B2)</f>
        <v>1093.7611538461554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431"/>
      <c r="H16" s="124"/>
      <c r="I16" s="120">
        <f>I15-J15</f>
        <v>-293.76115384615537</v>
      </c>
      <c r="J16" s="176"/>
      <c r="K16" s="79"/>
      <c r="L16" s="66"/>
      <c r="N16" s="87"/>
      <c r="O16" s="71"/>
    </row>
    <row r="17" spans="1:15" ht="26.25">
      <c r="A17" s="873" t="s">
        <v>140</v>
      </c>
      <c r="B17" s="874"/>
      <c r="C17" s="875"/>
      <c r="D17" s="111"/>
      <c r="E17" s="111"/>
      <c r="F17" s="111"/>
      <c r="G17" s="434"/>
      <c r="H17" s="111"/>
      <c r="I17" s="111"/>
      <c r="J17" s="174"/>
      <c r="K17" s="79"/>
      <c r="L17" s="66"/>
      <c r="N17" s="87"/>
      <c r="O17" s="71"/>
    </row>
    <row r="18" spans="1:15" ht="25.5">
      <c r="A18" s="864" t="s">
        <v>141</v>
      </c>
      <c r="B18" s="865"/>
      <c r="C18" s="866"/>
      <c r="D18" s="151" t="s">
        <v>142</v>
      </c>
      <c r="E18" s="95">
        <f>'25'!F18</f>
        <v>22</v>
      </c>
      <c r="F18" s="164">
        <v>24</v>
      </c>
      <c r="G18" s="433">
        <f>F18*10</f>
        <v>240</v>
      </c>
      <c r="H18" s="99">
        <f>G18+'25'!H18</f>
        <v>6940</v>
      </c>
      <c r="I18" s="113">
        <f>'1'!I18</f>
        <v>65</v>
      </c>
      <c r="J18" s="175">
        <f>H18/DAY(B2)</f>
        <v>266.92307692307691</v>
      </c>
      <c r="K18" s="79"/>
      <c r="L18" s="66"/>
      <c r="N18" s="87"/>
      <c r="O18" s="71"/>
    </row>
    <row r="19" spans="1:15" ht="25.5">
      <c r="A19" s="864" t="s">
        <v>69</v>
      </c>
      <c r="B19" s="865"/>
      <c r="C19" s="866"/>
      <c r="D19" s="151" t="s">
        <v>142</v>
      </c>
      <c r="E19" s="95">
        <f>'25'!F19</f>
        <v>169240</v>
      </c>
      <c r="F19" s="122">
        <v>169291</v>
      </c>
      <c r="G19" s="431">
        <f t="shared" ref="G19" si="1">F19-E19</f>
        <v>51</v>
      </c>
      <c r="H19" s="99">
        <f>G19+'25'!H19</f>
        <v>1415</v>
      </c>
      <c r="I19" s="335"/>
      <c r="J19" s="175">
        <f>H19/DAY(B2)</f>
        <v>54.42307692307692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435">
        <f>G18+G19</f>
        <v>291</v>
      </c>
      <c r="H20" s="99">
        <f>G20+'25'!H20</f>
        <v>8355</v>
      </c>
      <c r="I20" s="336">
        <f>I18-J20</f>
        <v>-256.34615384615387</v>
      </c>
      <c r="J20" s="175">
        <f>H20/DAY(B2)</f>
        <v>321.34615384615387</v>
      </c>
      <c r="K20" s="79"/>
      <c r="L20" s="66"/>
      <c r="N20" s="87"/>
      <c r="O20" s="71"/>
    </row>
    <row r="21" spans="1:15" ht="26.25">
      <c r="A21" s="873" t="s">
        <v>144</v>
      </c>
      <c r="B21" s="874"/>
      <c r="C21" s="875"/>
      <c r="D21" s="111"/>
      <c r="E21" s="111"/>
      <c r="F21" s="111"/>
      <c r="G21" s="434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'25'!F22</f>
        <v>2970</v>
      </c>
      <c r="F22" s="122">
        <v>2970</v>
      </c>
      <c r="G22" s="433">
        <f t="shared" ref="G22" si="2">(F22-E22)</f>
        <v>0</v>
      </c>
      <c r="H22" s="99">
        <f>G22+'25'!H22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'25'!F23</f>
        <v>1860</v>
      </c>
      <c r="F23" s="122">
        <v>1500</v>
      </c>
      <c r="G23" s="433">
        <v>0</v>
      </c>
      <c r="H23" s="99">
        <f>G23+'25'!H23</f>
        <v>-100</v>
      </c>
      <c r="I23" s="118"/>
      <c r="J23" s="175">
        <f>H23/DAY(B2)</f>
        <v>-3.8461538461538463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'25'!F24</f>
        <v>4830</v>
      </c>
      <c r="F24" s="128">
        <v>4470</v>
      </c>
      <c r="G24" s="433">
        <v>0</v>
      </c>
      <c r="H24" s="99">
        <f>G24+'25'!H24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78" t="s">
        <v>149</v>
      </c>
      <c r="B25" s="879"/>
      <c r="C25" s="880"/>
      <c r="D25" s="110"/>
      <c r="E25" s="110"/>
      <c r="F25" s="110"/>
      <c r="G25" s="436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437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20198</v>
      </c>
      <c r="F27" s="136">
        <v>9</v>
      </c>
      <c r="G27" s="438">
        <f>E27*F27</f>
        <v>181782</v>
      </c>
      <c r="H27" s="99">
        <f>G27+'25'!H27</f>
        <v>5390901.7999999998</v>
      </c>
      <c r="I27" s="138"/>
      <c r="J27" s="175">
        <f>H27/DAY(B2)</f>
        <v>207342.37692307692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1135.9900000002235</v>
      </c>
      <c r="F28" s="136">
        <v>70</v>
      </c>
      <c r="G28" s="438">
        <f>E28*F28</f>
        <v>79519.300000015646</v>
      </c>
      <c r="H28" s="99">
        <f>G28+'25'!H28</f>
        <v>2001157.0500000031</v>
      </c>
      <c r="I28" s="140"/>
      <c r="J28" s="175">
        <f>H28/DAY(B2)</f>
        <v>76967.578846153963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38">
        <f>E29*F29</f>
        <v>0</v>
      </c>
      <c r="H29" s="99">
        <f>G29+'25'!H29</f>
        <v>20700</v>
      </c>
      <c r="I29" s="140"/>
      <c r="J29" s="175">
        <f>H29/DAY(B2)</f>
        <v>796.15384615384619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151</v>
      </c>
      <c r="G30" s="438">
        <f>E30*F30</f>
        <v>7701</v>
      </c>
      <c r="H30" s="99">
        <f>G30+'25'!H30</f>
        <v>213665</v>
      </c>
      <c r="I30" s="140"/>
      <c r="J30" s="175">
        <f>H30/DAY(B2)</f>
        <v>8217.8846153846152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438">
        <f>E31*F31</f>
        <v>19200</v>
      </c>
      <c r="H31" s="99">
        <f>G31+'25'!H31</f>
        <v>555200</v>
      </c>
      <c r="I31" s="140"/>
      <c r="J31" s="175">
        <f>H31/DAY(B2)</f>
        <v>21353.846153846152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439">
        <f>G27+G28+G29+G30+G31</f>
        <v>288202.30000001565</v>
      </c>
      <c r="H32" s="99">
        <f>G32+'25'!H32</f>
        <v>8181623.8500000034</v>
      </c>
      <c r="I32" s="144"/>
      <c r="J32" s="175">
        <f>H32/DAY(B2)</f>
        <v>314677.84038461553</v>
      </c>
      <c r="K32" s="63"/>
      <c r="L32" s="89"/>
      <c r="N32" s="87"/>
      <c r="O32" s="71"/>
    </row>
    <row r="33" spans="1:15" ht="25.5">
      <c r="A33" s="881" t="s">
        <v>331</v>
      </c>
      <c r="B33" s="882"/>
      <c r="C33" s="882"/>
      <c r="D33" s="337"/>
      <c r="E33" s="337"/>
      <c r="F33" s="337"/>
      <c r="G33" s="440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44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'25'!F35</f>
        <v>438272</v>
      </c>
      <c r="F35" s="145">
        <v>440821.71</v>
      </c>
      <c r="G35" s="431">
        <f t="shared" ref="G35:G46" si="3">F35-E35</f>
        <v>2549.710000000021</v>
      </c>
      <c r="H35" s="99">
        <f>G35+'25'!H35</f>
        <v>71724.800000000047</v>
      </c>
      <c r="I35" s="95"/>
      <c r="J35" s="175">
        <f>H35/DAY(B2)</f>
        <v>2758.6461538461558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'25'!F36</f>
        <v>348343</v>
      </c>
      <c r="F36" s="145">
        <v>349009.67</v>
      </c>
      <c r="G36" s="431">
        <f t="shared" si="3"/>
        <v>666.6699999999837</v>
      </c>
      <c r="H36" s="99">
        <f>G36+'25'!H36</f>
        <v>26792.559999999998</v>
      </c>
      <c r="I36" s="95"/>
      <c r="J36" s="175">
        <f>H36/DAY(B2)</f>
        <v>1030.4830769230769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'25'!F37</f>
        <v>329767</v>
      </c>
      <c r="F37" s="145">
        <v>331141</v>
      </c>
      <c r="G37" s="431">
        <f t="shared" si="3"/>
        <v>1374</v>
      </c>
      <c r="H37" s="99">
        <f>G37+'25'!H37</f>
        <v>8142.3099999999977</v>
      </c>
      <c r="I37" s="95"/>
      <c r="J37" s="175">
        <f>H37/DAY(B2)</f>
        <v>313.16576923076911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'25'!F38</f>
        <v>782109</v>
      </c>
      <c r="F38" s="108">
        <v>784486.79</v>
      </c>
      <c r="G38" s="431">
        <f t="shared" si="3"/>
        <v>2377.7900000000373</v>
      </c>
      <c r="H38" s="99">
        <f>G38+'25'!H38</f>
        <v>48634.400000000023</v>
      </c>
      <c r="I38" s="95"/>
      <c r="J38" s="175">
        <f>H38/DAY(B2)</f>
        <v>1870.553846153847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'25'!F39</f>
        <v>603832</v>
      </c>
      <c r="F39" s="145">
        <v>606539.79</v>
      </c>
      <c r="G39" s="431">
        <f t="shared" si="3"/>
        <v>2707.7900000000373</v>
      </c>
      <c r="H39" s="99">
        <f>G39+'25'!H39</f>
        <v>14955.600000000093</v>
      </c>
      <c r="I39" s="95"/>
      <c r="J39" s="175">
        <f>H39/DAY(B2)</f>
        <v>575.21538461538819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'25'!F40</f>
        <v>207181</v>
      </c>
      <c r="F40" s="145">
        <v>207617.05</v>
      </c>
      <c r="G40" s="431">
        <f t="shared" si="3"/>
        <v>436.04999999998836</v>
      </c>
      <c r="H40" s="99">
        <f>G40+'25'!H40</f>
        <v>10887.079999999987</v>
      </c>
      <c r="I40" s="95"/>
      <c r="J40" s="175">
        <f>H40/DAY(B2)</f>
        <v>418.73384615384566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'25'!F41</f>
        <v>420212.5</v>
      </c>
      <c r="F41" s="145">
        <v>420212.5</v>
      </c>
      <c r="G41" s="431">
        <f t="shared" si="3"/>
        <v>0</v>
      </c>
      <c r="H41" s="99">
        <f>G41+'25'!H41</f>
        <v>1044.9099999999744</v>
      </c>
      <c r="I41" s="95"/>
      <c r="J41" s="175">
        <f>H41/DAY(B2)</f>
        <v>40.188846153845169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'25'!F42</f>
        <v>894509</v>
      </c>
      <c r="F42" s="145">
        <v>898452.23</v>
      </c>
      <c r="G42" s="431">
        <f t="shared" si="3"/>
        <v>3943.2299999999814</v>
      </c>
      <c r="H42" s="99">
        <f>G42+'25'!H42</f>
        <v>26682.150000000023</v>
      </c>
      <c r="I42" s="95"/>
      <c r="J42" s="175">
        <f>H42/DAY(B2)</f>
        <v>1026.2365384615393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'25'!F43</f>
        <v>422444</v>
      </c>
      <c r="F43" s="145">
        <v>422444</v>
      </c>
      <c r="G43" s="431">
        <f t="shared" si="3"/>
        <v>0</v>
      </c>
      <c r="H43" s="99">
        <f>G43+'25'!H43</f>
        <v>15416</v>
      </c>
      <c r="I43" s="95"/>
      <c r="J43" s="175">
        <f>H43/DAY(B2)</f>
        <v>592.92307692307691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'25'!F44</f>
        <v>0</v>
      </c>
      <c r="F44" s="145">
        <v>0</v>
      </c>
      <c r="G44" s="431">
        <f t="shared" si="3"/>
        <v>0</v>
      </c>
      <c r="H44" s="99">
        <f>G44+'25'!H44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'25'!F45</f>
        <v>0</v>
      </c>
      <c r="F45" s="145">
        <v>0</v>
      </c>
      <c r="G45" s="431">
        <f t="shared" si="3"/>
        <v>0</v>
      </c>
      <c r="H45" s="99">
        <f>G45+'25'!H45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'25'!F46</f>
        <v>0</v>
      </c>
      <c r="F46" s="145">
        <v>0</v>
      </c>
      <c r="G46" s="431">
        <f t="shared" si="3"/>
        <v>0</v>
      </c>
      <c r="H46" s="99">
        <f>G46+'25'!H46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433">
        <f>G35+G36+G37+G38+G39+G40+G41+G42+G43+G44+G45+G46</f>
        <v>14055.240000000049</v>
      </c>
      <c r="H47" s="99">
        <f>G47+'25'!H47</f>
        <v>224279.81000000014</v>
      </c>
      <c r="I47" s="95"/>
      <c r="J47" s="175">
        <f>H47/DAY(B2)</f>
        <v>8626.146538461544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44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'25'!F49</f>
        <v>804263.99</v>
      </c>
      <c r="F49" s="145">
        <v>804597.27</v>
      </c>
      <c r="G49" s="431">
        <f t="shared" ref="G49:G58" si="4">F49-E49</f>
        <v>333.28000000002794</v>
      </c>
      <c r="H49" s="99">
        <f>G49+'25'!H49</f>
        <v>10974.320000000065</v>
      </c>
      <c r="I49" s="95"/>
      <c r="J49" s="175">
        <f>H49/DAY(B2)</f>
        <v>422.08923076923327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'25'!F50</f>
        <v>493284.3</v>
      </c>
      <c r="F50" s="145">
        <v>494435.99</v>
      </c>
      <c r="G50" s="431">
        <f t="shared" si="4"/>
        <v>1151.6900000000023</v>
      </c>
      <c r="H50" s="99">
        <f>G50+'25'!H50</f>
        <v>37766.919999999984</v>
      </c>
      <c r="I50" s="95"/>
      <c r="J50" s="175">
        <f>H50/DAY(B2)</f>
        <v>1452.5738461538456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'25'!F51</f>
        <v>156958</v>
      </c>
      <c r="F51" s="145">
        <v>156958</v>
      </c>
      <c r="G51" s="431">
        <f t="shared" si="4"/>
        <v>0</v>
      </c>
      <c r="H51" s="99">
        <f>G51+'25'!H51</f>
        <v>21713.450000000012</v>
      </c>
      <c r="I51" s="95"/>
      <c r="J51" s="175">
        <f>H51/DAY(B2)</f>
        <v>835.13269230769276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'25'!F52</f>
        <v>9.76</v>
      </c>
      <c r="F52" s="145">
        <v>10</v>
      </c>
      <c r="G52" s="431">
        <f t="shared" si="4"/>
        <v>0.24000000000000021</v>
      </c>
      <c r="H52" s="99">
        <f>G52+'25'!H52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'25'!F53</f>
        <v>630355</v>
      </c>
      <c r="F53" s="145">
        <v>630355.03</v>
      </c>
      <c r="G53" s="431">
        <f t="shared" si="4"/>
        <v>3.0000000027939677E-2</v>
      </c>
      <c r="H53" s="99">
        <f>G53+'25'!H53</f>
        <v>83813.760000000009</v>
      </c>
      <c r="I53" s="95"/>
      <c r="J53" s="175">
        <f>H53/DAY(B2)</f>
        <v>3223.606153846154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'25'!F54</f>
        <v>112455</v>
      </c>
      <c r="F54" s="422">
        <v>112809</v>
      </c>
      <c r="G54" s="431">
        <f t="shared" si="4"/>
        <v>354</v>
      </c>
      <c r="H54" s="99">
        <f>G54+'25'!H54</f>
        <v>5145.8399999999965</v>
      </c>
      <c r="I54" s="95"/>
      <c r="J54" s="175">
        <f>H54/DAY(B2)</f>
        <v>197.91692307692296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'25'!F55</f>
        <v>576335.63</v>
      </c>
      <c r="F55" s="145">
        <v>576335.63</v>
      </c>
      <c r="G55" s="431">
        <f t="shared" si="4"/>
        <v>0</v>
      </c>
      <c r="H55" s="99">
        <f>G55+'25'!H55</f>
        <v>14850.959999999963</v>
      </c>
      <c r="I55" s="95"/>
      <c r="J55" s="175">
        <f>H55/DAY(B2)</f>
        <v>571.19076923076784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'25'!F56</f>
        <v>333759.90000000002</v>
      </c>
      <c r="F56" s="145">
        <v>333759.95</v>
      </c>
      <c r="G56" s="431">
        <f t="shared" si="4"/>
        <v>4.9999999988358468E-2</v>
      </c>
      <c r="H56" s="99">
        <f>G56+'25'!H56</f>
        <v>65644.94</v>
      </c>
      <c r="I56" s="95"/>
      <c r="J56" s="175">
        <f>H56/DAY(B2)</f>
        <v>2524.8053846153848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'25'!F57</f>
        <v>615191.9</v>
      </c>
      <c r="F57" s="145">
        <v>617776.43000000005</v>
      </c>
      <c r="G57" s="431">
        <f t="shared" si="4"/>
        <v>2584.5300000000279</v>
      </c>
      <c r="H57" s="99">
        <f>G57+'25'!H57</f>
        <v>54216.960000000079</v>
      </c>
      <c r="I57" s="95"/>
      <c r="J57" s="175">
        <f>H57/DAY(B2)</f>
        <v>2085.2676923076951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'25'!F58</f>
        <v>84711.6</v>
      </c>
      <c r="F58" s="145">
        <v>84972.183000000005</v>
      </c>
      <c r="G58" s="431">
        <f t="shared" si="4"/>
        <v>260.58299999999872</v>
      </c>
      <c r="H58" s="99">
        <f>G58+'25'!H58</f>
        <v>6256.4930000000022</v>
      </c>
      <c r="I58" s="95"/>
      <c r="J58" s="175">
        <f>H58/DAY(B2)</f>
        <v>240.63434615384625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433">
        <f>G49+G50+G51+G52+G53+G54+G55+G56+G57+G58</f>
        <v>4684.403000000073</v>
      </c>
      <c r="H59" s="99">
        <f>G59+'25'!H59</f>
        <v>300383.6430000001</v>
      </c>
      <c r="I59" s="95">
        <f>G7-G60</f>
        <v>1456.0369999998147</v>
      </c>
      <c r="J59" s="175">
        <f>H59/DAY(B2)</f>
        <v>11553.217038461542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433">
        <f>G47+G59</f>
        <v>18739.64300000012</v>
      </c>
      <c r="H60" s="99">
        <f>G60+'25'!H60</f>
        <v>524663.45300000033</v>
      </c>
      <c r="I60" s="95">
        <f>G13-G60</f>
        <v>402.75700000025245</v>
      </c>
      <c r="J60" s="175">
        <f>H60/DAY(B2)</f>
        <v>20179.36357692309</v>
      </c>
      <c r="K60" s="79"/>
      <c r="L60" s="66"/>
      <c r="N60" s="87"/>
      <c r="O60" s="71"/>
    </row>
    <row r="61" spans="1:15" s="68" customFormat="1" ht="26.25">
      <c r="A61" s="883" t="s">
        <v>332</v>
      </c>
      <c r="B61" s="884"/>
      <c r="C61" s="885"/>
      <c r="D61" s="339"/>
      <c r="E61" s="339"/>
      <c r="F61" s="339"/>
      <c r="G61" s="442"/>
      <c r="H61" s="339"/>
      <c r="I61" s="339"/>
      <c r="J61" s="341"/>
      <c r="K61" s="69"/>
      <c r="L61" s="67"/>
      <c r="N61" s="87"/>
      <c r="O61" s="71"/>
    </row>
    <row r="62" spans="1:15" ht="25.5">
      <c r="A62" s="864" t="s">
        <v>198</v>
      </c>
      <c r="B62" s="865"/>
      <c r="C62" s="866"/>
      <c r="D62" s="151" t="s">
        <v>142</v>
      </c>
      <c r="E62" s="95">
        <f>'25'!F62</f>
        <v>311293</v>
      </c>
      <c r="F62" s="122">
        <v>311440</v>
      </c>
      <c r="G62" s="431">
        <f t="shared" ref="G62:G63" si="5">F62-E62</f>
        <v>147</v>
      </c>
      <c r="H62" s="99">
        <f>G62+'25'!H62</f>
        <v>3126</v>
      </c>
      <c r="I62" s="118"/>
      <c r="J62" s="175">
        <f>H62/DAY(B2)</f>
        <v>120.23076923076923</v>
      </c>
      <c r="K62" s="80"/>
      <c r="L62" s="66"/>
      <c r="N62" s="87"/>
      <c r="O62" s="71"/>
    </row>
    <row r="63" spans="1:15" ht="25.5">
      <c r="A63" s="864" t="s">
        <v>199</v>
      </c>
      <c r="B63" s="865"/>
      <c r="C63" s="866"/>
      <c r="D63" s="151" t="s">
        <v>142</v>
      </c>
      <c r="E63" s="95">
        <f>'25'!F63</f>
        <v>248452</v>
      </c>
      <c r="F63" s="122">
        <v>248493</v>
      </c>
      <c r="G63" s="431">
        <f t="shared" si="5"/>
        <v>41</v>
      </c>
      <c r="H63" s="99">
        <f>G63+'25'!H63</f>
        <v>1564</v>
      </c>
      <c r="I63" s="118"/>
      <c r="J63" s="175">
        <f>H63/DAY(B2)</f>
        <v>60.153846153846153</v>
      </c>
      <c r="K63" s="69"/>
      <c r="L63" s="66"/>
      <c r="N63" s="87"/>
      <c r="O63" s="71"/>
    </row>
    <row r="64" spans="1:15" ht="26.25">
      <c r="A64" s="861" t="s">
        <v>200</v>
      </c>
      <c r="B64" s="862"/>
      <c r="C64" s="863"/>
      <c r="D64" s="151"/>
      <c r="E64" s="95">
        <f>'25'!F64</f>
        <v>0</v>
      </c>
      <c r="F64" s="122"/>
      <c r="G64" s="431">
        <f>G62+G63</f>
        <v>188</v>
      </c>
      <c r="H64" s="99">
        <f>G64+'25'!H64</f>
        <v>4690</v>
      </c>
      <c r="I64" s="118"/>
      <c r="J64" s="175">
        <f>H64/DAY(B2)</f>
        <v>180.38461538461539</v>
      </c>
      <c r="K64" s="69"/>
      <c r="L64" s="66"/>
      <c r="N64" s="87"/>
      <c r="O64" s="71"/>
    </row>
    <row r="65" spans="1:15" ht="25.5">
      <c r="A65" s="864" t="s">
        <v>201</v>
      </c>
      <c r="B65" s="865"/>
      <c r="C65" s="866"/>
      <c r="D65" s="151" t="s">
        <v>142</v>
      </c>
      <c r="E65" s="95">
        <f>'25'!F65</f>
        <v>471234</v>
      </c>
      <c r="F65" s="122">
        <v>471399</v>
      </c>
      <c r="G65" s="431">
        <f t="shared" ref="G65:G70" si="6">F65-E65</f>
        <v>165</v>
      </c>
      <c r="H65" s="99">
        <f>G65+'25'!H65</f>
        <v>3498</v>
      </c>
      <c r="I65" s="118"/>
      <c r="J65" s="175">
        <f>H65/DAY(B2)</f>
        <v>134.53846153846155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'25'!F66</f>
        <v>113465</v>
      </c>
      <c r="F66" s="122">
        <v>113480</v>
      </c>
      <c r="G66" s="431">
        <f t="shared" si="6"/>
        <v>15</v>
      </c>
      <c r="H66" s="99">
        <f>G66+'25'!H66</f>
        <v>55733</v>
      </c>
      <c r="I66" s="118"/>
      <c r="J66" s="175">
        <f>H66/DAY(B2)</f>
        <v>2143.5769230769229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'25'!F67</f>
        <v>116399</v>
      </c>
      <c r="F67" s="164">
        <v>116422</v>
      </c>
      <c r="G67" s="431">
        <f t="shared" si="6"/>
        <v>23</v>
      </c>
      <c r="H67" s="99">
        <f>G67+'25'!H67</f>
        <v>567</v>
      </c>
      <c r="I67" s="118"/>
      <c r="J67" s="175">
        <f>H67/DAY(B2)</f>
        <v>21.807692307692307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'25'!F68</f>
        <v>169253</v>
      </c>
      <c r="F68" s="122">
        <v>169280</v>
      </c>
      <c r="G68" s="431">
        <f>F68-E68</f>
        <v>27</v>
      </c>
      <c r="H68" s="99">
        <f>G68+'25'!H68</f>
        <v>773</v>
      </c>
      <c r="I68" s="118"/>
      <c r="J68" s="175">
        <f>H68/DAY(B2)</f>
        <v>29.73076923076923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'25'!F69</f>
        <v>12936</v>
      </c>
      <c r="F69" s="122">
        <v>12939</v>
      </c>
      <c r="G69" s="431">
        <f t="shared" si="6"/>
        <v>3</v>
      </c>
      <c r="H69" s="99">
        <f>G69+'25'!H69</f>
        <v>129</v>
      </c>
      <c r="I69" s="118"/>
      <c r="J69" s="175">
        <f>H69/DAY(B2)</f>
        <v>4.9615384615384617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'25'!F70</f>
        <v>10965</v>
      </c>
      <c r="F70" s="122">
        <v>10970</v>
      </c>
      <c r="G70" s="431">
        <f t="shared" si="6"/>
        <v>5</v>
      </c>
      <c r="H70" s="99">
        <f>G70+'25'!H70</f>
        <v>191</v>
      </c>
      <c r="I70" s="118"/>
      <c r="J70" s="175">
        <f>H70/DAY(B2)</f>
        <v>7.3461538461538458</v>
      </c>
      <c r="K70" s="69"/>
      <c r="L70" s="66"/>
      <c r="N70" s="87"/>
      <c r="O70" s="71"/>
    </row>
    <row r="71" spans="1:15" ht="26.25">
      <c r="A71" s="861" t="s">
        <v>208</v>
      </c>
      <c r="B71" s="862"/>
      <c r="C71" s="863"/>
      <c r="D71" s="152"/>
      <c r="E71" s="152"/>
      <c r="F71" s="152"/>
      <c r="G71" s="443">
        <f>SUM(G65:G70)</f>
        <v>238</v>
      </c>
      <c r="H71" s="99">
        <f>G71+'25'!H71</f>
        <v>60891</v>
      </c>
      <c r="I71" s="154"/>
      <c r="J71" s="175">
        <f>H71/DAY(B2)</f>
        <v>2341.9615384615386</v>
      </c>
      <c r="K71" s="69"/>
      <c r="L71" s="66"/>
      <c r="N71" s="87"/>
      <c r="O71" s="71"/>
    </row>
    <row r="72" spans="1:15" s="88" customFormat="1" ht="25.5">
      <c r="A72" s="904"/>
      <c r="B72" s="896"/>
      <c r="C72" s="347"/>
      <c r="D72" s="180"/>
      <c r="E72" s="180" t="s">
        <v>207</v>
      </c>
      <c r="F72" s="180"/>
      <c r="G72" s="444"/>
      <c r="H72" s="181"/>
      <c r="I72" s="180"/>
      <c r="J72" s="182"/>
      <c r="N72" s="87"/>
      <c r="O72" s="71"/>
    </row>
    <row r="73" spans="1:15" ht="26.25">
      <c r="A73" s="909" t="s">
        <v>333</v>
      </c>
      <c r="B73" s="910"/>
      <c r="C73" s="911"/>
      <c r="D73" s="339"/>
      <c r="E73" s="339"/>
      <c r="F73" s="339"/>
      <c r="G73" s="442"/>
      <c r="H73" s="342"/>
      <c r="I73" s="342"/>
      <c r="J73" s="343"/>
      <c r="K73" s="69"/>
      <c r="L73" s="66"/>
      <c r="N73" s="87"/>
      <c r="O73" s="71"/>
    </row>
    <row r="74" spans="1:15" ht="25.5">
      <c r="A74" s="864" t="s">
        <v>220</v>
      </c>
      <c r="B74" s="865"/>
      <c r="C74" s="866"/>
      <c r="D74" s="151" t="s">
        <v>139</v>
      </c>
      <c r="E74" s="95">
        <f>'25'!F74</f>
        <v>691</v>
      </c>
      <c r="F74" s="123">
        <v>912</v>
      </c>
      <c r="G74" s="431">
        <f t="shared" ref="G74:G78" si="7">F74-E74</f>
        <v>221</v>
      </c>
      <c r="H74" s="99">
        <f>G74+'25'!H74</f>
        <v>7552.9699999999721</v>
      </c>
      <c r="I74" s="154"/>
      <c r="J74" s="175">
        <f>H74/DAY(B2)</f>
        <v>290.49884615384508</v>
      </c>
      <c r="K74" s="69"/>
      <c r="L74" s="66"/>
      <c r="N74" s="87"/>
      <c r="O74" s="71"/>
    </row>
    <row r="75" spans="1:15" ht="25.5">
      <c r="A75" s="864" t="s">
        <v>221</v>
      </c>
      <c r="B75" s="865"/>
      <c r="C75" s="866"/>
      <c r="D75" s="151" t="s">
        <v>139</v>
      </c>
      <c r="E75" s="95">
        <f>'25'!F75</f>
        <v>73586.8</v>
      </c>
      <c r="F75" s="123">
        <v>73586.8</v>
      </c>
      <c r="G75" s="431">
        <f t="shared" si="7"/>
        <v>0</v>
      </c>
      <c r="H75" s="99">
        <f>G75+'25'!H75</f>
        <v>0.80000000000291038</v>
      </c>
      <c r="I75" s="154"/>
      <c r="J75" s="175">
        <f>H75/DAY(B2)</f>
        <v>3.0769230769342706E-2</v>
      </c>
      <c r="K75" s="69"/>
      <c r="L75" s="66"/>
      <c r="N75" s="87"/>
      <c r="O75" s="71"/>
    </row>
    <row r="76" spans="1:15" ht="25.5">
      <c r="A76" s="905" t="s">
        <v>222</v>
      </c>
      <c r="B76" s="891"/>
      <c r="C76" s="892"/>
      <c r="D76" s="151" t="s">
        <v>139</v>
      </c>
      <c r="E76" s="95">
        <f>'25'!F76</f>
        <v>206700</v>
      </c>
      <c r="F76" s="123">
        <v>206805.7</v>
      </c>
      <c r="G76" s="431">
        <f t="shared" si="7"/>
        <v>105.70000000001164</v>
      </c>
      <c r="H76" s="99">
        <f>G76+'25'!H76</f>
        <v>3143.7000000000116</v>
      </c>
      <c r="I76" s="154"/>
      <c r="J76" s="175">
        <f>H76/DAY(B2)</f>
        <v>120.91153846153891</v>
      </c>
      <c r="K76" s="69"/>
      <c r="L76" s="66"/>
      <c r="N76" s="87"/>
      <c r="O76" s="71"/>
    </row>
    <row r="77" spans="1:15" ht="25.5">
      <c r="A77" s="905" t="s">
        <v>223</v>
      </c>
      <c r="B77" s="891"/>
      <c r="C77" s="892"/>
      <c r="D77" s="151" t="s">
        <v>139</v>
      </c>
      <c r="E77" s="95">
        <f>'25'!F77</f>
        <v>57843</v>
      </c>
      <c r="F77" s="123">
        <v>57889</v>
      </c>
      <c r="G77" s="431">
        <f t="shared" si="7"/>
        <v>46</v>
      </c>
      <c r="H77" s="99">
        <f>G77+'25'!H77</f>
        <v>1367</v>
      </c>
      <c r="I77" s="154"/>
      <c r="J77" s="175">
        <f>H77/DAY(B2)</f>
        <v>52.57692307692308</v>
      </c>
      <c r="K77" s="69"/>
      <c r="L77" s="66"/>
      <c r="N77" s="87"/>
      <c r="O77" s="71"/>
    </row>
    <row r="78" spans="1:15" ht="25.5">
      <c r="A78" s="905" t="s">
        <v>224</v>
      </c>
      <c r="B78" s="891"/>
      <c r="C78" s="892"/>
      <c r="D78" s="151" t="s">
        <v>139</v>
      </c>
      <c r="E78" s="95">
        <f>'25'!F78</f>
        <v>9564</v>
      </c>
      <c r="F78" s="123">
        <v>9564</v>
      </c>
      <c r="G78" s="431">
        <f t="shared" si="7"/>
        <v>0</v>
      </c>
      <c r="H78" s="99">
        <f>G78+'25'!H78</f>
        <v>-0.3999999999996362</v>
      </c>
      <c r="I78" s="118"/>
      <c r="J78" s="175">
        <f>H78/DAY(B2)</f>
        <v>-1.5384615384601393E-2</v>
      </c>
      <c r="K78" s="69"/>
      <c r="L78" s="66"/>
      <c r="N78" s="87"/>
      <c r="O78" s="71"/>
    </row>
    <row r="79" spans="1:15" s="57" customFormat="1" ht="25.5">
      <c r="A79" s="905" t="s">
        <v>225</v>
      </c>
      <c r="B79" s="891"/>
      <c r="C79" s="892"/>
      <c r="D79" s="151"/>
      <c r="E79" s="95">
        <f>'25'!F79</f>
        <v>0</v>
      </c>
      <c r="F79" s="117"/>
      <c r="G79" s="431">
        <f>G15-SUM(G74:G78)</f>
        <v>763.29000000021188</v>
      </c>
      <c r="H79" s="99">
        <f>G79+'25'!H79</f>
        <v>16373.72000000005</v>
      </c>
      <c r="I79" s="118"/>
      <c r="J79" s="175"/>
      <c r="K79" s="59"/>
      <c r="L79" s="58"/>
      <c r="N79" s="87"/>
      <c r="O79" s="71"/>
    </row>
    <row r="80" spans="1:15" s="57" customFormat="1" ht="26.25">
      <c r="A80" s="861" t="s">
        <v>329</v>
      </c>
      <c r="B80" s="862"/>
      <c r="C80" s="863"/>
      <c r="D80" s="151"/>
      <c r="E80" s="117"/>
      <c r="F80" s="117"/>
      <c r="G80" s="431">
        <f>SUM(G74:G79)</f>
        <v>1135.9900000002235</v>
      </c>
      <c r="H80" s="99"/>
      <c r="I80" s="118"/>
      <c r="J80" s="175"/>
      <c r="K80" s="59"/>
      <c r="L80" s="58"/>
      <c r="N80" s="87"/>
      <c r="O80" s="71"/>
    </row>
    <row r="81" spans="1:15" ht="25.5">
      <c r="A81" s="897" t="s">
        <v>226</v>
      </c>
      <c r="B81" s="898"/>
      <c r="C81" s="899"/>
      <c r="D81" s="110"/>
      <c r="E81" s="110"/>
      <c r="F81" s="110"/>
      <c r="G81" s="445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'25'!F82</f>
        <v>0</v>
      </c>
      <c r="F82" s="122">
        <v>0</v>
      </c>
      <c r="G82" s="431">
        <f t="shared" ref="G82:G92" si="8">F82-E82</f>
        <v>0</v>
      </c>
      <c r="H82" s="99">
        <f>G82+'25'!H82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'25'!F83</f>
        <v>0</v>
      </c>
      <c r="F83" s="122">
        <v>0</v>
      </c>
      <c r="G83" s="431">
        <f t="shared" si="8"/>
        <v>0</v>
      </c>
      <c r="H83" s="99">
        <f>G83+'25'!H83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'25'!F84</f>
        <v>43546</v>
      </c>
      <c r="F84" s="164">
        <v>43546</v>
      </c>
      <c r="G84" s="431">
        <f t="shared" si="8"/>
        <v>0</v>
      </c>
      <c r="H84" s="99">
        <f>G84+'25'!H84</f>
        <v>2005.7900000000009</v>
      </c>
      <c r="I84" s="545"/>
      <c r="J84" s="175">
        <f>H84/DAY(B2)</f>
        <v>77.145769230769261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'25'!F85</f>
        <v>5789.2</v>
      </c>
      <c r="F85" s="164">
        <v>5812.56</v>
      </c>
      <c r="G85" s="431">
        <f t="shared" si="8"/>
        <v>23.360000000000582</v>
      </c>
      <c r="H85" s="99">
        <f>G85+'25'!H85</f>
        <v>128.5600000000004</v>
      </c>
      <c r="I85" s="545"/>
      <c r="J85" s="175">
        <f>H85/DAY(B2)</f>
        <v>4.9446153846153997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'25'!F86</f>
        <v>46834</v>
      </c>
      <c r="F86" s="164">
        <v>46834.080000000002</v>
      </c>
      <c r="G86" s="431">
        <f t="shared" si="8"/>
        <v>8.000000000174623E-2</v>
      </c>
      <c r="H86" s="99">
        <f>G86+'25'!H86</f>
        <v>80.150000000001455</v>
      </c>
      <c r="I86" s="545"/>
      <c r="J86" s="175">
        <f>H86/DAY(B2)</f>
        <v>3.0826923076923638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'25'!F87</f>
        <v>37014.300000000003</v>
      </c>
      <c r="F87" s="164">
        <v>37014.36</v>
      </c>
      <c r="G87" s="431">
        <f t="shared" si="8"/>
        <v>5.9999999997671694E-2</v>
      </c>
      <c r="H87" s="99">
        <f>G87+'25'!H87</f>
        <v>464.15000000000146</v>
      </c>
      <c r="I87" s="545">
        <f>G84+G85+G86+G87</f>
        <v>23.5</v>
      </c>
      <c r="J87" s="175">
        <f>H87/DAY(B2)</f>
        <v>17.851923076923132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'25'!F88</f>
        <v>24560</v>
      </c>
      <c r="F88" s="164">
        <v>24570.71</v>
      </c>
      <c r="G88" s="431">
        <f t="shared" si="8"/>
        <v>10.709999999999127</v>
      </c>
      <c r="H88" s="99">
        <f>G88+'25'!H88</f>
        <v>58.909999999999854</v>
      </c>
      <c r="I88" s="545"/>
      <c r="J88" s="175">
        <f>H88/DAY(B2)</f>
        <v>2.2657692307692252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'25'!F89</f>
        <v>28714</v>
      </c>
      <c r="F89" s="164">
        <v>28719</v>
      </c>
      <c r="G89" s="431">
        <f t="shared" si="8"/>
        <v>5</v>
      </c>
      <c r="H89" s="99">
        <f>G89+'25'!H89</f>
        <v>217.29999999999927</v>
      </c>
      <c r="I89" s="545">
        <f>G88+G89</f>
        <v>15.709999999999127</v>
      </c>
      <c r="J89" s="175">
        <f>H89/DAY(B2)</f>
        <v>8.3576923076922789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'25'!F90</f>
        <v>74147</v>
      </c>
      <c r="F90" s="164">
        <v>74153</v>
      </c>
      <c r="G90" s="431">
        <f t="shared" si="8"/>
        <v>6</v>
      </c>
      <c r="H90" s="99">
        <f>G90+'25'!H90</f>
        <v>292.39999999999418</v>
      </c>
      <c r="I90" s="545">
        <f>G90</f>
        <v>6</v>
      </c>
      <c r="J90" s="175">
        <f>H90/DAY(B2)</f>
        <v>11.246153846153621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'25'!F91</f>
        <v>5599.6</v>
      </c>
      <c r="F91" s="122">
        <v>5610</v>
      </c>
      <c r="G91" s="431">
        <f t="shared" si="8"/>
        <v>10.399999999999636</v>
      </c>
      <c r="H91" s="99">
        <f>G91+'25'!H91</f>
        <v>257.22999999999956</v>
      </c>
      <c r="I91" s="546"/>
      <c r="J91" s="175">
        <f>H91/DAY(B2)</f>
        <v>9.893461538461521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'25'!F92</f>
        <v>7031.67</v>
      </c>
      <c r="F92" s="122">
        <v>7031.67</v>
      </c>
      <c r="G92" s="431">
        <f t="shared" si="8"/>
        <v>0</v>
      </c>
      <c r="H92" s="99">
        <f>G92+'25'!H92</f>
        <v>31.670000000000073</v>
      </c>
      <c r="I92" s="547">
        <f>G91+G92</f>
        <v>10.399999999999636</v>
      </c>
      <c r="J92" s="175">
        <f>H92/DAY(B2)</f>
        <v>1.2180769230769259</v>
      </c>
      <c r="O92" s="71"/>
    </row>
    <row r="93" spans="1:15" ht="26.25">
      <c r="A93" s="906" t="s">
        <v>239</v>
      </c>
      <c r="B93" s="907"/>
      <c r="C93" s="908"/>
      <c r="D93" s="111"/>
      <c r="E93" s="111"/>
      <c r="F93" s="111"/>
      <c r="G93" s="434"/>
      <c r="H93" s="121"/>
      <c r="I93" s="121"/>
      <c r="J93" s="183"/>
      <c r="K93" s="69"/>
      <c r="L93" s="66"/>
      <c r="O93" s="71"/>
    </row>
    <row r="94" spans="1:15" ht="25.5">
      <c r="A94" s="864" t="s">
        <v>240</v>
      </c>
      <c r="B94" s="865"/>
      <c r="C94" s="866"/>
      <c r="D94" s="151" t="s">
        <v>130</v>
      </c>
      <c r="E94" s="151"/>
      <c r="F94" s="151"/>
      <c r="G94" s="446">
        <f>G35+G43+G49+G57</f>
        <v>5467.5200000000768</v>
      </c>
      <c r="H94" s="99">
        <f>G94+'25'!H94</f>
        <v>152332.08000000019</v>
      </c>
      <c r="I94" s="118"/>
      <c r="J94" s="175">
        <f>H94/DAY(B2)</f>
        <v>5858.9261538461615</v>
      </c>
      <c r="K94" s="69"/>
      <c r="L94" s="66"/>
      <c r="O94" s="71"/>
    </row>
    <row r="95" spans="1:15" ht="25.5">
      <c r="A95" s="864" t="s">
        <v>241</v>
      </c>
      <c r="B95" s="865"/>
      <c r="C95" s="866"/>
      <c r="D95" s="151" t="s">
        <v>23</v>
      </c>
      <c r="E95" s="146"/>
      <c r="F95" s="146"/>
      <c r="G95" s="447">
        <f>G94/G7</f>
        <v>0.27072720502603004</v>
      </c>
      <c r="H95" s="99">
        <f>G95+'25'!H95</f>
        <v>6.6790232478143556</v>
      </c>
      <c r="I95" s="167"/>
      <c r="J95" s="175">
        <f>H95/DAY(B2)</f>
        <v>0.25688550953132139</v>
      </c>
      <c r="K95" s="69"/>
      <c r="L95" s="66"/>
      <c r="O95" s="71"/>
    </row>
    <row r="96" spans="1:15" ht="25.5">
      <c r="A96" s="864" t="s">
        <v>242</v>
      </c>
      <c r="B96" s="865"/>
      <c r="C96" s="866"/>
      <c r="D96" s="151" t="s">
        <v>130</v>
      </c>
      <c r="E96" s="95"/>
      <c r="F96" s="95"/>
      <c r="G96" s="446">
        <f>G41+G42+G55+G56</f>
        <v>3943.2799999999697</v>
      </c>
      <c r="H96" s="99">
        <f>G96+'25'!H96</f>
        <v>108222.95999999996</v>
      </c>
      <c r="I96" s="118"/>
      <c r="J96" s="175">
        <f>H96/DAY(B2)</f>
        <v>4162.4215384615372</v>
      </c>
      <c r="K96" s="69"/>
      <c r="L96" s="66"/>
      <c r="O96" s="71"/>
    </row>
    <row r="97" spans="1:15" ht="25.5">
      <c r="A97" s="864" t="s">
        <v>243</v>
      </c>
      <c r="B97" s="865"/>
      <c r="C97" s="866"/>
      <c r="D97" s="151" t="s">
        <v>23</v>
      </c>
      <c r="E97" s="95"/>
      <c r="F97" s="95"/>
      <c r="G97" s="447">
        <f>G96/G7</f>
        <v>0.19525363840187518</v>
      </c>
      <c r="H97" s="99">
        <f>G97+'25'!H97</f>
        <v>4.7048378594264806</v>
      </c>
      <c r="I97" s="167"/>
      <c r="J97" s="175">
        <f>H97/DAY(B2)</f>
        <v>0.18095530228563386</v>
      </c>
      <c r="K97" s="69"/>
      <c r="L97" s="66"/>
      <c r="O97" s="71"/>
    </row>
    <row r="98" spans="1:15" ht="25.5">
      <c r="A98" s="864" t="s">
        <v>244</v>
      </c>
      <c r="B98" s="865"/>
      <c r="C98" s="866"/>
      <c r="D98" s="151" t="s">
        <v>130</v>
      </c>
      <c r="E98" s="95"/>
      <c r="F98" s="95"/>
      <c r="G98" s="446">
        <f>G39+G53</f>
        <v>2707.8200000000652</v>
      </c>
      <c r="H98" s="99">
        <f>G98+'25'!H98</f>
        <v>98769.360000000102</v>
      </c>
      <c r="I98" s="168"/>
      <c r="J98" s="175">
        <f>H98/DAY(B2)</f>
        <v>3798.8215384615423</v>
      </c>
      <c r="K98" s="69"/>
      <c r="L98" s="66"/>
      <c r="O98" s="71"/>
    </row>
    <row r="99" spans="1:15" ht="25.5">
      <c r="A99" s="864" t="s">
        <v>245</v>
      </c>
      <c r="B99" s="865"/>
      <c r="C99" s="866"/>
      <c r="D99" s="151" t="s">
        <v>23</v>
      </c>
      <c r="E99" s="95"/>
      <c r="F99" s="95"/>
      <c r="G99" s="447">
        <f>G98/G7</f>
        <v>0.1340791694065302</v>
      </c>
      <c r="H99" s="99">
        <f>G99+'25'!H99</f>
        <v>4.3198084399842296</v>
      </c>
      <c r="I99" s="168"/>
      <c r="J99" s="175">
        <f>H99/DAY(B2)</f>
        <v>0.16614647846093192</v>
      </c>
      <c r="O99" s="71"/>
    </row>
    <row r="100" spans="1:15" ht="26.25">
      <c r="A100" s="864" t="s">
        <v>246</v>
      </c>
      <c r="B100" s="865"/>
      <c r="C100" s="866"/>
      <c r="D100" s="151" t="s">
        <v>180</v>
      </c>
      <c r="E100" s="95"/>
      <c r="F100" s="95"/>
      <c r="G100" s="446">
        <f>G38+G52</f>
        <v>2378.030000000037</v>
      </c>
      <c r="H100" s="99">
        <f>G100+'25'!H100</f>
        <v>48634.400000000023</v>
      </c>
      <c r="I100" s="118"/>
      <c r="J100" s="175">
        <f>H100/DAY(B2)</f>
        <v>1870.553846153847</v>
      </c>
      <c r="K100" s="70"/>
      <c r="O100" s="71"/>
    </row>
    <row r="101" spans="1:15" ht="25.5">
      <c r="A101" s="864" t="s">
        <v>247</v>
      </c>
      <c r="B101" s="865"/>
      <c r="C101" s="866"/>
      <c r="D101" s="151" t="s">
        <v>23</v>
      </c>
      <c r="E101" s="95"/>
      <c r="F101" s="95"/>
      <c r="G101" s="447">
        <f>G100/G7</f>
        <v>0.1177494394840899</v>
      </c>
      <c r="H101" s="99">
        <f>G101+'25'!H101</f>
        <v>2.1675784263573927</v>
      </c>
      <c r="I101" s="168"/>
      <c r="J101" s="175">
        <f>H101/DAY(B2)</f>
        <v>8.3368401013745874E-2</v>
      </c>
      <c r="O101" s="71"/>
    </row>
    <row r="102" spans="1:15" ht="25.5">
      <c r="A102" s="864" t="s">
        <v>248</v>
      </c>
      <c r="B102" s="865"/>
      <c r="C102" s="866"/>
      <c r="D102" s="151" t="s">
        <v>180</v>
      </c>
      <c r="E102" s="95"/>
      <c r="F102" s="95"/>
      <c r="G102" s="446">
        <f>G36+G50</f>
        <v>1818.359999999986</v>
      </c>
      <c r="H102" s="99">
        <f>G102+'25'!H102</f>
        <v>64559.479999999981</v>
      </c>
      <c r="I102" s="168"/>
      <c r="J102" s="175">
        <f>H102/DAY(B2)</f>
        <v>2483.0569230769224</v>
      </c>
      <c r="O102" s="71"/>
    </row>
    <row r="103" spans="1:15" ht="25.5">
      <c r="A103" s="864" t="s">
        <v>249</v>
      </c>
      <c r="B103" s="865"/>
      <c r="C103" s="866"/>
      <c r="D103" s="151" t="s">
        <v>23</v>
      </c>
      <c r="E103" s="95"/>
      <c r="F103" s="95"/>
      <c r="G103" s="447">
        <f>G102/G7</f>
        <v>9.0037077236319443E-2</v>
      </c>
      <c r="H103" s="99">
        <f>G103+'25'!H103</f>
        <v>2.8245014447882917</v>
      </c>
      <c r="I103" s="118"/>
      <c r="J103" s="175">
        <f>H103/DAY(B2)</f>
        <v>0.10863467095339584</v>
      </c>
      <c r="O103" s="71"/>
    </row>
    <row r="104" spans="1:15" ht="25.5">
      <c r="A104" s="864" t="s">
        <v>250</v>
      </c>
      <c r="B104" s="865"/>
      <c r="C104" s="866"/>
      <c r="D104" s="151" t="s">
        <v>180</v>
      </c>
      <c r="E104" s="95"/>
      <c r="F104" s="95"/>
      <c r="G104" s="446">
        <f>G37+G51</f>
        <v>1374</v>
      </c>
      <c r="H104" s="99">
        <f>G104+'25'!H104</f>
        <v>29855.760000000009</v>
      </c>
      <c r="I104" s="118"/>
      <c r="J104" s="175">
        <f>H104/DAY(B2)</f>
        <v>1148.2984615384619</v>
      </c>
      <c r="O104" s="71"/>
    </row>
    <row r="105" spans="1:15" ht="26.25" thickBot="1">
      <c r="A105" s="901" t="s">
        <v>251</v>
      </c>
      <c r="B105" s="902"/>
      <c r="C105" s="903"/>
      <c r="D105" s="231" t="s">
        <v>23</v>
      </c>
      <c r="E105" s="185"/>
      <c r="F105" s="185"/>
      <c r="G105" s="448">
        <f>G104/G7</f>
        <v>6.8034351901000836E-2</v>
      </c>
      <c r="H105" s="99">
        <f>G105+'25'!H105</f>
        <v>1.320749833997964</v>
      </c>
      <c r="I105" s="187"/>
      <c r="J105" s="188">
        <f>H105/DAY(B2)</f>
        <v>5.0798070538383228E-2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449"/>
      <c r="H106" s="170"/>
      <c r="I106" s="169"/>
      <c r="J106" s="171"/>
      <c r="O106" s="71"/>
    </row>
    <row r="107" spans="1:15" ht="26.25"/>
    <row r="108" spans="1:15" ht="27.75">
      <c r="A108" s="915" t="s">
        <v>324</v>
      </c>
      <c r="B108" s="915"/>
      <c r="C108" s="915"/>
      <c r="D108" s="915"/>
      <c r="E108" s="915"/>
      <c r="F108" s="915"/>
      <c r="G108" s="915"/>
      <c r="H108" s="915"/>
      <c r="I108" s="915"/>
      <c r="J108" s="915"/>
    </row>
    <row r="109" spans="1:15" ht="26.25">
      <c r="A109" s="900"/>
      <c r="B109" s="900"/>
    </row>
    <row r="110" spans="1:15" ht="26.25">
      <c r="A110" s="916" t="s">
        <v>165</v>
      </c>
      <c r="B110" s="917"/>
      <c r="C110" s="917"/>
      <c r="D110" s="917"/>
      <c r="E110" s="917"/>
      <c r="F110" s="917"/>
      <c r="G110" s="917"/>
      <c r="H110" s="917"/>
      <c r="I110" s="917"/>
      <c r="J110" s="918"/>
    </row>
    <row r="111" spans="1:15" ht="25.5">
      <c r="A111" s="919"/>
      <c r="B111" s="920"/>
      <c r="C111" s="921"/>
      <c r="D111" s="165"/>
      <c r="E111" s="165"/>
      <c r="F111" s="165"/>
      <c r="G111" s="451"/>
      <c r="H111" s="156"/>
      <c r="I111" s="165"/>
      <c r="J111" s="327"/>
    </row>
    <row r="112" spans="1:15" ht="25.5">
      <c r="A112" s="894" t="s">
        <v>252</v>
      </c>
      <c r="B112" s="895"/>
      <c r="C112" s="896"/>
      <c r="D112" s="146" t="s">
        <v>183</v>
      </c>
      <c r="E112" s="95">
        <f>'25'!F112</f>
        <v>17147.93</v>
      </c>
      <c r="F112" s="237">
        <v>17209</v>
      </c>
      <c r="G112" s="431">
        <f t="shared" ref="G112:G123" si="9">F112-E112</f>
        <v>61.069999999999709</v>
      </c>
      <c r="H112" s="99">
        <f>G112+'25'!H112</f>
        <v>1595.2000000000007</v>
      </c>
      <c r="I112" s="165"/>
      <c r="J112" s="328">
        <f>H112/DAY(B2)</f>
        <v>61.353846153846185</v>
      </c>
    </row>
    <row r="113" spans="1:18" ht="25.5">
      <c r="A113" s="894" t="s">
        <v>253</v>
      </c>
      <c r="B113" s="895"/>
      <c r="C113" s="896"/>
      <c r="D113" s="146" t="s">
        <v>183</v>
      </c>
      <c r="E113" s="95">
        <f>'25'!F113</f>
        <v>36176.15</v>
      </c>
      <c r="F113" s="237">
        <v>36320.61</v>
      </c>
      <c r="G113" s="431">
        <f t="shared" si="9"/>
        <v>144.45999999999913</v>
      </c>
      <c r="H113" s="99">
        <f>G113+'25'!H113</f>
        <v>3869.9400000000023</v>
      </c>
      <c r="I113" s="165"/>
      <c r="J113" s="328">
        <f>H113/DAY(B2)</f>
        <v>148.84384615384624</v>
      </c>
    </row>
    <row r="114" spans="1:18" ht="25.5">
      <c r="A114" s="894" t="s">
        <v>254</v>
      </c>
      <c r="B114" s="895"/>
      <c r="C114" s="896"/>
      <c r="D114" s="146" t="s">
        <v>183</v>
      </c>
      <c r="E114" s="95">
        <f>'25'!F114</f>
        <v>53074.64</v>
      </c>
      <c r="F114" s="237">
        <v>53270</v>
      </c>
      <c r="G114" s="431">
        <f t="shared" si="9"/>
        <v>195.36000000000058</v>
      </c>
      <c r="H114" s="99">
        <f>G114+'25'!H114</f>
        <v>5303.6999999999971</v>
      </c>
      <c r="I114" s="165"/>
      <c r="J114" s="328">
        <f>H114/DAY(B2)</f>
        <v>203.98846153846142</v>
      </c>
    </row>
    <row r="115" spans="1:18" ht="25.5">
      <c r="A115" s="894" t="s">
        <v>255</v>
      </c>
      <c r="B115" s="895"/>
      <c r="C115" s="896"/>
      <c r="D115" s="146" t="s">
        <v>183</v>
      </c>
      <c r="E115" s="95">
        <f>'25'!F115</f>
        <v>34129.29</v>
      </c>
      <c r="F115" s="237">
        <v>34252</v>
      </c>
      <c r="G115" s="431">
        <f t="shared" si="9"/>
        <v>122.70999999999913</v>
      </c>
      <c r="H115" s="99">
        <f>G115+'25'!H115</f>
        <v>3815.5999999999985</v>
      </c>
      <c r="I115" s="165"/>
      <c r="J115" s="328">
        <f>H115/DAY(B2)</f>
        <v>146.7538461538461</v>
      </c>
    </row>
    <row r="116" spans="1:18" ht="25.5">
      <c r="A116" s="912" t="s">
        <v>96</v>
      </c>
      <c r="B116" s="913"/>
      <c r="C116" s="914"/>
      <c r="D116" s="146" t="s">
        <v>183</v>
      </c>
      <c r="E116" s="95">
        <f>'25'!F116</f>
        <v>132153</v>
      </c>
      <c r="F116" s="237">
        <v>132606</v>
      </c>
      <c r="G116" s="431">
        <f t="shared" si="9"/>
        <v>453</v>
      </c>
      <c r="H116" s="99">
        <f>G116+'25'!H116</f>
        <v>9745.8000000000029</v>
      </c>
      <c r="I116" s="165"/>
      <c r="J116" s="328">
        <f>H116/DAY(B2)</f>
        <v>374.83846153846167</v>
      </c>
      <c r="Q116" s="894" t="s">
        <v>311</v>
      </c>
      <c r="R116" s="896"/>
    </row>
    <row r="117" spans="1:18" ht="25.5">
      <c r="A117" s="912" t="s">
        <v>184</v>
      </c>
      <c r="B117" s="913"/>
      <c r="C117" s="914"/>
      <c r="D117" s="146" t="s">
        <v>183</v>
      </c>
      <c r="E117" s="405">
        <f>'25'!F117</f>
        <v>80767.8</v>
      </c>
      <c r="F117" s="416">
        <v>81076</v>
      </c>
      <c r="G117" s="520">
        <f t="shared" si="9"/>
        <v>308.19999999999709</v>
      </c>
      <c r="H117" s="99">
        <f>G117+'25'!H117</f>
        <v>7094.8000000000029</v>
      </c>
      <c r="I117" s="165"/>
      <c r="J117" s="328">
        <f>H117/DAY(B2)</f>
        <v>272.87692307692316</v>
      </c>
      <c r="Q117" s="894" t="s">
        <v>312</v>
      </c>
      <c r="R117" s="896"/>
    </row>
    <row r="118" spans="1:18" ht="25.5">
      <c r="A118" s="889" t="s">
        <v>97</v>
      </c>
      <c r="B118" s="889"/>
      <c r="C118" s="889"/>
      <c r="D118" s="151" t="s">
        <v>183</v>
      </c>
      <c r="E118" s="95">
        <f>'25'!F118</f>
        <v>154505</v>
      </c>
      <c r="F118" s="237">
        <v>155057</v>
      </c>
      <c r="G118" s="431">
        <f t="shared" si="9"/>
        <v>552</v>
      </c>
      <c r="H118" s="99">
        <f>G118+'25'!H118</f>
        <v>16244.549999999988</v>
      </c>
      <c r="I118" s="165"/>
      <c r="J118" s="328">
        <f>H118/DAY(B2)</f>
        <v>624.79038461538414</v>
      </c>
      <c r="Q118" s="894" t="s">
        <v>311</v>
      </c>
      <c r="R118" s="896"/>
    </row>
    <row r="119" spans="1:18" ht="25.5">
      <c r="A119" s="889" t="s">
        <v>98</v>
      </c>
      <c r="B119" s="889"/>
      <c r="C119" s="889"/>
      <c r="D119" s="151" t="s">
        <v>183</v>
      </c>
      <c r="E119" s="95">
        <f>'25'!F119</f>
        <v>43731</v>
      </c>
      <c r="F119" s="237">
        <v>43764.66</v>
      </c>
      <c r="G119" s="431">
        <f t="shared" si="9"/>
        <v>33.660000000003492</v>
      </c>
      <c r="H119" s="99">
        <f>G119+'25'!H119</f>
        <v>410.9600000000064</v>
      </c>
      <c r="I119" s="165"/>
      <c r="J119" s="328">
        <f>H119/DAY(B2)</f>
        <v>15.806153846154093</v>
      </c>
    </row>
    <row r="120" spans="1:18" ht="25.5">
      <c r="A120" s="889" t="s">
        <v>99</v>
      </c>
      <c r="B120" s="889"/>
      <c r="C120" s="889"/>
      <c r="D120" s="151" t="s">
        <v>183</v>
      </c>
      <c r="E120" s="95">
        <f>'25'!F120</f>
        <v>106005</v>
      </c>
      <c r="F120" s="237">
        <v>106403</v>
      </c>
      <c r="G120" s="431">
        <f t="shared" si="9"/>
        <v>398</v>
      </c>
      <c r="H120" s="99">
        <f>G120+'25'!H120</f>
        <v>10695.399999999994</v>
      </c>
      <c r="I120" s="165"/>
      <c r="J120" s="328">
        <f>H120/DAY(B2)</f>
        <v>411.36153846153826</v>
      </c>
    </row>
    <row r="121" spans="1:18" ht="25.5">
      <c r="A121" s="889" t="s">
        <v>100</v>
      </c>
      <c r="B121" s="889"/>
      <c r="C121" s="889"/>
      <c r="D121" s="151" t="s">
        <v>183</v>
      </c>
      <c r="E121" s="95">
        <f>'25'!F121</f>
        <v>118663</v>
      </c>
      <c r="F121" s="237">
        <v>119103</v>
      </c>
      <c r="G121" s="431">
        <f t="shared" si="9"/>
        <v>440</v>
      </c>
      <c r="H121" s="99">
        <f>G121+'25'!H121</f>
        <v>11273.949999999997</v>
      </c>
      <c r="I121" s="165"/>
      <c r="J121" s="328">
        <f>H121/DAY(B2)</f>
        <v>433.61346153846142</v>
      </c>
    </row>
    <row r="122" spans="1:18" ht="25.5">
      <c r="A122" s="889" t="s">
        <v>101</v>
      </c>
      <c r="B122" s="889"/>
      <c r="C122" s="889"/>
      <c r="D122" s="151" t="s">
        <v>183</v>
      </c>
      <c r="E122" s="95">
        <f>'25'!F122</f>
        <v>79463</v>
      </c>
      <c r="F122" s="237">
        <v>79750.23</v>
      </c>
      <c r="G122" s="431">
        <f t="shared" si="9"/>
        <v>287.22999999999593</v>
      </c>
      <c r="H122" s="99">
        <f>G122+'25'!H122</f>
        <v>8712.3300000000017</v>
      </c>
      <c r="I122" s="165"/>
      <c r="J122" s="328">
        <f>H122/DAY(B2)</f>
        <v>335.08961538461546</v>
      </c>
    </row>
    <row r="123" spans="1:18" ht="25.5">
      <c r="A123" s="889" t="s">
        <v>102</v>
      </c>
      <c r="B123" s="889"/>
      <c r="C123" s="889"/>
      <c r="D123" s="151" t="s">
        <v>183</v>
      </c>
      <c r="E123" s="95">
        <f>'25'!F123</f>
        <v>76161</v>
      </c>
      <c r="F123" s="237">
        <v>76478.03</v>
      </c>
      <c r="G123" s="431">
        <f t="shared" si="9"/>
        <v>317.02999999999884</v>
      </c>
      <c r="H123" s="99">
        <f>G123+'25'!H123</f>
        <v>8120.7299999999959</v>
      </c>
      <c r="I123" s="165"/>
      <c r="J123" s="328">
        <f>H123/DAY(B2)</f>
        <v>312.33576923076907</v>
      </c>
    </row>
    <row r="124" spans="1:18" ht="25.5">
      <c r="A124" s="919"/>
      <c r="B124" s="920"/>
      <c r="C124" s="921"/>
      <c r="D124" s="165"/>
      <c r="E124" s="95">
        <f>'25'!F124</f>
        <v>0</v>
      </c>
      <c r="F124" s="165"/>
      <c r="G124" s="451"/>
      <c r="H124" s="156"/>
      <c r="I124" s="165"/>
      <c r="J124" s="327"/>
    </row>
    <row r="125" spans="1:18" ht="25.5">
      <c r="A125" s="853" t="s">
        <v>196</v>
      </c>
      <c r="B125" s="854"/>
      <c r="C125" s="245"/>
      <c r="D125" s="307"/>
      <c r="E125" s="308"/>
      <c r="F125" s="308"/>
      <c r="G125" s="452">
        <f>SUM(G112:G124)</f>
        <v>3312.7199999999939</v>
      </c>
      <c r="H125" s="156"/>
      <c r="I125" s="327">
        <f>G125-(G39+G53)</f>
        <v>604.8999999999287</v>
      </c>
      <c r="J125" s="327"/>
    </row>
    <row r="126" spans="1:18" ht="25.5">
      <c r="A126" s="922" t="s">
        <v>317</v>
      </c>
      <c r="B126" s="922"/>
      <c r="C126" s="922"/>
      <c r="D126" s="922"/>
      <c r="E126" s="922"/>
      <c r="F126" s="922"/>
      <c r="G126" s="922"/>
      <c r="H126" s="922"/>
      <c r="I126" s="922"/>
      <c r="J126" s="922"/>
    </row>
    <row r="127" spans="1:18" ht="25.5">
      <c r="A127" s="923"/>
      <c r="B127" s="923"/>
      <c r="C127" s="245"/>
      <c r="D127" s="307"/>
      <c r="E127" s="308"/>
      <c r="F127" s="308"/>
      <c r="G127" s="452"/>
      <c r="H127" s="99">
        <f>G127+'25'!H127</f>
        <v>0</v>
      </c>
      <c r="I127" s="165"/>
      <c r="J127" s="328">
        <f>H127/DAY(B2)</f>
        <v>0</v>
      </c>
    </row>
    <row r="128" spans="1:18" ht="25.5">
      <c r="A128" s="894" t="s">
        <v>318</v>
      </c>
      <c r="B128" s="895"/>
      <c r="C128" s="896"/>
      <c r="D128" s="151" t="s">
        <v>183</v>
      </c>
      <c r="E128" s="95">
        <f>'25'!F128</f>
        <v>189317.9</v>
      </c>
      <c r="F128" s="165">
        <v>189708.21</v>
      </c>
      <c r="G128" s="431">
        <f t="shared" ref="G128:G134" si="10">F128-E128</f>
        <v>390.30999999999767</v>
      </c>
      <c r="H128" s="99">
        <f>G128+'25'!H128</f>
        <v>10296.359999999986</v>
      </c>
      <c r="I128" s="165"/>
      <c r="J128" s="328">
        <f>H128/DAY(B2)</f>
        <v>396.01384615384563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'25'!F129</f>
        <v>100345</v>
      </c>
      <c r="F129" s="165">
        <v>100499</v>
      </c>
      <c r="G129" s="431">
        <f t="shared" si="10"/>
        <v>154</v>
      </c>
      <c r="H129" s="99">
        <f>G129+'25'!H129</f>
        <v>4469.5</v>
      </c>
      <c r="I129" s="165"/>
      <c r="J129" s="328">
        <f>H129/DAY(B2)</f>
        <v>171.90384615384616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'25'!F130</f>
        <v>264024</v>
      </c>
      <c r="F130" s="165">
        <v>264680</v>
      </c>
      <c r="G130" s="431">
        <f t="shared" si="10"/>
        <v>656</v>
      </c>
      <c r="H130" s="99">
        <f>G130+'25'!H130</f>
        <v>17840.25</v>
      </c>
      <c r="I130" s="165"/>
      <c r="J130" s="328">
        <f>H130/DAY(B2)</f>
        <v>686.16346153846155</v>
      </c>
      <c r="N130" s="240"/>
      <c r="O130" s="241"/>
    </row>
    <row r="131" spans="1:15" ht="25.5">
      <c r="A131" s="894" t="s">
        <v>321</v>
      </c>
      <c r="B131" s="895"/>
      <c r="C131" s="896"/>
      <c r="D131" s="151" t="s">
        <v>183</v>
      </c>
      <c r="E131" s="95">
        <f>'25'!F131</f>
        <v>78808</v>
      </c>
      <c r="F131" s="165">
        <v>78914</v>
      </c>
      <c r="G131" s="431">
        <f t="shared" si="10"/>
        <v>106</v>
      </c>
      <c r="H131" s="99">
        <f>G131+'25'!H131</f>
        <v>5403.3999999999942</v>
      </c>
      <c r="I131" s="165"/>
      <c r="J131" s="328">
        <f>H131/DAY(B2)</f>
        <v>207.82307692307671</v>
      </c>
      <c r="N131" s="240"/>
      <c r="O131" s="241"/>
    </row>
    <row r="132" spans="1:15" ht="25.5">
      <c r="A132" s="894" t="s">
        <v>322</v>
      </c>
      <c r="B132" s="895"/>
      <c r="C132" s="896"/>
      <c r="D132" s="151" t="s">
        <v>183</v>
      </c>
      <c r="E132" s="95">
        <f>'25'!F132</f>
        <v>148274</v>
      </c>
      <c r="F132" s="165">
        <v>148274</v>
      </c>
      <c r="G132" s="431">
        <f t="shared" si="10"/>
        <v>0</v>
      </c>
      <c r="H132" s="99">
        <f>G132+'25'!H132</f>
        <v>1289</v>
      </c>
      <c r="I132" s="165"/>
      <c r="J132" s="328">
        <f>H132/DAY(B2)</f>
        <v>49.57692307692308</v>
      </c>
    </row>
    <row r="133" spans="1:15" ht="25.5">
      <c r="A133" s="894" t="s">
        <v>359</v>
      </c>
      <c r="B133" s="895"/>
      <c r="C133" s="896"/>
      <c r="D133" s="151" t="s">
        <v>183</v>
      </c>
      <c r="E133" s="95">
        <f>'25'!F133</f>
        <v>928611</v>
      </c>
      <c r="F133" s="165">
        <v>929946</v>
      </c>
      <c r="G133" s="431">
        <f t="shared" si="10"/>
        <v>1335</v>
      </c>
      <c r="H133" s="99">
        <f>G133+'25'!H133</f>
        <v>19702</v>
      </c>
      <c r="I133" s="165"/>
      <c r="J133" s="328">
        <f>H133/DAY(B2)</f>
        <v>757.76923076923072</v>
      </c>
    </row>
    <row r="134" spans="1:15" ht="25.5">
      <c r="A134" s="894" t="s">
        <v>340</v>
      </c>
      <c r="B134" s="895"/>
      <c r="C134" s="896"/>
      <c r="D134" s="151" t="s">
        <v>183</v>
      </c>
      <c r="E134" s="95">
        <f>'25'!F134</f>
        <v>84379.5</v>
      </c>
      <c r="F134" s="165">
        <v>84633.3</v>
      </c>
      <c r="G134" s="431">
        <f t="shared" si="10"/>
        <v>253.80000000000291</v>
      </c>
      <c r="H134" s="99">
        <f>G134+'25'!H134</f>
        <v>5873.6999999999971</v>
      </c>
      <c r="I134" s="165"/>
      <c r="J134" s="328">
        <f>H134/DAY(B2)</f>
        <v>225.91153846153836</v>
      </c>
    </row>
    <row r="135" spans="1:15" ht="25.5">
      <c r="A135" s="853" t="s">
        <v>196</v>
      </c>
      <c r="B135" s="854"/>
      <c r="C135" s="331"/>
      <c r="D135" s="151"/>
      <c r="E135" s="95"/>
      <c r="F135" s="165"/>
      <c r="G135" s="431">
        <f>SUM(G128:G134)</f>
        <v>2895.1100000000006</v>
      </c>
      <c r="H135" s="99">
        <f>G135+'23'!H135</f>
        <v>29921.579999999987</v>
      </c>
      <c r="I135" s="327">
        <f>G135-(G35+G49)</f>
        <v>12.119999999951688</v>
      </c>
      <c r="J135" s="328"/>
    </row>
    <row r="136" spans="1:15" ht="27.75">
      <c r="A136" s="924" t="s">
        <v>325</v>
      </c>
      <c r="B136" s="924"/>
      <c r="C136" s="924"/>
      <c r="D136" s="924"/>
      <c r="E136" s="924"/>
      <c r="F136" s="924"/>
      <c r="G136" s="924"/>
      <c r="H136" s="924"/>
      <c r="I136" s="924"/>
      <c r="J136" s="924"/>
    </row>
    <row r="137" spans="1:15" ht="26.25">
      <c r="A137" s="245"/>
      <c r="B137" s="246"/>
      <c r="C137" s="246"/>
      <c r="D137" s="165"/>
      <c r="E137" s="165"/>
      <c r="F137" s="165"/>
      <c r="G137" s="451"/>
      <c r="H137" s="156"/>
      <c r="I137" s="165"/>
      <c r="J137" s="327"/>
    </row>
    <row r="138" spans="1:15" ht="25.5">
      <c r="A138" s="889" t="s">
        <v>185</v>
      </c>
      <c r="B138" s="889"/>
      <c r="C138" s="889"/>
      <c r="D138" s="151" t="s">
        <v>183</v>
      </c>
      <c r="E138" s="95">
        <f>'25'!F138</f>
        <v>908777</v>
      </c>
      <c r="F138" s="147">
        <v>909000</v>
      </c>
      <c r="G138" s="431">
        <f t="shared" ref="G138:G152" si="11">F138-E138</f>
        <v>223</v>
      </c>
      <c r="H138" s="99">
        <f>G138+'25'!H138</f>
        <v>3373</v>
      </c>
      <c r="I138" s="118"/>
      <c r="J138" s="328">
        <f>H138/DAY(B2)</f>
        <v>129.73076923076923</v>
      </c>
    </row>
    <row r="139" spans="1:15" ht="25.5">
      <c r="A139" s="889" t="s">
        <v>186</v>
      </c>
      <c r="B139" s="889"/>
      <c r="C139" s="889"/>
      <c r="D139" s="151" t="s">
        <v>183</v>
      </c>
      <c r="E139" s="95">
        <f>'25'!F139</f>
        <v>931387</v>
      </c>
      <c r="F139" s="148">
        <v>931711</v>
      </c>
      <c r="G139" s="431">
        <f t="shared" si="11"/>
        <v>324</v>
      </c>
      <c r="H139" s="99">
        <f>G139+'25'!H139</f>
        <v>4430</v>
      </c>
      <c r="I139" s="118"/>
      <c r="J139" s="328">
        <f>H139/DAY(B2)</f>
        <v>170.38461538461539</v>
      </c>
    </row>
    <row r="140" spans="1:15" ht="25.5">
      <c r="A140" s="889" t="s">
        <v>187</v>
      </c>
      <c r="B140" s="889"/>
      <c r="C140" s="889"/>
      <c r="D140" s="151" t="s">
        <v>183</v>
      </c>
      <c r="E140" s="95">
        <f>'25'!F140</f>
        <v>3919</v>
      </c>
      <c r="F140" s="148">
        <v>3940.59</v>
      </c>
      <c r="G140" s="431">
        <f t="shared" si="11"/>
        <v>21.590000000000146</v>
      </c>
      <c r="H140" s="99">
        <f>G140+'25'!H140</f>
        <v>609.49000000000024</v>
      </c>
      <c r="I140" s="118"/>
      <c r="J140" s="328">
        <f>H140/DAY(B2)</f>
        <v>23.441923076923086</v>
      </c>
    </row>
    <row r="141" spans="1:15" ht="25.5">
      <c r="A141" s="893" t="s">
        <v>188</v>
      </c>
      <c r="B141" s="893"/>
      <c r="C141" s="893"/>
      <c r="D141" s="151" t="s">
        <v>183</v>
      </c>
      <c r="E141" s="95">
        <f>'25'!F141</f>
        <v>123338</v>
      </c>
      <c r="F141" s="148">
        <v>123547.32</v>
      </c>
      <c r="G141" s="431">
        <f t="shared" si="11"/>
        <v>209.32000000000698</v>
      </c>
      <c r="H141" s="99">
        <f>G141+'25'!H141</f>
        <v>5989.3400000000111</v>
      </c>
      <c r="I141" s="118"/>
      <c r="J141" s="328">
        <f>H141/DAY(B2)</f>
        <v>230.3592307692312</v>
      </c>
    </row>
    <row r="142" spans="1:15" ht="25.5">
      <c r="A142" s="893" t="s">
        <v>189</v>
      </c>
      <c r="B142" s="893"/>
      <c r="C142" s="893"/>
      <c r="D142" s="151" t="s">
        <v>183</v>
      </c>
      <c r="E142" s="95">
        <f>'25'!F142</f>
        <v>49965</v>
      </c>
      <c r="F142" s="148">
        <v>50091</v>
      </c>
      <c r="G142" s="431">
        <f t="shared" si="11"/>
        <v>126</v>
      </c>
      <c r="H142" s="99">
        <f>G142+'25'!H142</f>
        <v>2586.5</v>
      </c>
      <c r="I142" s="140"/>
      <c r="J142" s="328">
        <f>H142/DAY(B2)</f>
        <v>99.480769230769226</v>
      </c>
    </row>
    <row r="143" spans="1:15" ht="25.5">
      <c r="A143" s="889" t="s">
        <v>91</v>
      </c>
      <c r="B143" s="889"/>
      <c r="C143" s="889"/>
      <c r="D143" s="151" t="s">
        <v>183</v>
      </c>
      <c r="E143" s="95">
        <f>'25'!F143</f>
        <v>13191</v>
      </c>
      <c r="F143" s="148">
        <v>13225.59</v>
      </c>
      <c r="G143" s="431">
        <f t="shared" si="11"/>
        <v>34.590000000000146</v>
      </c>
      <c r="H143" s="99">
        <f>G143+'25'!H143</f>
        <v>810.19000000000051</v>
      </c>
      <c r="I143" s="140"/>
      <c r="J143" s="328">
        <f>H143/DAY(B2)</f>
        <v>31.161153846153866</v>
      </c>
    </row>
    <row r="144" spans="1:15" ht="25.5">
      <c r="A144" s="893" t="s">
        <v>90</v>
      </c>
      <c r="B144" s="893"/>
      <c r="C144" s="893"/>
      <c r="D144" s="151" t="s">
        <v>183</v>
      </c>
      <c r="E144" s="95">
        <f>'25'!F144</f>
        <v>953991</v>
      </c>
      <c r="F144" s="148">
        <v>954198</v>
      </c>
      <c r="G144" s="431">
        <f t="shared" si="11"/>
        <v>207</v>
      </c>
      <c r="H144" s="99">
        <f>G144+'25'!H144</f>
        <v>6000</v>
      </c>
      <c r="I144" s="140"/>
      <c r="J144" s="328">
        <f>H144/DAY(B2)</f>
        <v>230.76923076923077</v>
      </c>
    </row>
    <row r="145" spans="1:10" ht="25.5">
      <c r="A145" s="889" t="s">
        <v>190</v>
      </c>
      <c r="B145" s="889"/>
      <c r="C145" s="889"/>
      <c r="D145" s="152" t="s">
        <v>183</v>
      </c>
      <c r="E145" s="95">
        <f>'25'!F145</f>
        <v>26325</v>
      </c>
      <c r="F145" s="148">
        <v>26433</v>
      </c>
      <c r="G145" s="431">
        <f t="shared" si="11"/>
        <v>108</v>
      </c>
      <c r="H145" s="99">
        <f>G145+'25'!H145</f>
        <v>3836.9000000000015</v>
      </c>
      <c r="I145" s="140"/>
      <c r="J145" s="328">
        <f>H145/DAY(B2)</f>
        <v>147.57307692307697</v>
      </c>
    </row>
    <row r="146" spans="1:10" ht="25.5">
      <c r="A146" s="890" t="s">
        <v>191</v>
      </c>
      <c r="B146" s="891"/>
      <c r="C146" s="892"/>
      <c r="D146" s="152" t="s">
        <v>183</v>
      </c>
      <c r="E146" s="95">
        <f>'25'!F146</f>
        <v>787645</v>
      </c>
      <c r="F146" s="148">
        <v>787672</v>
      </c>
      <c r="G146" s="431">
        <f t="shared" si="11"/>
        <v>27</v>
      </c>
      <c r="H146" s="99">
        <f>G146+'25'!H146</f>
        <v>1004</v>
      </c>
      <c r="I146" s="140"/>
      <c r="J146" s="328">
        <f>H146/DAY(B2)</f>
        <v>38.615384615384613</v>
      </c>
    </row>
    <row r="147" spans="1:10" ht="25.5">
      <c r="A147" s="893" t="s">
        <v>192</v>
      </c>
      <c r="B147" s="893"/>
      <c r="C147" s="893"/>
      <c r="D147" s="152" t="s">
        <v>183</v>
      </c>
      <c r="E147" s="95">
        <f>'25'!F147</f>
        <v>757807</v>
      </c>
      <c r="F147" s="148">
        <v>758552</v>
      </c>
      <c r="G147" s="431">
        <f t="shared" si="11"/>
        <v>745</v>
      </c>
      <c r="H147" s="99">
        <f>G147+'25'!H147</f>
        <v>10997.839999999967</v>
      </c>
      <c r="I147" s="140"/>
      <c r="J147" s="328">
        <f>H147/DAY(B2)</f>
        <v>422.99384615384491</v>
      </c>
    </row>
    <row r="148" spans="1:10" ht="25.5">
      <c r="A148" s="886" t="s">
        <v>193</v>
      </c>
      <c r="B148" s="887"/>
      <c r="C148" s="888"/>
      <c r="D148" s="123" t="s">
        <v>130</v>
      </c>
      <c r="E148" s="95">
        <f>'25'!F148</f>
        <v>794276</v>
      </c>
      <c r="F148" s="164">
        <v>794868.64</v>
      </c>
      <c r="G148" s="431">
        <f t="shared" si="11"/>
        <v>592.64000000001397</v>
      </c>
      <c r="H148" s="99">
        <f>G148+'25'!H148</f>
        <v>10223.640000000014</v>
      </c>
      <c r="I148" s="124"/>
      <c r="J148" s="328">
        <f>H148/DAY(B2)</f>
        <v>393.21692307692359</v>
      </c>
    </row>
    <row r="149" spans="1:10" ht="25.5">
      <c r="A149" s="886" t="s">
        <v>336</v>
      </c>
      <c r="B149" s="887"/>
      <c r="C149" s="888"/>
      <c r="D149" s="227" t="s">
        <v>130</v>
      </c>
      <c r="E149" s="95">
        <f>'25'!F149</f>
        <v>197621</v>
      </c>
      <c r="F149" s="415">
        <v>198034</v>
      </c>
      <c r="G149" s="431">
        <f t="shared" si="11"/>
        <v>413</v>
      </c>
      <c r="H149" s="99">
        <f>G149+'25'!H149</f>
        <v>12737.109999999986</v>
      </c>
      <c r="I149" s="119"/>
      <c r="J149" s="328">
        <f>H149/DAY(B2)</f>
        <v>489.88884615384563</v>
      </c>
    </row>
    <row r="150" spans="1:10" ht="25.5">
      <c r="A150" s="886" t="s">
        <v>337</v>
      </c>
      <c r="B150" s="887"/>
      <c r="C150" s="888"/>
      <c r="D150" s="117" t="s">
        <v>130</v>
      </c>
      <c r="E150" s="95">
        <f>'25'!F150</f>
        <v>83498</v>
      </c>
      <c r="F150" s="233">
        <v>83811</v>
      </c>
      <c r="G150" s="431">
        <f t="shared" si="11"/>
        <v>313</v>
      </c>
      <c r="H150" s="99">
        <f>G150+'25'!H150</f>
        <v>6922.6999999999971</v>
      </c>
      <c r="I150" s="119"/>
      <c r="J150" s="328">
        <f>H150/DAY(B2)</f>
        <v>266.2576923076922</v>
      </c>
    </row>
    <row r="151" spans="1:10" ht="25.5">
      <c r="A151" s="886" t="s">
        <v>338</v>
      </c>
      <c r="B151" s="887"/>
      <c r="C151" s="888"/>
      <c r="D151" s="117" t="s">
        <v>130</v>
      </c>
      <c r="E151" s="95">
        <f>'25'!F151</f>
        <v>164945</v>
      </c>
      <c r="F151" s="233">
        <v>165209</v>
      </c>
      <c r="G151" s="431">
        <f t="shared" si="11"/>
        <v>264</v>
      </c>
      <c r="H151" s="99">
        <f>G151+'25'!H151</f>
        <v>6899</v>
      </c>
      <c r="I151" s="119"/>
      <c r="J151" s="328">
        <f>H151/DAY(B2)</f>
        <v>265.34615384615387</v>
      </c>
    </row>
    <row r="152" spans="1:10" ht="25.5">
      <c r="A152" s="886" t="s">
        <v>339</v>
      </c>
      <c r="B152" s="887"/>
      <c r="C152" s="888"/>
      <c r="D152" s="117" t="s">
        <v>130</v>
      </c>
      <c r="E152" s="95">
        <f>'25'!F152</f>
        <v>41746</v>
      </c>
      <c r="F152" s="233">
        <v>41870</v>
      </c>
      <c r="G152" s="431">
        <f t="shared" si="11"/>
        <v>124</v>
      </c>
      <c r="H152" s="99">
        <f>G152+'25'!H152</f>
        <v>3254.0999999999985</v>
      </c>
      <c r="I152" s="119"/>
      <c r="J152" s="328">
        <f>H152/DAY(B2)</f>
        <v>125.15769230769226</v>
      </c>
    </row>
    <row r="153" spans="1:10" ht="25.5">
      <c r="A153" s="853" t="s">
        <v>196</v>
      </c>
      <c r="B153" s="854"/>
      <c r="C153" s="365"/>
      <c r="D153" s="358"/>
      <c r="E153" s="360"/>
      <c r="F153" s="361"/>
      <c r="G153" s="453">
        <f>SUM(G138:G152)</f>
        <v>3732.1400000000212</v>
      </c>
      <c r="H153" s="363"/>
      <c r="I153" s="119">
        <f>G153-(G38+G52)</f>
        <v>1354.1099999999842</v>
      </c>
      <c r="J153" s="366"/>
    </row>
    <row r="154" spans="1:10" ht="27.75">
      <c r="A154" s="924" t="s">
        <v>344</v>
      </c>
      <c r="B154" s="924"/>
      <c r="C154" s="924"/>
      <c r="D154" s="924"/>
      <c r="E154" s="924"/>
      <c r="F154" s="924"/>
      <c r="G154" s="924"/>
      <c r="H154" s="924"/>
      <c r="I154" s="924"/>
      <c r="J154" s="924"/>
    </row>
    <row r="155" spans="1:10" ht="27.75">
      <c r="A155" s="893" t="s">
        <v>345</v>
      </c>
      <c r="B155" s="893"/>
      <c r="C155" s="893"/>
      <c r="D155" s="117" t="s">
        <v>130</v>
      </c>
      <c r="E155" s="95">
        <f>'25'!F155</f>
        <v>235529</v>
      </c>
      <c r="F155" s="553">
        <v>236084</v>
      </c>
      <c r="G155" s="431">
        <f t="shared" ref="G155:G158" si="12">F155-E155</f>
        <v>555</v>
      </c>
      <c r="H155" s="99">
        <f>G155+'25'!H155</f>
        <v>16096.299999999988</v>
      </c>
      <c r="I155" s="364"/>
      <c r="J155" s="328">
        <f>H155/DAY(B2)</f>
        <v>619.08846153846105</v>
      </c>
    </row>
    <row r="156" spans="1:10" ht="25.5">
      <c r="A156" s="893" t="s">
        <v>347</v>
      </c>
      <c r="B156" s="893"/>
      <c r="C156" s="893"/>
      <c r="D156" s="117" t="s">
        <v>130</v>
      </c>
      <c r="E156" s="95">
        <f>'25'!F156</f>
        <v>28930</v>
      </c>
      <c r="F156" s="157">
        <v>29030.45</v>
      </c>
      <c r="G156" s="431">
        <f t="shared" si="12"/>
        <v>100.45000000000073</v>
      </c>
      <c r="H156" s="99">
        <f>G156+'25'!H156</f>
        <v>2500.25</v>
      </c>
      <c r="I156" s="165"/>
      <c r="J156" s="328">
        <f>H156/DAY(B2)</f>
        <v>96.163461538461533</v>
      </c>
    </row>
    <row r="157" spans="1:10" ht="25.5">
      <c r="A157" s="886" t="s">
        <v>360</v>
      </c>
      <c r="B157" s="887"/>
      <c r="C157" s="888"/>
      <c r="D157" s="117" t="s">
        <v>130</v>
      </c>
      <c r="E157" s="95">
        <f>'25'!F157</f>
        <v>37559</v>
      </c>
      <c r="F157" s="155">
        <v>37559</v>
      </c>
      <c r="G157" s="431">
        <f t="shared" si="12"/>
        <v>0</v>
      </c>
      <c r="H157" s="99">
        <f>G157+'25'!H157</f>
        <v>0</v>
      </c>
      <c r="I157" s="165"/>
      <c r="J157" s="328">
        <f>H157/DAY(B2)</f>
        <v>0</v>
      </c>
    </row>
    <row r="158" spans="1:10" ht="25.5">
      <c r="A158" s="886" t="s">
        <v>361</v>
      </c>
      <c r="B158" s="887"/>
      <c r="C158" s="888"/>
      <c r="D158" s="117" t="s">
        <v>130</v>
      </c>
      <c r="E158" s="95">
        <f>'25'!F158</f>
        <v>1752</v>
      </c>
      <c r="F158" s="155">
        <v>1754.17</v>
      </c>
      <c r="G158" s="431">
        <f t="shared" si="12"/>
        <v>2.1700000000000728</v>
      </c>
      <c r="H158" s="99">
        <f>G158+'25'!H158</f>
        <v>11.050000000000182</v>
      </c>
      <c r="I158" s="165"/>
      <c r="J158" s="328">
        <f>H158/DAY(B2)</f>
        <v>0.42500000000000698</v>
      </c>
    </row>
    <row r="159" spans="1:10" ht="25.5">
      <c r="A159" s="942"/>
      <c r="B159" s="943"/>
      <c r="C159" s="944"/>
      <c r="D159" s="117"/>
      <c r="E159" s="95"/>
      <c r="F159" s="165"/>
      <c r="G159" s="431"/>
      <c r="H159" s="99"/>
      <c r="I159" s="165"/>
      <c r="J159" s="328"/>
    </row>
    <row r="160" spans="1:10" ht="27.75">
      <c r="A160" s="924" t="s">
        <v>326</v>
      </c>
      <c r="B160" s="924"/>
      <c r="C160" s="924"/>
      <c r="D160" s="924"/>
      <c r="E160" s="924"/>
      <c r="F160" s="924"/>
      <c r="G160" s="924"/>
      <c r="H160" s="924"/>
      <c r="I160" s="924"/>
      <c r="J160" s="924"/>
    </row>
    <row r="161" spans="1:10" ht="26.25">
      <c r="A161" s="242" t="s">
        <v>92</v>
      </c>
      <c r="B161" s="243"/>
      <c r="C161" s="243"/>
      <c r="D161" s="244" t="s">
        <v>180</v>
      </c>
      <c r="E161" s="95">
        <f>'25'!F161</f>
        <v>507449</v>
      </c>
      <c r="F161" s="235">
        <v>507600</v>
      </c>
      <c r="G161" s="454">
        <f t="shared" ref="G161:G165" si="13">F161-E161</f>
        <v>151</v>
      </c>
      <c r="H161" s="99">
        <f>G161+'25'!H161</f>
        <v>4228.8400000000256</v>
      </c>
      <c r="I161" s="236"/>
      <c r="J161" s="239">
        <f>H161/DAY(B2)</f>
        <v>162.64769230769329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'25'!F162</f>
        <v>595</v>
      </c>
      <c r="F162" s="235">
        <v>630.70000000000005</v>
      </c>
      <c r="G162" s="454">
        <f t="shared" si="13"/>
        <v>35.700000000000045</v>
      </c>
      <c r="H162" s="99">
        <f>G162+'25'!H162</f>
        <v>1010.8999999999942</v>
      </c>
      <c r="I162" s="236"/>
      <c r="J162" s="239">
        <f>H162/DAY(B2)</f>
        <v>38.880769230769005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'25'!F163</f>
        <v>0</v>
      </c>
      <c r="F163" s="235">
        <v>0</v>
      </c>
      <c r="G163" s="454">
        <f t="shared" si="13"/>
        <v>0</v>
      </c>
      <c r="H163" s="99">
        <f>G163+'25'!H163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'25'!F164</f>
        <v>7168</v>
      </c>
      <c r="F164" s="235">
        <v>7177.3</v>
      </c>
      <c r="G164" s="454">
        <f t="shared" si="13"/>
        <v>9.3000000000001819</v>
      </c>
      <c r="H164" s="99">
        <f>G164+'25'!H164</f>
        <v>187.10000000000036</v>
      </c>
      <c r="I164" s="236"/>
      <c r="J164" s="239">
        <f>H164/DAY(B2)</f>
        <v>7.1961538461538606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'25'!F165</f>
        <v>32741</v>
      </c>
      <c r="F165" s="235">
        <v>32756.18</v>
      </c>
      <c r="G165" s="454">
        <f t="shared" si="13"/>
        <v>15.180000000000291</v>
      </c>
      <c r="H165" s="99">
        <f>G165+'25'!H165</f>
        <v>182.08000000000175</v>
      </c>
      <c r="I165" s="236"/>
      <c r="J165" s="239">
        <f>H165/DAY(B2)</f>
        <v>7.00307692307699</v>
      </c>
    </row>
    <row r="166" spans="1:10" ht="26.25">
      <c r="A166" s="923"/>
      <c r="B166" s="923"/>
      <c r="C166" s="246"/>
      <c r="D166" s="244" t="s">
        <v>180</v>
      </c>
      <c r="E166" s="95">
        <f>'25'!F166</f>
        <v>0</v>
      </c>
      <c r="F166" s="165"/>
      <c r="G166" s="451"/>
      <c r="H166" s="99">
        <f>G166+'25'!H166</f>
        <v>0</v>
      </c>
      <c r="I166" s="165"/>
      <c r="J166" s="239">
        <f>H166/DAY(B2)</f>
        <v>0</v>
      </c>
    </row>
    <row r="167" spans="1:10" ht="26.25">
      <c r="A167" s="923"/>
      <c r="B167" s="923"/>
      <c r="C167" s="246"/>
      <c r="D167" s="244" t="s">
        <v>180</v>
      </c>
      <c r="E167" s="95">
        <f>'25'!F167</f>
        <v>0</v>
      </c>
      <c r="F167" s="165"/>
      <c r="G167" s="451"/>
      <c r="H167" s="99">
        <f>G167+'25'!H167</f>
        <v>0</v>
      </c>
      <c r="I167" s="165"/>
      <c r="J167" s="239">
        <f>H167/DAY(B2)</f>
        <v>0</v>
      </c>
    </row>
    <row r="168" spans="1:10" ht="26.25">
      <c r="A168" s="923"/>
      <c r="B168" s="923"/>
      <c r="C168" s="246"/>
      <c r="D168" s="244" t="s">
        <v>180</v>
      </c>
      <c r="E168" s="95">
        <f>'25'!F168</f>
        <v>0</v>
      </c>
      <c r="F168" s="165"/>
      <c r="G168" s="451"/>
      <c r="H168" s="99">
        <f>G168+'25'!H168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33" t="s">
        <v>330</v>
      </c>
      <c r="B171" s="934"/>
      <c r="C171" s="934"/>
      <c r="D171" s="934"/>
      <c r="E171" s="934"/>
      <c r="F171" s="934"/>
      <c r="G171" s="934"/>
      <c r="H171" s="934"/>
      <c r="I171" s="934"/>
      <c r="J171" s="935"/>
    </row>
    <row r="172" spans="1:10" ht="25.5">
      <c r="A172" s="929"/>
      <c r="B172" s="930"/>
      <c r="C172" s="332"/>
      <c r="D172" s="228"/>
      <c r="E172" s="155"/>
      <c r="F172" s="155"/>
      <c r="G172" s="455"/>
      <c r="H172" s="156"/>
      <c r="I172" s="155"/>
      <c r="J172" s="178"/>
    </row>
    <row r="173" spans="1:10" ht="25.5">
      <c r="A173" s="841" t="s">
        <v>209</v>
      </c>
      <c r="B173" s="843"/>
      <c r="C173" s="333"/>
      <c r="D173" s="228" t="s">
        <v>142</v>
      </c>
      <c r="E173" s="95">
        <f>'25'!F173</f>
        <v>8612</v>
      </c>
      <c r="F173" s="155">
        <v>8612</v>
      </c>
      <c r="G173" s="455">
        <f>F173-E173</f>
        <v>0</v>
      </c>
      <c r="H173" s="99">
        <f>G173+'25'!H173</f>
        <v>28</v>
      </c>
      <c r="I173" s="155"/>
      <c r="J173" s="178">
        <f>H173/DAY(B2)</f>
        <v>1.0769230769230769</v>
      </c>
    </row>
    <row r="174" spans="1:10" ht="25.5">
      <c r="A174" s="841" t="s">
        <v>75</v>
      </c>
      <c r="B174" s="843"/>
      <c r="C174" s="333"/>
      <c r="D174" s="228" t="s">
        <v>142</v>
      </c>
      <c r="E174" s="95">
        <f>'25'!F174</f>
        <v>42968</v>
      </c>
      <c r="F174" s="157">
        <v>43000</v>
      </c>
      <c r="G174" s="455">
        <f t="shared" ref="G174:G175" si="14">F174-E174</f>
        <v>32</v>
      </c>
      <c r="H174" s="99">
        <f>G174+'25'!H174</f>
        <v>331</v>
      </c>
      <c r="I174" s="155"/>
      <c r="J174" s="178">
        <f>H174/DAY(B2)</f>
        <v>12.73076923076923</v>
      </c>
    </row>
    <row r="175" spans="1:10" ht="25.5">
      <c r="A175" s="841" t="s">
        <v>76</v>
      </c>
      <c r="B175" s="842"/>
      <c r="C175" s="843"/>
      <c r="D175" s="228" t="s">
        <v>142</v>
      </c>
      <c r="E175" s="95">
        <f>'25'!F175</f>
        <v>25720</v>
      </c>
      <c r="F175" s="155">
        <v>25738</v>
      </c>
      <c r="G175" s="455">
        <f t="shared" si="14"/>
        <v>18</v>
      </c>
      <c r="H175" s="99">
        <f>G175+'25'!H175</f>
        <v>345</v>
      </c>
      <c r="I175" s="155"/>
      <c r="J175" s="178">
        <f>H175/DAY(B2)</f>
        <v>13.26923076923077</v>
      </c>
    </row>
    <row r="176" spans="1:10" ht="25.5">
      <c r="A176" s="853" t="s">
        <v>196</v>
      </c>
      <c r="B176" s="854"/>
      <c r="C176" s="400"/>
      <c r="D176" s="228" t="s">
        <v>142</v>
      </c>
      <c r="E176" s="95"/>
      <c r="F176" s="155"/>
      <c r="G176" s="455">
        <f>SUM(G173:G175)</f>
        <v>50</v>
      </c>
      <c r="H176" s="99">
        <f>G176+'25'!H176</f>
        <v>704</v>
      </c>
      <c r="I176" s="155"/>
      <c r="J176" s="178">
        <f>H176/DAY(B2)</f>
        <v>27.076923076923077</v>
      </c>
    </row>
    <row r="177" spans="1:10" ht="25.5">
      <c r="A177" s="841" t="s">
        <v>77</v>
      </c>
      <c r="B177" s="843"/>
      <c r="C177" s="333"/>
      <c r="D177" s="228" t="s">
        <v>142</v>
      </c>
      <c r="E177" s="95"/>
      <c r="F177" s="155"/>
      <c r="G177" s="455"/>
      <c r="H177" s="99">
        <f>G177+'25'!H177</f>
        <v>0</v>
      </c>
      <c r="I177" s="155"/>
      <c r="J177" s="178">
        <f>H177/DAY(B2)</f>
        <v>0</v>
      </c>
    </row>
    <row r="178" spans="1:10" ht="25.5">
      <c r="A178" s="841" t="s">
        <v>210</v>
      </c>
      <c r="B178" s="843"/>
      <c r="C178" s="333"/>
      <c r="D178" s="228" t="s">
        <v>142</v>
      </c>
      <c r="E178" s="95">
        <f>'25'!F178</f>
        <v>106284</v>
      </c>
      <c r="F178" s="155">
        <v>106398</v>
      </c>
      <c r="G178" s="455">
        <f>F178-E178</f>
        <v>114</v>
      </c>
      <c r="H178" s="99">
        <f>G178+'25'!H178</f>
        <v>2755</v>
      </c>
      <c r="I178" s="155"/>
      <c r="J178" s="178">
        <f>H178/DAY(B2)</f>
        <v>105.96153846153847</v>
      </c>
    </row>
    <row r="179" spans="1:10" ht="25.5">
      <c r="A179" s="841" t="s">
        <v>211</v>
      </c>
      <c r="B179" s="843"/>
      <c r="C179" s="333"/>
      <c r="D179" s="228" t="s">
        <v>142</v>
      </c>
      <c r="E179" s="95">
        <f>'25'!F179</f>
        <v>37501</v>
      </c>
      <c r="F179" s="155">
        <v>37501</v>
      </c>
      <c r="G179" s="455">
        <f t="shared" ref="G179:G180" si="15">F179-E179</f>
        <v>0</v>
      </c>
      <c r="H179" s="99">
        <f>G179+'25'!H179</f>
        <v>0</v>
      </c>
      <c r="I179" s="155"/>
      <c r="J179" s="178">
        <f>H179/DAY(B2)</f>
        <v>0</v>
      </c>
    </row>
    <row r="180" spans="1:10" ht="25.5">
      <c r="A180" s="841" t="s">
        <v>212</v>
      </c>
      <c r="B180" s="843"/>
      <c r="C180" s="333"/>
      <c r="D180" s="228" t="s">
        <v>142</v>
      </c>
      <c r="E180" s="95">
        <f>'25'!F180</f>
        <v>7529</v>
      </c>
      <c r="F180" s="155">
        <v>7535</v>
      </c>
      <c r="G180" s="455">
        <f t="shared" si="15"/>
        <v>6</v>
      </c>
      <c r="H180" s="99">
        <f>G180+'25'!H180</f>
        <v>115</v>
      </c>
      <c r="I180" s="155"/>
      <c r="J180" s="178">
        <f>H180/DAY(B2)</f>
        <v>4.4230769230769234</v>
      </c>
    </row>
    <row r="181" spans="1:10" ht="25.5">
      <c r="A181" s="927" t="s">
        <v>108</v>
      </c>
      <c r="B181" s="928"/>
      <c r="C181" s="400"/>
      <c r="D181" s="228" t="s">
        <v>142</v>
      </c>
      <c r="E181" s="95"/>
      <c r="F181" s="155"/>
      <c r="G181" s="455">
        <f>SUM(G178:G180)</f>
        <v>120</v>
      </c>
      <c r="H181" s="99">
        <f>G181+'25'!H181</f>
        <v>2870</v>
      </c>
      <c r="I181" s="155"/>
      <c r="J181" s="178">
        <f>H181/DAY(B2)</f>
        <v>110.38461538461539</v>
      </c>
    </row>
    <row r="182" spans="1:10" ht="25.5">
      <c r="A182" s="841" t="s">
        <v>213</v>
      </c>
      <c r="B182" s="843"/>
      <c r="C182" s="333"/>
      <c r="D182" s="228" t="s">
        <v>142</v>
      </c>
      <c r="E182" s="95"/>
      <c r="F182" s="155"/>
      <c r="G182" s="455"/>
      <c r="H182" s="99">
        <f>G182+'25'!H182</f>
        <v>0</v>
      </c>
      <c r="I182" s="155"/>
      <c r="J182" s="178">
        <f>H182/DAY(B2)</f>
        <v>0</v>
      </c>
    </row>
    <row r="183" spans="1:10" ht="25.5">
      <c r="A183" s="841" t="s">
        <v>214</v>
      </c>
      <c r="B183" s="843"/>
      <c r="C183" s="334"/>
      <c r="D183" s="228" t="s">
        <v>142</v>
      </c>
      <c r="E183" s="95">
        <f>'25'!F183</f>
        <v>18335</v>
      </c>
      <c r="F183" s="157">
        <v>18341</v>
      </c>
      <c r="G183" s="456">
        <f>F183-E183</f>
        <v>6</v>
      </c>
      <c r="H183" s="99">
        <f>G183+'25'!H183</f>
        <v>173</v>
      </c>
      <c r="I183" s="155"/>
      <c r="J183" s="178">
        <f>H183/DAY(B2)</f>
        <v>6.6538461538461542</v>
      </c>
    </row>
    <row r="184" spans="1:10" ht="25.5">
      <c r="A184" s="841" t="s">
        <v>215</v>
      </c>
      <c r="B184" s="843"/>
      <c r="C184" s="334"/>
      <c r="D184" s="228" t="s">
        <v>142</v>
      </c>
      <c r="E184" s="95">
        <f>'25'!F184</f>
        <v>12946</v>
      </c>
      <c r="F184" s="157">
        <v>12951</v>
      </c>
      <c r="G184" s="456">
        <f t="shared" ref="G184:G185" si="16">F184-E184</f>
        <v>5</v>
      </c>
      <c r="H184" s="99">
        <f>G184+'25'!H184</f>
        <v>220</v>
      </c>
      <c r="I184" s="155"/>
      <c r="J184" s="178">
        <f>H184/DAY(B2)</f>
        <v>8.4615384615384617</v>
      </c>
    </row>
    <row r="185" spans="1:10" ht="25.5">
      <c r="A185" s="841" t="s">
        <v>216</v>
      </c>
      <c r="B185" s="843"/>
      <c r="C185" s="334"/>
      <c r="D185" s="228" t="s">
        <v>142</v>
      </c>
      <c r="E185" s="95">
        <f>'25'!F185</f>
        <v>0</v>
      </c>
      <c r="F185" s="157"/>
      <c r="G185" s="456">
        <f t="shared" si="16"/>
        <v>0</v>
      </c>
      <c r="H185" s="99">
        <f>G185+'25'!H185</f>
        <v>0</v>
      </c>
      <c r="I185" s="155"/>
      <c r="J185" s="178">
        <f>H185/DAY(B2)</f>
        <v>0</v>
      </c>
    </row>
    <row r="186" spans="1:10" ht="25.5">
      <c r="A186" s="853" t="s">
        <v>196</v>
      </c>
      <c r="B186" s="854"/>
      <c r="C186" s="399"/>
      <c r="D186" s="228" t="s">
        <v>142</v>
      </c>
      <c r="E186" s="95"/>
      <c r="F186" s="157"/>
      <c r="G186" s="456">
        <f>SUM(G183:G185)</f>
        <v>11</v>
      </c>
      <c r="H186" s="99">
        <f>G186+'25'!H186</f>
        <v>393</v>
      </c>
      <c r="I186" s="157"/>
      <c r="J186" s="178">
        <f>H186/DAY(B2)</f>
        <v>15.115384615384615</v>
      </c>
    </row>
    <row r="187" spans="1:10" ht="25.5">
      <c r="A187" s="931" t="s">
        <v>217</v>
      </c>
      <c r="B187" s="932"/>
      <c r="C187" s="333"/>
      <c r="D187" s="228" t="s">
        <v>142</v>
      </c>
      <c r="E187" s="95">
        <f>'25'!F187</f>
        <v>0</v>
      </c>
      <c r="F187" s="159"/>
      <c r="G187" s="457">
        <f>G62+G19</f>
        <v>198</v>
      </c>
      <c r="H187" s="99">
        <f>G187+'25'!H187</f>
        <v>4541</v>
      </c>
      <c r="I187" s="158"/>
      <c r="J187" s="179">
        <f>H187/DAY(B2)</f>
        <v>174.65384615384616</v>
      </c>
    </row>
    <row r="188" spans="1:10" ht="25.5">
      <c r="A188" s="931" t="s">
        <v>218</v>
      </c>
      <c r="B188" s="932"/>
      <c r="C188" s="333"/>
      <c r="D188" s="228" t="s">
        <v>142</v>
      </c>
      <c r="E188" s="95">
        <f>'25'!F188</f>
        <v>0</v>
      </c>
      <c r="F188" s="159"/>
      <c r="G188" s="457">
        <f>G65+G66+G67+G69+G70</f>
        <v>211</v>
      </c>
      <c r="H188" s="99">
        <f>G188+'25'!H188</f>
        <v>2219</v>
      </c>
      <c r="I188" s="158"/>
      <c r="J188" s="179">
        <f>H188/DAY(B2)</f>
        <v>85.34615384615384</v>
      </c>
    </row>
    <row r="189" spans="1:10" ht="25.5">
      <c r="A189" s="931" t="s">
        <v>219</v>
      </c>
      <c r="B189" s="932"/>
      <c r="C189" s="333"/>
      <c r="D189" s="228" t="s">
        <v>142</v>
      </c>
      <c r="E189" s="95">
        <f>'25'!F189</f>
        <v>0</v>
      </c>
      <c r="F189" s="157"/>
      <c r="G189" s="457">
        <f>G181</f>
        <v>120</v>
      </c>
      <c r="H189" s="99">
        <f>G189+'25'!H189</f>
        <v>1010</v>
      </c>
      <c r="I189" s="158"/>
      <c r="J189" s="179">
        <f>H189/DAY(B2)</f>
        <v>38.846153846153847</v>
      </c>
    </row>
    <row r="190" spans="1:10" ht="25.5">
      <c r="A190" s="925"/>
      <c r="B190" s="926"/>
      <c r="C190" s="398"/>
      <c r="D190" s="395"/>
      <c r="E190" s="395" t="s">
        <v>207</v>
      </c>
      <c r="F190" s="395"/>
      <c r="G190" s="552"/>
      <c r="H190" s="396"/>
      <c r="I190" s="395"/>
      <c r="J190" s="397"/>
    </row>
    <row r="191" spans="1:10" ht="26.25">
      <c r="F191" s="160">
        <f>515993-516223</f>
        <v>-230</v>
      </c>
    </row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84:B184"/>
    <mergeCell ref="A183:B183"/>
    <mergeCell ref="A180:B180"/>
    <mergeCell ref="A181:B181"/>
    <mergeCell ref="A182:B182"/>
    <mergeCell ref="A175:C175"/>
    <mergeCell ref="A177:B177"/>
    <mergeCell ref="A178:B178"/>
    <mergeCell ref="A179:B179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2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  <pageSetUpPr fitToPage="1"/>
  </sheetPr>
  <dimension ref="A1:R1701"/>
  <sheetViews>
    <sheetView view="pageBreakPreview" topLeftCell="A7" zoomScale="55" zoomScaleSheetLayoutView="55" workbookViewId="0">
      <selection activeCell="H18" sqref="H18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67" t="s">
        <v>115</v>
      </c>
      <c r="B1" s="868"/>
      <c r="C1" s="868"/>
      <c r="D1" s="868"/>
      <c r="E1" s="868"/>
      <c r="F1" s="868"/>
      <c r="G1" s="868"/>
      <c r="H1" s="868"/>
      <c r="I1" s="868"/>
      <c r="J1" s="869"/>
    </row>
    <row r="2" spans="1:15" s="57" customFormat="1" ht="23.25">
      <c r="A2" s="191" t="s">
        <v>374</v>
      </c>
      <c r="B2" s="262">
        <v>44922</v>
      </c>
      <c r="C2" s="348" t="s">
        <v>67</v>
      </c>
      <c r="D2" s="218">
        <v>0.76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32</v>
      </c>
      <c r="E3" s="876" t="s">
        <v>119</v>
      </c>
      <c r="F3" s="877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0.76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/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0" t="s">
        <v>128</v>
      </c>
      <c r="B6" s="871"/>
      <c r="C6" s="87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'26'!F7</f>
        <v>866790.71</v>
      </c>
      <c r="F7" s="95">
        <v>887374.31</v>
      </c>
      <c r="G7" s="112">
        <f>F7-E7</f>
        <v>20583.600000000093</v>
      </c>
      <c r="H7" s="99">
        <f>G7+'26'!H7</f>
        <v>613691.76</v>
      </c>
      <c r="I7" s="113">
        <f>'1'!I7</f>
        <v>12000</v>
      </c>
      <c r="J7" s="175">
        <f>H7/DAY(B2)</f>
        <v>22729.324444444446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'26'!F8</f>
        <v>47740</v>
      </c>
      <c r="F8" s="114">
        <v>68537.899999999994</v>
      </c>
      <c r="G8" s="115">
        <f>F8-E8</f>
        <v>20797.899999999994</v>
      </c>
      <c r="H8" s="99">
        <f>G8+'26'!H8</f>
        <v>617276.9</v>
      </c>
      <c r="I8" s="116"/>
      <c r="J8" s="175">
        <f>H8/DAY(B2)</f>
        <v>22862.107407407409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'26'!F9</f>
        <v>4335325</v>
      </c>
      <c r="F9" s="468">
        <v>4351291.51</v>
      </c>
      <c r="G9" s="112">
        <f>F9-E9</f>
        <v>15966.509999999776</v>
      </c>
      <c r="H9" s="99">
        <f>G9+'26'!H9</f>
        <v>237121.20999999996</v>
      </c>
      <c r="I9" s="124">
        <f>I7-J7</f>
        <v>-10729.324444444446</v>
      </c>
      <c r="J9" s="175">
        <f>H9/DAY(B2)</f>
        <v>8782.2670370370361</v>
      </c>
      <c r="K9" s="79">
        <f>K8-100</f>
        <v>1715817</v>
      </c>
      <c r="L9" s="66"/>
      <c r="N9" s="87"/>
      <c r="O9" s="71">
        <f>G8-G7</f>
        <v>214.29999999990105</v>
      </c>
    </row>
    <row r="10" spans="1:15" ht="26.25">
      <c r="A10" s="194" t="s">
        <v>133</v>
      </c>
      <c r="B10" s="195"/>
      <c r="C10" s="195"/>
      <c r="D10" s="151" t="s">
        <v>130</v>
      </c>
      <c r="E10" s="95">
        <f>'26'!F10</f>
        <v>4044882.7</v>
      </c>
      <c r="F10" s="353">
        <v>4049399</v>
      </c>
      <c r="G10" s="112">
        <f t="shared" ref="G10:G12" si="0">F10-E10</f>
        <v>4516.2999999998137</v>
      </c>
      <c r="H10" s="99">
        <f>G10+'26'!H10</f>
        <v>359919.89999999991</v>
      </c>
      <c r="I10" s="282"/>
      <c r="J10" s="175">
        <f>H10/DAY(B2)</f>
        <v>13330.366666666663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'26'!F11</f>
        <v>38700</v>
      </c>
      <c r="F11" s="95">
        <v>38700</v>
      </c>
      <c r="G11" s="112">
        <f t="shared" si="0"/>
        <v>0</v>
      </c>
      <c r="H11" s="99">
        <f>G11+'26'!H11</f>
        <v>580</v>
      </c>
      <c r="I11" s="282"/>
      <c r="J11" s="175">
        <f>H11/DAY(B2)</f>
        <v>21.481481481481481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'26'!F12</f>
        <v>40550</v>
      </c>
      <c r="F12" s="117">
        <v>40550</v>
      </c>
      <c r="G12" s="112">
        <f t="shared" si="0"/>
        <v>0</v>
      </c>
      <c r="H12" s="99">
        <f>G12+'26'!H12</f>
        <v>160</v>
      </c>
      <c r="I12" s="282"/>
      <c r="J12" s="175">
        <f>H12/DAY(B2)</f>
        <v>5.9259259259259256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20482.80999999959</v>
      </c>
      <c r="H13" s="99">
        <f>G13+'26'!H13</f>
        <v>602009.80999999959</v>
      </c>
      <c r="I13" s="120">
        <f>G7-G13</f>
        <v>100.79000000050291</v>
      </c>
      <c r="J13" s="175">
        <f>H13/DAY(B2)</f>
        <v>22296.659629629616</v>
      </c>
      <c r="K13" s="79"/>
      <c r="L13" s="66"/>
      <c r="N13" s="87"/>
      <c r="O13" s="71"/>
    </row>
    <row r="14" spans="1:15" ht="26.25">
      <c r="A14" s="873" t="s">
        <v>137</v>
      </c>
      <c r="B14" s="874"/>
      <c r="C14" s="87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8">
        <f>'26'!F15</f>
        <v>2247378.79</v>
      </c>
      <c r="F15" s="468">
        <v>2248574.15</v>
      </c>
      <c r="G15" s="112">
        <f>(F15-E15)</f>
        <v>1195.3599999998696</v>
      </c>
      <c r="H15" s="99">
        <f>G15+'26'!H15</f>
        <v>29633.149999999907</v>
      </c>
      <c r="I15" s="113">
        <f>'1'!I15</f>
        <v>800</v>
      </c>
      <c r="J15" s="175">
        <f>H15/DAY(B2)</f>
        <v>1097.5240740740705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-297.52407407407054</v>
      </c>
      <c r="J16" s="176"/>
      <c r="K16" s="79"/>
      <c r="L16" s="66"/>
      <c r="N16" s="87"/>
      <c r="O16" s="71"/>
    </row>
    <row r="17" spans="1:15" ht="26.25">
      <c r="A17" s="873" t="s">
        <v>140</v>
      </c>
      <c r="B17" s="874"/>
      <c r="C17" s="87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64" t="s">
        <v>141</v>
      </c>
      <c r="B18" s="865"/>
      <c r="C18" s="866"/>
      <c r="D18" s="151" t="s">
        <v>142</v>
      </c>
      <c r="E18" s="95">
        <f>'26'!F18</f>
        <v>24</v>
      </c>
      <c r="F18" s="122">
        <v>29</v>
      </c>
      <c r="G18" s="119">
        <f>F18*10</f>
        <v>290</v>
      </c>
      <c r="H18" s="99">
        <f>G18+'26'!H18</f>
        <v>7230</v>
      </c>
      <c r="I18" s="113">
        <f>'1'!I18</f>
        <v>65</v>
      </c>
      <c r="J18" s="175">
        <f>H18/DAY(B2)</f>
        <v>267.77777777777777</v>
      </c>
      <c r="K18" s="79"/>
      <c r="L18" s="66"/>
      <c r="N18" s="87"/>
      <c r="O18" s="71"/>
    </row>
    <row r="19" spans="1:15" ht="25.5">
      <c r="A19" s="864" t="s">
        <v>69</v>
      </c>
      <c r="B19" s="865"/>
      <c r="C19" s="866"/>
      <c r="D19" s="151" t="s">
        <v>142</v>
      </c>
      <c r="E19" s="95">
        <f>'26'!F19</f>
        <v>169291</v>
      </c>
      <c r="F19" s="122">
        <v>169343</v>
      </c>
      <c r="G19" s="112">
        <f t="shared" ref="G19" si="1">F19-E19</f>
        <v>52</v>
      </c>
      <c r="H19" s="99">
        <f>G19+'26'!H19</f>
        <v>1467</v>
      </c>
      <c r="I19" s="335"/>
      <c r="J19" s="175">
        <f>H19/DAY(B2)</f>
        <v>54.333333333333336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342</v>
      </c>
      <c r="H20" s="99">
        <f>G20+'26'!H20</f>
        <v>8697</v>
      </c>
      <c r="I20" s="336">
        <f>I18-J20</f>
        <v>-257.11111111111109</v>
      </c>
      <c r="J20" s="175">
        <f>H20/DAY(B2)</f>
        <v>322.11111111111109</v>
      </c>
      <c r="K20" s="79"/>
      <c r="L20" s="66"/>
      <c r="N20" s="87"/>
      <c r="O20" s="71"/>
    </row>
    <row r="21" spans="1:15" ht="26.25">
      <c r="A21" s="873" t="s">
        <v>144</v>
      </c>
      <c r="B21" s="874"/>
      <c r="C21" s="87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'26'!F22</f>
        <v>2970</v>
      </c>
      <c r="F22" s="122">
        <v>2970</v>
      </c>
      <c r="G22" s="112">
        <f t="shared" ref="G22:G24" si="2">F22-E22</f>
        <v>0</v>
      </c>
      <c r="H22" s="99">
        <f>G22+'26'!H22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'26'!F23</f>
        <v>1500</v>
      </c>
      <c r="F23" s="122">
        <v>1500</v>
      </c>
      <c r="G23" s="112">
        <f t="shared" si="2"/>
        <v>0</v>
      </c>
      <c r="H23" s="99">
        <f>G23+'26'!H23</f>
        <v>-100</v>
      </c>
      <c r="I23" s="118"/>
      <c r="J23" s="175">
        <f>H23/DAY(B2)</f>
        <v>-3.7037037037037037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'26'!F24</f>
        <v>4470</v>
      </c>
      <c r="F24" s="128">
        <v>4470</v>
      </c>
      <c r="G24" s="112">
        <f t="shared" si="2"/>
        <v>0</v>
      </c>
      <c r="H24" s="99">
        <f>G24+'26'!H24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78" t="s">
        <v>149</v>
      </c>
      <c r="B25" s="879"/>
      <c r="C25" s="88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20797.899999999994</v>
      </c>
      <c r="F27" s="136">
        <v>9</v>
      </c>
      <c r="G27" s="137">
        <f>E27*F27</f>
        <v>187181.09999999995</v>
      </c>
      <c r="H27" s="99">
        <f>G27+'26'!H27</f>
        <v>5578082.8999999994</v>
      </c>
      <c r="I27" s="138"/>
      <c r="J27" s="175">
        <f>H27/DAY(B2)</f>
        <v>206595.66296296293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1195.3599999998696</v>
      </c>
      <c r="F28" s="136">
        <v>70</v>
      </c>
      <c r="G28" s="137">
        <f>E28*F28</f>
        <v>83675.199999990873</v>
      </c>
      <c r="H28" s="99">
        <f>G28+'26'!H28</f>
        <v>2084832.2499999939</v>
      </c>
      <c r="I28" s="140"/>
      <c r="J28" s="175">
        <f>H28/DAY(B2)</f>
        <v>77216.009259259037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G29+'26'!H29</f>
        <v>20700</v>
      </c>
      <c r="I29" s="140"/>
      <c r="J29" s="175">
        <f>H29/DAY(B2)</f>
        <v>766.66666666666663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151</v>
      </c>
      <c r="G30" s="137">
        <f>E30*F30</f>
        <v>7852</v>
      </c>
      <c r="H30" s="99">
        <f>G30+'26'!H30</f>
        <v>221517</v>
      </c>
      <c r="I30" s="140"/>
      <c r="J30" s="175">
        <f>H30/DAY(B2)</f>
        <v>8204.3333333333339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290</v>
      </c>
      <c r="F31" s="136">
        <v>80</v>
      </c>
      <c r="G31" s="137">
        <f>E31*F31</f>
        <v>23200</v>
      </c>
      <c r="H31" s="99">
        <f>G31+'26'!H31</f>
        <v>578400</v>
      </c>
      <c r="I31" s="140"/>
      <c r="J31" s="175">
        <f>H31/DAY(B2)</f>
        <v>21422.222222222223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301908.29999999085</v>
      </c>
      <c r="H32" s="99">
        <f>G32+'26'!H32</f>
        <v>8483532.1499999948</v>
      </c>
      <c r="I32" s="144"/>
      <c r="J32" s="175">
        <f>H32/DAY(B2)</f>
        <v>314204.89444444427</v>
      </c>
      <c r="K32" s="63"/>
      <c r="L32" s="89"/>
      <c r="N32" s="87"/>
      <c r="O32" s="71"/>
    </row>
    <row r="33" spans="1:15" ht="25.5" customHeight="1">
      <c r="A33" s="881" t="s">
        <v>331</v>
      </c>
      <c r="B33" s="882"/>
      <c r="C33" s="88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'26'!F35</f>
        <v>440821.71</v>
      </c>
      <c r="F35" s="145">
        <v>443428.67</v>
      </c>
      <c r="G35" s="112">
        <f t="shared" ref="G35:G46" si="3">F35-E35</f>
        <v>2606.9599999999627</v>
      </c>
      <c r="H35" s="99">
        <f>G35+'26'!H35</f>
        <v>74331.760000000009</v>
      </c>
      <c r="I35" s="95"/>
      <c r="J35" s="175">
        <f>H35/DAY(B2)</f>
        <v>2753.0281481481484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'26'!F36</f>
        <v>349009.67</v>
      </c>
      <c r="F36" s="145">
        <v>349784</v>
      </c>
      <c r="G36" s="112">
        <f t="shared" si="3"/>
        <v>774.3300000000163</v>
      </c>
      <c r="H36" s="99">
        <f>G36+'26'!H36</f>
        <v>27566.890000000014</v>
      </c>
      <c r="I36" s="95"/>
      <c r="J36" s="175">
        <f>H36/DAY(B2)</f>
        <v>1020.9959259259265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'26'!F37</f>
        <v>331141</v>
      </c>
      <c r="F37" s="145">
        <v>332586</v>
      </c>
      <c r="G37" s="112">
        <f t="shared" si="3"/>
        <v>1445</v>
      </c>
      <c r="H37" s="99">
        <f>G37+'26'!H37</f>
        <v>9587.3099999999977</v>
      </c>
      <c r="I37" s="95"/>
      <c r="J37" s="175">
        <f>H37/DAY(B2)</f>
        <v>355.08555555555546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'26'!F38</f>
        <v>784486.79</v>
      </c>
      <c r="F38" s="108">
        <v>787049.99</v>
      </c>
      <c r="G38" s="112">
        <f t="shared" si="3"/>
        <v>2563.1999999999534</v>
      </c>
      <c r="H38" s="99">
        <f>G38+'26'!H38</f>
        <v>51197.599999999977</v>
      </c>
      <c r="I38" s="95"/>
      <c r="J38" s="175">
        <f>H38/DAY(B2)</f>
        <v>1896.2074074074064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'26'!F39</f>
        <v>606539.79</v>
      </c>
      <c r="F39" s="145">
        <v>609278.03</v>
      </c>
      <c r="G39" s="112">
        <f t="shared" si="3"/>
        <v>2738.2399999999907</v>
      </c>
      <c r="H39" s="99">
        <f>G39+'26'!H39</f>
        <v>17693.840000000084</v>
      </c>
      <c r="I39" s="95"/>
      <c r="J39" s="175">
        <f>H39/DAY(B2)</f>
        <v>655.32740740741053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'26'!F40</f>
        <v>207617.05</v>
      </c>
      <c r="F40" s="145">
        <v>207925.97</v>
      </c>
      <c r="G40" s="112">
        <f t="shared" si="3"/>
        <v>308.92000000001281</v>
      </c>
      <c r="H40" s="99">
        <f>G40+'26'!H40</f>
        <v>11196</v>
      </c>
      <c r="I40" s="95"/>
      <c r="J40" s="175">
        <f>H40/DAY(B2)</f>
        <v>414.66666666666669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'26'!F41</f>
        <v>420212.5</v>
      </c>
      <c r="F41" s="145">
        <v>420212.5</v>
      </c>
      <c r="G41" s="112">
        <f t="shared" si="3"/>
        <v>0</v>
      </c>
      <c r="H41" s="99">
        <f>G41+'26'!H41</f>
        <v>1044.9099999999744</v>
      </c>
      <c r="I41" s="95"/>
      <c r="J41" s="175">
        <f>H41/DAY(B2)</f>
        <v>38.70037037036942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'26'!F42</f>
        <v>898452.23</v>
      </c>
      <c r="F42" s="145">
        <v>903032.55</v>
      </c>
      <c r="G42" s="112">
        <f t="shared" si="3"/>
        <v>4580.3200000000652</v>
      </c>
      <c r="H42" s="99">
        <f>G42+'26'!H42</f>
        <v>31262.470000000088</v>
      </c>
      <c r="I42" s="95"/>
      <c r="J42" s="175">
        <f>H42/DAY(B2)</f>
        <v>1157.8692592592624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'26'!F43</f>
        <v>422444</v>
      </c>
      <c r="F43" s="145">
        <v>422444</v>
      </c>
      <c r="G43" s="112">
        <f t="shared" si="3"/>
        <v>0</v>
      </c>
      <c r="H43" s="99">
        <f>G43+'26'!H43</f>
        <v>15416</v>
      </c>
      <c r="I43" s="95"/>
      <c r="J43" s="175">
        <f>H43/DAY(B2)</f>
        <v>570.96296296296293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'26'!F44</f>
        <v>0</v>
      </c>
      <c r="F44" s="145">
        <v>0</v>
      </c>
      <c r="G44" s="112">
        <f t="shared" si="3"/>
        <v>0</v>
      </c>
      <c r="H44" s="99">
        <f>G44+'26'!H44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'26'!F45</f>
        <v>0</v>
      </c>
      <c r="F45" s="145">
        <v>0</v>
      </c>
      <c r="G45" s="112">
        <f t="shared" si="3"/>
        <v>0</v>
      </c>
      <c r="H45" s="99">
        <f>G45+'26'!H45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'26'!F46</f>
        <v>0</v>
      </c>
      <c r="F46" s="145">
        <v>0</v>
      </c>
      <c r="G46" s="112">
        <f t="shared" si="3"/>
        <v>0</v>
      </c>
      <c r="H46" s="99">
        <f>G46+'26'!H46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15016.970000000001</v>
      </c>
      <c r="H47" s="99">
        <f>G47+'26'!H47</f>
        <v>239296.78000000014</v>
      </c>
      <c r="I47" s="95"/>
      <c r="J47" s="175">
        <f>H47/DAY(B2)</f>
        <v>8862.8437037037093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'26'!F49</f>
        <v>804597.27</v>
      </c>
      <c r="F49" s="145">
        <v>804951.75</v>
      </c>
      <c r="G49" s="112">
        <f t="shared" ref="G49:G58" si="4">F49-E49</f>
        <v>354.47999999998137</v>
      </c>
      <c r="H49" s="99">
        <f>G49+'26'!H49</f>
        <v>11328.800000000047</v>
      </c>
      <c r="I49" s="95"/>
      <c r="J49" s="175">
        <f>H49/DAY(B2)</f>
        <v>419.5851851851869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'26'!F50</f>
        <v>494435.99</v>
      </c>
      <c r="F50" s="145">
        <v>495587.31</v>
      </c>
      <c r="G50" s="112">
        <f t="shared" si="4"/>
        <v>1151.320000000007</v>
      </c>
      <c r="H50" s="99">
        <f>G50+'26'!H50</f>
        <v>38918.239999999991</v>
      </c>
      <c r="I50" s="95"/>
      <c r="J50" s="175">
        <f>H50/DAY(B2)</f>
        <v>1441.416296296296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'26'!F51</f>
        <v>156958</v>
      </c>
      <c r="F51" s="145">
        <v>156958.44</v>
      </c>
      <c r="G51" s="112">
        <f t="shared" si="4"/>
        <v>0.44000000000232831</v>
      </c>
      <c r="H51" s="99">
        <f>G51+'26'!H51</f>
        <v>21713.890000000014</v>
      </c>
      <c r="I51" s="95"/>
      <c r="J51" s="175">
        <f>H51/DAY(B2)</f>
        <v>804.21814814814866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'26'!F52</f>
        <v>10</v>
      </c>
      <c r="F52" s="145">
        <v>10</v>
      </c>
      <c r="G52" s="112">
        <f t="shared" si="4"/>
        <v>0</v>
      </c>
      <c r="H52" s="99">
        <f>G52+'26'!H52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'26'!F53</f>
        <v>630355.03</v>
      </c>
      <c r="F53" s="145">
        <v>630355.03</v>
      </c>
      <c r="G53" s="112">
        <f t="shared" si="4"/>
        <v>0</v>
      </c>
      <c r="H53" s="99">
        <f>G53+'26'!H53</f>
        <v>83813.760000000009</v>
      </c>
      <c r="I53" s="95"/>
      <c r="J53" s="175">
        <f>H53/DAY(B2)</f>
        <v>3104.2133333333336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'26'!F54</f>
        <v>112809</v>
      </c>
      <c r="F54" s="145">
        <v>113182.16</v>
      </c>
      <c r="G54" s="112">
        <f t="shared" si="4"/>
        <v>373.16000000000349</v>
      </c>
      <c r="H54" s="99">
        <f>G54+'26'!H54</f>
        <v>5519</v>
      </c>
      <c r="I54" s="95"/>
      <c r="J54" s="175">
        <f>H54/DAY(B2)</f>
        <v>204.40740740740742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'26'!F55</f>
        <v>576335.63</v>
      </c>
      <c r="F55" s="145">
        <v>576335.63</v>
      </c>
      <c r="G55" s="112">
        <f t="shared" si="4"/>
        <v>0</v>
      </c>
      <c r="H55" s="99">
        <f>G55+'26'!H55</f>
        <v>14850.959999999963</v>
      </c>
      <c r="I55" s="95"/>
      <c r="J55" s="175">
        <f>H55/DAY(B2)</f>
        <v>550.0355555555542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'26'!F56</f>
        <v>333759.95</v>
      </c>
      <c r="F56" s="145">
        <v>333759.96999999997</v>
      </c>
      <c r="G56" s="112">
        <f t="shared" si="4"/>
        <v>1.9999999960418791E-2</v>
      </c>
      <c r="H56" s="99">
        <f>G56+'26'!H56</f>
        <v>65644.959999999963</v>
      </c>
      <c r="I56" s="95"/>
      <c r="J56" s="175">
        <f>H56/DAY(B2)</f>
        <v>2431.2948148148134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'26'!F57</f>
        <v>617776.43000000005</v>
      </c>
      <c r="F57" s="422">
        <v>620550</v>
      </c>
      <c r="G57" s="112">
        <f t="shared" si="4"/>
        <v>2773.5699999999488</v>
      </c>
      <c r="H57" s="99">
        <f>G57+'26'!H57</f>
        <v>56990.530000000028</v>
      </c>
      <c r="I57" s="95"/>
      <c r="J57" s="175">
        <f>H57/DAY(B2)</f>
        <v>2110.7603703703712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'26'!F58</f>
        <v>84972.183000000005</v>
      </c>
      <c r="F58" s="145">
        <v>85278</v>
      </c>
      <c r="G58" s="112">
        <f t="shared" si="4"/>
        <v>305.81699999999546</v>
      </c>
      <c r="H58" s="99">
        <f>G58+'26'!H58</f>
        <v>6562.3099999999977</v>
      </c>
      <c r="I58" s="95"/>
      <c r="J58" s="175">
        <f>H58/DAY(B2)</f>
        <v>243.04851851851842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4958.8069999998988</v>
      </c>
      <c r="H59" s="99">
        <f>G59+'26'!H59</f>
        <v>305342.45</v>
      </c>
      <c r="I59" s="95">
        <f>G7-G60</f>
        <v>607.82300000019313</v>
      </c>
      <c r="J59" s="175">
        <f>H59/DAY(B2)</f>
        <v>11308.97962962963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19975.7769999999</v>
      </c>
      <c r="H60" s="99">
        <f>G60+'26'!H60</f>
        <v>544639.23000000021</v>
      </c>
      <c r="I60" s="95">
        <f>G13-G60</f>
        <v>507.03299999969022</v>
      </c>
      <c r="J60" s="175">
        <f>H60/DAY(B2)</f>
        <v>20171.823333333341</v>
      </c>
      <c r="K60" s="79"/>
      <c r="L60" s="66"/>
      <c r="N60" s="87"/>
      <c r="O60" s="71"/>
    </row>
    <row r="61" spans="1:15" s="68" customFormat="1" ht="26.25">
      <c r="A61" s="883" t="s">
        <v>332</v>
      </c>
      <c r="B61" s="884"/>
      <c r="C61" s="88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64" t="s">
        <v>198</v>
      </c>
      <c r="B62" s="865"/>
      <c r="C62" s="866"/>
      <c r="D62" s="151" t="s">
        <v>142</v>
      </c>
      <c r="E62" s="95">
        <f>'26'!F62</f>
        <v>311440</v>
      </c>
      <c r="F62" s="122">
        <v>311612</v>
      </c>
      <c r="G62" s="112">
        <f t="shared" ref="G62:G63" si="5">F62-E62</f>
        <v>172</v>
      </c>
      <c r="H62" s="99">
        <f>G62+'26'!H62</f>
        <v>3298</v>
      </c>
      <c r="I62" s="118"/>
      <c r="J62" s="175">
        <f>H62/DAY(B2)</f>
        <v>122.14814814814815</v>
      </c>
      <c r="K62" s="80"/>
      <c r="L62" s="66"/>
      <c r="N62" s="87"/>
      <c r="O62" s="71"/>
    </row>
    <row r="63" spans="1:15" ht="25.5">
      <c r="A63" s="864" t="s">
        <v>199</v>
      </c>
      <c r="B63" s="865"/>
      <c r="C63" s="866"/>
      <c r="D63" s="151" t="s">
        <v>142</v>
      </c>
      <c r="E63" s="95">
        <f>'26'!F63</f>
        <v>248493</v>
      </c>
      <c r="F63" s="122">
        <v>248530</v>
      </c>
      <c r="G63" s="112">
        <f t="shared" si="5"/>
        <v>37</v>
      </c>
      <c r="H63" s="99">
        <f>G63+'26'!H63</f>
        <v>1601</v>
      </c>
      <c r="I63" s="118"/>
      <c r="J63" s="175">
        <f>H63/DAY(B2)</f>
        <v>59.296296296296298</v>
      </c>
      <c r="K63" s="69"/>
      <c r="L63" s="66"/>
      <c r="N63" s="87"/>
      <c r="O63" s="71"/>
    </row>
    <row r="64" spans="1:15" ht="26.25">
      <c r="A64" s="861" t="s">
        <v>200</v>
      </c>
      <c r="B64" s="862"/>
      <c r="C64" s="863"/>
      <c r="D64" s="151"/>
      <c r="E64" s="95">
        <f>'26'!F64</f>
        <v>0</v>
      </c>
      <c r="F64" s="122"/>
      <c r="G64" s="112">
        <f>G62+G63</f>
        <v>209</v>
      </c>
      <c r="H64" s="99">
        <f>G64+'26'!H64</f>
        <v>4899</v>
      </c>
      <c r="I64" s="118"/>
      <c r="J64" s="175">
        <f>H64/DAY(B2)</f>
        <v>181.44444444444446</v>
      </c>
      <c r="K64" s="69"/>
      <c r="L64" s="66"/>
      <c r="N64" s="87"/>
      <c r="O64" s="71"/>
    </row>
    <row r="65" spans="1:15" ht="25.5">
      <c r="A65" s="864" t="s">
        <v>201</v>
      </c>
      <c r="B65" s="865"/>
      <c r="C65" s="866"/>
      <c r="D65" s="151" t="s">
        <v>142</v>
      </c>
      <c r="E65" s="95">
        <f>'26'!F65</f>
        <v>471399</v>
      </c>
      <c r="F65" s="122">
        <v>471582</v>
      </c>
      <c r="G65" s="112">
        <f t="shared" ref="G65:G70" si="6">F65-E65</f>
        <v>183</v>
      </c>
      <c r="H65" s="99">
        <f>G65+'26'!H65</f>
        <v>3681</v>
      </c>
      <c r="I65" s="118"/>
      <c r="J65" s="175">
        <f>H65/DAY(B2)</f>
        <v>136.33333333333334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'26'!F66</f>
        <v>113480</v>
      </c>
      <c r="F66" s="122">
        <v>113498</v>
      </c>
      <c r="G66" s="112">
        <f t="shared" si="6"/>
        <v>18</v>
      </c>
      <c r="H66" s="99">
        <f>G66+'26'!H66</f>
        <v>55751</v>
      </c>
      <c r="I66" s="118"/>
      <c r="J66" s="175">
        <f>H66/DAY(B2)</f>
        <v>2064.8518518518517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'26'!F67</f>
        <v>116422</v>
      </c>
      <c r="F67" s="122">
        <v>116442</v>
      </c>
      <c r="G67" s="112">
        <f t="shared" si="6"/>
        <v>20</v>
      </c>
      <c r="H67" s="99">
        <f>G67+'26'!H67</f>
        <v>587</v>
      </c>
      <c r="I67" s="118"/>
      <c r="J67" s="175">
        <f>H67/DAY(B2)</f>
        <v>21.74074074074074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'26'!F68</f>
        <v>169280</v>
      </c>
      <c r="F68" s="122">
        <v>169310</v>
      </c>
      <c r="G68" s="112">
        <f t="shared" si="6"/>
        <v>30</v>
      </c>
      <c r="H68" s="99">
        <f>G68+'26'!H68</f>
        <v>803</v>
      </c>
      <c r="I68" s="118"/>
      <c r="J68" s="175">
        <f>H68/DAY(B2)</f>
        <v>29.74074074074074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'26'!F69</f>
        <v>12939</v>
      </c>
      <c r="F69" s="122">
        <v>12946</v>
      </c>
      <c r="G69" s="112">
        <f t="shared" si="6"/>
        <v>7</v>
      </c>
      <c r="H69" s="99">
        <f>G69+'26'!H69</f>
        <v>136</v>
      </c>
      <c r="I69" s="118"/>
      <c r="J69" s="175">
        <f>H69/DAY(B2)</f>
        <v>5.0370370370370372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'26'!F70</f>
        <v>10970</v>
      </c>
      <c r="F70" s="122">
        <v>10976</v>
      </c>
      <c r="G70" s="112">
        <f t="shared" si="6"/>
        <v>6</v>
      </c>
      <c r="H70" s="99">
        <f>G70+'26'!H70</f>
        <v>197</v>
      </c>
      <c r="I70" s="118"/>
      <c r="J70" s="175">
        <f>H70/DAY(B2)</f>
        <v>7.2962962962962967</v>
      </c>
      <c r="K70" s="69"/>
      <c r="L70" s="66"/>
      <c r="N70" s="87"/>
      <c r="O70" s="71"/>
    </row>
    <row r="71" spans="1:15" ht="26.25">
      <c r="A71" s="861" t="s">
        <v>208</v>
      </c>
      <c r="B71" s="862"/>
      <c r="C71" s="863"/>
      <c r="D71" s="152"/>
      <c r="E71" s="152"/>
      <c r="F71" s="152"/>
      <c r="G71" s="153">
        <f>SUM(G65:G70)</f>
        <v>264</v>
      </c>
      <c r="H71" s="99">
        <f>G71+'26'!H71</f>
        <v>61155</v>
      </c>
      <c r="I71" s="154"/>
      <c r="J71" s="175">
        <f>H71/DAY(B2)</f>
        <v>2265</v>
      </c>
      <c r="K71" s="69"/>
      <c r="L71" s="66"/>
      <c r="N71" s="87"/>
      <c r="O71" s="71"/>
    </row>
    <row r="72" spans="1:15" s="88" customFormat="1" ht="25.5">
      <c r="A72" s="904"/>
      <c r="B72" s="89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09" t="s">
        <v>333</v>
      </c>
      <c r="B73" s="910"/>
      <c r="C73" s="91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64" t="s">
        <v>220</v>
      </c>
      <c r="B74" s="865"/>
      <c r="C74" s="866"/>
      <c r="D74" s="151" t="s">
        <v>139</v>
      </c>
      <c r="E74" s="95">
        <f>'26'!F74</f>
        <v>912</v>
      </c>
      <c r="F74" s="117">
        <v>1125</v>
      </c>
      <c r="G74" s="112">
        <f t="shared" ref="G74:G78" si="7">F74-E74</f>
        <v>213</v>
      </c>
      <c r="H74" s="99">
        <f>G74+'26'!H74</f>
        <v>7765.9699999999721</v>
      </c>
      <c r="I74" s="154"/>
      <c r="J74" s="175">
        <f>H74/DAY(B2)</f>
        <v>287.62851851851747</v>
      </c>
      <c r="K74" s="69"/>
      <c r="L74" s="66"/>
      <c r="N74" s="87"/>
      <c r="O74" s="71"/>
    </row>
    <row r="75" spans="1:15" ht="25.5">
      <c r="A75" s="864" t="s">
        <v>221</v>
      </c>
      <c r="B75" s="865"/>
      <c r="C75" s="866"/>
      <c r="D75" s="151" t="s">
        <v>139</v>
      </c>
      <c r="E75" s="95">
        <f>'26'!F75</f>
        <v>73586.8</v>
      </c>
      <c r="F75" s="123">
        <v>73586.8</v>
      </c>
      <c r="G75" s="112">
        <f t="shared" si="7"/>
        <v>0</v>
      </c>
      <c r="H75" s="99">
        <f>G75+'26'!H75</f>
        <v>0.80000000000291038</v>
      </c>
      <c r="I75" s="154"/>
      <c r="J75" s="175">
        <f>H75/DAY(B2)</f>
        <v>2.9629629629737423E-2</v>
      </c>
      <c r="K75" s="69"/>
      <c r="L75" s="66"/>
      <c r="N75" s="87"/>
      <c r="O75" s="71"/>
    </row>
    <row r="76" spans="1:15" ht="25.5">
      <c r="A76" s="905" t="s">
        <v>222</v>
      </c>
      <c r="B76" s="891"/>
      <c r="C76" s="892"/>
      <c r="D76" s="151" t="s">
        <v>139</v>
      </c>
      <c r="E76" s="95">
        <f>'26'!F76</f>
        <v>206805.7</v>
      </c>
      <c r="F76" s="123">
        <v>206910</v>
      </c>
      <c r="G76" s="112">
        <f t="shared" si="7"/>
        <v>104.29999999998836</v>
      </c>
      <c r="H76" s="99">
        <f>G76+'26'!H76</f>
        <v>3248</v>
      </c>
      <c r="I76" s="154"/>
      <c r="J76" s="175">
        <f>H76/DAY(B2)</f>
        <v>120.29629629629629</v>
      </c>
      <c r="K76" s="69"/>
      <c r="L76" s="66"/>
      <c r="N76" s="87"/>
      <c r="O76" s="71"/>
    </row>
    <row r="77" spans="1:15" ht="25.5">
      <c r="A77" s="905" t="s">
        <v>223</v>
      </c>
      <c r="B77" s="891"/>
      <c r="C77" s="892"/>
      <c r="D77" s="151" t="s">
        <v>139</v>
      </c>
      <c r="E77" s="95">
        <f>'26'!F77</f>
        <v>57889</v>
      </c>
      <c r="F77" s="123">
        <v>57942</v>
      </c>
      <c r="G77" s="112">
        <f t="shared" si="7"/>
        <v>53</v>
      </c>
      <c r="H77" s="99">
        <f>G77+'26'!H77</f>
        <v>1420</v>
      </c>
      <c r="I77" s="154"/>
      <c r="J77" s="175">
        <f>H77/DAY(B2)</f>
        <v>52.592592592592595</v>
      </c>
      <c r="K77" s="69"/>
      <c r="L77" s="66"/>
      <c r="N77" s="87"/>
      <c r="O77" s="71"/>
    </row>
    <row r="78" spans="1:15" ht="25.5">
      <c r="A78" s="905" t="s">
        <v>224</v>
      </c>
      <c r="B78" s="891"/>
      <c r="C78" s="892"/>
      <c r="D78" s="151" t="s">
        <v>139</v>
      </c>
      <c r="E78" s="95">
        <f>'26'!F78</f>
        <v>9564</v>
      </c>
      <c r="F78" s="123">
        <v>9564</v>
      </c>
      <c r="G78" s="112">
        <f t="shared" si="7"/>
        <v>0</v>
      </c>
      <c r="H78" s="99">
        <f>G78+'26'!H78</f>
        <v>-0.3999999999996362</v>
      </c>
      <c r="I78" s="118"/>
      <c r="J78" s="175">
        <f>H78/DAY(B2)</f>
        <v>-1.481481481480134E-2</v>
      </c>
      <c r="K78" s="69"/>
      <c r="L78" s="66"/>
      <c r="N78" s="87"/>
      <c r="O78" s="71"/>
    </row>
    <row r="79" spans="1:15" s="57" customFormat="1" ht="25.5">
      <c r="A79" s="905" t="s">
        <v>225</v>
      </c>
      <c r="B79" s="891"/>
      <c r="C79" s="892"/>
      <c r="D79" s="151"/>
      <c r="E79" s="95">
        <f>'26'!F79</f>
        <v>0</v>
      </c>
      <c r="F79" s="123"/>
      <c r="G79" s="112">
        <f>G15-SUM(G74:G78)</f>
        <v>825.05999999988126</v>
      </c>
      <c r="H79" s="99">
        <f>G79+'26'!H79</f>
        <v>17198.779999999933</v>
      </c>
      <c r="I79" s="118"/>
      <c r="J79" s="175"/>
      <c r="K79" s="59"/>
      <c r="L79" s="58"/>
      <c r="N79" s="87"/>
      <c r="O79" s="71"/>
    </row>
    <row r="80" spans="1:15" s="57" customFormat="1" ht="26.25">
      <c r="A80" s="861" t="s">
        <v>329</v>
      </c>
      <c r="B80" s="862"/>
      <c r="C80" s="863"/>
      <c r="D80" s="151"/>
      <c r="E80" s="117"/>
      <c r="F80" s="117"/>
      <c r="G80" s="112">
        <f>SUM(G74:G79)</f>
        <v>1195.3599999998696</v>
      </c>
      <c r="H80" s="99"/>
      <c r="I80" s="118"/>
      <c r="J80" s="175"/>
      <c r="K80" s="59"/>
      <c r="L80" s="58"/>
      <c r="N80" s="87"/>
      <c r="O80" s="71"/>
    </row>
    <row r="81" spans="1:15" ht="25.5">
      <c r="A81" s="897" t="s">
        <v>226</v>
      </c>
      <c r="B81" s="898"/>
      <c r="C81" s="89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'26'!F82</f>
        <v>0</v>
      </c>
      <c r="F82" s="122">
        <v>0</v>
      </c>
      <c r="G82" s="112">
        <f t="shared" ref="G82:G92" si="8">F82-E82</f>
        <v>0</v>
      </c>
      <c r="H82" s="99">
        <f>G82+'26'!H82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'26'!F83</f>
        <v>0</v>
      </c>
      <c r="F83" s="122">
        <v>0</v>
      </c>
      <c r="G83" s="112">
        <f t="shared" si="8"/>
        <v>0</v>
      </c>
      <c r="H83" s="99">
        <f>G83+'26'!H83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'26'!F84</f>
        <v>43546</v>
      </c>
      <c r="F84" s="164">
        <v>43546</v>
      </c>
      <c r="G84" s="112">
        <f t="shared" si="8"/>
        <v>0</v>
      </c>
      <c r="H84" s="99">
        <f>G84+'26'!H84</f>
        <v>2005.7900000000009</v>
      </c>
      <c r="I84" s="545"/>
      <c r="J84" s="175">
        <f>H84/DAY(B2)</f>
        <v>74.288518518518558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'26'!F85</f>
        <v>5812.56</v>
      </c>
      <c r="F85" s="164">
        <v>5836</v>
      </c>
      <c r="G85" s="112">
        <f t="shared" si="8"/>
        <v>23.4399999999996</v>
      </c>
      <c r="H85" s="99">
        <f>G85+'26'!H85</f>
        <v>152</v>
      </c>
      <c r="I85" s="545"/>
      <c r="J85" s="175">
        <f>H85/DAY(B2)</f>
        <v>5.6296296296296298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'26'!F86</f>
        <v>46834.080000000002</v>
      </c>
      <c r="F86" s="164">
        <v>46834</v>
      </c>
      <c r="G86" s="112">
        <f t="shared" si="8"/>
        <v>-8.000000000174623E-2</v>
      </c>
      <c r="H86" s="99">
        <f>G86+'26'!H86</f>
        <v>80.069999999999709</v>
      </c>
      <c r="I86" s="545"/>
      <c r="J86" s="175">
        <f>H86/DAY(B2)</f>
        <v>2.9655555555555448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'26'!F87</f>
        <v>37014.36</v>
      </c>
      <c r="F87" s="164">
        <v>37014</v>
      </c>
      <c r="G87" s="112">
        <f t="shared" si="8"/>
        <v>-0.36000000000058208</v>
      </c>
      <c r="H87" s="99">
        <f>G87+'26'!H87</f>
        <v>463.79000000000087</v>
      </c>
      <c r="I87" s="545">
        <f>G84+G85+G86+G87</f>
        <v>22.999999999997272</v>
      </c>
      <c r="J87" s="175">
        <f>H87/DAY(B2)</f>
        <v>17.17740740740744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'26'!F88</f>
        <v>24570.71</v>
      </c>
      <c r="F88" s="164">
        <v>24582</v>
      </c>
      <c r="G88" s="112">
        <f t="shared" si="8"/>
        <v>11.290000000000873</v>
      </c>
      <c r="H88" s="99">
        <f>G88+'26'!H88</f>
        <v>70.200000000000728</v>
      </c>
      <c r="I88" s="545"/>
      <c r="J88" s="175">
        <f>H88/DAY(B2)</f>
        <v>2.6000000000000267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'26'!F89</f>
        <v>28719</v>
      </c>
      <c r="F89" s="164">
        <v>28724</v>
      </c>
      <c r="G89" s="112">
        <f t="shared" si="8"/>
        <v>5</v>
      </c>
      <c r="H89" s="99">
        <f>G89+'26'!H89</f>
        <v>222.29999999999927</v>
      </c>
      <c r="I89" s="545">
        <f>G88+G89</f>
        <v>16.290000000000873</v>
      </c>
      <c r="J89" s="175">
        <f>H89/DAY(B2)</f>
        <v>8.2333333333333059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'26'!F90</f>
        <v>74153</v>
      </c>
      <c r="F90" s="164">
        <v>74159</v>
      </c>
      <c r="G90" s="112">
        <f t="shared" si="8"/>
        <v>6</v>
      </c>
      <c r="H90" s="99">
        <v>23</v>
      </c>
      <c r="I90" s="545">
        <f>G90</f>
        <v>6</v>
      </c>
      <c r="J90" s="175">
        <f>H90/DAY(B2)</f>
        <v>0.85185185185185186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'26'!F91</f>
        <v>5610</v>
      </c>
      <c r="F91" s="122">
        <v>5610</v>
      </c>
      <c r="G91" s="112">
        <f t="shared" si="8"/>
        <v>0</v>
      </c>
      <c r="H91" s="99">
        <f>G91+'26'!H91</f>
        <v>257.22999999999956</v>
      </c>
      <c r="I91" s="546"/>
      <c r="J91" s="175">
        <f>H91/DAY(B2)</f>
        <v>9.5270370370370205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'26'!F92</f>
        <v>7031.67</v>
      </c>
      <c r="F92" s="122">
        <v>7038</v>
      </c>
      <c r="G92" s="112">
        <f t="shared" si="8"/>
        <v>6.3299999999999272</v>
      </c>
      <c r="H92" s="99">
        <f>G92+'26'!H92</f>
        <v>38</v>
      </c>
      <c r="I92" s="547">
        <f>G91+G92</f>
        <v>6.3299999999999272</v>
      </c>
      <c r="J92" s="175">
        <f>H92/DAY(B2)</f>
        <v>1.4074074074074074</v>
      </c>
      <c r="O92" s="71"/>
    </row>
    <row r="93" spans="1:15" ht="26.25">
      <c r="A93" s="906" t="s">
        <v>239</v>
      </c>
      <c r="B93" s="907"/>
      <c r="C93" s="90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64" t="s">
        <v>240</v>
      </c>
      <c r="B94" s="865"/>
      <c r="C94" s="866"/>
      <c r="D94" s="151" t="s">
        <v>130</v>
      </c>
      <c r="E94" s="151"/>
      <c r="F94" s="151"/>
      <c r="G94" s="99">
        <f>G35+G43+G49+G57</f>
        <v>5735.0099999998929</v>
      </c>
      <c r="H94" s="99">
        <f>G94+'26'!H94</f>
        <v>158067.09000000008</v>
      </c>
      <c r="I94" s="118"/>
      <c r="J94" s="175">
        <f>H94/DAY(B2)</f>
        <v>5854.3366666666698</v>
      </c>
      <c r="K94" s="69"/>
      <c r="L94" s="66"/>
      <c r="O94" s="71"/>
    </row>
    <row r="95" spans="1:15" ht="25.5">
      <c r="A95" s="864" t="s">
        <v>241</v>
      </c>
      <c r="B95" s="865"/>
      <c r="C95" s="866"/>
      <c r="D95" s="151" t="s">
        <v>23</v>
      </c>
      <c r="E95" s="146"/>
      <c r="F95" s="146"/>
      <c r="G95" s="166">
        <f>G94/G7</f>
        <v>0.27862035795487022</v>
      </c>
      <c r="H95" s="99">
        <f>G95+'26'!H95</f>
        <v>6.9576436057692259</v>
      </c>
      <c r="I95" s="167"/>
      <c r="J95" s="175">
        <f>H95/DAY(B2)</f>
        <v>0.25769050391737874</v>
      </c>
      <c r="K95" s="69"/>
      <c r="L95" s="66"/>
      <c r="O95" s="71"/>
    </row>
    <row r="96" spans="1:15" ht="25.5">
      <c r="A96" s="864" t="s">
        <v>242</v>
      </c>
      <c r="B96" s="865"/>
      <c r="C96" s="866"/>
      <c r="D96" s="151" t="s">
        <v>130</v>
      </c>
      <c r="E96" s="95"/>
      <c r="F96" s="95"/>
      <c r="G96" s="99">
        <f>G41+G42+G55+G56</f>
        <v>4580.3400000000256</v>
      </c>
      <c r="H96" s="99">
        <f>G96+'26'!H96</f>
        <v>112803.29999999999</v>
      </c>
      <c r="I96" s="118"/>
      <c r="J96" s="175">
        <f>H96/DAY(B2)</f>
        <v>4177.8999999999996</v>
      </c>
      <c r="K96" s="69"/>
      <c r="L96" s="66"/>
      <c r="O96" s="71"/>
    </row>
    <row r="97" spans="1:15" ht="25.5">
      <c r="A97" s="864" t="s">
        <v>243</v>
      </c>
      <c r="B97" s="865"/>
      <c r="C97" s="866"/>
      <c r="D97" s="151" t="s">
        <v>23</v>
      </c>
      <c r="E97" s="95"/>
      <c r="F97" s="95"/>
      <c r="G97" s="166">
        <f>G96/G7</f>
        <v>0.22252375677724037</v>
      </c>
      <c r="H97" s="99">
        <f>G97+'26'!H97</f>
        <v>4.9273616162037213</v>
      </c>
      <c r="I97" s="167"/>
      <c r="J97" s="175">
        <f>H97/DAY(B2)</f>
        <v>0.18249487467421191</v>
      </c>
      <c r="K97" s="69"/>
      <c r="L97" s="66"/>
      <c r="O97" s="71"/>
    </row>
    <row r="98" spans="1:15" ht="25.5">
      <c r="A98" s="864" t="s">
        <v>244</v>
      </c>
      <c r="B98" s="865"/>
      <c r="C98" s="866"/>
      <c r="D98" s="151" t="s">
        <v>130</v>
      </c>
      <c r="E98" s="95"/>
      <c r="F98" s="95"/>
      <c r="G98" s="99">
        <f>G39+G53</f>
        <v>2738.2399999999907</v>
      </c>
      <c r="H98" s="99">
        <f>G98+'26'!H98</f>
        <v>101507.60000000009</v>
      </c>
      <c r="I98" s="168"/>
      <c r="J98" s="175">
        <f>H98/DAY(B2)</f>
        <v>3759.5407407407442</v>
      </c>
      <c r="K98" s="69"/>
      <c r="L98" s="66"/>
      <c r="O98" s="71"/>
    </row>
    <row r="99" spans="1:15" ht="25.5">
      <c r="A99" s="864" t="s">
        <v>245</v>
      </c>
      <c r="B99" s="865"/>
      <c r="C99" s="866"/>
      <c r="D99" s="151" t="s">
        <v>23</v>
      </c>
      <c r="E99" s="95"/>
      <c r="F99" s="95"/>
      <c r="G99" s="166">
        <f>G98/G7</f>
        <v>0.13303017936609624</v>
      </c>
      <c r="H99" s="99">
        <f>G99+'26'!H99</f>
        <v>4.4528386193503255</v>
      </c>
      <c r="I99" s="168"/>
      <c r="J99" s="175">
        <f>H99/DAY(B2)</f>
        <v>0.16491994886482686</v>
      </c>
      <c r="O99" s="71"/>
    </row>
    <row r="100" spans="1:15" ht="26.25">
      <c r="A100" s="864" t="s">
        <v>246</v>
      </c>
      <c r="B100" s="865"/>
      <c r="C100" s="866"/>
      <c r="D100" s="151" t="s">
        <v>180</v>
      </c>
      <c r="E100" s="95"/>
      <c r="F100" s="95"/>
      <c r="G100" s="99">
        <f>G38+G52</f>
        <v>2563.1999999999534</v>
      </c>
      <c r="H100" s="99">
        <f>G100+'26'!H100</f>
        <v>51197.599999999977</v>
      </c>
      <c r="I100" s="118"/>
      <c r="J100" s="175">
        <f>H100/DAY(B2)</f>
        <v>1896.2074074074064</v>
      </c>
      <c r="K100" s="70"/>
      <c r="O100" s="71"/>
    </row>
    <row r="101" spans="1:15" ht="25.5">
      <c r="A101" s="864" t="s">
        <v>247</v>
      </c>
      <c r="B101" s="865"/>
      <c r="C101" s="866"/>
      <c r="D101" s="151" t="s">
        <v>23</v>
      </c>
      <c r="E101" s="95"/>
      <c r="F101" s="95"/>
      <c r="G101" s="166">
        <f>G100/G7</f>
        <v>0.12452632192619084</v>
      </c>
      <c r="H101" s="99">
        <f>G101+'26'!H101</f>
        <v>2.2921047482835837</v>
      </c>
      <c r="I101" s="168"/>
      <c r="J101" s="175">
        <f>H101/DAY(B2)</f>
        <v>8.4892768454947545E-2</v>
      </c>
      <c r="O101" s="71"/>
    </row>
    <row r="102" spans="1:15" ht="25.5">
      <c r="A102" s="864" t="s">
        <v>248</v>
      </c>
      <c r="B102" s="865"/>
      <c r="C102" s="866"/>
      <c r="D102" s="151" t="s">
        <v>180</v>
      </c>
      <c r="E102" s="95"/>
      <c r="F102" s="95"/>
      <c r="G102" s="99">
        <f>G36+G50</f>
        <v>1925.6500000000233</v>
      </c>
      <c r="H102" s="99">
        <f>G102+'26'!H102</f>
        <v>66485.13</v>
      </c>
      <c r="I102" s="168"/>
      <c r="J102" s="175">
        <f>H102/DAY(B2)</f>
        <v>2462.4122222222222</v>
      </c>
      <c r="O102" s="71"/>
    </row>
    <row r="103" spans="1:15" ht="25.5">
      <c r="A103" s="864" t="s">
        <v>249</v>
      </c>
      <c r="B103" s="865"/>
      <c r="C103" s="866"/>
      <c r="D103" s="151" t="s">
        <v>23</v>
      </c>
      <c r="E103" s="95"/>
      <c r="F103" s="95"/>
      <c r="G103" s="166">
        <f>G102/G7</f>
        <v>9.3552634135914733E-2</v>
      </c>
      <c r="H103" s="99">
        <f>G103+'26'!H103</f>
        <v>2.9180540789242064</v>
      </c>
      <c r="I103" s="118"/>
      <c r="J103" s="175">
        <f>H103/DAY(B2)</f>
        <v>0.10807607699719284</v>
      </c>
      <c r="O103" s="71"/>
    </row>
    <row r="104" spans="1:15" ht="25.5">
      <c r="A104" s="864" t="s">
        <v>250</v>
      </c>
      <c r="B104" s="865"/>
      <c r="C104" s="866"/>
      <c r="D104" s="151" t="s">
        <v>180</v>
      </c>
      <c r="E104" s="95"/>
      <c r="F104" s="95"/>
      <c r="G104" s="99">
        <f>G37+G51</f>
        <v>1445.4400000000023</v>
      </c>
      <c r="H104" s="99">
        <f>G104+'26'!H104</f>
        <v>31301.200000000012</v>
      </c>
      <c r="I104" s="118"/>
      <c r="J104" s="175">
        <f>H104/DAY(B2)</f>
        <v>1159.3037037037041</v>
      </c>
      <c r="O104" s="71"/>
    </row>
    <row r="105" spans="1:15" ht="26.25" thickBot="1">
      <c r="A105" s="901" t="s">
        <v>251</v>
      </c>
      <c r="B105" s="902"/>
      <c r="C105" s="903"/>
      <c r="D105" s="231" t="s">
        <v>23</v>
      </c>
      <c r="E105" s="185"/>
      <c r="F105" s="185"/>
      <c r="G105" s="186">
        <f>G104/G7</f>
        <v>7.0222895897704765E-2</v>
      </c>
      <c r="H105" s="99">
        <f>G105+'26'!H105</f>
        <v>1.3909727298956687</v>
      </c>
      <c r="I105" s="187"/>
      <c r="J105" s="188">
        <f>H105/DAY(B2)</f>
        <v>5.1517508514654392E-2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15" t="s">
        <v>324</v>
      </c>
      <c r="B108" s="915"/>
      <c r="C108" s="915"/>
      <c r="D108" s="915"/>
      <c r="E108" s="915"/>
      <c r="F108" s="915"/>
      <c r="G108" s="915"/>
      <c r="H108" s="915"/>
      <c r="I108" s="915"/>
      <c r="J108" s="915"/>
    </row>
    <row r="109" spans="1:15" ht="26.25">
      <c r="A109" s="900"/>
      <c r="B109" s="900"/>
    </row>
    <row r="110" spans="1:15" ht="26.25">
      <c r="A110" s="916" t="s">
        <v>165</v>
      </c>
      <c r="B110" s="917"/>
      <c r="C110" s="917"/>
      <c r="D110" s="917"/>
      <c r="E110" s="917"/>
      <c r="F110" s="917"/>
      <c r="G110" s="917"/>
      <c r="H110" s="917"/>
      <c r="I110" s="917"/>
      <c r="J110" s="918"/>
    </row>
    <row r="111" spans="1:15" ht="25.5">
      <c r="A111" s="919"/>
      <c r="B111" s="920"/>
      <c r="C111" s="921"/>
      <c r="D111" s="165"/>
      <c r="E111" s="165"/>
      <c r="F111" s="165"/>
      <c r="G111" s="165"/>
      <c r="H111" s="156"/>
      <c r="I111" s="165"/>
      <c r="J111" s="327"/>
    </row>
    <row r="112" spans="1:15" ht="25.5">
      <c r="A112" s="894" t="s">
        <v>252</v>
      </c>
      <c r="B112" s="895"/>
      <c r="C112" s="896"/>
      <c r="D112" s="146" t="s">
        <v>183</v>
      </c>
      <c r="E112" s="95">
        <f>'26'!F112</f>
        <v>17209</v>
      </c>
      <c r="F112" s="237">
        <v>17269</v>
      </c>
      <c r="G112" s="112">
        <f t="shared" ref="G112:G123" si="9">F112-E112</f>
        <v>60</v>
      </c>
      <c r="H112" s="99">
        <f>G112+'26'!H112</f>
        <v>1655.2000000000007</v>
      </c>
      <c r="I112" s="165"/>
      <c r="J112" s="328">
        <f>H112/DAY(B2)</f>
        <v>61.303703703703732</v>
      </c>
    </row>
    <row r="113" spans="1:18" ht="29.25" customHeight="1">
      <c r="A113" s="894" t="s">
        <v>253</v>
      </c>
      <c r="B113" s="895"/>
      <c r="C113" s="896"/>
      <c r="D113" s="146" t="s">
        <v>183</v>
      </c>
      <c r="E113" s="95">
        <f>'26'!F113</f>
        <v>36320.61</v>
      </c>
      <c r="F113" s="237">
        <v>36587</v>
      </c>
      <c r="G113" s="112">
        <f t="shared" si="9"/>
        <v>266.38999999999942</v>
      </c>
      <c r="H113" s="99">
        <f>G113+'26'!H113</f>
        <v>4136.3300000000017</v>
      </c>
      <c r="I113" s="165"/>
      <c r="J113" s="328">
        <f>H113/DAY(B2)</f>
        <v>153.19740740740747</v>
      </c>
    </row>
    <row r="114" spans="1:18" ht="29.25" customHeight="1">
      <c r="A114" s="894" t="s">
        <v>254</v>
      </c>
      <c r="B114" s="895"/>
      <c r="C114" s="896"/>
      <c r="D114" s="146" t="s">
        <v>183</v>
      </c>
      <c r="E114" s="95">
        <f>'26'!F114</f>
        <v>53270</v>
      </c>
      <c r="F114" s="237">
        <v>53468</v>
      </c>
      <c r="G114" s="112">
        <f t="shared" si="9"/>
        <v>198</v>
      </c>
      <c r="H114" s="99">
        <f>G114+'26'!H114</f>
        <v>5501.6999999999971</v>
      </c>
      <c r="I114" s="165"/>
      <c r="J114" s="328">
        <f>H114/DAY(B2)</f>
        <v>203.76666666666657</v>
      </c>
    </row>
    <row r="115" spans="1:18" ht="29.25" customHeight="1">
      <c r="A115" s="894" t="s">
        <v>255</v>
      </c>
      <c r="B115" s="895"/>
      <c r="C115" s="896"/>
      <c r="D115" s="146" t="s">
        <v>183</v>
      </c>
      <c r="E115" s="95">
        <f>'26'!F115</f>
        <v>34252</v>
      </c>
      <c r="F115" s="237">
        <v>34375.03</v>
      </c>
      <c r="G115" s="112">
        <f t="shared" si="9"/>
        <v>123.02999999999884</v>
      </c>
      <c r="H115" s="99">
        <f>G115+'26'!H115</f>
        <v>3938.6299999999974</v>
      </c>
      <c r="I115" s="165"/>
      <c r="J115" s="328">
        <f>H115/DAY(B2)</f>
        <v>145.87518518518507</v>
      </c>
    </row>
    <row r="116" spans="1:18" ht="29.25" customHeight="1">
      <c r="A116" s="912" t="s">
        <v>96</v>
      </c>
      <c r="B116" s="913"/>
      <c r="C116" s="914"/>
      <c r="D116" s="146" t="s">
        <v>183</v>
      </c>
      <c r="E116" s="95">
        <f>'26'!F116</f>
        <v>132606</v>
      </c>
      <c r="F116" s="237">
        <v>132970</v>
      </c>
      <c r="G116" s="112">
        <f t="shared" si="9"/>
        <v>364</v>
      </c>
      <c r="H116" s="99">
        <f>G116+'26'!H116</f>
        <v>10109.800000000003</v>
      </c>
      <c r="I116" s="165"/>
      <c r="J116" s="328">
        <f>H116/DAY(B2)</f>
        <v>374.43703703703716</v>
      </c>
      <c r="Q116" s="894" t="s">
        <v>311</v>
      </c>
      <c r="R116" s="896"/>
    </row>
    <row r="117" spans="1:18" ht="29.25" customHeight="1">
      <c r="A117" s="912" t="s">
        <v>184</v>
      </c>
      <c r="B117" s="913"/>
      <c r="C117" s="914"/>
      <c r="D117" s="146" t="s">
        <v>183</v>
      </c>
      <c r="E117" s="95">
        <f>'26'!F117</f>
        <v>81076</v>
      </c>
      <c r="F117" s="237">
        <v>81456.67</v>
      </c>
      <c r="G117" s="112">
        <f t="shared" si="9"/>
        <v>380.66999999999825</v>
      </c>
      <c r="H117" s="99">
        <f>G117+'26'!H117</f>
        <v>7475.4700000000012</v>
      </c>
      <c r="I117" s="165"/>
      <c r="J117" s="328">
        <f>H117/DAY(B2)</f>
        <v>276.86925925925931</v>
      </c>
      <c r="Q117" s="894" t="s">
        <v>312</v>
      </c>
      <c r="R117" s="896"/>
    </row>
    <row r="118" spans="1:18" ht="25.5">
      <c r="A118" s="889" t="s">
        <v>97</v>
      </c>
      <c r="B118" s="889"/>
      <c r="C118" s="889"/>
      <c r="D118" s="151" t="s">
        <v>183</v>
      </c>
      <c r="E118" s="95">
        <f>'26'!F118</f>
        <v>155057</v>
      </c>
      <c r="F118" s="237">
        <v>155631</v>
      </c>
      <c r="G118" s="112">
        <f t="shared" si="9"/>
        <v>574</v>
      </c>
      <c r="H118" s="99">
        <f>G118+'26'!H118</f>
        <v>16818.549999999988</v>
      </c>
      <c r="I118" s="165"/>
      <c r="J118" s="328">
        <f>H118/DAY(B2)</f>
        <v>622.90925925925887</v>
      </c>
      <c r="Q118" s="894" t="s">
        <v>311</v>
      </c>
      <c r="R118" s="896"/>
    </row>
    <row r="119" spans="1:18" ht="25.5">
      <c r="A119" s="889" t="s">
        <v>98</v>
      </c>
      <c r="B119" s="889"/>
      <c r="C119" s="889"/>
      <c r="D119" s="151" t="s">
        <v>183</v>
      </c>
      <c r="E119" s="95">
        <f>'26'!F119</f>
        <v>43764.66</v>
      </c>
      <c r="F119" s="237">
        <v>43799.040000000001</v>
      </c>
      <c r="G119" s="112">
        <f t="shared" si="9"/>
        <v>34.379999999997381</v>
      </c>
      <c r="H119" s="99">
        <f>G119+'26'!H119</f>
        <v>445.34000000000378</v>
      </c>
      <c r="I119" s="165"/>
      <c r="J119" s="328">
        <f>H119/DAY(B2)</f>
        <v>16.494074074074213</v>
      </c>
    </row>
    <row r="120" spans="1:18" ht="25.5">
      <c r="A120" s="889" t="s">
        <v>99</v>
      </c>
      <c r="B120" s="889"/>
      <c r="C120" s="889"/>
      <c r="D120" s="151" t="s">
        <v>183</v>
      </c>
      <c r="E120" s="95">
        <f>'26'!F120</f>
        <v>106403</v>
      </c>
      <c r="F120" s="237">
        <v>106822.58</v>
      </c>
      <c r="G120" s="112">
        <f t="shared" si="9"/>
        <v>419.58000000000175</v>
      </c>
      <c r="H120" s="99">
        <f>G120+'26'!H120</f>
        <v>11114.979999999996</v>
      </c>
      <c r="I120" s="165"/>
      <c r="J120" s="328">
        <f>H120/DAY(B2)</f>
        <v>411.66592592592576</v>
      </c>
    </row>
    <row r="121" spans="1:18" ht="25.5">
      <c r="A121" s="889" t="s">
        <v>100</v>
      </c>
      <c r="B121" s="889"/>
      <c r="C121" s="889"/>
      <c r="D121" s="151" t="s">
        <v>183</v>
      </c>
      <c r="E121" s="95">
        <f>'26'!F121</f>
        <v>119103</v>
      </c>
      <c r="F121" s="237">
        <v>119545.89</v>
      </c>
      <c r="G121" s="112">
        <f t="shared" si="9"/>
        <v>442.88999999999942</v>
      </c>
      <c r="H121" s="99">
        <f>G121+'26'!H121</f>
        <v>11716.839999999997</v>
      </c>
      <c r="I121" s="165"/>
      <c r="J121" s="328">
        <f>H121/DAY(B2)</f>
        <v>433.95703703703691</v>
      </c>
    </row>
    <row r="122" spans="1:18" ht="25.5">
      <c r="A122" s="889" t="s">
        <v>101</v>
      </c>
      <c r="B122" s="889"/>
      <c r="C122" s="889"/>
      <c r="D122" s="151" t="s">
        <v>183</v>
      </c>
      <c r="E122" s="95">
        <f>'26'!F122</f>
        <v>79750.23</v>
      </c>
      <c r="F122" s="237">
        <v>80071.28</v>
      </c>
      <c r="G122" s="112">
        <f t="shared" si="9"/>
        <v>321.05000000000291</v>
      </c>
      <c r="H122" s="99">
        <f>G122+'26'!H122</f>
        <v>9033.3800000000047</v>
      </c>
      <c r="I122" s="165"/>
      <c r="J122" s="328">
        <f>H122/DAY(B2)</f>
        <v>334.56962962962979</v>
      </c>
    </row>
    <row r="123" spans="1:18" ht="25.5">
      <c r="A123" s="889" t="s">
        <v>102</v>
      </c>
      <c r="B123" s="889"/>
      <c r="C123" s="889"/>
      <c r="D123" s="151" t="s">
        <v>183</v>
      </c>
      <c r="E123" s="95">
        <f>'26'!F123</f>
        <v>76478.03</v>
      </c>
      <c r="F123" s="237">
        <v>76814.95</v>
      </c>
      <c r="G123" s="112">
        <f t="shared" si="9"/>
        <v>336.91999999999825</v>
      </c>
      <c r="H123" s="99">
        <f>G123+'26'!H123</f>
        <v>8457.6499999999942</v>
      </c>
      <c r="I123" s="165"/>
      <c r="J123" s="328">
        <f>H123/DAY(B2)</f>
        <v>313.24629629629607</v>
      </c>
    </row>
    <row r="124" spans="1:18" ht="29.25" customHeight="1">
      <c r="A124" s="919"/>
      <c r="B124" s="920"/>
      <c r="C124" s="921"/>
      <c r="D124" s="165"/>
      <c r="E124" s="95">
        <f>'26'!F124</f>
        <v>0</v>
      </c>
      <c r="F124" s="165"/>
      <c r="G124" s="327"/>
      <c r="H124" s="99">
        <f>G124+'26'!H124</f>
        <v>0</v>
      </c>
      <c r="I124" s="165"/>
      <c r="J124" s="327"/>
    </row>
    <row r="125" spans="1:18" ht="25.5">
      <c r="A125" s="853" t="s">
        <v>196</v>
      </c>
      <c r="B125" s="854"/>
      <c r="C125" s="245"/>
      <c r="D125" s="307"/>
      <c r="E125" s="308"/>
      <c r="F125" s="308"/>
      <c r="G125" s="309">
        <f>SUM(G112:G124)</f>
        <v>3520.9099999999962</v>
      </c>
      <c r="H125" s="156"/>
      <c r="I125" s="327">
        <f>G125-(G39+G53)</f>
        <v>782.67000000000553</v>
      </c>
      <c r="J125" s="327"/>
    </row>
    <row r="126" spans="1:18" ht="25.5">
      <c r="A126" s="922" t="s">
        <v>317</v>
      </c>
      <c r="B126" s="922"/>
      <c r="C126" s="922"/>
      <c r="D126" s="922"/>
      <c r="E126" s="922"/>
      <c r="F126" s="922"/>
      <c r="G126" s="922"/>
      <c r="H126" s="922"/>
      <c r="I126" s="922"/>
      <c r="J126" s="922"/>
    </row>
    <row r="127" spans="1:18" ht="25.5">
      <c r="A127" s="923"/>
      <c r="B127" s="923"/>
      <c r="C127" s="245"/>
      <c r="D127" s="307"/>
      <c r="E127" s="308"/>
      <c r="F127" s="308"/>
      <c r="G127" s="309"/>
      <c r="H127" s="99">
        <f>G127+'26'!H127</f>
        <v>0</v>
      </c>
      <c r="I127" s="165"/>
      <c r="J127" s="328">
        <f>H127/DAY(B2)</f>
        <v>0</v>
      </c>
    </row>
    <row r="128" spans="1:18" ht="29.25" customHeight="1">
      <c r="A128" s="894" t="s">
        <v>318</v>
      </c>
      <c r="B128" s="895"/>
      <c r="C128" s="896"/>
      <c r="D128" s="151" t="s">
        <v>183</v>
      </c>
      <c r="E128" s="95">
        <f>'26'!F128</f>
        <v>189708.21</v>
      </c>
      <c r="F128" s="155">
        <v>190101.9</v>
      </c>
      <c r="G128" s="112">
        <f t="shared" ref="G128:G134" si="10">F128-E128</f>
        <v>393.69000000000233</v>
      </c>
      <c r="H128" s="99">
        <f>G128+'26'!H128</f>
        <v>10690.049999999988</v>
      </c>
      <c r="I128" s="165"/>
      <c r="J128" s="328">
        <f>H128/DAY(B2)</f>
        <v>395.92777777777735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'26'!F129</f>
        <v>100499</v>
      </c>
      <c r="F129" s="155">
        <v>100670</v>
      </c>
      <c r="G129" s="112">
        <f t="shared" si="10"/>
        <v>171</v>
      </c>
      <c r="H129" s="99">
        <f>G129+'26'!H129</f>
        <v>4640.5</v>
      </c>
      <c r="I129" s="165"/>
      <c r="J129" s="328">
        <f>H129/DAY(B2)</f>
        <v>171.87037037037038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'26'!F130</f>
        <v>264680</v>
      </c>
      <c r="F130" s="155">
        <v>265323</v>
      </c>
      <c r="G130" s="112">
        <f t="shared" si="10"/>
        <v>643</v>
      </c>
      <c r="H130" s="99">
        <f>G130+'26'!H130</f>
        <v>18483.25</v>
      </c>
      <c r="I130" s="165"/>
      <c r="J130" s="328">
        <f>H130/DAY(B2)</f>
        <v>684.56481481481478</v>
      </c>
      <c r="N130" s="240"/>
      <c r="O130" s="241"/>
    </row>
    <row r="131" spans="1:15" ht="25.5">
      <c r="A131" s="894" t="s">
        <v>321</v>
      </c>
      <c r="B131" s="895"/>
      <c r="C131" s="896"/>
      <c r="D131" s="151" t="s">
        <v>183</v>
      </c>
      <c r="E131" s="95">
        <f>'26'!F131</f>
        <v>78914</v>
      </c>
      <c r="F131" s="155">
        <v>79026</v>
      </c>
      <c r="G131" s="112">
        <f t="shared" si="10"/>
        <v>112</v>
      </c>
      <c r="H131" s="99">
        <f>G131+'26'!H131</f>
        <v>5515.3999999999942</v>
      </c>
      <c r="I131" s="165"/>
      <c r="J131" s="328">
        <f>H131/DAY(B2)</f>
        <v>204.27407407407387</v>
      </c>
      <c r="N131" s="240"/>
      <c r="O131" s="241"/>
    </row>
    <row r="132" spans="1:15" ht="25.5">
      <c r="A132" s="894" t="s">
        <v>322</v>
      </c>
      <c r="B132" s="895"/>
      <c r="C132" s="896"/>
      <c r="D132" s="151" t="s">
        <v>183</v>
      </c>
      <c r="E132" s="95">
        <f>'26'!F132</f>
        <v>148274</v>
      </c>
      <c r="F132" s="155">
        <v>148274</v>
      </c>
      <c r="G132" s="112">
        <f t="shared" si="10"/>
        <v>0</v>
      </c>
      <c r="H132" s="99">
        <f>G132+'26'!H132</f>
        <v>1289</v>
      </c>
      <c r="I132" s="165"/>
      <c r="J132" s="328">
        <f>H132/DAY(B2)</f>
        <v>47.74074074074074</v>
      </c>
    </row>
    <row r="133" spans="1:15" ht="25.5">
      <c r="A133" s="894" t="s">
        <v>359</v>
      </c>
      <c r="B133" s="895"/>
      <c r="C133" s="896"/>
      <c r="D133" s="151" t="s">
        <v>183</v>
      </c>
      <c r="E133" s="95">
        <f>'26'!F133</f>
        <v>929946</v>
      </c>
      <c r="F133" s="155">
        <v>929946</v>
      </c>
      <c r="G133" s="112">
        <f t="shared" si="10"/>
        <v>0</v>
      </c>
      <c r="H133" s="99">
        <f>G133+'26'!H133</f>
        <v>19702</v>
      </c>
      <c r="I133" s="165"/>
      <c r="J133" s="328">
        <f>H133/DAY(B2)</f>
        <v>729.7037037037037</v>
      </c>
    </row>
    <row r="134" spans="1:15" ht="25.5">
      <c r="A134" s="894" t="s">
        <v>340</v>
      </c>
      <c r="B134" s="895"/>
      <c r="C134" s="896"/>
      <c r="D134" s="151" t="s">
        <v>183</v>
      </c>
      <c r="E134" s="95">
        <f>'26'!F134</f>
        <v>84633.3</v>
      </c>
      <c r="F134" s="155">
        <v>84903.19</v>
      </c>
      <c r="G134" s="112">
        <f t="shared" si="10"/>
        <v>269.88999999999942</v>
      </c>
      <c r="H134" s="99">
        <f>G134+'26'!H134</f>
        <v>6143.5899999999965</v>
      </c>
      <c r="I134" s="165"/>
      <c r="J134" s="328">
        <f>H134/DAY(B2)</f>
        <v>227.54037037037025</v>
      </c>
    </row>
    <row r="135" spans="1:15" ht="25.5">
      <c r="A135" s="853" t="s">
        <v>196</v>
      </c>
      <c r="B135" s="854"/>
      <c r="C135" s="331"/>
      <c r="D135" s="151"/>
      <c r="E135" s="95"/>
      <c r="F135" s="165"/>
      <c r="G135" s="112">
        <f>SUM(G128:G134)</f>
        <v>1589.5800000000017</v>
      </c>
      <c r="H135" s="99">
        <f>G135+'23'!H135</f>
        <v>28616.049999999988</v>
      </c>
      <c r="I135" s="327">
        <f>G135-(G35+G49)</f>
        <v>-1371.8599999999424</v>
      </c>
      <c r="J135" s="328"/>
    </row>
    <row r="136" spans="1:15" ht="27.75">
      <c r="A136" s="924" t="s">
        <v>325</v>
      </c>
      <c r="B136" s="924"/>
      <c r="C136" s="924"/>
      <c r="D136" s="924"/>
      <c r="E136" s="924"/>
      <c r="F136" s="924"/>
      <c r="G136" s="924"/>
      <c r="H136" s="924"/>
      <c r="I136" s="924"/>
      <c r="J136" s="92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9" t="s">
        <v>185</v>
      </c>
      <c r="B138" s="889"/>
      <c r="C138" s="889"/>
      <c r="D138" s="151" t="s">
        <v>183</v>
      </c>
      <c r="E138" s="95">
        <f>'26'!F138</f>
        <v>909000</v>
      </c>
      <c r="F138" s="147">
        <v>909030</v>
      </c>
      <c r="G138" s="112">
        <f t="shared" ref="G138:G152" si="11">F138-E138</f>
        <v>30</v>
      </c>
      <c r="H138" s="99">
        <f>G138+'26'!H138</f>
        <v>3403</v>
      </c>
      <c r="I138" s="118"/>
      <c r="J138" s="328">
        <f>H138/DAY(B2)</f>
        <v>126.03703703703704</v>
      </c>
    </row>
    <row r="139" spans="1:15" ht="25.5">
      <c r="A139" s="889" t="s">
        <v>186</v>
      </c>
      <c r="B139" s="889"/>
      <c r="C139" s="889"/>
      <c r="D139" s="151" t="s">
        <v>183</v>
      </c>
      <c r="E139" s="95">
        <f>'26'!F139</f>
        <v>931711</v>
      </c>
      <c r="F139" s="148">
        <v>931819</v>
      </c>
      <c r="G139" s="112">
        <f t="shared" si="11"/>
        <v>108</v>
      </c>
      <c r="H139" s="99">
        <f>G139+'26'!H139</f>
        <v>4538</v>
      </c>
      <c r="I139" s="118"/>
      <c r="J139" s="328">
        <f>H139/DAY(B2)</f>
        <v>168.07407407407408</v>
      </c>
    </row>
    <row r="140" spans="1:15" ht="25.5">
      <c r="A140" s="889" t="s">
        <v>187</v>
      </c>
      <c r="B140" s="889"/>
      <c r="C140" s="889"/>
      <c r="D140" s="151" t="s">
        <v>183</v>
      </c>
      <c r="E140" s="95">
        <f>'26'!F140</f>
        <v>3940.59</v>
      </c>
      <c r="F140" s="149">
        <v>3962.52</v>
      </c>
      <c r="G140" s="112">
        <f t="shared" si="11"/>
        <v>21.929999999999836</v>
      </c>
      <c r="H140" s="99">
        <f>G140+'26'!H140</f>
        <v>631.42000000000007</v>
      </c>
      <c r="I140" s="118"/>
      <c r="J140" s="328">
        <f>H140/DAY(B2)</f>
        <v>23.385925925925928</v>
      </c>
    </row>
    <row r="141" spans="1:15" ht="25.5">
      <c r="A141" s="893" t="s">
        <v>188</v>
      </c>
      <c r="B141" s="893"/>
      <c r="C141" s="893"/>
      <c r="D141" s="151" t="s">
        <v>183</v>
      </c>
      <c r="E141" s="95">
        <f>'26'!F141</f>
        <v>123547.32</v>
      </c>
      <c r="F141" s="149">
        <v>123774.75</v>
      </c>
      <c r="G141" s="112">
        <f t="shared" si="11"/>
        <v>227.42999999999302</v>
      </c>
      <c r="H141" s="99">
        <f>G141+'26'!H141</f>
        <v>6216.7700000000041</v>
      </c>
      <c r="I141" s="118"/>
      <c r="J141" s="328">
        <f>H141/DAY(B2)</f>
        <v>230.25074074074089</v>
      </c>
    </row>
    <row r="142" spans="1:15" ht="25.5">
      <c r="A142" s="893" t="s">
        <v>189</v>
      </c>
      <c r="B142" s="893"/>
      <c r="C142" s="893"/>
      <c r="D142" s="151" t="s">
        <v>183</v>
      </c>
      <c r="E142" s="95">
        <f>'26'!F142</f>
        <v>50091</v>
      </c>
      <c r="F142" s="148">
        <v>50153</v>
      </c>
      <c r="G142" s="112">
        <f t="shared" si="11"/>
        <v>62</v>
      </c>
      <c r="H142" s="99">
        <f>G142+'26'!H142</f>
        <v>2648.5</v>
      </c>
      <c r="I142" s="140"/>
      <c r="J142" s="328">
        <f>H142/DAY(B2)</f>
        <v>98.092592592592595</v>
      </c>
    </row>
    <row r="143" spans="1:15" ht="25.5">
      <c r="A143" s="889" t="s">
        <v>91</v>
      </c>
      <c r="B143" s="889"/>
      <c r="C143" s="889"/>
      <c r="D143" s="151" t="s">
        <v>183</v>
      </c>
      <c r="E143" s="95">
        <f>'26'!F143</f>
        <v>13225.59</v>
      </c>
      <c r="F143" s="149">
        <v>13258.05</v>
      </c>
      <c r="G143" s="112">
        <f t="shared" si="11"/>
        <v>32.459999999999127</v>
      </c>
      <c r="H143" s="99">
        <f>G143+'26'!H143</f>
        <v>842.64999999999964</v>
      </c>
      <c r="I143" s="140"/>
      <c r="J143" s="328">
        <f>H143/DAY(B2)</f>
        <v>31.209259259259245</v>
      </c>
    </row>
    <row r="144" spans="1:15" ht="25.5">
      <c r="A144" s="893" t="s">
        <v>90</v>
      </c>
      <c r="B144" s="893"/>
      <c r="C144" s="893"/>
      <c r="D144" s="151" t="s">
        <v>183</v>
      </c>
      <c r="E144" s="95">
        <f>'26'!F144</f>
        <v>954198</v>
      </c>
      <c r="F144" s="149">
        <v>954418</v>
      </c>
      <c r="G144" s="112">
        <f t="shared" si="11"/>
        <v>220</v>
      </c>
      <c r="H144" s="99">
        <f>G144+'26'!H144</f>
        <v>6220</v>
      </c>
      <c r="I144" s="140"/>
      <c r="J144" s="328">
        <f>H144/DAY(B2)</f>
        <v>230.37037037037038</v>
      </c>
    </row>
    <row r="145" spans="1:10" ht="25.5">
      <c r="A145" s="889" t="s">
        <v>190</v>
      </c>
      <c r="B145" s="889"/>
      <c r="C145" s="889"/>
      <c r="D145" s="152" t="s">
        <v>183</v>
      </c>
      <c r="E145" s="95">
        <f>'26'!F145</f>
        <v>26433</v>
      </c>
      <c r="F145" s="149">
        <v>26608.54</v>
      </c>
      <c r="G145" s="112">
        <f t="shared" si="11"/>
        <v>175.54000000000087</v>
      </c>
      <c r="H145" s="99">
        <f>G145+'26'!H145</f>
        <v>4012.4400000000023</v>
      </c>
      <c r="I145" s="140"/>
      <c r="J145" s="328">
        <f>H145/DAY(B2)</f>
        <v>148.60888888888897</v>
      </c>
    </row>
    <row r="146" spans="1:10" ht="25.5">
      <c r="A146" s="890" t="s">
        <v>191</v>
      </c>
      <c r="B146" s="891"/>
      <c r="C146" s="892"/>
      <c r="D146" s="152" t="s">
        <v>183</v>
      </c>
      <c r="E146" s="95">
        <f>'26'!F146</f>
        <v>787672</v>
      </c>
      <c r="F146" s="148">
        <v>787672</v>
      </c>
      <c r="G146" s="112">
        <f t="shared" si="11"/>
        <v>0</v>
      </c>
      <c r="H146" s="99">
        <f>G146+'26'!H146</f>
        <v>1004</v>
      </c>
      <c r="I146" s="140"/>
      <c r="J146" s="328">
        <f>H146/DAY(B2)</f>
        <v>37.185185185185183</v>
      </c>
    </row>
    <row r="147" spans="1:10" ht="25.5">
      <c r="A147" s="893" t="s">
        <v>192</v>
      </c>
      <c r="B147" s="893"/>
      <c r="C147" s="893"/>
      <c r="D147" s="152" t="s">
        <v>183</v>
      </c>
      <c r="E147" s="95">
        <f>'26'!F147</f>
        <v>758552</v>
      </c>
      <c r="F147" s="148">
        <v>758552</v>
      </c>
      <c r="G147" s="112">
        <f t="shared" si="11"/>
        <v>0</v>
      </c>
      <c r="H147" s="99">
        <f>G147+'26'!H147</f>
        <v>10997.839999999967</v>
      </c>
      <c r="I147" s="140"/>
      <c r="J147" s="328">
        <f>H147/DAY(B2)</f>
        <v>407.32740740740621</v>
      </c>
    </row>
    <row r="148" spans="1:10" ht="25.5">
      <c r="A148" s="886" t="s">
        <v>193</v>
      </c>
      <c r="B148" s="887"/>
      <c r="C148" s="888"/>
      <c r="D148" s="123" t="s">
        <v>130</v>
      </c>
      <c r="E148" s="95">
        <f>'26'!F148</f>
        <v>794868.64</v>
      </c>
      <c r="F148" s="150">
        <v>795395</v>
      </c>
      <c r="G148" s="112">
        <f t="shared" si="11"/>
        <v>526.35999999998603</v>
      </c>
      <c r="H148" s="99">
        <f>G148+'26'!H148</f>
        <v>10750</v>
      </c>
      <c r="I148" s="124"/>
      <c r="J148" s="328">
        <f>H148/DAY(B2)</f>
        <v>398.14814814814815</v>
      </c>
    </row>
    <row r="149" spans="1:10" ht="25.5">
      <c r="A149" s="886" t="s">
        <v>336</v>
      </c>
      <c r="B149" s="887"/>
      <c r="C149" s="888"/>
      <c r="D149" s="227" t="s">
        <v>130</v>
      </c>
      <c r="E149" s="95">
        <f>'26'!F149</f>
        <v>198034</v>
      </c>
      <c r="F149" s="146">
        <v>198438</v>
      </c>
      <c r="G149" s="112">
        <f t="shared" si="11"/>
        <v>404</v>
      </c>
      <c r="H149" s="99">
        <f>G149+'26'!H149</f>
        <v>13141.109999999986</v>
      </c>
      <c r="I149" s="119"/>
      <c r="J149" s="328">
        <f>H149/DAY(B2)</f>
        <v>486.70777777777727</v>
      </c>
    </row>
    <row r="150" spans="1:10" ht="25.5">
      <c r="A150" s="886" t="s">
        <v>337</v>
      </c>
      <c r="B150" s="887"/>
      <c r="C150" s="888"/>
      <c r="D150" s="117" t="s">
        <v>130</v>
      </c>
      <c r="E150" s="95">
        <f>'26'!F150</f>
        <v>83811</v>
      </c>
      <c r="F150" s="233">
        <v>84191</v>
      </c>
      <c r="G150" s="112">
        <f t="shared" si="11"/>
        <v>380</v>
      </c>
      <c r="H150" s="99">
        <f>G150+'26'!H150</f>
        <v>7302.6999999999971</v>
      </c>
      <c r="I150" s="119"/>
      <c r="J150" s="328">
        <f>H150/DAY(B2)</f>
        <v>270.47037037037029</v>
      </c>
    </row>
    <row r="151" spans="1:10" ht="25.5">
      <c r="A151" s="886" t="s">
        <v>338</v>
      </c>
      <c r="B151" s="887"/>
      <c r="C151" s="888"/>
      <c r="D151" s="117" t="s">
        <v>130</v>
      </c>
      <c r="E151" s="95">
        <f>'26'!F151</f>
        <v>165209</v>
      </c>
      <c r="F151" s="233">
        <v>165488</v>
      </c>
      <c r="G151" s="112">
        <f t="shared" si="11"/>
        <v>279</v>
      </c>
      <c r="H151" s="99">
        <f>G151+'26'!H151</f>
        <v>7178</v>
      </c>
      <c r="I151" s="119"/>
      <c r="J151" s="328">
        <f>H151/DAY(B2)</f>
        <v>265.85185185185185</v>
      </c>
    </row>
    <row r="152" spans="1:10" ht="25.5">
      <c r="A152" s="886" t="s">
        <v>339</v>
      </c>
      <c r="B152" s="887"/>
      <c r="C152" s="888"/>
      <c r="D152" s="117" t="s">
        <v>130</v>
      </c>
      <c r="E152" s="95">
        <f>'26'!F152</f>
        <v>41870</v>
      </c>
      <c r="F152" s="233">
        <v>41990</v>
      </c>
      <c r="G152" s="112">
        <f t="shared" si="11"/>
        <v>120</v>
      </c>
      <c r="H152" s="99">
        <f>G152+'26'!H152</f>
        <v>3374.0999999999985</v>
      </c>
      <c r="I152" s="119"/>
      <c r="J152" s="328">
        <f>H152/DAY(B2)</f>
        <v>124.96666666666661</v>
      </c>
    </row>
    <row r="153" spans="1:10" ht="25.5">
      <c r="A153" s="853" t="s">
        <v>196</v>
      </c>
      <c r="B153" s="854"/>
      <c r="C153" s="365"/>
      <c r="D153" s="358"/>
      <c r="E153" s="360"/>
      <c r="F153" s="361"/>
      <c r="G153" s="362">
        <f>SUM(G138:G152)</f>
        <v>2586.7199999999789</v>
      </c>
      <c r="H153" s="363"/>
      <c r="I153" s="119">
        <f>G153-(G38+G52)</f>
        <v>23.520000000025448</v>
      </c>
      <c r="J153" s="366"/>
    </row>
    <row r="154" spans="1:10" ht="27.75">
      <c r="A154" s="924" t="s">
        <v>344</v>
      </c>
      <c r="B154" s="924"/>
      <c r="C154" s="924"/>
      <c r="D154" s="924"/>
      <c r="E154" s="924"/>
      <c r="F154" s="924"/>
      <c r="G154" s="924"/>
      <c r="H154" s="924"/>
      <c r="I154" s="924"/>
      <c r="J154" s="924"/>
    </row>
    <row r="155" spans="1:10" ht="27.75">
      <c r="A155" s="893" t="s">
        <v>345</v>
      </c>
      <c r="B155" s="893"/>
      <c r="C155" s="893"/>
      <c r="D155" s="117" t="s">
        <v>130</v>
      </c>
      <c r="E155" s="95">
        <f>'26'!F155</f>
        <v>236084</v>
      </c>
      <c r="F155" s="388">
        <v>236198</v>
      </c>
      <c r="G155" s="112">
        <f t="shared" ref="G155:G158" si="12">F155-E155</f>
        <v>114</v>
      </c>
      <c r="H155" s="99">
        <f>G155+'26'!H155</f>
        <v>16210.299999999988</v>
      </c>
      <c r="I155" s="364"/>
      <c r="J155" s="328">
        <f>H155/DAY(B2)</f>
        <v>600.38148148148105</v>
      </c>
    </row>
    <row r="156" spans="1:10" ht="25.5">
      <c r="A156" s="893" t="s">
        <v>347</v>
      </c>
      <c r="B156" s="893"/>
      <c r="C156" s="893"/>
      <c r="D156" s="117" t="s">
        <v>130</v>
      </c>
      <c r="E156" s="95">
        <f>'26'!F156</f>
        <v>29030.45</v>
      </c>
      <c r="F156" s="155">
        <v>29095</v>
      </c>
      <c r="G156" s="112">
        <f t="shared" si="12"/>
        <v>64.549999999999272</v>
      </c>
      <c r="H156" s="99">
        <f>G156+'26'!H156</f>
        <v>2564.7999999999993</v>
      </c>
      <c r="I156" s="165"/>
      <c r="J156" s="328">
        <f>H156/DAY(B2)</f>
        <v>94.992592592592572</v>
      </c>
    </row>
    <row r="157" spans="1:10" ht="25.5">
      <c r="A157" s="886" t="s">
        <v>360</v>
      </c>
      <c r="B157" s="887"/>
      <c r="C157" s="888"/>
      <c r="D157" s="117" t="s">
        <v>130</v>
      </c>
      <c r="E157" s="95">
        <f>'26'!F157</f>
        <v>37559</v>
      </c>
      <c r="F157" s="155">
        <v>37559</v>
      </c>
      <c r="G157" s="112">
        <f t="shared" si="12"/>
        <v>0</v>
      </c>
      <c r="H157" s="99">
        <f>G157+'26'!H157</f>
        <v>0</v>
      </c>
      <c r="I157" s="165"/>
      <c r="J157" s="328">
        <f>H157/DAY(B2)</f>
        <v>0</v>
      </c>
    </row>
    <row r="158" spans="1:10" ht="25.5">
      <c r="A158" s="886" t="s">
        <v>361</v>
      </c>
      <c r="B158" s="887"/>
      <c r="C158" s="888"/>
      <c r="D158" s="117" t="s">
        <v>130</v>
      </c>
      <c r="E158" s="95">
        <f>'26'!F158</f>
        <v>1754.17</v>
      </c>
      <c r="F158" s="155">
        <v>1756</v>
      </c>
      <c r="G158" s="112">
        <f t="shared" si="12"/>
        <v>1.8299999999999272</v>
      </c>
      <c r="H158" s="99">
        <f>G158+'26'!H158</f>
        <v>12.880000000000109</v>
      </c>
      <c r="I158" s="165"/>
      <c r="J158" s="328">
        <f>H158/DAY(B2)</f>
        <v>0.47703703703704109</v>
      </c>
    </row>
    <row r="159" spans="1:10" ht="25.5">
      <c r="A159" s="942"/>
      <c r="B159" s="943"/>
      <c r="C159" s="944"/>
      <c r="D159" s="117"/>
      <c r="E159" s="95"/>
      <c r="F159" s="155"/>
      <c r="G159" s="112"/>
      <c r="H159" s="99"/>
      <c r="I159" s="165"/>
      <c r="J159" s="328"/>
    </row>
    <row r="160" spans="1:10" ht="27.75">
      <c r="A160" s="924" t="s">
        <v>326</v>
      </c>
      <c r="B160" s="924"/>
      <c r="C160" s="924"/>
      <c r="D160" s="924"/>
      <c r="E160" s="924"/>
      <c r="F160" s="924"/>
      <c r="G160" s="924"/>
      <c r="H160" s="924"/>
      <c r="I160" s="924"/>
      <c r="J160" s="924"/>
    </row>
    <row r="161" spans="1:10" ht="26.25">
      <c r="A161" s="242" t="s">
        <v>92</v>
      </c>
      <c r="B161" s="243"/>
      <c r="C161" s="243"/>
      <c r="D161" s="244" t="s">
        <v>180</v>
      </c>
      <c r="E161" s="95">
        <f>'26'!F161</f>
        <v>507600</v>
      </c>
      <c r="F161" s="235">
        <v>507710</v>
      </c>
      <c r="G161" s="238">
        <f t="shared" ref="G161:G165" si="13">F161-E161</f>
        <v>110</v>
      </c>
      <c r="H161" s="99">
        <f>G161+'26'!H161</f>
        <v>4338.8400000000256</v>
      </c>
      <c r="I161" s="236"/>
      <c r="J161" s="239">
        <f>H161/DAY(B2)</f>
        <v>160.69777777777873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'26'!F162</f>
        <v>630.70000000000005</v>
      </c>
      <c r="F162" s="235">
        <v>643.30999999999995</v>
      </c>
      <c r="G162" s="238">
        <f t="shared" si="13"/>
        <v>12.6099999999999</v>
      </c>
      <c r="H162" s="99">
        <f>G162+'26'!H162</f>
        <v>1023.5099999999941</v>
      </c>
      <c r="I162" s="236"/>
      <c r="J162" s="239">
        <f>H162/DAY(B2)</f>
        <v>37.907777777777561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'26'!F163</f>
        <v>0</v>
      </c>
      <c r="F163" s="235">
        <v>0</v>
      </c>
      <c r="G163" s="238">
        <f t="shared" si="13"/>
        <v>0</v>
      </c>
      <c r="H163" s="99">
        <f>G163+'26'!H163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'26'!F164</f>
        <v>7177.3</v>
      </c>
      <c r="F164" s="235">
        <v>7180</v>
      </c>
      <c r="G164" s="238">
        <f t="shared" si="13"/>
        <v>2.6999999999998181</v>
      </c>
      <c r="H164" s="99">
        <f>G164+'26'!H164</f>
        <v>189.80000000000018</v>
      </c>
      <c r="I164" s="236"/>
      <c r="J164" s="239">
        <f>H164/DAY(B2)</f>
        <v>7.0296296296296363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'26'!F165</f>
        <v>32756.18</v>
      </c>
      <c r="F165" s="235">
        <v>32759</v>
      </c>
      <c r="G165" s="238">
        <f t="shared" si="13"/>
        <v>2.819999999999709</v>
      </c>
      <c r="H165" s="99">
        <f>G165+'26'!H165</f>
        <v>184.90000000000146</v>
      </c>
      <c r="I165" s="236"/>
      <c r="J165" s="239">
        <f>H165/DAY(B2)</f>
        <v>6.8481481481482023</v>
      </c>
    </row>
    <row r="166" spans="1:10" ht="26.25">
      <c r="A166" s="923"/>
      <c r="B166" s="923"/>
      <c r="C166" s="246"/>
      <c r="D166" s="244" t="s">
        <v>180</v>
      </c>
      <c r="E166" s="95">
        <f>'26'!F166</f>
        <v>0</v>
      </c>
      <c r="F166" s="165"/>
      <c r="G166" s="165"/>
      <c r="H166" s="99">
        <f>G166+'26'!H166</f>
        <v>0</v>
      </c>
      <c r="I166" s="165"/>
      <c r="J166" s="239">
        <f>H166/DAY(B2)</f>
        <v>0</v>
      </c>
    </row>
    <row r="167" spans="1:10" ht="26.25">
      <c r="A167" s="923"/>
      <c r="B167" s="923"/>
      <c r="C167" s="246"/>
      <c r="D167" s="244" t="s">
        <v>180</v>
      </c>
      <c r="E167" s="95">
        <f>'26'!F167</f>
        <v>0</v>
      </c>
      <c r="F167" s="165"/>
      <c r="G167" s="165"/>
      <c r="H167" s="99">
        <f>G167+'26'!H167</f>
        <v>0</v>
      </c>
      <c r="I167" s="165"/>
      <c r="J167" s="239">
        <f>H167/DAY(B2)</f>
        <v>0</v>
      </c>
    </row>
    <row r="168" spans="1:10" ht="26.25">
      <c r="A168" s="923"/>
      <c r="B168" s="923"/>
      <c r="C168" s="246"/>
      <c r="D168" s="244" t="s">
        <v>180</v>
      </c>
      <c r="E168" s="95">
        <f>'26'!F168</f>
        <v>0</v>
      </c>
      <c r="F168" s="165"/>
      <c r="G168" s="165"/>
      <c r="H168" s="99">
        <f>G168+'26'!H168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33" t="s">
        <v>330</v>
      </c>
      <c r="B171" s="934"/>
      <c r="C171" s="934"/>
      <c r="D171" s="934"/>
      <c r="E171" s="934"/>
      <c r="F171" s="934"/>
      <c r="G171" s="934"/>
      <c r="H171" s="934"/>
      <c r="I171" s="934"/>
      <c r="J171" s="935"/>
    </row>
    <row r="172" spans="1:10" ht="25.5">
      <c r="A172" s="929"/>
      <c r="B172" s="930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41" t="s">
        <v>209</v>
      </c>
      <c r="B173" s="843"/>
      <c r="C173" s="333"/>
      <c r="D173" s="228" t="s">
        <v>142</v>
      </c>
      <c r="E173" s="95">
        <f>'26'!F173</f>
        <v>8612</v>
      </c>
      <c r="F173" s="155">
        <v>8612</v>
      </c>
      <c r="G173" s="155">
        <f>F173-E173</f>
        <v>0</v>
      </c>
      <c r="H173" s="99">
        <f>G173+'26'!H173</f>
        <v>28</v>
      </c>
      <c r="I173" s="155"/>
      <c r="J173" s="178">
        <f>H173/DAY(B2)</f>
        <v>1.037037037037037</v>
      </c>
    </row>
    <row r="174" spans="1:10" ht="25.5">
      <c r="A174" s="841" t="s">
        <v>75</v>
      </c>
      <c r="B174" s="843"/>
      <c r="C174" s="333"/>
      <c r="D174" s="228" t="s">
        <v>142</v>
      </c>
      <c r="E174" s="95">
        <f>'26'!F174</f>
        <v>43000</v>
      </c>
      <c r="F174" s="157">
        <v>43017</v>
      </c>
      <c r="G174" s="155">
        <f t="shared" ref="G174:G175" si="14">F174-E174</f>
        <v>17</v>
      </c>
      <c r="H174" s="99">
        <f>G174+'26'!H174</f>
        <v>348</v>
      </c>
      <c r="I174" s="155"/>
      <c r="J174" s="178">
        <f>H174/DAY(B2)</f>
        <v>12.888888888888889</v>
      </c>
    </row>
    <row r="175" spans="1:10" ht="25.5">
      <c r="A175" s="841" t="s">
        <v>76</v>
      </c>
      <c r="B175" s="842"/>
      <c r="C175" s="843"/>
      <c r="D175" s="228" t="s">
        <v>142</v>
      </c>
      <c r="E175" s="95">
        <f>'26'!F175</f>
        <v>25738</v>
      </c>
      <c r="F175" s="155">
        <v>25748</v>
      </c>
      <c r="G175" s="155">
        <f t="shared" si="14"/>
        <v>10</v>
      </c>
      <c r="H175" s="99">
        <f>G175+'26'!H175</f>
        <v>355</v>
      </c>
      <c r="I175" s="155"/>
      <c r="J175" s="178">
        <f>H175/DAY(B2)</f>
        <v>13.148148148148149</v>
      </c>
    </row>
    <row r="176" spans="1:10" ht="25.5">
      <c r="A176" s="853" t="s">
        <v>196</v>
      </c>
      <c r="B176" s="854"/>
      <c r="C176" s="400"/>
      <c r="D176" s="228" t="s">
        <v>142</v>
      </c>
      <c r="E176" s="95"/>
      <c r="F176" s="155"/>
      <c r="G176" s="155">
        <f>SUM(G173:G175)</f>
        <v>27</v>
      </c>
      <c r="H176" s="99">
        <f>G176+'26'!H176</f>
        <v>731</v>
      </c>
      <c r="I176" s="155"/>
      <c r="J176" s="178">
        <f>H176/DAY(B2)</f>
        <v>27.074074074074073</v>
      </c>
    </row>
    <row r="177" spans="1:10" ht="25.5">
      <c r="A177" s="841" t="s">
        <v>77</v>
      </c>
      <c r="B177" s="843"/>
      <c r="C177" s="333"/>
      <c r="D177" s="228" t="s">
        <v>142</v>
      </c>
      <c r="E177" s="95"/>
      <c r="F177" s="155"/>
      <c r="G177" s="155"/>
      <c r="H177" s="99">
        <f>G177+'26'!H177</f>
        <v>0</v>
      </c>
      <c r="I177" s="155"/>
      <c r="J177" s="178">
        <f>H177/DAY(B2)</f>
        <v>0</v>
      </c>
    </row>
    <row r="178" spans="1:10" ht="25.5">
      <c r="A178" s="841" t="s">
        <v>210</v>
      </c>
      <c r="B178" s="843"/>
      <c r="C178" s="333"/>
      <c r="D178" s="228" t="s">
        <v>142</v>
      </c>
      <c r="E178" s="95">
        <f>'26'!F178</f>
        <v>106398</v>
      </c>
      <c r="F178" s="155">
        <v>106511</v>
      </c>
      <c r="G178" s="155">
        <f>F178-E178</f>
        <v>113</v>
      </c>
      <c r="H178" s="99">
        <f>G178+'26'!H178</f>
        <v>2868</v>
      </c>
      <c r="I178" s="155"/>
      <c r="J178" s="178">
        <f>H178/DAY(B2)</f>
        <v>106.22222222222223</v>
      </c>
    </row>
    <row r="179" spans="1:10" ht="25.5">
      <c r="A179" s="841" t="s">
        <v>211</v>
      </c>
      <c r="B179" s="843"/>
      <c r="C179" s="333"/>
      <c r="D179" s="228" t="s">
        <v>142</v>
      </c>
      <c r="E179" s="95">
        <f>'26'!F179</f>
        <v>37501</v>
      </c>
      <c r="F179" s="155">
        <v>37501</v>
      </c>
      <c r="G179" s="155">
        <f t="shared" ref="G179:G180" si="15">F179-E179</f>
        <v>0</v>
      </c>
      <c r="H179" s="99">
        <f>G179+'26'!H179</f>
        <v>0</v>
      </c>
      <c r="I179" s="155"/>
      <c r="J179" s="178">
        <f>H179/DAY(B2)</f>
        <v>0</v>
      </c>
    </row>
    <row r="180" spans="1:10" ht="25.5">
      <c r="A180" s="841" t="s">
        <v>212</v>
      </c>
      <c r="B180" s="843"/>
      <c r="C180" s="333"/>
      <c r="D180" s="228" t="s">
        <v>142</v>
      </c>
      <c r="E180" s="95">
        <f>'26'!F180</f>
        <v>7535</v>
      </c>
      <c r="F180" s="155">
        <v>7541</v>
      </c>
      <c r="G180" s="155">
        <f t="shared" si="15"/>
        <v>6</v>
      </c>
      <c r="H180" s="99">
        <f>G180+'26'!H180</f>
        <v>121</v>
      </c>
      <c r="I180" s="155"/>
      <c r="J180" s="178">
        <f>H180/DAY(B2)</f>
        <v>4.4814814814814818</v>
      </c>
    </row>
    <row r="181" spans="1:10" ht="25.5">
      <c r="A181" s="927" t="s">
        <v>108</v>
      </c>
      <c r="B181" s="928"/>
      <c r="C181" s="400"/>
      <c r="D181" s="228" t="s">
        <v>142</v>
      </c>
      <c r="E181" s="95"/>
      <c r="F181" s="155"/>
      <c r="G181" s="155">
        <f>SUM(G178:G180)</f>
        <v>119</v>
      </c>
      <c r="H181" s="99">
        <f>G181+'26'!H181</f>
        <v>2989</v>
      </c>
      <c r="I181" s="155"/>
      <c r="J181" s="178">
        <f>H181/DAY(B2)</f>
        <v>110.70370370370371</v>
      </c>
    </row>
    <row r="182" spans="1:10" ht="25.5">
      <c r="A182" s="841" t="s">
        <v>213</v>
      </c>
      <c r="B182" s="843"/>
      <c r="C182" s="333"/>
      <c r="D182" s="228" t="s">
        <v>142</v>
      </c>
      <c r="E182" s="95"/>
      <c r="F182" s="155"/>
      <c r="G182" s="155"/>
      <c r="H182" s="99">
        <f>G182+'26'!H182</f>
        <v>0</v>
      </c>
      <c r="I182" s="155"/>
      <c r="J182" s="178">
        <f>H182/DAY(B2)</f>
        <v>0</v>
      </c>
    </row>
    <row r="183" spans="1:10" ht="25.5">
      <c r="A183" s="841" t="s">
        <v>214</v>
      </c>
      <c r="B183" s="843"/>
      <c r="C183" s="334"/>
      <c r="D183" s="228" t="s">
        <v>142</v>
      </c>
      <c r="E183" s="95">
        <f>'26'!F183</f>
        <v>18341</v>
      </c>
      <c r="F183" s="157">
        <v>18349</v>
      </c>
      <c r="G183" s="157">
        <f>F183-E183</f>
        <v>8</v>
      </c>
      <c r="H183" s="99">
        <f>G183+'26'!H183</f>
        <v>181</v>
      </c>
      <c r="I183" s="155"/>
      <c r="J183" s="178">
        <f>H183/DAY(B2)</f>
        <v>6.7037037037037033</v>
      </c>
    </row>
    <row r="184" spans="1:10" ht="25.5">
      <c r="A184" s="841" t="s">
        <v>215</v>
      </c>
      <c r="B184" s="843"/>
      <c r="C184" s="334"/>
      <c r="D184" s="228" t="s">
        <v>142</v>
      </c>
      <c r="E184" s="95">
        <f>'26'!F184</f>
        <v>12951</v>
      </c>
      <c r="F184" s="157">
        <v>12956</v>
      </c>
      <c r="G184" s="157">
        <f t="shared" ref="G184:G185" si="16">F184-E184</f>
        <v>5</v>
      </c>
      <c r="H184" s="99">
        <f>G184+'26'!H184</f>
        <v>225</v>
      </c>
      <c r="I184" s="155"/>
      <c r="J184" s="178">
        <f>H184/DAY(B2)</f>
        <v>8.3333333333333339</v>
      </c>
    </row>
    <row r="185" spans="1:10" ht="25.5" customHeight="1">
      <c r="A185" s="841" t="s">
        <v>216</v>
      </c>
      <c r="B185" s="843"/>
      <c r="C185" s="334"/>
      <c r="D185" s="228" t="s">
        <v>142</v>
      </c>
      <c r="E185" s="95">
        <f>'26'!F185</f>
        <v>0</v>
      </c>
      <c r="F185" s="157"/>
      <c r="G185" s="157">
        <f t="shared" si="16"/>
        <v>0</v>
      </c>
      <c r="H185" s="99">
        <f>G185+'26'!H185</f>
        <v>0</v>
      </c>
      <c r="I185" s="155"/>
      <c r="J185" s="178">
        <f>H185/DAY(B2)</f>
        <v>0</v>
      </c>
    </row>
    <row r="186" spans="1:10" ht="25.5">
      <c r="A186" s="853" t="s">
        <v>196</v>
      </c>
      <c r="B186" s="854"/>
      <c r="C186" s="399"/>
      <c r="D186" s="228" t="s">
        <v>142</v>
      </c>
      <c r="E186" s="95"/>
      <c r="F186" s="157"/>
      <c r="G186" s="157">
        <f>SUM(G183:G185)</f>
        <v>13</v>
      </c>
      <c r="H186" s="99">
        <f>G186+'26'!H186</f>
        <v>406</v>
      </c>
      <c r="I186" s="157"/>
      <c r="J186" s="178">
        <f>H186/DAY(B2)</f>
        <v>15.037037037037036</v>
      </c>
    </row>
    <row r="187" spans="1:10" ht="25.5">
      <c r="A187" s="931" t="s">
        <v>217</v>
      </c>
      <c r="B187" s="932"/>
      <c r="C187" s="333"/>
      <c r="D187" s="228" t="s">
        <v>142</v>
      </c>
      <c r="E187" s="95">
        <f>'26'!F187</f>
        <v>0</v>
      </c>
      <c r="F187" s="159"/>
      <c r="G187" s="377">
        <f>G62+G19</f>
        <v>224</v>
      </c>
      <c r="H187" s="99">
        <f>G187+'26'!H187</f>
        <v>4765</v>
      </c>
      <c r="I187" s="158"/>
      <c r="J187" s="179">
        <f>H187/DAY(B2)</f>
        <v>176.4814814814815</v>
      </c>
    </row>
    <row r="188" spans="1:10" ht="25.5">
      <c r="A188" s="931" t="s">
        <v>218</v>
      </c>
      <c r="B188" s="932"/>
      <c r="C188" s="333"/>
      <c r="D188" s="228" t="s">
        <v>142</v>
      </c>
      <c r="E188" s="95">
        <f>'26'!F188</f>
        <v>0</v>
      </c>
      <c r="F188" s="159"/>
      <c r="G188" s="377">
        <f>G65+G66+G67+G69+G70</f>
        <v>234</v>
      </c>
      <c r="H188" s="99">
        <f>G188+'26'!H188</f>
        <v>2453</v>
      </c>
      <c r="I188" s="158"/>
      <c r="J188" s="179">
        <f>H188/DAY(B2)</f>
        <v>90.851851851851848</v>
      </c>
    </row>
    <row r="189" spans="1:10" ht="25.5">
      <c r="A189" s="931" t="s">
        <v>219</v>
      </c>
      <c r="B189" s="932"/>
      <c r="C189" s="333"/>
      <c r="D189" s="230" t="s">
        <v>142</v>
      </c>
      <c r="E189" s="95">
        <f>'26'!F189</f>
        <v>0</v>
      </c>
      <c r="F189" s="157"/>
      <c r="G189" s="376">
        <f>G181</f>
        <v>119</v>
      </c>
      <c r="H189" s="99">
        <f>G189+'26'!H189</f>
        <v>1129</v>
      </c>
      <c r="I189" s="158"/>
      <c r="J189" s="179">
        <f>H189/DAY(B2)</f>
        <v>41.814814814814817</v>
      </c>
    </row>
    <row r="190" spans="1:10" ht="25.5">
      <c r="A190" s="925"/>
      <c r="B190" s="926"/>
      <c r="C190" s="398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66:B166"/>
    <mergeCell ref="A167:B167"/>
    <mergeCell ref="A168:B168"/>
    <mergeCell ref="A188:B188"/>
    <mergeCell ref="A189:B189"/>
    <mergeCell ref="A190:B190"/>
    <mergeCell ref="A181:B181"/>
    <mergeCell ref="A182:B182"/>
    <mergeCell ref="A185:B185"/>
    <mergeCell ref="A186:B186"/>
    <mergeCell ref="A187:B187"/>
    <mergeCell ref="A173:B173"/>
    <mergeCell ref="A174:B174"/>
    <mergeCell ref="A176:B176"/>
    <mergeCell ref="A177:B177"/>
    <mergeCell ref="A178:B178"/>
    <mergeCell ref="A175:C175"/>
    <mergeCell ref="A179:B179"/>
    <mergeCell ref="A180:B180"/>
    <mergeCell ref="A184:B184"/>
    <mergeCell ref="A183:B183"/>
    <mergeCell ref="A171:J171"/>
    <mergeCell ref="A172:B172"/>
    <mergeCell ref="A139:C139"/>
    <mergeCell ref="A140:C140"/>
    <mergeCell ref="A141:C141"/>
    <mergeCell ref="A142:C142"/>
    <mergeCell ref="A160:J160"/>
    <mergeCell ref="A144:C144"/>
    <mergeCell ref="A145:C145"/>
    <mergeCell ref="A146:C146"/>
    <mergeCell ref="A147:C147"/>
    <mergeCell ref="A148:C148"/>
    <mergeCell ref="A149:C149"/>
    <mergeCell ref="A143:C143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3:C133"/>
    <mergeCell ref="A134:C134"/>
    <mergeCell ref="A136:J136"/>
    <mergeCell ref="A138:C138"/>
    <mergeCell ref="A126:J126"/>
    <mergeCell ref="A127:B127"/>
    <mergeCell ref="A128:C128"/>
    <mergeCell ref="A131:C131"/>
    <mergeCell ref="A132:C132"/>
    <mergeCell ref="A135:B135"/>
    <mergeCell ref="A120:C120"/>
    <mergeCell ref="A121:C121"/>
    <mergeCell ref="A122:C122"/>
    <mergeCell ref="A124:C124"/>
    <mergeCell ref="A125:B125"/>
    <mergeCell ref="Q116:R116"/>
    <mergeCell ref="A117:C117"/>
    <mergeCell ref="Q117:R117"/>
    <mergeCell ref="A118:C118"/>
    <mergeCell ref="Q118:R118"/>
    <mergeCell ref="A119:C119"/>
    <mergeCell ref="A123:C123"/>
    <mergeCell ref="A112:C112"/>
    <mergeCell ref="A113:C113"/>
    <mergeCell ref="A114:C114"/>
    <mergeCell ref="A115:C115"/>
    <mergeCell ref="A116:C116"/>
    <mergeCell ref="A62:C62"/>
    <mergeCell ref="A63:C63"/>
    <mergeCell ref="A71:C71"/>
    <mergeCell ref="A72:B72"/>
    <mergeCell ref="A78:C78"/>
    <mergeCell ref="A102:C102"/>
    <mergeCell ref="A109:B109"/>
    <mergeCell ref="A94:C94"/>
    <mergeCell ref="A95:C95"/>
    <mergeCell ref="A96:C96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110:J110"/>
    <mergeCell ref="A111:C111"/>
    <mergeCell ref="A81:C81"/>
    <mergeCell ref="A93:C93"/>
    <mergeCell ref="A18:C18"/>
    <mergeCell ref="A19:C19"/>
    <mergeCell ref="A79:C79"/>
    <mergeCell ref="A80:C80"/>
    <mergeCell ref="A75:C75"/>
    <mergeCell ref="A76:C76"/>
    <mergeCell ref="A77:C77"/>
    <mergeCell ref="A21:C21"/>
    <mergeCell ref="A25:C25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33:C33"/>
    <mergeCell ref="A61:C61"/>
  </mergeCells>
  <pageMargins left="0.23622047244094491" right="0.15748031496062992" top="0.15748031496062992" bottom="0.19685039370078741" header="0.19685039370078741" footer="0.19685039370078741"/>
  <pageSetup paperSize="5" scale="20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R1701"/>
  <sheetViews>
    <sheetView view="pageBreakPreview" zoomScale="55" zoomScaleNormal="80" zoomScaleSheetLayoutView="55" workbookViewId="0">
      <selection activeCell="H18" sqref="H18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67" t="s">
        <v>115</v>
      </c>
      <c r="B1" s="868"/>
      <c r="C1" s="868"/>
      <c r="D1" s="868"/>
      <c r="E1" s="868"/>
      <c r="F1" s="868"/>
      <c r="G1" s="868"/>
      <c r="H1" s="868"/>
      <c r="I1" s="868"/>
      <c r="J1" s="869"/>
    </row>
    <row r="2" spans="1:15" s="57" customFormat="1" ht="23.25">
      <c r="A2" s="191" t="s">
        <v>373</v>
      </c>
      <c r="B2" s="262">
        <v>44923</v>
      </c>
      <c r="C2" s="348" t="s">
        <v>67</v>
      </c>
      <c r="D2" s="218">
        <v>0.8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32</v>
      </c>
      <c r="E3" s="876" t="s">
        <v>119</v>
      </c>
      <c r="F3" s="877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0" t="s">
        <v>128</v>
      </c>
      <c r="B6" s="871"/>
      <c r="C6" s="87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'27'!F7</f>
        <v>887374.31</v>
      </c>
      <c r="F7" s="95">
        <v>909433.91</v>
      </c>
      <c r="G7" s="112">
        <f>F7-E7</f>
        <v>22059.599999999977</v>
      </c>
      <c r="H7" s="99">
        <f>G7+'27'!H7</f>
        <v>635751.36</v>
      </c>
      <c r="I7" s="113">
        <f>'1'!I7</f>
        <v>12000</v>
      </c>
      <c r="J7" s="175">
        <f>H7/DAY(B2)</f>
        <v>22705.405714285713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'27'!F8</f>
        <v>68537.899999999994</v>
      </c>
      <c r="F8" s="114">
        <v>90748.51</v>
      </c>
      <c r="G8" s="115">
        <f>F8-E8</f>
        <v>22210.61</v>
      </c>
      <c r="H8" s="99">
        <f>G8+'27'!H8</f>
        <v>639487.51</v>
      </c>
      <c r="I8" s="116"/>
      <c r="J8" s="175">
        <f>H8/DAY(B2)</f>
        <v>22838.839642857143</v>
      </c>
      <c r="K8" s="172">
        <v>1715917</v>
      </c>
      <c r="L8" s="76">
        <v>1728480</v>
      </c>
      <c r="M8" s="87">
        <f>L8-K8</f>
        <v>12563</v>
      </c>
      <c r="N8" s="87"/>
      <c r="O8" s="71">
        <f>G8-200</f>
        <v>22010.61</v>
      </c>
    </row>
    <row r="9" spans="1:15" ht="26.25">
      <c r="A9" s="199" t="s">
        <v>132</v>
      </c>
      <c r="B9" s="200"/>
      <c r="C9" s="200"/>
      <c r="D9" s="151" t="s">
        <v>130</v>
      </c>
      <c r="E9" s="95">
        <f>'27'!F9</f>
        <v>4351291.51</v>
      </c>
      <c r="F9" s="468">
        <v>4366937</v>
      </c>
      <c r="G9" s="112">
        <f>F9-E9</f>
        <v>15645.490000000224</v>
      </c>
      <c r="H9" s="99">
        <f>G9+'27'!H9</f>
        <v>252766.70000000019</v>
      </c>
      <c r="I9" s="124">
        <f>I7-J7</f>
        <v>-10705.405714285713</v>
      </c>
      <c r="J9" s="175">
        <f>H9/DAY(B2)</f>
        <v>9027.38214285715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'27'!F10</f>
        <v>4049399</v>
      </c>
      <c r="F10" s="353">
        <v>4055053.1</v>
      </c>
      <c r="G10" s="112">
        <f t="shared" ref="G10:G12" si="0">F10-E10</f>
        <v>5654.1000000000931</v>
      </c>
      <c r="H10" s="99">
        <f>G10+'27'!H10</f>
        <v>365574</v>
      </c>
      <c r="I10" s="282"/>
      <c r="J10" s="175">
        <f>H10/DAY(B2)</f>
        <v>13056.214285714286</v>
      </c>
      <c r="K10" s="79"/>
      <c r="L10" s="66"/>
      <c r="N10" s="87"/>
      <c r="O10" s="71">
        <f>F7-O8</f>
        <v>887423.3</v>
      </c>
    </row>
    <row r="11" spans="1:15" ht="26.25">
      <c r="A11" s="194" t="s">
        <v>134</v>
      </c>
      <c r="B11" s="195"/>
      <c r="C11" s="195"/>
      <c r="D11" s="151" t="s">
        <v>130</v>
      </c>
      <c r="E11" s="95">
        <f>'27'!F11</f>
        <v>38700</v>
      </c>
      <c r="F11" s="95">
        <v>38700</v>
      </c>
      <c r="G11" s="112">
        <f t="shared" si="0"/>
        <v>0</v>
      </c>
      <c r="H11" s="99">
        <f>G11+'27'!H11</f>
        <v>580</v>
      </c>
      <c r="I11" s="282"/>
      <c r="J11" s="175">
        <f>H11/DAY(B2)</f>
        <v>20.714285714285715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'27'!F12</f>
        <v>40550</v>
      </c>
      <c r="F12" s="117">
        <v>40550</v>
      </c>
      <c r="G12" s="112">
        <f t="shared" si="0"/>
        <v>0</v>
      </c>
      <c r="H12" s="99">
        <f>G12+'27'!H12</f>
        <v>160</v>
      </c>
      <c r="I12" s="282"/>
      <c r="J12" s="175">
        <f>H12/DAY(B2)</f>
        <v>5.7142857142857144</v>
      </c>
      <c r="K12" s="79"/>
      <c r="L12" s="66"/>
      <c r="N12" s="87"/>
      <c r="O12" s="71">
        <f>G7-O8</f>
        <v>48.989999999976135</v>
      </c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21299.590000000317</v>
      </c>
      <c r="H13" s="99">
        <f>G13+'27'!H13</f>
        <v>623309.39999999991</v>
      </c>
      <c r="I13" s="120">
        <f>G7-G13</f>
        <v>760.00999999966007</v>
      </c>
      <c r="J13" s="175">
        <f>H13/DAY(B2)</f>
        <v>22261.049999999996</v>
      </c>
      <c r="K13" s="79"/>
      <c r="L13" s="66"/>
      <c r="N13" s="87"/>
      <c r="O13" s="71"/>
    </row>
    <row r="14" spans="1:15" ht="26.25">
      <c r="A14" s="873" t="s">
        <v>137</v>
      </c>
      <c r="B14" s="874"/>
      <c r="C14" s="87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8">
        <f>'27'!F15</f>
        <v>2248574.15</v>
      </c>
      <c r="F15" s="352">
        <v>2249741.7200000002</v>
      </c>
      <c r="G15" s="112">
        <f>(F15-E15)</f>
        <v>1167.570000000298</v>
      </c>
      <c r="H15" s="99">
        <f>G15+'27'!H15</f>
        <v>30800.720000000205</v>
      </c>
      <c r="I15" s="113">
        <f>'1'!I15</f>
        <v>800</v>
      </c>
      <c r="J15" s="175">
        <f>H15/DAY(B2)</f>
        <v>1100.0257142857215</v>
      </c>
      <c r="K15" s="79"/>
      <c r="L15" s="66"/>
      <c r="N15" s="87"/>
      <c r="O15" s="71">
        <f>G8-200</f>
        <v>22010.61</v>
      </c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-300.02571428572151</v>
      </c>
      <c r="J16" s="176"/>
      <c r="K16" s="79"/>
      <c r="L16" s="66"/>
      <c r="N16" s="87"/>
      <c r="O16" s="71"/>
    </row>
    <row r="17" spans="1:16" ht="26.25">
      <c r="A17" s="873" t="s">
        <v>140</v>
      </c>
      <c r="B17" s="874"/>
      <c r="C17" s="87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6" ht="25.5">
      <c r="A18" s="864" t="s">
        <v>141</v>
      </c>
      <c r="B18" s="865"/>
      <c r="C18" s="866"/>
      <c r="D18" s="151" t="s">
        <v>142</v>
      </c>
      <c r="E18" s="95">
        <f>'27'!F18</f>
        <v>29</v>
      </c>
      <c r="F18" s="122">
        <v>25</v>
      </c>
      <c r="G18" s="119">
        <f>F18*10</f>
        <v>250</v>
      </c>
      <c r="H18" s="99">
        <f>G18+'27'!H18</f>
        <v>7480</v>
      </c>
      <c r="I18" s="113">
        <f>'1'!I18</f>
        <v>65</v>
      </c>
      <c r="J18" s="175">
        <f>H18/DAY(B2)</f>
        <v>267.14285714285717</v>
      </c>
      <c r="K18" s="79"/>
      <c r="L18" s="66"/>
      <c r="N18" s="87"/>
      <c r="O18" s="71"/>
    </row>
    <row r="19" spans="1:16" ht="25.5">
      <c r="A19" s="864" t="s">
        <v>69</v>
      </c>
      <c r="B19" s="865"/>
      <c r="C19" s="866"/>
      <c r="D19" s="151" t="s">
        <v>142</v>
      </c>
      <c r="E19" s="95">
        <f>'27'!F19</f>
        <v>169343</v>
      </c>
      <c r="F19" s="122">
        <v>169401</v>
      </c>
      <c r="G19" s="112">
        <f t="shared" ref="G19" si="1">F19-E19</f>
        <v>58</v>
      </c>
      <c r="H19" s="99">
        <f>G19+'27'!H19</f>
        <v>1525</v>
      </c>
      <c r="I19" s="335"/>
      <c r="J19" s="175">
        <f>H19/DAY(B2)</f>
        <v>54.464285714285715</v>
      </c>
      <c r="K19" s="79"/>
      <c r="L19" s="66"/>
      <c r="N19" s="87"/>
      <c r="O19" s="71"/>
    </row>
    <row r="20" spans="1:16" ht="26.25">
      <c r="A20" s="201" t="s">
        <v>143</v>
      </c>
      <c r="B20" s="202"/>
      <c r="C20" s="202"/>
      <c r="D20" s="126"/>
      <c r="E20" s="126"/>
      <c r="F20" s="126"/>
      <c r="G20" s="127">
        <f>G18+G19</f>
        <v>308</v>
      </c>
      <c r="H20" s="99">
        <f>G20+'27'!H20</f>
        <v>9005</v>
      </c>
      <c r="I20" s="336">
        <f>I18-J20</f>
        <v>-256.60714285714283</v>
      </c>
      <c r="J20" s="175">
        <f>H20/DAY(B2)</f>
        <v>321.60714285714283</v>
      </c>
      <c r="K20" s="79"/>
      <c r="L20" s="66"/>
      <c r="N20" s="87"/>
      <c r="O20" s="71"/>
    </row>
    <row r="21" spans="1:16" ht="26.25">
      <c r="A21" s="873" t="s">
        <v>144</v>
      </c>
      <c r="B21" s="874"/>
      <c r="C21" s="87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  <c r="P21" s="65">
        <v>35529</v>
      </c>
    </row>
    <row r="22" spans="1:16" ht="26.25">
      <c r="A22" s="345" t="s">
        <v>145</v>
      </c>
      <c r="B22" s="205"/>
      <c r="C22" s="205"/>
      <c r="D22" s="151" t="s">
        <v>146</v>
      </c>
      <c r="E22" s="95">
        <f>'27'!F22</f>
        <v>2970</v>
      </c>
      <c r="F22" s="122">
        <v>2970</v>
      </c>
      <c r="G22" s="119">
        <f t="shared" ref="G22" si="2">(F22-E22)</f>
        <v>0</v>
      </c>
      <c r="H22" s="99">
        <f>G22+'27'!H22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6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G23+'27'!H23</f>
        <v>-100</v>
      </c>
      <c r="I23" s="118"/>
      <c r="J23" s="175">
        <f>H23/DAY(B2)</f>
        <v>-3.5714285714285716</v>
      </c>
      <c r="K23" s="79"/>
      <c r="L23" s="66"/>
      <c r="N23" s="87"/>
      <c r="O23" s="71"/>
    </row>
    <row r="24" spans="1:16" ht="26.25">
      <c r="A24" s="206" t="s">
        <v>148</v>
      </c>
      <c r="B24" s="207"/>
      <c r="C24" s="207"/>
      <c r="D24" s="146" t="s">
        <v>146</v>
      </c>
      <c r="E24" s="95">
        <v>4970</v>
      </c>
      <c r="F24" s="128">
        <v>4970</v>
      </c>
      <c r="G24" s="119">
        <v>0</v>
      </c>
      <c r="H24" s="99">
        <f>G24+'27'!H24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5.5">
      <c r="A25" s="878" t="s">
        <v>149</v>
      </c>
      <c r="B25" s="879"/>
      <c r="C25" s="88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G26+'27'!H26</f>
        <v>0</v>
      </c>
      <c r="I26" s="134"/>
      <c r="J26" s="175"/>
      <c r="K26" s="64"/>
      <c r="L26" s="89"/>
      <c r="N26" s="87"/>
      <c r="O26" s="71"/>
    </row>
    <row r="27" spans="1:16" s="88" customFormat="1" ht="25.5">
      <c r="A27" s="208" t="s">
        <v>5</v>
      </c>
      <c r="B27" s="209"/>
      <c r="C27" s="210"/>
      <c r="D27" s="226" t="s">
        <v>24</v>
      </c>
      <c r="E27" s="135">
        <f>G8</f>
        <v>22210.61</v>
      </c>
      <c r="F27" s="136">
        <v>9</v>
      </c>
      <c r="G27" s="137">
        <f>E27*F27</f>
        <v>199895.49</v>
      </c>
      <c r="H27" s="99">
        <f>G27+'27'!H27</f>
        <v>5777978.3899999997</v>
      </c>
      <c r="I27" s="138"/>
      <c r="J27" s="175">
        <f>H27/DAY(B2)</f>
        <v>206356.37107142856</v>
      </c>
      <c r="K27" s="63"/>
      <c r="L27" s="89"/>
      <c r="N27" s="87"/>
      <c r="O27" s="71"/>
    </row>
    <row r="28" spans="1:16" s="88" customFormat="1" ht="25.5">
      <c r="A28" s="208" t="s">
        <v>152</v>
      </c>
      <c r="B28" s="209"/>
      <c r="C28" s="210"/>
      <c r="D28" s="226" t="s">
        <v>153</v>
      </c>
      <c r="E28" s="139">
        <f>G15</f>
        <v>1167.570000000298</v>
      </c>
      <c r="F28" s="136">
        <v>70</v>
      </c>
      <c r="G28" s="137">
        <f>E28*F28</f>
        <v>81729.900000020862</v>
      </c>
      <c r="H28" s="99">
        <f>G28+'27'!H28</f>
        <v>2166562.1500000148</v>
      </c>
      <c r="I28" s="140"/>
      <c r="J28" s="175">
        <f>H28/DAY(B2)</f>
        <v>77377.219642857672</v>
      </c>
      <c r="K28" s="63"/>
      <c r="L28" s="89"/>
      <c r="N28" s="87"/>
      <c r="O28" s="71"/>
    </row>
    <row r="29" spans="1:16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G29+'27'!H29</f>
        <v>20700</v>
      </c>
      <c r="I29" s="140"/>
      <c r="J29" s="175">
        <f>H29/DAY(B2)</f>
        <v>739.28571428571433</v>
      </c>
      <c r="K29" s="63"/>
      <c r="L29" s="89"/>
      <c r="N29" s="87"/>
      <c r="O29" s="71"/>
    </row>
    <row r="30" spans="1:16" s="88" customFormat="1" ht="25.5">
      <c r="A30" s="208" t="s">
        <v>156</v>
      </c>
      <c r="B30" s="209"/>
      <c r="C30" s="210"/>
      <c r="D30" s="226" t="s">
        <v>157</v>
      </c>
      <c r="E30" s="141">
        <f>G19</f>
        <v>58</v>
      </c>
      <c r="F30" s="136">
        <v>151</v>
      </c>
      <c r="G30" s="137">
        <f>E30*F30</f>
        <v>8758</v>
      </c>
      <c r="H30" s="99">
        <f>G30+'27'!H30</f>
        <v>230275</v>
      </c>
      <c r="I30" s="140"/>
      <c r="J30" s="175">
        <f>H30/DAY(B2)</f>
        <v>8224.1071428571431</v>
      </c>
      <c r="K30" s="63"/>
      <c r="L30" s="89"/>
      <c r="N30" s="87"/>
      <c r="O30" s="71"/>
    </row>
    <row r="31" spans="1:16" s="88" customFormat="1" ht="25.5">
      <c r="A31" s="208" t="s">
        <v>158</v>
      </c>
      <c r="B31" s="209"/>
      <c r="C31" s="210"/>
      <c r="D31" s="226" t="s">
        <v>142</v>
      </c>
      <c r="E31" s="141">
        <f>G18</f>
        <v>250</v>
      </c>
      <c r="F31" s="136">
        <v>80</v>
      </c>
      <c r="G31" s="137">
        <f>E31*F31</f>
        <v>20000</v>
      </c>
      <c r="H31" s="99">
        <f>G31+'27'!H31</f>
        <v>598400</v>
      </c>
      <c r="I31" s="140"/>
      <c r="J31" s="175">
        <f>H31/DAY(B2)</f>
        <v>21371.428571428572</v>
      </c>
      <c r="K31" s="63"/>
      <c r="L31" s="89"/>
      <c r="N31" s="87"/>
      <c r="O31" s="71"/>
    </row>
    <row r="32" spans="1:16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310383.39000002085</v>
      </c>
      <c r="H32" s="99">
        <f>G32+'27'!H32</f>
        <v>8793915.5400000159</v>
      </c>
      <c r="I32" s="144"/>
      <c r="J32" s="175">
        <f>H32/DAY(B2)</f>
        <v>314068.41214285773</v>
      </c>
      <c r="K32" s="63"/>
      <c r="L32" s="89"/>
      <c r="N32" s="87"/>
      <c r="O32" s="71"/>
    </row>
    <row r="33" spans="1:15" ht="25.5" customHeight="1">
      <c r="A33" s="881" t="s">
        <v>331</v>
      </c>
      <c r="B33" s="882"/>
      <c r="C33" s="88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'27'!F35</f>
        <v>443428.67</v>
      </c>
      <c r="F35" s="145">
        <v>445970</v>
      </c>
      <c r="G35" s="112">
        <f t="shared" ref="G35:G46" si="3">F35-E35</f>
        <v>2541.3300000000163</v>
      </c>
      <c r="H35" s="99">
        <f>G35+'27'!H35</f>
        <v>76873.090000000026</v>
      </c>
      <c r="I35" s="95"/>
      <c r="J35" s="175">
        <f>H35/DAY(B2)</f>
        <v>2745.4675000000011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'27'!F36</f>
        <v>349784</v>
      </c>
      <c r="F36" s="145">
        <v>350886</v>
      </c>
      <c r="G36" s="112">
        <f t="shared" si="3"/>
        <v>1102</v>
      </c>
      <c r="H36" s="99">
        <f>G36+'27'!H36</f>
        <v>28668.890000000014</v>
      </c>
      <c r="I36" s="95"/>
      <c r="J36" s="175">
        <f>H36/DAY(B2)</f>
        <v>1023.8889285714291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'27'!F37</f>
        <v>332586</v>
      </c>
      <c r="F37" s="145">
        <v>333996</v>
      </c>
      <c r="G37" s="112">
        <f t="shared" si="3"/>
        <v>1410</v>
      </c>
      <c r="H37" s="99">
        <f>G37+'27'!H37</f>
        <v>10997.309999999998</v>
      </c>
      <c r="I37" s="95"/>
      <c r="J37" s="175">
        <f>H37/DAY(B2)</f>
        <v>392.76107142857137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'27'!F38</f>
        <v>787049.99</v>
      </c>
      <c r="F38" s="108">
        <v>789565</v>
      </c>
      <c r="G38" s="112">
        <f t="shared" si="3"/>
        <v>2515.0100000000093</v>
      </c>
      <c r="H38" s="99">
        <f>G38+'27'!H38</f>
        <v>53712.609999999986</v>
      </c>
      <c r="I38" s="95"/>
      <c r="J38" s="175">
        <f>H38/DAY(B2)</f>
        <v>1918.3074999999994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'27'!F39</f>
        <v>609278.03</v>
      </c>
      <c r="F39" s="145">
        <v>611964</v>
      </c>
      <c r="G39" s="112">
        <f t="shared" si="3"/>
        <v>2685.9699999999721</v>
      </c>
      <c r="H39" s="99">
        <f>G39+'27'!H39</f>
        <v>20379.810000000056</v>
      </c>
      <c r="I39" s="95"/>
      <c r="J39" s="175">
        <f>H39/DAY(B2)</f>
        <v>727.85035714285914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'27'!F40</f>
        <v>207925.97</v>
      </c>
      <c r="F40" s="145">
        <v>208312</v>
      </c>
      <c r="G40" s="112">
        <f t="shared" si="3"/>
        <v>386.02999999999884</v>
      </c>
      <c r="H40" s="99">
        <f>G40+'27'!H40</f>
        <v>11582.029999999999</v>
      </c>
      <c r="I40" s="95"/>
      <c r="J40" s="175">
        <f>H40/DAY(B2)</f>
        <v>413.64392857142855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'27'!F41</f>
        <v>420212.5</v>
      </c>
      <c r="F41" s="145">
        <v>420212.5</v>
      </c>
      <c r="G41" s="112">
        <f t="shared" si="3"/>
        <v>0</v>
      </c>
      <c r="H41" s="99">
        <f>G41+'27'!H41</f>
        <v>1044.9099999999744</v>
      </c>
      <c r="I41" s="95"/>
      <c r="J41" s="175">
        <f>H41/DAY(B2)</f>
        <v>37.318214285713374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'27'!F42</f>
        <v>903032.55</v>
      </c>
      <c r="F42" s="145">
        <v>907271</v>
      </c>
      <c r="G42" s="112">
        <f t="shared" si="3"/>
        <v>4238.4499999999534</v>
      </c>
      <c r="H42" s="99">
        <f>G42+'27'!H42</f>
        <v>35500.920000000042</v>
      </c>
      <c r="I42" s="95"/>
      <c r="J42" s="175">
        <f>H42/DAY(B2)</f>
        <v>1267.8900000000015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'27'!F43</f>
        <v>422444</v>
      </c>
      <c r="F43" s="145">
        <v>422444</v>
      </c>
      <c r="G43" s="112">
        <f t="shared" si="3"/>
        <v>0</v>
      </c>
      <c r="H43" s="99">
        <f>G43+'27'!H43</f>
        <v>15416</v>
      </c>
      <c r="I43" s="95"/>
      <c r="J43" s="175">
        <f>H43/DAY(B2)</f>
        <v>550.57142857142856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'27'!F44</f>
        <v>0</v>
      </c>
      <c r="F44" s="145">
        <v>0</v>
      </c>
      <c r="G44" s="112">
        <f t="shared" si="3"/>
        <v>0</v>
      </c>
      <c r="H44" s="99">
        <f>G44+'27'!H44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'27'!F45</f>
        <v>0</v>
      </c>
      <c r="F45" s="145">
        <v>0</v>
      </c>
      <c r="G45" s="112">
        <f t="shared" si="3"/>
        <v>0</v>
      </c>
      <c r="H45" s="99">
        <f>G45+'27'!H45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'27'!F46</f>
        <v>0</v>
      </c>
      <c r="F46" s="145">
        <v>0</v>
      </c>
      <c r="G46" s="112">
        <f t="shared" si="3"/>
        <v>0</v>
      </c>
      <c r="H46" s="99">
        <f>G46+'27'!H46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14878.78999999995</v>
      </c>
      <c r="H47" s="99">
        <f>G47+'27'!H47</f>
        <v>254175.57000000009</v>
      </c>
      <c r="I47" s="95"/>
      <c r="J47" s="175">
        <f>H47/DAY(B2)</f>
        <v>9077.6989285714317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'27'!F49</f>
        <v>804951.75</v>
      </c>
      <c r="F49" s="422">
        <v>805265</v>
      </c>
      <c r="G49" s="112">
        <f t="shared" ref="G49:G58" si="4">F49-E49</f>
        <v>313.25</v>
      </c>
      <c r="H49" s="99">
        <f>G49+'27'!H49</f>
        <v>11642.050000000047</v>
      </c>
      <c r="I49" s="95"/>
      <c r="J49" s="175">
        <f>H49/DAY(B2)</f>
        <v>415.78750000000167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'27'!F50</f>
        <v>495587.31</v>
      </c>
      <c r="F50" s="145">
        <v>496948</v>
      </c>
      <c r="G50" s="112">
        <f t="shared" si="4"/>
        <v>1360.6900000000023</v>
      </c>
      <c r="H50" s="99">
        <f>G50+'27'!H50</f>
        <v>40278.929999999993</v>
      </c>
      <c r="I50" s="95"/>
      <c r="J50" s="175">
        <f>H50/DAY(B2)</f>
        <v>1438.5332142857139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'27'!F51</f>
        <v>156958.44</v>
      </c>
      <c r="F51" s="145">
        <v>156958</v>
      </c>
      <c r="G51" s="112">
        <f t="shared" si="4"/>
        <v>-0.44000000000232831</v>
      </c>
      <c r="H51" s="99">
        <f>G51+'27'!H51</f>
        <v>21713.450000000012</v>
      </c>
      <c r="I51" s="95"/>
      <c r="J51" s="175">
        <f>H51/DAY(B2)</f>
        <v>775.48035714285754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'27'!F52</f>
        <v>10</v>
      </c>
      <c r="F52" s="145">
        <v>10</v>
      </c>
      <c r="G52" s="112">
        <f t="shared" si="4"/>
        <v>0</v>
      </c>
      <c r="H52" s="99">
        <f>G52+'27'!H52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'27'!F53</f>
        <v>630355.03</v>
      </c>
      <c r="F53" s="145">
        <v>630355</v>
      </c>
      <c r="G53" s="112">
        <f t="shared" si="4"/>
        <v>-3.0000000027939677E-2</v>
      </c>
      <c r="H53" s="99">
        <f>G53+'27'!H53</f>
        <v>83813.729999999981</v>
      </c>
      <c r="I53" s="95"/>
      <c r="J53" s="175">
        <f>H53/DAY(B2)</f>
        <v>2993.3474999999994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'27'!F54</f>
        <v>113182.16</v>
      </c>
      <c r="F54" s="145">
        <v>113518.36</v>
      </c>
      <c r="G54" s="112">
        <f t="shared" si="4"/>
        <v>336.19999999999709</v>
      </c>
      <c r="H54" s="99">
        <f>G54+'27'!H54</f>
        <v>5855.1999999999971</v>
      </c>
      <c r="I54" s="95"/>
      <c r="J54" s="175">
        <f>H54/DAY(B2)</f>
        <v>209.11428571428561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'27'!F55</f>
        <v>576335.63</v>
      </c>
      <c r="F55" s="145">
        <v>576335.63</v>
      </c>
      <c r="G55" s="112">
        <f t="shared" si="4"/>
        <v>0</v>
      </c>
      <c r="H55" s="99">
        <f>G55+'27'!H55</f>
        <v>14850.959999999963</v>
      </c>
      <c r="I55" s="95"/>
      <c r="J55" s="175">
        <f>H55/DAY(B2)</f>
        <v>530.39142857142724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'27'!F56</f>
        <v>333759.96999999997</v>
      </c>
      <c r="F56" s="145">
        <v>334495</v>
      </c>
      <c r="G56" s="112">
        <f t="shared" si="4"/>
        <v>735.03000000002794</v>
      </c>
      <c r="H56" s="99">
        <f>G56+'27'!H56</f>
        <v>66379.989999999991</v>
      </c>
      <c r="I56" s="95"/>
      <c r="J56" s="175">
        <f>H56/DAY(B2)</f>
        <v>2370.7139285714284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'27'!F57</f>
        <v>620550</v>
      </c>
      <c r="F57" s="422">
        <v>623142</v>
      </c>
      <c r="G57" s="112">
        <f t="shared" si="4"/>
        <v>2592</v>
      </c>
      <c r="H57" s="99">
        <f>G57+'27'!H57</f>
        <v>59582.530000000028</v>
      </c>
      <c r="I57" s="95"/>
      <c r="J57" s="175">
        <f>H57/DAY(B2)</f>
        <v>2127.9475000000011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'27'!F58</f>
        <v>85278</v>
      </c>
      <c r="F58" s="145">
        <v>85614</v>
      </c>
      <c r="G58" s="112">
        <f t="shared" si="4"/>
        <v>336</v>
      </c>
      <c r="H58" s="99">
        <f>G58+'27'!H58</f>
        <v>6898.3099999999977</v>
      </c>
      <c r="I58" s="95"/>
      <c r="J58" s="175">
        <f>H58/DAY(B2)</f>
        <v>246.3682142857142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5672.6999999999971</v>
      </c>
      <c r="H59" s="99">
        <f>G59+'27'!H59</f>
        <v>311015.15000000002</v>
      </c>
      <c r="I59" s="95">
        <f>G7-G60</f>
        <v>1508.1100000000297</v>
      </c>
      <c r="J59" s="175">
        <f>H59/DAY(B2)</f>
        <v>11107.683928571429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20551.489999999947</v>
      </c>
      <c r="H60" s="99">
        <f>G60+'27'!H60</f>
        <v>565190.7200000002</v>
      </c>
      <c r="I60" s="95">
        <f>G13-G60</f>
        <v>748.10000000036962</v>
      </c>
      <c r="J60" s="175">
        <f>H60/DAY(B2)</f>
        <v>20185.382857142864</v>
      </c>
      <c r="K60" s="79"/>
      <c r="L60" s="66"/>
      <c r="N60" s="87"/>
      <c r="O60" s="71"/>
    </row>
    <row r="61" spans="1:15" s="68" customFormat="1" ht="26.25">
      <c r="A61" s="883" t="s">
        <v>332</v>
      </c>
      <c r="B61" s="884"/>
      <c r="C61" s="88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64" t="s">
        <v>198</v>
      </c>
      <c r="B62" s="865"/>
      <c r="C62" s="866"/>
      <c r="D62" s="151" t="s">
        <v>142</v>
      </c>
      <c r="E62" s="95">
        <f>'27'!F62</f>
        <v>311612</v>
      </c>
      <c r="F62" s="122">
        <v>311615</v>
      </c>
      <c r="G62" s="112">
        <f t="shared" ref="G62:G63" si="5">F62-E62</f>
        <v>3</v>
      </c>
      <c r="H62" s="99">
        <f>G62+'27'!H62</f>
        <v>3301</v>
      </c>
      <c r="I62" s="118"/>
      <c r="J62" s="175">
        <f>H62/DAY(B2)</f>
        <v>117.89285714285714</v>
      </c>
      <c r="K62" s="80"/>
      <c r="L62" s="66"/>
      <c r="N62" s="87"/>
      <c r="O62" s="71"/>
    </row>
    <row r="63" spans="1:15" ht="25.5">
      <c r="A63" s="864" t="s">
        <v>199</v>
      </c>
      <c r="B63" s="865"/>
      <c r="C63" s="866"/>
      <c r="D63" s="151" t="s">
        <v>142</v>
      </c>
      <c r="E63" s="95">
        <f>'27'!F63</f>
        <v>248530</v>
      </c>
      <c r="F63" s="122">
        <v>248708</v>
      </c>
      <c r="G63" s="112">
        <f t="shared" si="5"/>
        <v>178</v>
      </c>
      <c r="H63" s="99">
        <f>G63+'27'!H63</f>
        <v>1779</v>
      </c>
      <c r="I63" s="118"/>
      <c r="J63" s="175">
        <f>H63/DAY(B2)</f>
        <v>63.535714285714285</v>
      </c>
      <c r="K63" s="69"/>
      <c r="L63" s="66"/>
      <c r="N63" s="87"/>
      <c r="O63" s="71"/>
    </row>
    <row r="64" spans="1:15" ht="26.25">
      <c r="A64" s="861" t="s">
        <v>200</v>
      </c>
      <c r="B64" s="862"/>
      <c r="C64" s="863"/>
      <c r="D64" s="151"/>
      <c r="E64" s="95">
        <f>'27'!F64</f>
        <v>0</v>
      </c>
      <c r="F64" s="122">
        <v>0</v>
      </c>
      <c r="G64" s="112">
        <f>G62+G63</f>
        <v>181</v>
      </c>
      <c r="H64" s="99">
        <f>G64+'27'!H64</f>
        <v>5080</v>
      </c>
      <c r="I64" s="118"/>
      <c r="J64" s="175">
        <f>H64/DAY(B2)</f>
        <v>181.42857142857142</v>
      </c>
      <c r="K64" s="69"/>
      <c r="L64" s="66"/>
      <c r="N64" s="87"/>
      <c r="O64" s="71"/>
    </row>
    <row r="65" spans="1:15" ht="25.5">
      <c r="A65" s="864" t="s">
        <v>201</v>
      </c>
      <c r="B65" s="865"/>
      <c r="C65" s="866"/>
      <c r="D65" s="151" t="s">
        <v>142</v>
      </c>
      <c r="E65" s="95">
        <f>'27'!F65</f>
        <v>471582</v>
      </c>
      <c r="F65" s="122">
        <v>471624</v>
      </c>
      <c r="G65" s="112">
        <f t="shared" ref="G65:G70" si="6">F65-E65</f>
        <v>42</v>
      </c>
      <c r="H65" s="99">
        <f>G65+'27'!H65</f>
        <v>3723</v>
      </c>
      <c r="I65" s="118"/>
      <c r="J65" s="175">
        <f>H65/DAY(B2)</f>
        <v>132.96428571428572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'27'!F66</f>
        <v>113498</v>
      </c>
      <c r="F66" s="122">
        <v>113506</v>
      </c>
      <c r="G66" s="112">
        <f t="shared" si="6"/>
        <v>8</v>
      </c>
      <c r="H66" s="99">
        <f>G66+'27'!H66</f>
        <v>55759</v>
      </c>
      <c r="I66" s="118"/>
      <c r="J66" s="175">
        <f>H66/DAY(B2)</f>
        <v>1991.3928571428571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'27'!F67</f>
        <v>116442</v>
      </c>
      <c r="F67" s="122">
        <v>116486</v>
      </c>
      <c r="G67" s="112">
        <f t="shared" si="6"/>
        <v>44</v>
      </c>
      <c r="H67" s="99">
        <f>G67+'27'!H67</f>
        <v>631</v>
      </c>
      <c r="I67" s="118"/>
      <c r="J67" s="175">
        <f>H67/DAY(B2)</f>
        <v>22.535714285714285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'27'!F68</f>
        <v>169310</v>
      </c>
      <c r="F68" s="122">
        <v>169340</v>
      </c>
      <c r="G68" s="112">
        <f t="shared" si="6"/>
        <v>30</v>
      </c>
      <c r="H68" s="99">
        <f>G68+'27'!H68</f>
        <v>833</v>
      </c>
      <c r="I68" s="118"/>
      <c r="J68" s="175">
        <f>H68/DAY(B2)</f>
        <v>29.75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'27'!F69</f>
        <v>12946</v>
      </c>
      <c r="F69" s="122">
        <v>12949</v>
      </c>
      <c r="G69" s="112">
        <f t="shared" si="6"/>
        <v>3</v>
      </c>
      <c r="H69" s="99">
        <f>G69+'27'!H69</f>
        <v>139</v>
      </c>
      <c r="I69" s="118"/>
      <c r="J69" s="175">
        <f>H69/DAY(B2)</f>
        <v>4.9642857142857144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'27'!F70</f>
        <v>10976</v>
      </c>
      <c r="F70" s="122">
        <v>10992</v>
      </c>
      <c r="G70" s="112">
        <f t="shared" si="6"/>
        <v>16</v>
      </c>
      <c r="H70" s="99">
        <f>G70+'27'!H70</f>
        <v>213</v>
      </c>
      <c r="I70" s="118"/>
      <c r="J70" s="175">
        <f>H70/DAY(B2)</f>
        <v>7.6071428571428568</v>
      </c>
      <c r="K70" s="69"/>
      <c r="L70" s="66"/>
      <c r="N70" s="87"/>
      <c r="O70" s="71"/>
    </row>
    <row r="71" spans="1:15" ht="26.25">
      <c r="A71" s="861" t="s">
        <v>208</v>
      </c>
      <c r="B71" s="862"/>
      <c r="C71" s="863"/>
      <c r="D71" s="152"/>
      <c r="E71" s="152"/>
      <c r="F71" s="152"/>
      <c r="G71" s="153">
        <f>SUM(G65:G70)</f>
        <v>143</v>
      </c>
      <c r="H71" s="99">
        <f>G71+'27'!H71</f>
        <v>61298</v>
      </c>
      <c r="I71" s="154"/>
      <c r="J71" s="175">
        <f>H71/DAY(B2)</f>
        <v>2189.2142857142858</v>
      </c>
      <c r="K71" s="69"/>
      <c r="L71" s="66"/>
      <c r="N71" s="87"/>
      <c r="O71" s="71"/>
    </row>
    <row r="72" spans="1:15" s="88" customFormat="1" ht="25.5">
      <c r="A72" s="904"/>
      <c r="B72" s="89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09" t="s">
        <v>333</v>
      </c>
      <c r="B73" s="910"/>
      <c r="C73" s="91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64" t="s">
        <v>220</v>
      </c>
      <c r="B74" s="865"/>
      <c r="C74" s="866"/>
      <c r="D74" s="151" t="s">
        <v>139</v>
      </c>
      <c r="E74" s="95">
        <f>'27'!F74</f>
        <v>1125</v>
      </c>
      <c r="F74" s="117">
        <v>1330</v>
      </c>
      <c r="G74" s="112">
        <f t="shared" ref="G74:G78" si="7">F74-E74</f>
        <v>205</v>
      </c>
      <c r="H74" s="99">
        <f>G74+'27'!H74</f>
        <v>7970.9699999999721</v>
      </c>
      <c r="I74" s="154"/>
      <c r="J74" s="175">
        <f>H74/DAY(B2)</f>
        <v>284.67749999999899</v>
      </c>
      <c r="K74" s="69"/>
      <c r="L74" s="66"/>
      <c r="N74" s="87"/>
      <c r="O74" s="71"/>
    </row>
    <row r="75" spans="1:15" ht="25.5">
      <c r="A75" s="864" t="s">
        <v>221</v>
      </c>
      <c r="B75" s="865"/>
      <c r="C75" s="866"/>
      <c r="D75" s="151" t="s">
        <v>139</v>
      </c>
      <c r="E75" s="95">
        <f>'27'!F75</f>
        <v>73586.8</v>
      </c>
      <c r="F75" s="123">
        <v>73586.8</v>
      </c>
      <c r="G75" s="112">
        <f t="shared" si="7"/>
        <v>0</v>
      </c>
      <c r="H75" s="99">
        <f>G75+'27'!H75</f>
        <v>0.80000000000291038</v>
      </c>
      <c r="I75" s="154"/>
      <c r="J75" s="175">
        <f>H75/DAY(B2)</f>
        <v>2.8571428571532515E-2</v>
      </c>
      <c r="K75" s="69"/>
      <c r="L75" s="66"/>
      <c r="N75" s="87"/>
      <c r="O75" s="71"/>
    </row>
    <row r="76" spans="1:15" ht="25.5">
      <c r="A76" s="905" t="s">
        <v>222</v>
      </c>
      <c r="B76" s="891"/>
      <c r="C76" s="892"/>
      <c r="D76" s="151" t="s">
        <v>139</v>
      </c>
      <c r="E76" s="95">
        <f>'27'!F76</f>
        <v>206910</v>
      </c>
      <c r="F76" s="123">
        <v>207041</v>
      </c>
      <c r="G76" s="112">
        <f t="shared" si="7"/>
        <v>131</v>
      </c>
      <c r="H76" s="99">
        <f>G76+'27'!H76</f>
        <v>3379</v>
      </c>
      <c r="I76" s="154"/>
      <c r="J76" s="175">
        <f>H76/DAY(B2)</f>
        <v>120.67857142857143</v>
      </c>
      <c r="K76" s="69"/>
      <c r="L76" s="66"/>
      <c r="N76" s="87"/>
      <c r="O76" s="71"/>
    </row>
    <row r="77" spans="1:15" ht="25.5">
      <c r="A77" s="905" t="s">
        <v>223</v>
      </c>
      <c r="B77" s="891"/>
      <c r="C77" s="892"/>
      <c r="D77" s="151" t="s">
        <v>139</v>
      </c>
      <c r="E77" s="95">
        <f>'27'!F77</f>
        <v>57942</v>
      </c>
      <c r="F77" s="123">
        <v>57986</v>
      </c>
      <c r="G77" s="112">
        <f t="shared" si="7"/>
        <v>44</v>
      </c>
      <c r="H77" s="99">
        <f>G77+'27'!H77</f>
        <v>1464</v>
      </c>
      <c r="I77" s="154"/>
      <c r="J77" s="175">
        <f>H77/DAY(B2)</f>
        <v>52.285714285714285</v>
      </c>
      <c r="K77" s="69"/>
      <c r="L77" s="66"/>
      <c r="N77" s="87"/>
      <c r="O77" s="71"/>
    </row>
    <row r="78" spans="1:15" ht="25.5">
      <c r="A78" s="905" t="s">
        <v>224</v>
      </c>
      <c r="B78" s="891"/>
      <c r="C78" s="892"/>
      <c r="D78" s="151" t="s">
        <v>139</v>
      </c>
      <c r="E78" s="95">
        <f>'27'!F78</f>
        <v>9564</v>
      </c>
      <c r="F78" s="123">
        <v>9564</v>
      </c>
      <c r="G78" s="112">
        <f t="shared" si="7"/>
        <v>0</v>
      </c>
      <c r="H78" s="99">
        <f>G78+'27'!H78</f>
        <v>-0.3999999999996362</v>
      </c>
      <c r="I78" s="118"/>
      <c r="J78" s="175">
        <f>H78/DAY(B2)</f>
        <v>-1.4285714285701292E-2</v>
      </c>
      <c r="K78" s="69"/>
      <c r="L78" s="66"/>
      <c r="N78" s="87"/>
      <c r="O78" s="71"/>
    </row>
    <row r="79" spans="1:15" s="57" customFormat="1" ht="25.5">
      <c r="A79" s="905" t="s">
        <v>225</v>
      </c>
      <c r="B79" s="891"/>
      <c r="C79" s="892"/>
      <c r="D79" s="151"/>
      <c r="E79" s="95">
        <f>'27'!F79</f>
        <v>0</v>
      </c>
      <c r="F79" s="123"/>
      <c r="G79" s="112">
        <f>G15-SUM(G74:G78)</f>
        <v>787.57000000029802</v>
      </c>
      <c r="H79" s="99">
        <f>G79+'27'!H79</f>
        <v>17986.350000000231</v>
      </c>
      <c r="I79" s="118"/>
      <c r="J79" s="175"/>
      <c r="K79" s="59"/>
      <c r="L79" s="58"/>
      <c r="N79" s="87"/>
      <c r="O79" s="71"/>
    </row>
    <row r="80" spans="1:15" s="57" customFormat="1" ht="26.25">
      <c r="A80" s="861" t="s">
        <v>329</v>
      </c>
      <c r="B80" s="862"/>
      <c r="C80" s="863"/>
      <c r="D80" s="151"/>
      <c r="E80" s="117"/>
      <c r="F80" s="117"/>
      <c r="G80" s="112">
        <f>SUM(G74:G79)</f>
        <v>1167.570000000298</v>
      </c>
      <c r="H80" s="99"/>
      <c r="I80" s="118"/>
      <c r="J80" s="175"/>
      <c r="K80" s="59"/>
      <c r="L80" s="58"/>
      <c r="N80" s="87"/>
      <c r="O80" s="71"/>
    </row>
    <row r="81" spans="1:15" ht="25.5">
      <c r="A81" s="897" t="s">
        <v>226</v>
      </c>
      <c r="B81" s="898"/>
      <c r="C81" s="89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'27'!F82</f>
        <v>0</v>
      </c>
      <c r="F82" s="122">
        <v>0</v>
      </c>
      <c r="G82" s="112">
        <f t="shared" ref="G82:G92" si="8">F82-E82</f>
        <v>0</v>
      </c>
      <c r="H82" s="99">
        <f>G82+'27'!H82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'27'!F83</f>
        <v>0</v>
      </c>
      <c r="F83" s="122">
        <v>0</v>
      </c>
      <c r="G83" s="112">
        <f t="shared" si="8"/>
        <v>0</v>
      </c>
      <c r="H83" s="99">
        <f>G83+'27'!H83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'27'!F84</f>
        <v>43546</v>
      </c>
      <c r="F84" s="164">
        <v>43546</v>
      </c>
      <c r="G84" s="112">
        <f t="shared" si="8"/>
        <v>0</v>
      </c>
      <c r="H84" s="99">
        <f>G84+'27'!H84</f>
        <v>2005.7900000000009</v>
      </c>
      <c r="I84" s="545"/>
      <c r="J84" s="175">
        <f>H84/DAY(B2)</f>
        <v>71.635357142857174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405">
        <f>'27'!F85</f>
        <v>5836</v>
      </c>
      <c r="F85" s="164">
        <v>5860</v>
      </c>
      <c r="G85" s="236">
        <f t="shared" si="8"/>
        <v>24</v>
      </c>
      <c r="H85" s="99">
        <f>G85+'27'!H85</f>
        <v>176</v>
      </c>
      <c r="I85" s="545"/>
      <c r="J85" s="175">
        <f>H85/DAY(B2)</f>
        <v>6.2857142857142856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'27'!F86</f>
        <v>46834</v>
      </c>
      <c r="F86" s="164">
        <v>46834</v>
      </c>
      <c r="G86" s="112">
        <f t="shared" si="8"/>
        <v>0</v>
      </c>
      <c r="H86" s="99">
        <f>G86+'27'!H86</f>
        <v>80.069999999999709</v>
      </c>
      <c r="I86" s="545"/>
      <c r="J86" s="175">
        <f>H86/DAY(B2)</f>
        <v>2.8596428571428469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'27'!F87</f>
        <v>37014</v>
      </c>
      <c r="F87" s="164">
        <v>37020.449999999997</v>
      </c>
      <c r="G87" s="112">
        <f t="shared" si="8"/>
        <v>6.4499999999970896</v>
      </c>
      <c r="H87" s="99">
        <f>G87+'27'!H87</f>
        <v>470.23999999999796</v>
      </c>
      <c r="I87" s="545">
        <f>G84+G85+G86+G87</f>
        <v>30.44999999999709</v>
      </c>
      <c r="J87" s="175">
        <f>H87/DAY(B2)</f>
        <v>16.794285714285643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'27'!F88</f>
        <v>24582</v>
      </c>
      <c r="F88" s="164">
        <v>24589.47</v>
      </c>
      <c r="G88" s="112">
        <f t="shared" si="8"/>
        <v>7.4700000000011642</v>
      </c>
      <c r="H88" s="99">
        <f>G88+'27'!H88</f>
        <v>77.670000000001892</v>
      </c>
      <c r="I88" s="545"/>
      <c r="J88" s="175">
        <f>H88/DAY(B2)</f>
        <v>2.7739285714286388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'27'!F89</f>
        <v>28724</v>
      </c>
      <c r="F89" s="164">
        <v>28728.3</v>
      </c>
      <c r="G89" s="112">
        <f t="shared" si="8"/>
        <v>4.2999999999992724</v>
      </c>
      <c r="H89" s="99">
        <f>G89+'27'!H89</f>
        <v>226.59999999999854</v>
      </c>
      <c r="I89" s="545">
        <f>G88+G89</f>
        <v>11.770000000000437</v>
      </c>
      <c r="J89" s="175">
        <f>H89/DAY(B2)</f>
        <v>8.0928571428570901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'27'!F90</f>
        <v>74159</v>
      </c>
      <c r="F90" s="164">
        <v>74175.97</v>
      </c>
      <c r="G90" s="112">
        <f t="shared" si="8"/>
        <v>16.970000000001164</v>
      </c>
      <c r="H90" s="99">
        <f>G90+'27'!H90</f>
        <v>39.970000000001164</v>
      </c>
      <c r="I90" s="545">
        <f>G90</f>
        <v>16.970000000001164</v>
      </c>
      <c r="J90" s="175">
        <f>H90/DAY(B2)</f>
        <v>1.4275000000000415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'27'!F91</f>
        <v>5610</v>
      </c>
      <c r="F91" s="122">
        <v>5610</v>
      </c>
      <c r="G91" s="112">
        <f t="shared" si="8"/>
        <v>0</v>
      </c>
      <c r="H91" s="99">
        <f>G91+'27'!H91</f>
        <v>257.22999999999956</v>
      </c>
      <c r="I91" s="546"/>
      <c r="J91" s="175">
        <f>H91/DAY(B2)</f>
        <v>9.1867857142856995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'27'!F92</f>
        <v>7038</v>
      </c>
      <c r="F92" s="122">
        <v>7046.07</v>
      </c>
      <c r="G92" s="112">
        <f t="shared" si="8"/>
        <v>8.069999999999709</v>
      </c>
      <c r="H92" s="99">
        <f>G92+'27'!H92</f>
        <v>46.069999999999709</v>
      </c>
      <c r="I92" s="547">
        <f>G91+G92</f>
        <v>8.069999999999709</v>
      </c>
      <c r="J92" s="175">
        <f>H92/DAY(B2)</f>
        <v>1.6453571428571325</v>
      </c>
      <c r="O92" s="71"/>
    </row>
    <row r="93" spans="1:15" ht="26.25">
      <c r="A93" s="906" t="s">
        <v>239</v>
      </c>
      <c r="B93" s="907"/>
      <c r="C93" s="90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64" t="s">
        <v>240</v>
      </c>
      <c r="B94" s="865"/>
      <c r="C94" s="866"/>
      <c r="D94" s="151" t="s">
        <v>130</v>
      </c>
      <c r="E94" s="151"/>
      <c r="F94" s="151"/>
      <c r="G94" s="99">
        <f>G35+G43+G49+G57</f>
        <v>5446.5800000000163</v>
      </c>
      <c r="H94" s="99">
        <f>G94+'27'!H94</f>
        <v>163513.6700000001</v>
      </c>
      <c r="I94" s="118"/>
      <c r="J94" s="175">
        <f>H94/DAY(B2)</f>
        <v>5839.7739285714324</v>
      </c>
      <c r="K94" s="69"/>
      <c r="L94" s="66"/>
      <c r="O94" s="71"/>
    </row>
    <row r="95" spans="1:15" ht="25.5">
      <c r="A95" s="864" t="s">
        <v>241</v>
      </c>
      <c r="B95" s="865"/>
      <c r="C95" s="866"/>
      <c r="D95" s="151" t="s">
        <v>23</v>
      </c>
      <c r="E95" s="146"/>
      <c r="F95" s="146"/>
      <c r="G95" s="166">
        <f>G94/G7</f>
        <v>0.2469029356833316</v>
      </c>
      <c r="H95" s="99">
        <f>G95+'27'!H95</f>
        <v>7.2045465414525571</v>
      </c>
      <c r="I95" s="167"/>
      <c r="J95" s="175">
        <f>H95/DAY(B2)</f>
        <v>0.2573052336233056</v>
      </c>
      <c r="K95" s="69"/>
      <c r="L95" s="66"/>
      <c r="O95" s="71"/>
    </row>
    <row r="96" spans="1:15" ht="25.5">
      <c r="A96" s="864" t="s">
        <v>242</v>
      </c>
      <c r="B96" s="865"/>
      <c r="C96" s="866"/>
      <c r="D96" s="151" t="s">
        <v>130</v>
      </c>
      <c r="E96" s="95"/>
      <c r="F96" s="95"/>
      <c r="G96" s="99">
        <f>G41+G42+G55+G56</f>
        <v>4973.4799999999814</v>
      </c>
      <c r="H96" s="99">
        <f>G96+'27'!H96</f>
        <v>117776.77999999997</v>
      </c>
      <c r="I96" s="118"/>
      <c r="J96" s="175">
        <f>H96/DAY(B2)</f>
        <v>4206.31357142857</v>
      </c>
      <c r="K96" s="69"/>
      <c r="L96" s="66"/>
      <c r="O96" s="71"/>
    </row>
    <row r="97" spans="1:15" ht="25.5">
      <c r="A97" s="864" t="s">
        <v>243</v>
      </c>
      <c r="B97" s="865"/>
      <c r="C97" s="866"/>
      <c r="D97" s="151" t="s">
        <v>23</v>
      </c>
      <c r="E97" s="95"/>
      <c r="F97" s="95"/>
      <c r="G97" s="166">
        <f>G96/G7</f>
        <v>0.225456490598197</v>
      </c>
      <c r="H97" s="99">
        <f>G97+'27'!H97</f>
        <v>5.1528181068019183</v>
      </c>
      <c r="I97" s="167"/>
      <c r="J97" s="175">
        <f>H97/DAY(B2)</f>
        <v>0.1840292181000685</v>
      </c>
      <c r="K97" s="69"/>
      <c r="L97" s="66"/>
      <c r="O97" s="71"/>
    </row>
    <row r="98" spans="1:15" ht="25.5">
      <c r="A98" s="864" t="s">
        <v>244</v>
      </c>
      <c r="B98" s="865"/>
      <c r="C98" s="866"/>
      <c r="D98" s="151" t="s">
        <v>130</v>
      </c>
      <c r="E98" s="95"/>
      <c r="F98" s="95"/>
      <c r="G98" s="99">
        <f>G39+G53</f>
        <v>2685.9399999999441</v>
      </c>
      <c r="H98" s="99">
        <f>G98+'27'!H98</f>
        <v>104193.54000000004</v>
      </c>
      <c r="I98" s="168"/>
      <c r="J98" s="175">
        <f>H98/DAY(B2)</f>
        <v>3721.1978571428585</v>
      </c>
      <c r="K98" s="69"/>
      <c r="L98" s="66"/>
      <c r="O98" s="71"/>
    </row>
    <row r="99" spans="1:15" ht="25.5">
      <c r="A99" s="864" t="s">
        <v>245</v>
      </c>
      <c r="B99" s="865"/>
      <c r="C99" s="866"/>
      <c r="D99" s="151" t="s">
        <v>23</v>
      </c>
      <c r="E99" s="95"/>
      <c r="F99" s="95"/>
      <c r="G99" s="166">
        <f>G98/G7</f>
        <v>0.12175832744020504</v>
      </c>
      <c r="H99" s="99">
        <f>G99+'27'!H99</f>
        <v>4.574596946790531</v>
      </c>
      <c r="I99" s="168"/>
      <c r="J99" s="175">
        <f>H99/DAY(B2)</f>
        <v>0.16337846238537609</v>
      </c>
      <c r="O99" s="71"/>
    </row>
    <row r="100" spans="1:15" ht="26.25">
      <c r="A100" s="864" t="s">
        <v>246</v>
      </c>
      <c r="B100" s="865"/>
      <c r="C100" s="866"/>
      <c r="D100" s="151" t="s">
        <v>180</v>
      </c>
      <c r="E100" s="95"/>
      <c r="F100" s="95"/>
      <c r="G100" s="99">
        <f>G38+G52</f>
        <v>2515.0100000000093</v>
      </c>
      <c r="H100" s="99">
        <f>G100+'27'!H100</f>
        <v>53712.609999999986</v>
      </c>
      <c r="I100" s="118"/>
      <c r="J100" s="175">
        <f>H100/DAY(B2)</f>
        <v>1918.3074999999994</v>
      </c>
      <c r="K100" s="70"/>
      <c r="O100" s="71"/>
    </row>
    <row r="101" spans="1:15" ht="25.5">
      <c r="A101" s="864" t="s">
        <v>247</v>
      </c>
      <c r="B101" s="865"/>
      <c r="C101" s="866"/>
      <c r="D101" s="151" t="s">
        <v>23</v>
      </c>
      <c r="E101" s="95"/>
      <c r="F101" s="95"/>
      <c r="G101" s="166">
        <f>G100/G7</f>
        <v>0.11400977352263922</v>
      </c>
      <c r="H101" s="99">
        <f>G101+'27'!H101</f>
        <v>2.4061145218062228</v>
      </c>
      <c r="I101" s="168"/>
      <c r="J101" s="175">
        <f>H101/DAY(B2)</f>
        <v>8.593266149307939E-2</v>
      </c>
      <c r="O101" s="71"/>
    </row>
    <row r="102" spans="1:15" ht="25.5">
      <c r="A102" s="864" t="s">
        <v>248</v>
      </c>
      <c r="B102" s="865"/>
      <c r="C102" s="866"/>
      <c r="D102" s="151" t="s">
        <v>180</v>
      </c>
      <c r="E102" s="95"/>
      <c r="F102" s="95"/>
      <c r="G102" s="99">
        <f>G36+G50</f>
        <v>2462.6900000000023</v>
      </c>
      <c r="H102" s="99">
        <f>G102+'27'!H102</f>
        <v>68947.820000000007</v>
      </c>
      <c r="I102" s="168"/>
      <c r="J102" s="175">
        <f>H102/DAY(B2)</f>
        <v>2462.4221428571432</v>
      </c>
      <c r="O102" s="71"/>
    </row>
    <row r="103" spans="1:15" ht="25.5">
      <c r="A103" s="864" t="s">
        <v>249</v>
      </c>
      <c r="B103" s="865"/>
      <c r="C103" s="866"/>
      <c r="D103" s="151" t="s">
        <v>23</v>
      </c>
      <c r="E103" s="95"/>
      <c r="F103" s="95"/>
      <c r="G103" s="166">
        <f>G102/G7</f>
        <v>0.11163801700846819</v>
      </c>
      <c r="H103" s="99">
        <f>G103+'27'!H103</f>
        <v>3.0296920959326745</v>
      </c>
      <c r="I103" s="118"/>
      <c r="J103" s="175">
        <f>H103/DAY(B2)</f>
        <v>0.10820328914045266</v>
      </c>
      <c r="O103" s="71"/>
    </row>
    <row r="104" spans="1:15" ht="25.5">
      <c r="A104" s="864" t="s">
        <v>250</v>
      </c>
      <c r="B104" s="865"/>
      <c r="C104" s="866"/>
      <c r="D104" s="151" t="s">
        <v>180</v>
      </c>
      <c r="E104" s="95"/>
      <c r="F104" s="95"/>
      <c r="G104" s="99">
        <f>G37+G51</f>
        <v>1409.5599999999977</v>
      </c>
      <c r="H104" s="99">
        <f>G104+'27'!H104</f>
        <v>32710.760000000009</v>
      </c>
      <c r="I104" s="118"/>
      <c r="J104" s="175">
        <f>H104/DAY(B2)</f>
        <v>1168.241428571429</v>
      </c>
      <c r="O104" s="71"/>
    </row>
    <row r="105" spans="1:15" ht="26.25" thickBot="1">
      <c r="A105" s="901" t="s">
        <v>251</v>
      </c>
      <c r="B105" s="902"/>
      <c r="C105" s="903"/>
      <c r="D105" s="231" t="s">
        <v>23</v>
      </c>
      <c r="E105" s="185"/>
      <c r="F105" s="185"/>
      <c r="G105" s="186">
        <f>G104/G7</f>
        <v>6.38978041306279E-2</v>
      </c>
      <c r="H105" s="99">
        <f>G105+'27'!H105</f>
        <v>1.4548705340262966</v>
      </c>
      <c r="I105" s="187"/>
      <c r="J105" s="188">
        <f>H105/DAY(B2)</f>
        <v>5.1959661929510591E-2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15" t="s">
        <v>324</v>
      </c>
      <c r="B108" s="915"/>
      <c r="C108" s="915"/>
      <c r="D108" s="915"/>
      <c r="E108" s="915"/>
      <c r="F108" s="915"/>
      <c r="G108" s="915"/>
      <c r="H108" s="915"/>
      <c r="I108" s="915"/>
      <c r="J108" s="915"/>
    </row>
    <row r="109" spans="1:15" ht="26.25">
      <c r="A109" s="900"/>
      <c r="B109" s="900"/>
    </row>
    <row r="110" spans="1:15" ht="26.25">
      <c r="A110" s="916" t="s">
        <v>165</v>
      </c>
      <c r="B110" s="917"/>
      <c r="C110" s="917"/>
      <c r="D110" s="917"/>
      <c r="E110" s="917"/>
      <c r="F110" s="917"/>
      <c r="G110" s="917"/>
      <c r="H110" s="917"/>
      <c r="I110" s="917"/>
      <c r="J110" s="918"/>
    </row>
    <row r="111" spans="1:15" ht="25.5">
      <c r="A111" s="919"/>
      <c r="B111" s="920"/>
      <c r="C111" s="921"/>
      <c r="D111" s="165"/>
      <c r="E111" s="165"/>
      <c r="F111" s="165"/>
      <c r="G111" s="165"/>
      <c r="H111" s="156"/>
      <c r="I111" s="165"/>
      <c r="J111" s="327"/>
    </row>
    <row r="112" spans="1:15" ht="25.5">
      <c r="A112" s="894" t="s">
        <v>252</v>
      </c>
      <c r="B112" s="895"/>
      <c r="C112" s="896"/>
      <c r="D112" s="146" t="s">
        <v>183</v>
      </c>
      <c r="E112" s="95">
        <f>'27'!F112</f>
        <v>17269</v>
      </c>
      <c r="F112" s="237">
        <v>17330</v>
      </c>
      <c r="G112" s="112">
        <f t="shared" ref="G112:G123" si="9">F112-E112</f>
        <v>61</v>
      </c>
      <c r="H112" s="99">
        <f>G112+'27'!H112</f>
        <v>1716.2000000000007</v>
      </c>
      <c r="I112" s="165"/>
      <c r="J112" s="328">
        <f>H112/DAY(B2)</f>
        <v>61.292857142857166</v>
      </c>
    </row>
    <row r="113" spans="1:18" ht="29.25" customHeight="1">
      <c r="A113" s="894" t="s">
        <v>253</v>
      </c>
      <c r="B113" s="895"/>
      <c r="C113" s="896"/>
      <c r="D113" s="146" t="s">
        <v>183</v>
      </c>
      <c r="E113" s="95">
        <f>'27'!F113</f>
        <v>36587</v>
      </c>
      <c r="F113" s="237">
        <v>36717</v>
      </c>
      <c r="G113" s="112">
        <f t="shared" si="9"/>
        <v>130</v>
      </c>
      <c r="H113" s="99">
        <f>G113+'27'!H113</f>
        <v>4266.3300000000017</v>
      </c>
      <c r="I113" s="165"/>
      <c r="J113" s="328">
        <f>H113/DAY(B2)</f>
        <v>152.36892857142863</v>
      </c>
    </row>
    <row r="114" spans="1:18" ht="29.25" customHeight="1">
      <c r="A114" s="894" t="s">
        <v>254</v>
      </c>
      <c r="B114" s="895"/>
      <c r="C114" s="896"/>
      <c r="D114" s="146" t="s">
        <v>183</v>
      </c>
      <c r="E114" s="95">
        <f>'27'!F114</f>
        <v>53468</v>
      </c>
      <c r="F114" s="237">
        <v>53655</v>
      </c>
      <c r="G114" s="112">
        <f t="shared" si="9"/>
        <v>187</v>
      </c>
      <c r="H114" s="99">
        <f>G114+'27'!H114</f>
        <v>5688.6999999999971</v>
      </c>
      <c r="I114" s="165"/>
      <c r="J114" s="328">
        <f>H114/DAY(B2)</f>
        <v>203.16785714285703</v>
      </c>
    </row>
    <row r="115" spans="1:18" ht="29.25" customHeight="1">
      <c r="A115" s="894" t="s">
        <v>255</v>
      </c>
      <c r="B115" s="895"/>
      <c r="C115" s="896"/>
      <c r="D115" s="146" t="s">
        <v>183</v>
      </c>
      <c r="E115" s="95">
        <f>'27'!F115</f>
        <v>34375.03</v>
      </c>
      <c r="F115" s="237">
        <v>34518</v>
      </c>
      <c r="G115" s="112">
        <f t="shared" si="9"/>
        <v>142.97000000000116</v>
      </c>
      <c r="H115" s="99">
        <f>G115+'27'!H115</f>
        <v>4081.5999999999985</v>
      </c>
      <c r="I115" s="165"/>
      <c r="J115" s="328">
        <f>H115/DAY(B2)</f>
        <v>145.77142857142852</v>
      </c>
    </row>
    <row r="116" spans="1:18" ht="29.25" customHeight="1">
      <c r="A116" s="912" t="s">
        <v>96</v>
      </c>
      <c r="B116" s="913"/>
      <c r="C116" s="914"/>
      <c r="D116" s="146" t="s">
        <v>183</v>
      </c>
      <c r="E116" s="95">
        <f>'27'!F116</f>
        <v>132970</v>
      </c>
      <c r="F116" s="237">
        <v>133293</v>
      </c>
      <c r="G116" s="112">
        <f t="shared" si="9"/>
        <v>323</v>
      </c>
      <c r="H116" s="99">
        <f>G116+'27'!H116</f>
        <v>10432.800000000003</v>
      </c>
      <c r="I116" s="165"/>
      <c r="J116" s="328">
        <f>H116/DAY(B2)</f>
        <v>372.60000000000008</v>
      </c>
      <c r="Q116" s="894"/>
      <c r="R116" s="896"/>
    </row>
    <row r="117" spans="1:18" ht="29.25" customHeight="1">
      <c r="A117" s="912" t="s">
        <v>184</v>
      </c>
      <c r="B117" s="913"/>
      <c r="C117" s="914"/>
      <c r="D117" s="146" t="s">
        <v>183</v>
      </c>
      <c r="E117" s="95">
        <f>'27'!F117</f>
        <v>81456.67</v>
      </c>
      <c r="F117" s="237">
        <v>81780</v>
      </c>
      <c r="G117" s="112">
        <f t="shared" si="9"/>
        <v>323.33000000000175</v>
      </c>
      <c r="H117" s="99">
        <f>G117+'27'!H117</f>
        <v>7798.8000000000029</v>
      </c>
      <c r="I117" s="165"/>
      <c r="J117" s="328">
        <f>H117/DAY(B2)</f>
        <v>278.52857142857152</v>
      </c>
      <c r="Q117" s="894"/>
      <c r="R117" s="896"/>
    </row>
    <row r="118" spans="1:18" ht="25.5">
      <c r="A118" s="889" t="s">
        <v>97</v>
      </c>
      <c r="B118" s="889"/>
      <c r="C118" s="889"/>
      <c r="D118" s="151" t="s">
        <v>183</v>
      </c>
      <c r="E118" s="95">
        <f>'27'!F118</f>
        <v>155631</v>
      </c>
      <c r="F118" s="237">
        <v>156226</v>
      </c>
      <c r="G118" s="112">
        <f t="shared" si="9"/>
        <v>595</v>
      </c>
      <c r="H118" s="99">
        <f>G118+'27'!H118</f>
        <v>17413.549999999988</v>
      </c>
      <c r="I118" s="165"/>
      <c r="J118" s="328">
        <f>H118/DAY(B2)</f>
        <v>621.91249999999957</v>
      </c>
      <c r="Q118" s="894"/>
      <c r="R118" s="896"/>
    </row>
    <row r="119" spans="1:18" ht="25.5">
      <c r="A119" s="889" t="s">
        <v>98</v>
      </c>
      <c r="B119" s="889"/>
      <c r="C119" s="889"/>
      <c r="D119" s="151" t="s">
        <v>183</v>
      </c>
      <c r="E119" s="95">
        <f>'27'!F119</f>
        <v>43799.040000000001</v>
      </c>
      <c r="F119" s="237">
        <v>43833.13</v>
      </c>
      <c r="G119" s="112">
        <f t="shared" si="9"/>
        <v>34.089999999996508</v>
      </c>
      <c r="H119" s="99">
        <f>G119+'27'!H119</f>
        <v>479.43000000000029</v>
      </c>
      <c r="I119" s="165"/>
      <c r="J119" s="328">
        <f>H119/DAY(B2)</f>
        <v>17.122500000000009</v>
      </c>
    </row>
    <row r="120" spans="1:18" ht="25.5">
      <c r="A120" s="889" t="s">
        <v>99</v>
      </c>
      <c r="B120" s="889"/>
      <c r="C120" s="889"/>
      <c r="D120" s="151" t="s">
        <v>183</v>
      </c>
      <c r="E120" s="95">
        <f>'27'!F120</f>
        <v>106822.58</v>
      </c>
      <c r="F120" s="237">
        <v>107225</v>
      </c>
      <c r="G120" s="112">
        <f t="shared" si="9"/>
        <v>402.41999999999825</v>
      </c>
      <c r="H120" s="99">
        <f>G120+'27'!H120</f>
        <v>11517.399999999994</v>
      </c>
      <c r="I120" s="165"/>
      <c r="J120" s="328">
        <f>H120/DAY(B2)</f>
        <v>411.33571428571406</v>
      </c>
    </row>
    <row r="121" spans="1:18" ht="25.5">
      <c r="A121" s="889" t="s">
        <v>100</v>
      </c>
      <c r="B121" s="889"/>
      <c r="C121" s="889"/>
      <c r="D121" s="151" t="s">
        <v>183</v>
      </c>
      <c r="E121" s="95">
        <f>'27'!F121</f>
        <v>119545.89</v>
      </c>
      <c r="F121" s="237">
        <v>119954</v>
      </c>
      <c r="G121" s="112">
        <f t="shared" si="9"/>
        <v>408.11000000000058</v>
      </c>
      <c r="H121" s="99">
        <f>G121+'27'!H121</f>
        <v>12124.949999999997</v>
      </c>
      <c r="I121" s="165"/>
      <c r="J121" s="328">
        <f>H121/DAY(B2)</f>
        <v>433.03392857142848</v>
      </c>
    </row>
    <row r="122" spans="1:18" ht="25.5">
      <c r="A122" s="889" t="s">
        <v>101</v>
      </c>
      <c r="B122" s="889"/>
      <c r="C122" s="889"/>
      <c r="D122" s="151" t="s">
        <v>183</v>
      </c>
      <c r="E122" s="95">
        <f>'27'!F122</f>
        <v>80071.28</v>
      </c>
      <c r="F122" s="237">
        <v>80372</v>
      </c>
      <c r="G122" s="112">
        <f t="shared" si="9"/>
        <v>300.72000000000116</v>
      </c>
      <c r="H122" s="99">
        <f>G122+'27'!H122</f>
        <v>9334.1000000000058</v>
      </c>
      <c r="I122" s="165"/>
      <c r="J122" s="328">
        <f>H122/DAY(B2)</f>
        <v>333.36071428571449</v>
      </c>
    </row>
    <row r="123" spans="1:18" ht="25.5">
      <c r="A123" s="889" t="s">
        <v>102</v>
      </c>
      <c r="B123" s="889"/>
      <c r="C123" s="889"/>
      <c r="D123" s="151" t="s">
        <v>183</v>
      </c>
      <c r="E123" s="95">
        <f>'27'!F123</f>
        <v>76814.95</v>
      </c>
      <c r="F123" s="237">
        <v>77118.45</v>
      </c>
      <c r="G123" s="112">
        <f t="shared" si="9"/>
        <v>303.5</v>
      </c>
      <c r="H123" s="99">
        <f>G123+'27'!H123</f>
        <v>8761.1499999999942</v>
      </c>
      <c r="I123" s="165"/>
      <c r="J123" s="328">
        <f>H123/DAY(B2)</f>
        <v>312.89821428571406</v>
      </c>
    </row>
    <row r="124" spans="1:18" ht="29.25" customHeight="1">
      <c r="A124" s="919"/>
      <c r="B124" s="920"/>
      <c r="C124" s="921"/>
      <c r="D124" s="165"/>
      <c r="E124" s="95">
        <f>'27'!F124</f>
        <v>0</v>
      </c>
      <c r="F124" s="165"/>
      <c r="G124" s="327"/>
      <c r="H124" s="99">
        <f>G124+'27'!H124</f>
        <v>0</v>
      </c>
      <c r="I124" s="165"/>
      <c r="J124" s="327"/>
    </row>
    <row r="125" spans="1:18" ht="25.5">
      <c r="A125" s="853" t="s">
        <v>196</v>
      </c>
      <c r="B125" s="854"/>
      <c r="C125" s="245"/>
      <c r="D125" s="307"/>
      <c r="E125" s="308"/>
      <c r="F125" s="308"/>
      <c r="G125" s="309">
        <f>SUM(G112:G124)</f>
        <v>3211.1399999999994</v>
      </c>
      <c r="H125" s="156"/>
      <c r="I125" s="327">
        <f>G125-(G39+G53)</f>
        <v>525.2000000000553</v>
      </c>
      <c r="J125" s="327"/>
    </row>
    <row r="126" spans="1:18" ht="25.5">
      <c r="A126" s="922" t="s">
        <v>317</v>
      </c>
      <c r="B126" s="922"/>
      <c r="C126" s="922"/>
      <c r="D126" s="922"/>
      <c r="E126" s="922"/>
      <c r="F126" s="922"/>
      <c r="G126" s="922"/>
      <c r="H126" s="922"/>
      <c r="I126" s="922"/>
      <c r="J126" s="922"/>
    </row>
    <row r="127" spans="1:18" ht="25.5">
      <c r="A127" s="923"/>
      <c r="B127" s="923"/>
      <c r="C127" s="245"/>
      <c r="D127" s="307"/>
      <c r="E127" s="308"/>
      <c r="F127" s="308"/>
      <c r="G127" s="309"/>
      <c r="H127" s="99">
        <f>G127+'27'!H127</f>
        <v>0</v>
      </c>
      <c r="I127" s="165"/>
      <c r="J127" s="328">
        <f>H127/DAY(B2)</f>
        <v>0</v>
      </c>
    </row>
    <row r="128" spans="1:18" ht="29.25" customHeight="1">
      <c r="A128" s="894" t="s">
        <v>318</v>
      </c>
      <c r="B128" s="895"/>
      <c r="C128" s="896"/>
      <c r="D128" s="151" t="s">
        <v>183</v>
      </c>
      <c r="E128" s="95">
        <f>'27'!F128</f>
        <v>190101.9</v>
      </c>
      <c r="F128" s="165">
        <v>190500</v>
      </c>
      <c r="G128" s="112">
        <f t="shared" ref="G128:G134" si="10">F128-E128</f>
        <v>398.10000000000582</v>
      </c>
      <c r="H128" s="99">
        <f>G128+'27'!H128</f>
        <v>11088.149999999994</v>
      </c>
      <c r="I128" s="165"/>
      <c r="J128" s="328">
        <f>H128/DAY(B2)</f>
        <v>396.00535714285695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'27'!F129</f>
        <v>100670</v>
      </c>
      <c r="F129" s="165">
        <v>100806</v>
      </c>
      <c r="G129" s="112">
        <f t="shared" si="10"/>
        <v>136</v>
      </c>
      <c r="H129" s="99">
        <f>G129+'27'!H129</f>
        <v>4776.5</v>
      </c>
      <c r="I129" s="165"/>
      <c r="J129" s="328">
        <f>H129/DAY(B2)</f>
        <v>170.58928571428572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'27'!F130</f>
        <v>265323</v>
      </c>
      <c r="F130" s="165">
        <v>265876</v>
      </c>
      <c r="G130" s="112">
        <f t="shared" si="10"/>
        <v>553</v>
      </c>
      <c r="H130" s="99">
        <f>G130+'27'!H130</f>
        <v>19036.25</v>
      </c>
      <c r="I130" s="165"/>
      <c r="J130" s="328">
        <f>H130/DAY(B2)</f>
        <v>679.86607142857144</v>
      </c>
      <c r="N130" s="240"/>
      <c r="O130" s="241"/>
    </row>
    <row r="131" spans="1:15" ht="25.5">
      <c r="A131" s="894" t="s">
        <v>321</v>
      </c>
      <c r="B131" s="895"/>
      <c r="C131" s="896"/>
      <c r="D131" s="151" t="s">
        <v>183</v>
      </c>
      <c r="E131" s="95">
        <f>'27'!F131</f>
        <v>79026</v>
      </c>
      <c r="F131" s="165">
        <v>79159</v>
      </c>
      <c r="G131" s="112">
        <f t="shared" si="10"/>
        <v>133</v>
      </c>
      <c r="H131" s="99">
        <f>G131+'27'!H131</f>
        <v>5648.3999999999942</v>
      </c>
      <c r="I131" s="165"/>
      <c r="J131" s="328">
        <f>H131/DAY(B2)</f>
        <v>201.72857142857123</v>
      </c>
      <c r="N131" s="240"/>
      <c r="O131" s="241"/>
    </row>
    <row r="132" spans="1:15" ht="25.5">
      <c r="A132" s="894" t="s">
        <v>322</v>
      </c>
      <c r="B132" s="895"/>
      <c r="C132" s="896"/>
      <c r="D132" s="151" t="s">
        <v>183</v>
      </c>
      <c r="E132" s="95">
        <f>'27'!F132</f>
        <v>148274</v>
      </c>
      <c r="F132" s="165">
        <v>148274</v>
      </c>
      <c r="G132" s="112">
        <f t="shared" si="10"/>
        <v>0</v>
      </c>
      <c r="H132" s="99">
        <f>G132+'27'!H132</f>
        <v>1289</v>
      </c>
      <c r="I132" s="165"/>
      <c r="J132" s="328">
        <f>H132/DAY(B2)</f>
        <v>46.035714285714285</v>
      </c>
    </row>
    <row r="133" spans="1:15" ht="25.5">
      <c r="A133" s="894" t="s">
        <v>359</v>
      </c>
      <c r="B133" s="895"/>
      <c r="C133" s="896"/>
      <c r="D133" s="151" t="s">
        <v>183</v>
      </c>
      <c r="E133" s="95">
        <f>'27'!F133</f>
        <v>929946</v>
      </c>
      <c r="F133" s="165">
        <v>930646</v>
      </c>
      <c r="G133" s="112">
        <f t="shared" si="10"/>
        <v>700</v>
      </c>
      <c r="H133" s="99">
        <f>G133+'27'!H133</f>
        <v>20402</v>
      </c>
      <c r="I133" s="165"/>
      <c r="J133" s="328">
        <f>H133/DAY(B2)</f>
        <v>728.64285714285711</v>
      </c>
    </row>
    <row r="134" spans="1:15" ht="25.5">
      <c r="A134" s="894" t="s">
        <v>340</v>
      </c>
      <c r="B134" s="895"/>
      <c r="C134" s="896"/>
      <c r="D134" s="151" t="s">
        <v>183</v>
      </c>
      <c r="E134" s="95">
        <f>'27'!F134</f>
        <v>84903.19</v>
      </c>
      <c r="F134" s="158">
        <v>85193</v>
      </c>
      <c r="G134" s="112">
        <f t="shared" si="10"/>
        <v>289.80999999999767</v>
      </c>
      <c r="H134" s="99">
        <f>G134+'27'!H134</f>
        <v>6433.3999999999942</v>
      </c>
      <c r="I134" s="165"/>
      <c r="J134" s="328">
        <f>H134/DAY(B2)</f>
        <v>229.76428571428551</v>
      </c>
    </row>
    <row r="135" spans="1:15" ht="25.5">
      <c r="A135" s="853" t="s">
        <v>196</v>
      </c>
      <c r="B135" s="854"/>
      <c r="C135" s="331"/>
      <c r="D135" s="151"/>
      <c r="E135" s="95"/>
      <c r="F135" s="165"/>
      <c r="G135" s="112">
        <f>SUM(G128:G134)</f>
        <v>2209.9100000000035</v>
      </c>
      <c r="H135" s="99">
        <f>G135+'23'!H135</f>
        <v>29236.37999999999</v>
      </c>
      <c r="I135" s="327">
        <f>G135-(G35+G49)</f>
        <v>-644.67000000001281</v>
      </c>
      <c r="J135" s="328">
        <f>H135/DAY(B2)</f>
        <v>1044.1564285714283</v>
      </c>
    </row>
    <row r="136" spans="1:15" ht="27.75">
      <c r="A136" s="924" t="s">
        <v>325</v>
      </c>
      <c r="B136" s="924"/>
      <c r="C136" s="924"/>
      <c r="D136" s="924"/>
      <c r="E136" s="924"/>
      <c r="F136" s="924"/>
      <c r="G136" s="924"/>
      <c r="H136" s="924"/>
      <c r="I136" s="924"/>
      <c r="J136" s="92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9" t="s">
        <v>185</v>
      </c>
      <c r="B138" s="889"/>
      <c r="C138" s="889"/>
      <c r="D138" s="151" t="s">
        <v>183</v>
      </c>
      <c r="E138" s="95">
        <f>'27'!F138</f>
        <v>909030</v>
      </c>
      <c r="F138" s="147">
        <v>909135</v>
      </c>
      <c r="G138" s="112">
        <f t="shared" ref="G138:G152" si="11">F138-E138</f>
        <v>105</v>
      </c>
      <c r="H138" s="99">
        <f>G138+'27'!H138</f>
        <v>3508</v>
      </c>
      <c r="I138" s="118"/>
      <c r="J138" s="328">
        <f>H138/DAY(B2)</f>
        <v>125.28571428571429</v>
      </c>
    </row>
    <row r="139" spans="1:15" ht="25.5">
      <c r="A139" s="889" t="s">
        <v>186</v>
      </c>
      <c r="B139" s="889"/>
      <c r="C139" s="889"/>
      <c r="D139" s="151" t="s">
        <v>183</v>
      </c>
      <c r="E139" s="95">
        <f>'27'!F139</f>
        <v>931819</v>
      </c>
      <c r="F139" s="148">
        <v>932001</v>
      </c>
      <c r="G139" s="112">
        <f t="shared" si="11"/>
        <v>182</v>
      </c>
      <c r="H139" s="99">
        <f>G139+'27'!H139</f>
        <v>4720</v>
      </c>
      <c r="I139" s="118"/>
      <c r="J139" s="328">
        <f>H139/DAY(B2)</f>
        <v>168.57142857142858</v>
      </c>
    </row>
    <row r="140" spans="1:15" ht="25.5">
      <c r="A140" s="889" t="s">
        <v>187</v>
      </c>
      <c r="B140" s="889"/>
      <c r="C140" s="889"/>
      <c r="D140" s="151" t="s">
        <v>183</v>
      </c>
      <c r="E140" s="95">
        <v>3962</v>
      </c>
      <c r="F140" s="149">
        <v>3981.47</v>
      </c>
      <c r="G140" s="112">
        <f t="shared" si="11"/>
        <v>19.4699999999998</v>
      </c>
      <c r="H140" s="99">
        <f>G140+'27'!H140</f>
        <v>650.88999999999987</v>
      </c>
      <c r="I140" s="118"/>
      <c r="J140" s="328">
        <f>H140/DAY(B2)</f>
        <v>23.246071428571423</v>
      </c>
    </row>
    <row r="141" spans="1:15" ht="25.5">
      <c r="A141" s="893" t="s">
        <v>188</v>
      </c>
      <c r="B141" s="893"/>
      <c r="C141" s="893"/>
      <c r="D141" s="151" t="s">
        <v>183</v>
      </c>
      <c r="E141" s="95">
        <f>'27'!F141</f>
        <v>123774.75</v>
      </c>
      <c r="F141" s="149">
        <v>123986</v>
      </c>
      <c r="G141" s="112">
        <f t="shared" si="11"/>
        <v>211.25</v>
      </c>
      <c r="H141" s="99">
        <f>G141+'27'!H141</f>
        <v>6428.0200000000041</v>
      </c>
      <c r="I141" s="118"/>
      <c r="J141" s="328">
        <f>H141/DAY(B2)</f>
        <v>229.57214285714301</v>
      </c>
    </row>
    <row r="142" spans="1:15" ht="25.5">
      <c r="A142" s="893" t="s">
        <v>189</v>
      </c>
      <c r="B142" s="893"/>
      <c r="C142" s="893"/>
      <c r="D142" s="151" t="s">
        <v>183</v>
      </c>
      <c r="E142" s="95">
        <f>'27'!F142</f>
        <v>50153</v>
      </c>
      <c r="F142" s="148">
        <v>50269</v>
      </c>
      <c r="G142" s="112">
        <f t="shared" si="11"/>
        <v>116</v>
      </c>
      <c r="H142" s="99">
        <f>G142+'27'!H142</f>
        <v>2764.5</v>
      </c>
      <c r="I142" s="140"/>
      <c r="J142" s="328">
        <f>H142/DAY(B2)</f>
        <v>98.732142857142861</v>
      </c>
    </row>
    <row r="143" spans="1:15" ht="25.5">
      <c r="A143" s="889" t="s">
        <v>91</v>
      </c>
      <c r="B143" s="889"/>
      <c r="C143" s="889"/>
      <c r="D143" s="151" t="s">
        <v>183</v>
      </c>
      <c r="E143" s="95">
        <f>'27'!F143</f>
        <v>13258.05</v>
      </c>
      <c r="F143" s="149">
        <v>13287</v>
      </c>
      <c r="G143" s="112">
        <f t="shared" si="11"/>
        <v>28.950000000000728</v>
      </c>
      <c r="H143" s="99">
        <f>G143+'27'!H143</f>
        <v>871.60000000000036</v>
      </c>
      <c r="I143" s="140"/>
      <c r="J143" s="328">
        <f>H143/DAY(B2)</f>
        <v>31.128571428571441</v>
      </c>
    </row>
    <row r="144" spans="1:15" ht="25.5">
      <c r="A144" s="893" t="s">
        <v>90</v>
      </c>
      <c r="B144" s="893"/>
      <c r="C144" s="893"/>
      <c r="D144" s="151" t="s">
        <v>183</v>
      </c>
      <c r="E144" s="95">
        <f>'27'!F144</f>
        <v>954418</v>
      </c>
      <c r="F144" s="148">
        <v>954699</v>
      </c>
      <c r="G144" s="112">
        <f t="shared" si="11"/>
        <v>281</v>
      </c>
      <c r="H144" s="99">
        <f>G144+'27'!H144</f>
        <v>6501</v>
      </c>
      <c r="I144" s="140"/>
      <c r="J144" s="328">
        <f>H144/DAY(B2)</f>
        <v>232.17857142857142</v>
      </c>
    </row>
    <row r="145" spans="1:10" ht="25.5">
      <c r="A145" s="889" t="s">
        <v>190</v>
      </c>
      <c r="B145" s="889"/>
      <c r="C145" s="889"/>
      <c r="D145" s="152" t="s">
        <v>183</v>
      </c>
      <c r="E145" s="95">
        <f>'27'!F145</f>
        <v>26608.54</v>
      </c>
      <c r="F145" s="149">
        <v>26736</v>
      </c>
      <c r="G145" s="112">
        <f t="shared" si="11"/>
        <v>127.45999999999913</v>
      </c>
      <c r="H145" s="99">
        <f>G145+'27'!H145</f>
        <v>4139.9000000000015</v>
      </c>
      <c r="I145" s="140"/>
      <c r="J145" s="328">
        <f>H145/DAY(B2)</f>
        <v>147.85357142857148</v>
      </c>
    </row>
    <row r="146" spans="1:10" ht="25.5">
      <c r="A146" s="890" t="s">
        <v>191</v>
      </c>
      <c r="B146" s="891"/>
      <c r="C146" s="892"/>
      <c r="D146" s="152" t="s">
        <v>183</v>
      </c>
      <c r="E146" s="95">
        <f>'27'!F146</f>
        <v>787672</v>
      </c>
      <c r="F146" s="148">
        <v>787787</v>
      </c>
      <c r="G146" s="112">
        <f t="shared" si="11"/>
        <v>115</v>
      </c>
      <c r="H146" s="99">
        <f>G146+'27'!H146</f>
        <v>1119</v>
      </c>
      <c r="I146" s="140"/>
      <c r="J146" s="328">
        <f>H146/DAY(B2)</f>
        <v>39.964285714285715</v>
      </c>
    </row>
    <row r="147" spans="1:10" ht="25.5">
      <c r="A147" s="893" t="s">
        <v>192</v>
      </c>
      <c r="B147" s="893"/>
      <c r="C147" s="893"/>
      <c r="D147" s="152" t="s">
        <v>183</v>
      </c>
      <c r="E147" s="95">
        <f>'27'!F147</f>
        <v>758552</v>
      </c>
      <c r="F147" s="148">
        <v>758943</v>
      </c>
      <c r="G147" s="112">
        <f t="shared" si="11"/>
        <v>391</v>
      </c>
      <c r="H147" s="99">
        <f>G147+'27'!H147</f>
        <v>11388.839999999967</v>
      </c>
      <c r="I147" s="140"/>
      <c r="J147" s="328">
        <f>H147/DAY(B2)</f>
        <v>406.74428571428456</v>
      </c>
    </row>
    <row r="148" spans="1:10" ht="25.5">
      <c r="A148" s="886" t="s">
        <v>193</v>
      </c>
      <c r="B148" s="887"/>
      <c r="C148" s="888"/>
      <c r="D148" s="123" t="s">
        <v>130</v>
      </c>
      <c r="E148" s="95">
        <f>'27'!F148</f>
        <v>795395</v>
      </c>
      <c r="F148" s="150">
        <v>795530</v>
      </c>
      <c r="G148" s="112">
        <f t="shared" si="11"/>
        <v>135</v>
      </c>
      <c r="H148" s="99">
        <f>G148+'27'!H148</f>
        <v>10885</v>
      </c>
      <c r="I148" s="124"/>
      <c r="J148" s="328">
        <f>H148/DAY(B2)</f>
        <v>388.75</v>
      </c>
    </row>
    <row r="149" spans="1:10" ht="25.5">
      <c r="A149" s="886" t="s">
        <v>336</v>
      </c>
      <c r="B149" s="887"/>
      <c r="C149" s="888"/>
      <c r="D149" s="227" t="s">
        <v>130</v>
      </c>
      <c r="E149" s="95">
        <f>'27'!F149</f>
        <v>198438</v>
      </c>
      <c r="F149" s="146">
        <v>199066</v>
      </c>
      <c r="G149" s="112">
        <f t="shared" si="11"/>
        <v>628</v>
      </c>
      <c r="H149" s="99">
        <f>G149+'27'!H149</f>
        <v>13769.109999999986</v>
      </c>
      <c r="I149" s="119"/>
      <c r="J149" s="328">
        <f>H149/DAY(B2)</f>
        <v>491.75392857142805</v>
      </c>
    </row>
    <row r="150" spans="1:10" ht="25.5">
      <c r="A150" s="886" t="s">
        <v>337</v>
      </c>
      <c r="B150" s="887"/>
      <c r="C150" s="888"/>
      <c r="D150" s="117" t="s">
        <v>130</v>
      </c>
      <c r="E150" s="95">
        <f>'27'!F150</f>
        <v>84191</v>
      </c>
      <c r="F150" s="233">
        <v>84234</v>
      </c>
      <c r="G150" s="112">
        <f t="shared" si="11"/>
        <v>43</v>
      </c>
      <c r="H150" s="99">
        <f>G150+'27'!H150</f>
        <v>7345.6999999999971</v>
      </c>
      <c r="I150" s="119"/>
      <c r="J150" s="328">
        <f>H150/DAY(B2)</f>
        <v>262.34642857142848</v>
      </c>
    </row>
    <row r="151" spans="1:10" ht="25.5">
      <c r="A151" s="886" t="s">
        <v>338</v>
      </c>
      <c r="B151" s="887"/>
      <c r="C151" s="888"/>
      <c r="D151" s="117" t="s">
        <v>130</v>
      </c>
      <c r="E151" s="95">
        <f>'27'!F151</f>
        <v>165488</v>
      </c>
      <c r="F151" s="233">
        <v>165795</v>
      </c>
      <c r="G151" s="112">
        <f t="shared" si="11"/>
        <v>307</v>
      </c>
      <c r="H151" s="99">
        <f>G151+'27'!H151</f>
        <v>7485</v>
      </c>
      <c r="I151" s="119"/>
      <c r="J151" s="328">
        <f>H151/DAY(B2)</f>
        <v>267.32142857142856</v>
      </c>
    </row>
    <row r="152" spans="1:10" ht="25.5">
      <c r="A152" s="886" t="s">
        <v>339</v>
      </c>
      <c r="B152" s="887"/>
      <c r="C152" s="888"/>
      <c r="D152" s="117" t="s">
        <v>130</v>
      </c>
      <c r="E152" s="95">
        <f>'27'!F152</f>
        <v>41990</v>
      </c>
      <c r="F152" s="233">
        <v>42127</v>
      </c>
      <c r="G152" s="112">
        <f t="shared" si="11"/>
        <v>137</v>
      </c>
      <c r="H152" s="99">
        <f>G152+'27'!H152</f>
        <v>3511.0999999999985</v>
      </c>
      <c r="I152" s="119"/>
      <c r="J152" s="328">
        <f>H152/DAY(B2)</f>
        <v>125.39642857142852</v>
      </c>
    </row>
    <row r="153" spans="1:10" ht="25.5">
      <c r="A153" s="853" t="s">
        <v>196</v>
      </c>
      <c r="B153" s="854"/>
      <c r="C153" s="365"/>
      <c r="D153" s="358"/>
      <c r="E153" s="360"/>
      <c r="F153" s="361"/>
      <c r="G153" s="362">
        <f>SUM(G138:G152)</f>
        <v>2827.1299999999997</v>
      </c>
      <c r="H153" s="363"/>
      <c r="I153" s="119">
        <f>G153-(G38+G52)</f>
        <v>312.11999999999034</v>
      </c>
      <c r="J153" s="366"/>
    </row>
    <row r="154" spans="1:10" ht="27.75">
      <c r="A154" s="924" t="s">
        <v>344</v>
      </c>
      <c r="B154" s="924"/>
      <c r="C154" s="924"/>
      <c r="D154" s="924"/>
      <c r="E154" s="924"/>
      <c r="F154" s="924"/>
      <c r="G154" s="924"/>
      <c r="H154" s="924"/>
      <c r="I154" s="924"/>
      <c r="J154" s="924"/>
    </row>
    <row r="155" spans="1:10" ht="27.75">
      <c r="A155" s="893" t="s">
        <v>345</v>
      </c>
      <c r="B155" s="893"/>
      <c r="C155" s="893"/>
      <c r="D155" s="117" t="s">
        <v>130</v>
      </c>
      <c r="E155" s="525">
        <f>'27'!F155</f>
        <v>236198</v>
      </c>
      <c r="F155" s="526">
        <v>237255</v>
      </c>
      <c r="G155" s="112">
        <f t="shared" ref="G155:G158" si="12">F155-E155</f>
        <v>1057</v>
      </c>
      <c r="H155" s="99">
        <f>G155+'27'!H155</f>
        <v>17267.299999999988</v>
      </c>
      <c r="I155" s="364"/>
      <c r="J155" s="328">
        <f>H155/DAY(B2)</f>
        <v>616.68928571428535</v>
      </c>
    </row>
    <row r="156" spans="1:10" ht="25.5">
      <c r="A156" s="893" t="s">
        <v>347</v>
      </c>
      <c r="B156" s="893"/>
      <c r="C156" s="893"/>
      <c r="D156" s="117" t="s">
        <v>130</v>
      </c>
      <c r="E156" s="95">
        <f>'27'!F156</f>
        <v>29095</v>
      </c>
      <c r="F156" s="155">
        <v>29258</v>
      </c>
      <c r="G156" s="112">
        <f t="shared" si="12"/>
        <v>163</v>
      </c>
      <c r="H156" s="99">
        <f>G156+'27'!H156</f>
        <v>2727.7999999999993</v>
      </c>
      <c r="I156" s="165"/>
      <c r="J156" s="328">
        <f>H156/DAY(B2)</f>
        <v>97.42142857142855</v>
      </c>
    </row>
    <row r="157" spans="1:10" ht="25.5">
      <c r="A157" s="886" t="s">
        <v>360</v>
      </c>
      <c r="B157" s="887"/>
      <c r="C157" s="888"/>
      <c r="D157" s="117" t="s">
        <v>130</v>
      </c>
      <c r="E157" s="95">
        <f>'27'!F157</f>
        <v>37559</v>
      </c>
      <c r="F157" s="157">
        <v>37559</v>
      </c>
      <c r="G157" s="112">
        <f t="shared" si="12"/>
        <v>0</v>
      </c>
      <c r="H157" s="99"/>
      <c r="I157" s="165"/>
      <c r="J157" s="328"/>
    </row>
    <row r="158" spans="1:10" ht="25.5">
      <c r="A158" s="886" t="s">
        <v>361</v>
      </c>
      <c r="B158" s="887"/>
      <c r="C158" s="888"/>
      <c r="D158" s="117" t="s">
        <v>130</v>
      </c>
      <c r="E158" s="95">
        <f>'27'!F158</f>
        <v>1756</v>
      </c>
      <c r="F158" s="155">
        <v>1756</v>
      </c>
      <c r="G158" s="112">
        <f t="shared" si="12"/>
        <v>0</v>
      </c>
      <c r="H158" s="99"/>
      <c r="I158" s="165"/>
      <c r="J158" s="328"/>
    </row>
    <row r="159" spans="1:10" ht="25.5">
      <c r="A159" s="942"/>
      <c r="B159" s="943"/>
      <c r="C159" s="944"/>
      <c r="D159" s="117"/>
      <c r="E159" s="95"/>
      <c r="F159" s="165"/>
      <c r="G159" s="112"/>
      <c r="H159" s="99"/>
      <c r="I159" s="165"/>
      <c r="J159" s="328"/>
    </row>
    <row r="160" spans="1:10" ht="27.75">
      <c r="A160" s="924" t="s">
        <v>326</v>
      </c>
      <c r="B160" s="924"/>
      <c r="C160" s="924"/>
      <c r="D160" s="924"/>
      <c r="E160" s="924"/>
      <c r="F160" s="924"/>
      <c r="G160" s="924"/>
      <c r="H160" s="924"/>
      <c r="I160" s="924"/>
      <c r="J160" s="924"/>
    </row>
    <row r="161" spans="1:10" ht="26.25">
      <c r="A161" s="242" t="s">
        <v>92</v>
      </c>
      <c r="B161" s="243"/>
      <c r="C161" s="243"/>
      <c r="D161" s="244" t="s">
        <v>180</v>
      </c>
      <c r="E161" s="95">
        <f>'27'!F161</f>
        <v>507710</v>
      </c>
      <c r="F161" s="235">
        <v>507890</v>
      </c>
      <c r="G161" s="238">
        <f t="shared" ref="G161:G165" si="13">F161-E161</f>
        <v>180</v>
      </c>
      <c r="H161" s="99">
        <f>G161+'27'!H161</f>
        <v>4518.8400000000256</v>
      </c>
      <c r="I161" s="236"/>
      <c r="J161" s="239">
        <f>H161/DAY(B2)</f>
        <v>161.38714285714377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'27'!F162</f>
        <v>643.30999999999995</v>
      </c>
      <c r="F162" s="235">
        <v>680.22</v>
      </c>
      <c r="G162" s="238">
        <f t="shared" si="13"/>
        <v>36.910000000000082</v>
      </c>
      <c r="H162" s="99">
        <f>G162+'27'!H162</f>
        <v>1060.4199999999942</v>
      </c>
      <c r="I162" s="236"/>
      <c r="J162" s="239">
        <f>H162/DAY(B2)</f>
        <v>37.872142857142649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'27'!F163</f>
        <v>0</v>
      </c>
      <c r="F163" s="235">
        <v>0</v>
      </c>
      <c r="G163" s="238">
        <f t="shared" si="13"/>
        <v>0</v>
      </c>
      <c r="H163" s="99">
        <f>G163+'27'!H163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'27'!F164</f>
        <v>7180</v>
      </c>
      <c r="F164" s="235">
        <v>7181.7</v>
      </c>
      <c r="G164" s="238">
        <f t="shared" si="13"/>
        <v>1.6999999999998181</v>
      </c>
      <c r="H164" s="99">
        <f>G164+'27'!H164</f>
        <v>191.5</v>
      </c>
      <c r="I164" s="236"/>
      <c r="J164" s="239">
        <f>H164/DAY(B2)</f>
        <v>6.8392857142857144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'27'!F165</f>
        <v>32759</v>
      </c>
      <c r="F165" s="235">
        <v>32763.7</v>
      </c>
      <c r="G165" s="238">
        <f t="shared" si="13"/>
        <v>4.7000000000007276</v>
      </c>
      <c r="H165" s="99">
        <f>G165+'27'!H165</f>
        <v>189.60000000000218</v>
      </c>
      <c r="I165" s="236"/>
      <c r="J165" s="239">
        <f>H165/DAY(B2)</f>
        <v>6.7714285714286495</v>
      </c>
    </row>
    <row r="166" spans="1:10" ht="26.25">
      <c r="A166" s="923"/>
      <c r="B166" s="923"/>
      <c r="C166" s="246"/>
      <c r="D166" s="244" t="s">
        <v>180</v>
      </c>
      <c r="E166" s="95">
        <f>'27'!F166</f>
        <v>0</v>
      </c>
      <c r="F166" s="165"/>
      <c r="G166" s="165"/>
      <c r="H166" s="99">
        <f>G166+'27'!H166</f>
        <v>0</v>
      </c>
      <c r="I166" s="165"/>
      <c r="J166" s="239">
        <f>H166/DAY(B2)</f>
        <v>0</v>
      </c>
    </row>
    <row r="167" spans="1:10" ht="26.25">
      <c r="A167" s="923"/>
      <c r="B167" s="923"/>
      <c r="C167" s="246"/>
      <c r="D167" s="244" t="s">
        <v>180</v>
      </c>
      <c r="E167" s="95">
        <f>'27'!F167</f>
        <v>0</v>
      </c>
      <c r="F167" s="165"/>
      <c r="G167" s="165"/>
      <c r="H167" s="99">
        <f>G167+'27'!H167</f>
        <v>0</v>
      </c>
      <c r="I167" s="165"/>
      <c r="J167" s="239">
        <f>H167/DAY(B2)</f>
        <v>0</v>
      </c>
    </row>
    <row r="168" spans="1:10" ht="26.25">
      <c r="A168" s="923"/>
      <c r="B168" s="923"/>
      <c r="C168" s="246"/>
      <c r="D168" s="244" t="s">
        <v>180</v>
      </c>
      <c r="E168" s="95">
        <f>'27'!F168</f>
        <v>0</v>
      </c>
      <c r="F168" s="165"/>
      <c r="G168" s="165"/>
      <c r="H168" s="99">
        <f>G168+'27'!H168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33" t="s">
        <v>330</v>
      </c>
      <c r="B171" s="934"/>
      <c r="C171" s="934"/>
      <c r="D171" s="934"/>
      <c r="E171" s="934"/>
      <c r="F171" s="934"/>
      <c r="G171" s="934"/>
      <c r="H171" s="934"/>
      <c r="I171" s="934"/>
      <c r="J171" s="935"/>
    </row>
    <row r="172" spans="1:10" ht="25.5">
      <c r="A172" s="929"/>
      <c r="B172" s="930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41" t="s">
        <v>209</v>
      </c>
      <c r="B173" s="843"/>
      <c r="C173" s="333"/>
      <c r="D173" s="228" t="s">
        <v>142</v>
      </c>
      <c r="E173" s="95">
        <f>'27'!F173</f>
        <v>8612</v>
      </c>
      <c r="F173" s="155">
        <v>8612</v>
      </c>
      <c r="G173" s="155">
        <f>F173-E173</f>
        <v>0</v>
      </c>
      <c r="H173" s="99">
        <f>G173+'27'!H173</f>
        <v>28</v>
      </c>
      <c r="I173" s="155"/>
      <c r="J173" s="178">
        <f>H173/DAY(B2)</f>
        <v>1</v>
      </c>
    </row>
    <row r="174" spans="1:10" ht="25.5">
      <c r="A174" s="841" t="s">
        <v>75</v>
      </c>
      <c r="B174" s="843"/>
      <c r="C174" s="333"/>
      <c r="D174" s="228" t="s">
        <v>142</v>
      </c>
      <c r="E174" s="95">
        <f>'27'!F174</f>
        <v>43017</v>
      </c>
      <c r="F174" s="157">
        <v>43026</v>
      </c>
      <c r="G174" s="155">
        <f t="shared" ref="G174:G175" si="14">F174-E174</f>
        <v>9</v>
      </c>
      <c r="H174" s="99">
        <f>G174+'27'!H174</f>
        <v>357</v>
      </c>
      <c r="I174" s="155"/>
      <c r="J174" s="178">
        <f>H174/DAY(B2)</f>
        <v>12.75</v>
      </c>
    </row>
    <row r="175" spans="1:10" ht="25.5">
      <c r="A175" s="841" t="s">
        <v>76</v>
      </c>
      <c r="B175" s="842"/>
      <c r="C175" s="843"/>
      <c r="D175" s="228" t="s">
        <v>142</v>
      </c>
      <c r="E175" s="95">
        <f>'27'!F175</f>
        <v>25748</v>
      </c>
      <c r="F175" s="155">
        <v>25760</v>
      </c>
      <c r="G175" s="155">
        <f t="shared" si="14"/>
        <v>12</v>
      </c>
      <c r="H175" s="99">
        <f>G175+'27'!H175</f>
        <v>367</v>
      </c>
      <c r="I175" s="155"/>
      <c r="J175" s="178">
        <f>H175/DAY(B2)</f>
        <v>13.107142857142858</v>
      </c>
    </row>
    <row r="176" spans="1:10" ht="25.5">
      <c r="A176" s="853" t="s">
        <v>196</v>
      </c>
      <c r="B176" s="854"/>
      <c r="C176" s="400"/>
      <c r="D176" s="228" t="s">
        <v>142</v>
      </c>
      <c r="E176" s="95"/>
      <c r="F176" s="155"/>
      <c r="G176" s="155">
        <f>SUM(G173:G175)</f>
        <v>21</v>
      </c>
      <c r="H176" s="99">
        <f>G176+'27'!H176</f>
        <v>752</v>
      </c>
      <c r="I176" s="155"/>
      <c r="J176" s="178">
        <f>H176/DAY(B2)</f>
        <v>26.857142857142858</v>
      </c>
    </row>
    <row r="177" spans="1:10" ht="25.5">
      <c r="A177" s="841" t="s">
        <v>77</v>
      </c>
      <c r="B177" s="843"/>
      <c r="C177" s="333"/>
      <c r="D177" s="228" t="s">
        <v>142</v>
      </c>
      <c r="E177" s="95"/>
      <c r="F177" s="155"/>
      <c r="G177" s="155"/>
      <c r="H177" s="99">
        <f>G177+'27'!H177</f>
        <v>0</v>
      </c>
      <c r="I177" s="155"/>
      <c r="J177" s="178">
        <f>H177/DAY(B2)</f>
        <v>0</v>
      </c>
    </row>
    <row r="178" spans="1:10" ht="25.5">
      <c r="A178" s="841" t="s">
        <v>210</v>
      </c>
      <c r="B178" s="843"/>
      <c r="C178" s="333"/>
      <c r="D178" s="228" t="s">
        <v>142</v>
      </c>
      <c r="E178" s="95">
        <f>'27'!F178</f>
        <v>106511</v>
      </c>
      <c r="F178" s="155">
        <v>106632</v>
      </c>
      <c r="G178" s="155">
        <f>F178-E178</f>
        <v>121</v>
      </c>
      <c r="H178" s="99">
        <f>G178+'27'!H178</f>
        <v>2989</v>
      </c>
      <c r="I178" s="155"/>
      <c r="J178" s="178">
        <f>H178/DAY(B2)</f>
        <v>106.75</v>
      </c>
    </row>
    <row r="179" spans="1:10" ht="25.5">
      <c r="A179" s="841" t="s">
        <v>211</v>
      </c>
      <c r="B179" s="843"/>
      <c r="C179" s="333"/>
      <c r="D179" s="228" t="s">
        <v>142</v>
      </c>
      <c r="E179" s="95">
        <f>'27'!F179</f>
        <v>37501</v>
      </c>
      <c r="F179" s="155">
        <v>37501</v>
      </c>
      <c r="G179" s="155">
        <f t="shared" ref="G179:G180" si="15">F179-E179</f>
        <v>0</v>
      </c>
      <c r="H179" s="99">
        <f>G179+'27'!H179</f>
        <v>0</v>
      </c>
      <c r="I179" s="155"/>
      <c r="J179" s="178">
        <f>H179/DAY(B2)</f>
        <v>0</v>
      </c>
    </row>
    <row r="180" spans="1:10" ht="25.5">
      <c r="A180" s="841" t="s">
        <v>212</v>
      </c>
      <c r="B180" s="843"/>
      <c r="C180" s="333"/>
      <c r="D180" s="228" t="s">
        <v>142</v>
      </c>
      <c r="E180" s="95">
        <f>'27'!F180</f>
        <v>7541</v>
      </c>
      <c r="F180" s="155">
        <v>7543</v>
      </c>
      <c r="G180" s="155">
        <f t="shared" si="15"/>
        <v>2</v>
      </c>
      <c r="H180" s="99">
        <f>G180+'27'!H180</f>
        <v>123</v>
      </c>
      <c r="I180" s="155"/>
      <c r="J180" s="178">
        <f>H180/DAY(B2)</f>
        <v>4.3928571428571432</v>
      </c>
    </row>
    <row r="181" spans="1:10" ht="25.5">
      <c r="A181" s="927" t="s">
        <v>108</v>
      </c>
      <c r="B181" s="928"/>
      <c r="C181" s="400"/>
      <c r="D181" s="228" t="s">
        <v>142</v>
      </c>
      <c r="E181" s="95"/>
      <c r="F181" s="155"/>
      <c r="G181" s="155">
        <f>SUM(G178:G180)</f>
        <v>123</v>
      </c>
      <c r="H181" s="99">
        <f>G181+'27'!H181</f>
        <v>3112</v>
      </c>
      <c r="I181" s="155"/>
      <c r="J181" s="178">
        <f>H181/DAY(B2)</f>
        <v>111.14285714285714</v>
      </c>
    </row>
    <row r="182" spans="1:10" ht="25.5">
      <c r="A182" s="841" t="s">
        <v>213</v>
      </c>
      <c r="B182" s="843"/>
      <c r="C182" s="333"/>
      <c r="D182" s="228" t="s">
        <v>142</v>
      </c>
      <c r="E182" s="95"/>
      <c r="F182" s="155"/>
      <c r="G182" s="155"/>
      <c r="H182" s="99">
        <f>G182+'27'!H182</f>
        <v>0</v>
      </c>
      <c r="I182" s="155"/>
      <c r="J182" s="178">
        <f>H182/DAY(B2)</f>
        <v>0</v>
      </c>
    </row>
    <row r="183" spans="1:10" ht="25.5">
      <c r="A183" s="841" t="s">
        <v>214</v>
      </c>
      <c r="B183" s="843"/>
      <c r="C183" s="334"/>
      <c r="D183" s="228" t="s">
        <v>142</v>
      </c>
      <c r="E183" s="95">
        <f>'27'!F183</f>
        <v>18349</v>
      </c>
      <c r="F183" s="157">
        <v>18353</v>
      </c>
      <c r="G183" s="157">
        <f>F183-E183</f>
        <v>4</v>
      </c>
      <c r="H183" s="99">
        <f>G183+'27'!H183</f>
        <v>185</v>
      </c>
      <c r="I183" s="155"/>
      <c r="J183" s="178">
        <f>H183/DAY(B2)</f>
        <v>6.6071428571428568</v>
      </c>
    </row>
    <row r="184" spans="1:10" ht="25.5">
      <c r="A184" s="841" t="s">
        <v>215</v>
      </c>
      <c r="B184" s="843"/>
      <c r="C184" s="334"/>
      <c r="D184" s="228" t="s">
        <v>142</v>
      </c>
      <c r="E184" s="95">
        <f>'27'!F184</f>
        <v>12956</v>
      </c>
      <c r="F184" s="157">
        <v>12960</v>
      </c>
      <c r="G184" s="157">
        <f t="shared" ref="G184:G185" si="16">F184-E184</f>
        <v>4</v>
      </c>
      <c r="H184" s="99">
        <f>G184+'27'!H184</f>
        <v>229</v>
      </c>
      <c r="I184" s="155"/>
      <c r="J184" s="178">
        <f>H184/DAY(B2)</f>
        <v>8.1785714285714288</v>
      </c>
    </row>
    <row r="185" spans="1:10" ht="25.5">
      <c r="A185" s="841" t="s">
        <v>216</v>
      </c>
      <c r="B185" s="843"/>
      <c r="C185" s="334"/>
      <c r="D185" s="228" t="s">
        <v>142</v>
      </c>
      <c r="E185" s="95">
        <f>'27'!F185</f>
        <v>0</v>
      </c>
      <c r="F185" s="157"/>
      <c r="G185" s="157">
        <f t="shared" si="16"/>
        <v>0</v>
      </c>
      <c r="H185" s="99">
        <f>G185+'27'!H185</f>
        <v>0</v>
      </c>
      <c r="I185" s="155"/>
      <c r="J185" s="178">
        <f>H185/DAY(B2)</f>
        <v>0</v>
      </c>
    </row>
    <row r="186" spans="1:10" ht="25.5">
      <c r="A186" s="853" t="s">
        <v>196</v>
      </c>
      <c r="B186" s="854"/>
      <c r="C186" s="399"/>
      <c r="D186" s="228" t="s">
        <v>142</v>
      </c>
      <c r="E186" s="95"/>
      <c r="F186" s="157"/>
      <c r="G186" s="157">
        <f>SUM(G183:G185)</f>
        <v>8</v>
      </c>
      <c r="H186" s="99">
        <f>G186+'27'!H186</f>
        <v>414</v>
      </c>
      <c r="I186" s="157"/>
      <c r="J186" s="178">
        <f>H186/DAY(B2)</f>
        <v>14.785714285714286</v>
      </c>
    </row>
    <row r="187" spans="1:10" ht="25.5">
      <c r="A187" s="931" t="s">
        <v>217</v>
      </c>
      <c r="B187" s="932"/>
      <c r="C187" s="333"/>
      <c r="D187" s="230" t="s">
        <v>142</v>
      </c>
      <c r="E187" s="95">
        <f>'27'!F187</f>
        <v>0</v>
      </c>
      <c r="F187" s="159"/>
      <c r="G187" s="377">
        <f>G62+G19</f>
        <v>61</v>
      </c>
      <c r="H187" s="99">
        <f>G187+'27'!H187</f>
        <v>4826</v>
      </c>
      <c r="I187" s="158"/>
      <c r="J187" s="179">
        <f>H187/DAY(B2)</f>
        <v>172.35714285714286</v>
      </c>
    </row>
    <row r="188" spans="1:10" ht="25.5">
      <c r="A188" s="931" t="s">
        <v>218</v>
      </c>
      <c r="B188" s="932"/>
      <c r="C188" s="333"/>
      <c r="D188" s="230" t="s">
        <v>142</v>
      </c>
      <c r="E188" s="95">
        <f>'27'!F188</f>
        <v>0</v>
      </c>
      <c r="F188" s="159"/>
      <c r="G188" s="377">
        <f>G65+G66+G67+G69+G70</f>
        <v>113</v>
      </c>
      <c r="H188" s="99">
        <f>G188+'27'!H188</f>
        <v>2566</v>
      </c>
      <c r="I188" s="158"/>
      <c r="J188" s="179">
        <f>H188/DAY(B2)</f>
        <v>91.642857142857139</v>
      </c>
    </row>
    <row r="189" spans="1:10" ht="25.5">
      <c r="A189" s="931" t="s">
        <v>219</v>
      </c>
      <c r="B189" s="932"/>
      <c r="C189" s="333"/>
      <c r="D189" s="230" t="s">
        <v>142</v>
      </c>
      <c r="E189" s="95">
        <f>'27'!F189</f>
        <v>0</v>
      </c>
      <c r="F189" s="157"/>
      <c r="G189" s="376">
        <f>G181</f>
        <v>123</v>
      </c>
      <c r="H189" s="99">
        <f>G189+'27'!H189</f>
        <v>1252</v>
      </c>
      <c r="I189" s="158"/>
      <c r="J189" s="179">
        <f>H189/DAY(B2)</f>
        <v>44.714285714285715</v>
      </c>
    </row>
    <row r="190" spans="1:10" ht="25.5">
      <c r="A190" s="925"/>
      <c r="B190" s="926"/>
      <c r="C190" s="398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4:B184"/>
    <mergeCell ref="A182:B182"/>
    <mergeCell ref="A183:B183"/>
    <mergeCell ref="A180:B180"/>
    <mergeCell ref="A181:B181"/>
    <mergeCell ref="A175:C175"/>
    <mergeCell ref="A177:B177"/>
    <mergeCell ref="A178:B178"/>
    <mergeCell ref="A179:B179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R1701"/>
  <sheetViews>
    <sheetView view="pageBreakPreview" zoomScale="55" zoomScaleNormal="78" zoomScaleSheetLayoutView="55" workbookViewId="0">
      <selection activeCell="F131" sqref="F131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67" t="s">
        <v>115</v>
      </c>
      <c r="B1" s="868"/>
      <c r="C1" s="868"/>
      <c r="D1" s="868"/>
      <c r="E1" s="868"/>
      <c r="F1" s="868"/>
      <c r="G1" s="868"/>
      <c r="H1" s="868"/>
      <c r="I1" s="868"/>
      <c r="J1" s="869"/>
    </row>
    <row r="2" spans="1:15" s="57" customFormat="1" ht="23.25">
      <c r="A2" s="191" t="s">
        <v>373</v>
      </c>
      <c r="B2" s="262">
        <v>44924</v>
      </c>
      <c r="C2" s="34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27</v>
      </c>
      <c r="E3" s="876" t="s">
        <v>119</v>
      </c>
      <c r="F3" s="877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 customHeight="1">
      <c r="A6" s="870" t="s">
        <v>128</v>
      </c>
      <c r="B6" s="871"/>
      <c r="C6" s="87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>
      <c r="A7" s="194" t="s">
        <v>129</v>
      </c>
      <c r="B7" s="195"/>
      <c r="C7" s="195"/>
      <c r="D7" s="151" t="s">
        <v>130</v>
      </c>
      <c r="E7" s="95">
        <f>'28'!F7</f>
        <v>909433.91</v>
      </c>
      <c r="F7" s="95">
        <v>932496.38</v>
      </c>
      <c r="G7" s="112">
        <f>F7-E7</f>
        <v>23062.469999999972</v>
      </c>
      <c r="H7" s="99">
        <f>G7+'28'!H7</f>
        <v>658813.82999999996</v>
      </c>
      <c r="I7" s="113">
        <f>'1'!I7</f>
        <v>12000</v>
      </c>
      <c r="J7" s="175">
        <f>H7/DAY(B2)</f>
        <v>22717.718275862069</v>
      </c>
      <c r="K7" s="172">
        <v>1375467</v>
      </c>
      <c r="L7" s="66"/>
      <c r="N7" s="87"/>
      <c r="O7" s="71"/>
    </row>
    <row r="8" spans="1:15" ht="21.95" customHeight="1" thickBot="1">
      <c r="A8" s="196" t="s">
        <v>131</v>
      </c>
      <c r="B8" s="197"/>
      <c r="C8" s="198"/>
      <c r="D8" s="224" t="s">
        <v>24</v>
      </c>
      <c r="E8" s="95">
        <f>'28'!F8</f>
        <v>90748.51</v>
      </c>
      <c r="F8" s="114">
        <v>113986</v>
      </c>
      <c r="G8" s="115">
        <f>F8-E8</f>
        <v>23237.490000000005</v>
      </c>
      <c r="H8" s="99">
        <f>G8+'28'!H8</f>
        <v>662725</v>
      </c>
      <c r="I8" s="116"/>
      <c r="J8" s="175">
        <f>H8/DAY(B2)</f>
        <v>22852.586206896551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>
      <c r="A9" s="199" t="s">
        <v>132</v>
      </c>
      <c r="B9" s="200"/>
      <c r="C9" s="200"/>
      <c r="D9" s="151" t="s">
        <v>130</v>
      </c>
      <c r="E9" s="95">
        <f>'28'!F9</f>
        <v>4366937</v>
      </c>
      <c r="F9" s="468">
        <v>4384226.7</v>
      </c>
      <c r="G9" s="112">
        <f>F9-E9</f>
        <v>17289.700000000186</v>
      </c>
      <c r="H9" s="99">
        <f>G9+'28'!H9</f>
        <v>270056.40000000037</v>
      </c>
      <c r="I9" s="124">
        <f>I7-J7</f>
        <v>-10717.718275862069</v>
      </c>
      <c r="J9" s="175">
        <f>H9/DAY(B2)</f>
        <v>9312.2896551724261</v>
      </c>
      <c r="K9" s="79">
        <f>K8-100</f>
        <v>1715817</v>
      </c>
      <c r="L9" s="66"/>
      <c r="N9" s="87"/>
      <c r="O9" s="71"/>
    </row>
    <row r="10" spans="1:15" ht="21.95" customHeight="1">
      <c r="A10" s="194" t="s">
        <v>133</v>
      </c>
      <c r="B10" s="195"/>
      <c r="C10" s="195"/>
      <c r="D10" s="151" t="s">
        <v>130</v>
      </c>
      <c r="E10" s="95">
        <f>'28'!F10</f>
        <v>4055053.1</v>
      </c>
      <c r="F10" s="353">
        <v>4060238.7</v>
      </c>
      <c r="G10" s="112">
        <f t="shared" ref="G10:G12" si="0">F10-E10</f>
        <v>5185.6000000000931</v>
      </c>
      <c r="H10" s="99">
        <f>G10+'28'!H10</f>
        <v>370759.60000000009</v>
      </c>
      <c r="I10" s="282"/>
      <c r="J10" s="175">
        <f>H10/DAY(B2)</f>
        <v>12784.813793103451</v>
      </c>
      <c r="K10" s="79"/>
      <c r="L10" s="66"/>
      <c r="N10" s="87"/>
      <c r="O10" s="71"/>
    </row>
    <row r="11" spans="1:15" ht="21.95" customHeight="1">
      <c r="A11" s="194" t="s">
        <v>134</v>
      </c>
      <c r="B11" s="195"/>
      <c r="C11" s="195"/>
      <c r="D11" s="151" t="s">
        <v>130</v>
      </c>
      <c r="E11" s="95">
        <f>'28'!F11</f>
        <v>38700</v>
      </c>
      <c r="F11" s="95">
        <v>38700</v>
      </c>
      <c r="G11" s="112">
        <f t="shared" si="0"/>
        <v>0</v>
      </c>
      <c r="H11" s="99">
        <f>G11+'28'!H11</f>
        <v>580</v>
      </c>
      <c r="I11" s="282"/>
      <c r="J11" s="175">
        <f>H11/DAY(B2)</f>
        <v>20</v>
      </c>
      <c r="K11" s="79"/>
      <c r="L11" s="66"/>
      <c r="N11" s="87"/>
      <c r="O11" s="71"/>
    </row>
    <row r="12" spans="1:15" ht="21.95" customHeight="1">
      <c r="A12" s="194" t="s">
        <v>135</v>
      </c>
      <c r="B12" s="195"/>
      <c r="C12" s="195"/>
      <c r="D12" s="151" t="s">
        <v>130</v>
      </c>
      <c r="E12" s="95">
        <f>'28'!F12</f>
        <v>40550</v>
      </c>
      <c r="F12" s="117">
        <v>40550</v>
      </c>
      <c r="G12" s="112">
        <f t="shared" si="0"/>
        <v>0</v>
      </c>
      <c r="H12" s="99">
        <f>G12+'28'!H12</f>
        <v>160</v>
      </c>
      <c r="I12" s="282"/>
      <c r="J12" s="175">
        <f>H12/DAY(B2)</f>
        <v>5.5172413793103452</v>
      </c>
      <c r="K12" s="79"/>
      <c r="L12" s="66"/>
      <c r="N12" s="87"/>
      <c r="O12" s="71"/>
    </row>
    <row r="13" spans="1:15" ht="21.9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22475.300000000279</v>
      </c>
      <c r="H13" s="99">
        <f>G13+'28'!H13</f>
        <v>645784.70000000019</v>
      </c>
      <c r="I13" s="120">
        <f>G7-G13</f>
        <v>587.16999999969266</v>
      </c>
      <c r="J13" s="175">
        <f>H13/DAY(B2)</f>
        <v>22268.437931034488</v>
      </c>
      <c r="K13" s="79"/>
      <c r="L13" s="66"/>
      <c r="N13" s="87"/>
      <c r="O13" s="71"/>
    </row>
    <row r="14" spans="1:15" ht="26.25">
      <c r="A14" s="873" t="s">
        <v>137</v>
      </c>
      <c r="B14" s="874"/>
      <c r="C14" s="87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>
      <c r="A15" s="345" t="s">
        <v>138</v>
      </c>
      <c r="B15" s="205"/>
      <c r="C15" s="205"/>
      <c r="D15" s="151" t="s">
        <v>139</v>
      </c>
      <c r="E15" s="95">
        <f>'28'!F15</f>
        <v>2249741.7200000002</v>
      </c>
      <c r="F15" s="468">
        <v>2250996.71</v>
      </c>
      <c r="G15" s="112">
        <f>(F15-E15)</f>
        <v>1254.9899999997579</v>
      </c>
      <c r="H15" s="99">
        <f>G15+'28'!H15</f>
        <v>32055.709999999963</v>
      </c>
      <c r="I15" s="113">
        <f>'1'!I15</f>
        <v>800</v>
      </c>
      <c r="J15" s="175">
        <f>H15/DAY(B2)</f>
        <v>1105.3693103448263</v>
      </c>
      <c r="K15" s="79"/>
      <c r="L15" s="66"/>
      <c r="N15" s="87"/>
      <c r="O15" s="71"/>
    </row>
    <row r="16" spans="1:15" ht="21.9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-305.36931034482632</v>
      </c>
      <c r="J16" s="176"/>
      <c r="K16" s="79"/>
      <c r="L16" s="66"/>
      <c r="N16" s="87"/>
      <c r="O16" s="71"/>
    </row>
    <row r="17" spans="1:15" ht="26.25">
      <c r="A17" s="873" t="s">
        <v>140</v>
      </c>
      <c r="B17" s="874"/>
      <c r="C17" s="87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64" t="s">
        <v>141</v>
      </c>
      <c r="B18" s="865"/>
      <c r="C18" s="866"/>
      <c r="D18" s="151" t="s">
        <v>142</v>
      </c>
      <c r="E18" s="95">
        <f>'28'!F18</f>
        <v>25</v>
      </c>
      <c r="F18" s="122">
        <v>21</v>
      </c>
      <c r="G18" s="119">
        <f>F18*10</f>
        <v>210</v>
      </c>
      <c r="H18" s="99">
        <f>G18+'28'!H18</f>
        <v>7690</v>
      </c>
      <c r="I18" s="113">
        <f>'1'!I18</f>
        <v>65</v>
      </c>
      <c r="J18" s="175">
        <f>H18/DAY(B2)</f>
        <v>265.17241379310343</v>
      </c>
      <c r="K18" s="79"/>
      <c r="L18" s="66"/>
      <c r="N18" s="87"/>
      <c r="O18" s="71"/>
    </row>
    <row r="19" spans="1:15" ht="25.5">
      <c r="A19" s="864" t="s">
        <v>69</v>
      </c>
      <c r="B19" s="865"/>
      <c r="C19" s="866"/>
      <c r="D19" s="151" t="s">
        <v>142</v>
      </c>
      <c r="E19" s="95">
        <f>'28'!F19</f>
        <v>169401</v>
      </c>
      <c r="F19" s="122">
        <v>169459</v>
      </c>
      <c r="G19" s="112">
        <f t="shared" ref="G19" si="1">F19-E19</f>
        <v>58</v>
      </c>
      <c r="H19" s="99">
        <f>G19+'28'!H19</f>
        <v>1583</v>
      </c>
      <c r="I19" s="335"/>
      <c r="J19" s="175">
        <f>H19/DAY(B2)</f>
        <v>54.586206896551722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268</v>
      </c>
      <c r="H20" s="99">
        <f>G20+'28'!H20</f>
        <v>9273</v>
      </c>
      <c r="I20" s="336">
        <f>I18-J20</f>
        <v>-254.75862068965517</v>
      </c>
      <c r="J20" s="175">
        <f>H20/DAY(B2)</f>
        <v>319.75862068965517</v>
      </c>
      <c r="K20" s="79"/>
      <c r="L20" s="66"/>
      <c r="N20" s="87"/>
      <c r="O20" s="71"/>
    </row>
    <row r="21" spans="1:15" ht="26.25">
      <c r="A21" s="873" t="s">
        <v>144</v>
      </c>
      <c r="B21" s="874"/>
      <c r="C21" s="87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'28'!F22</f>
        <v>2970</v>
      </c>
      <c r="F22" s="122">
        <v>2970</v>
      </c>
      <c r="G22" s="119">
        <f t="shared" ref="G22" si="2">(F22-E22)</f>
        <v>0</v>
      </c>
      <c r="H22" s="99">
        <f>G22+'28'!H22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'28'!F23</f>
        <v>2000</v>
      </c>
      <c r="F23" s="122">
        <v>2000</v>
      </c>
      <c r="G23" s="119">
        <v>0</v>
      </c>
      <c r="H23" s="99">
        <f>G23+'28'!H23</f>
        <v>-100</v>
      </c>
      <c r="I23" s="118"/>
      <c r="J23" s="175">
        <f>H23/DAY(B2)</f>
        <v>-3.4482758620689653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'28'!F24</f>
        <v>4970</v>
      </c>
      <c r="F24" s="128">
        <v>4970</v>
      </c>
      <c r="G24" s="119">
        <v>0</v>
      </c>
      <c r="H24" s="99">
        <f>G24+'28'!H24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78" t="s">
        <v>149</v>
      </c>
      <c r="B25" s="879"/>
      <c r="C25" s="88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23237.490000000005</v>
      </c>
      <c r="F27" s="136">
        <v>9</v>
      </c>
      <c r="G27" s="137">
        <f>E27*F27</f>
        <v>209137.41000000003</v>
      </c>
      <c r="H27" s="99">
        <f>G27+'28'!H27</f>
        <v>5987115.7999999998</v>
      </c>
      <c r="I27" s="138"/>
      <c r="J27" s="175">
        <f>H27/DAY(B2)</f>
        <v>206452.26896551723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1254.9899999997579</v>
      </c>
      <c r="F28" s="136">
        <v>70</v>
      </c>
      <c r="G28" s="137">
        <f>E28*F28</f>
        <v>87849.29999998305</v>
      </c>
      <c r="H28" s="99">
        <f>G28+'28'!H28</f>
        <v>2254411.4499999979</v>
      </c>
      <c r="I28" s="140"/>
      <c r="J28" s="175">
        <f>H28/DAY(B2)</f>
        <v>77738.325862068887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G29+'28'!H29</f>
        <v>20700</v>
      </c>
      <c r="I29" s="140"/>
      <c r="J29" s="175">
        <f>H29/DAY(B2)</f>
        <v>713.79310344827582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58</v>
      </c>
      <c r="F30" s="136">
        <v>151</v>
      </c>
      <c r="G30" s="137">
        <f>E30*F30</f>
        <v>8758</v>
      </c>
      <c r="H30" s="99">
        <f>G30+'28'!H30</f>
        <v>239033</v>
      </c>
      <c r="I30" s="140"/>
      <c r="J30" s="175">
        <f>H30/DAY(B2)</f>
        <v>8242.5172413793098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210</v>
      </c>
      <c r="F31" s="136">
        <v>80</v>
      </c>
      <c r="G31" s="137">
        <f>E31*F31</f>
        <v>16800</v>
      </c>
      <c r="H31" s="99">
        <f>G31+'28'!H31</f>
        <v>615200</v>
      </c>
      <c r="I31" s="140"/>
      <c r="J31" s="175">
        <f>H31/DAY(B2)</f>
        <v>21213.793103448275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322544.70999998308</v>
      </c>
      <c r="H32" s="99">
        <f>G32+'28'!H32</f>
        <v>9116460.2499999981</v>
      </c>
      <c r="I32" s="144"/>
      <c r="J32" s="175">
        <f>H32/DAY(B2)</f>
        <v>314360.69827586203</v>
      </c>
      <c r="K32" s="63"/>
      <c r="L32" s="89"/>
      <c r="N32" s="87"/>
      <c r="O32" s="71"/>
    </row>
    <row r="33" spans="1:15" ht="25.5" customHeight="1">
      <c r="A33" s="881" t="s">
        <v>331</v>
      </c>
      <c r="B33" s="882"/>
      <c r="C33" s="88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'28'!F35</f>
        <v>445970</v>
      </c>
      <c r="F35" s="145">
        <v>448867</v>
      </c>
      <c r="G35" s="112">
        <f t="shared" ref="G35:G46" si="3">F35-E35</f>
        <v>2897</v>
      </c>
      <c r="H35" s="99">
        <f>G35+'28'!H35</f>
        <v>79770.090000000026</v>
      </c>
      <c r="I35" s="95"/>
      <c r="J35" s="175">
        <f>H35/DAY(B2)</f>
        <v>2750.6927586206907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'28'!F36</f>
        <v>350886</v>
      </c>
      <c r="F36" s="145">
        <v>352161</v>
      </c>
      <c r="G36" s="112">
        <f t="shared" si="3"/>
        <v>1275</v>
      </c>
      <c r="H36" s="99">
        <f>G36+'28'!H36</f>
        <v>29943.890000000014</v>
      </c>
      <c r="I36" s="95"/>
      <c r="J36" s="175">
        <f>H36/DAY(B2)</f>
        <v>1032.5479310344833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'28'!F37</f>
        <v>333996</v>
      </c>
      <c r="F37" s="145">
        <v>335442</v>
      </c>
      <c r="G37" s="112">
        <f t="shared" si="3"/>
        <v>1446</v>
      </c>
      <c r="H37" s="99">
        <f>G37+'28'!H37</f>
        <v>12443.309999999998</v>
      </c>
      <c r="I37" s="95"/>
      <c r="J37" s="175">
        <f>H37/DAY(B2)</f>
        <v>429.07965517241371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'28'!F38</f>
        <v>789565</v>
      </c>
      <c r="F38" s="108">
        <v>792310</v>
      </c>
      <c r="G38" s="112">
        <f t="shared" si="3"/>
        <v>2745</v>
      </c>
      <c r="H38" s="99">
        <f>G38+'28'!H38</f>
        <v>56457.609999999986</v>
      </c>
      <c r="I38" s="95"/>
      <c r="J38" s="175">
        <f>H38/DAY(B2)</f>
        <v>1946.8141379310341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'28'!F39</f>
        <v>611964</v>
      </c>
      <c r="F39" s="145">
        <v>614821</v>
      </c>
      <c r="G39" s="112">
        <f t="shared" si="3"/>
        <v>2857</v>
      </c>
      <c r="H39" s="99">
        <f>G39+'28'!H39</f>
        <v>23236.810000000056</v>
      </c>
      <c r="I39" s="95"/>
      <c r="J39" s="175">
        <f>H39/DAY(B2)</f>
        <v>801.26931034482948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'28'!F40</f>
        <v>208312</v>
      </c>
      <c r="F40" s="145">
        <v>208774.73</v>
      </c>
      <c r="G40" s="112">
        <f t="shared" si="3"/>
        <v>462.73000000001048</v>
      </c>
      <c r="H40" s="99">
        <f>G40+'28'!H40</f>
        <v>12044.760000000009</v>
      </c>
      <c r="I40" s="95"/>
      <c r="J40" s="175">
        <f>H40/DAY(B2)</f>
        <v>415.33655172413825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'28'!F41</f>
        <v>420212.5</v>
      </c>
      <c r="F41" s="145">
        <v>420212.5</v>
      </c>
      <c r="G41" s="112">
        <f t="shared" si="3"/>
        <v>0</v>
      </c>
      <c r="H41" s="99">
        <f>G41+'28'!H41</f>
        <v>1044.9099999999744</v>
      </c>
      <c r="I41" s="95"/>
      <c r="J41" s="175">
        <f>H41/DAY(B2)</f>
        <v>36.031379310343944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'28'!F42</f>
        <v>907271</v>
      </c>
      <c r="F42" s="145">
        <v>912056.95</v>
      </c>
      <c r="G42" s="112">
        <f t="shared" si="3"/>
        <v>4785.9499999999534</v>
      </c>
      <c r="H42" s="99">
        <f>G42+'28'!H42</f>
        <v>40286.869999999995</v>
      </c>
      <c r="I42" s="95"/>
      <c r="J42" s="175">
        <f>H42/DAY(B2)</f>
        <v>1389.2024137931032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'28'!F43</f>
        <v>422444</v>
      </c>
      <c r="F43" s="145">
        <v>422444</v>
      </c>
      <c r="G43" s="112">
        <f t="shared" si="3"/>
        <v>0</v>
      </c>
      <c r="H43" s="99">
        <f>G43+'28'!H43</f>
        <v>15416</v>
      </c>
      <c r="I43" s="95"/>
      <c r="J43" s="175">
        <f>H43/DAY(B2)</f>
        <v>531.58620689655174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'28'!F44</f>
        <v>0</v>
      </c>
      <c r="F44" s="145">
        <v>0</v>
      </c>
      <c r="G44" s="112">
        <f t="shared" si="3"/>
        <v>0</v>
      </c>
      <c r="H44" s="99">
        <f>G44+'28'!H44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'28'!F45</f>
        <v>0</v>
      </c>
      <c r="F45" s="145">
        <v>0</v>
      </c>
      <c r="G45" s="112">
        <f t="shared" si="3"/>
        <v>0</v>
      </c>
      <c r="H45" s="99">
        <f>G45+'28'!H45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'28'!F46</f>
        <v>0</v>
      </c>
      <c r="F46" s="145">
        <v>0</v>
      </c>
      <c r="G46" s="112">
        <f t="shared" si="3"/>
        <v>0</v>
      </c>
      <c r="H46" s="99">
        <f>G46+'28'!H46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16468.679999999964</v>
      </c>
      <c r="H47" s="99">
        <f>G47+'28'!H47</f>
        <v>270644.25000000006</v>
      </c>
      <c r="I47" s="95"/>
      <c r="J47" s="175">
        <f>H47/DAY(B2)</f>
        <v>9332.5603448275888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'28'!F49</f>
        <v>805265</v>
      </c>
      <c r="F49" s="145">
        <v>805592.47</v>
      </c>
      <c r="G49" s="112">
        <f t="shared" ref="G49:G58" si="4">F49-E49</f>
        <v>327.46999999997206</v>
      </c>
      <c r="H49" s="99">
        <f>G49+'28'!H49</f>
        <v>11969.520000000019</v>
      </c>
      <c r="I49" s="95"/>
      <c r="J49" s="175">
        <f>H49/DAY(B2)</f>
        <v>412.74206896551789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'28'!F50</f>
        <v>496948</v>
      </c>
      <c r="F50" s="145">
        <v>498476</v>
      </c>
      <c r="G50" s="112">
        <f t="shared" si="4"/>
        <v>1528</v>
      </c>
      <c r="H50" s="99">
        <f>G50+'28'!H50</f>
        <v>41806.929999999993</v>
      </c>
      <c r="I50" s="95"/>
      <c r="J50" s="175">
        <f>H50/DAY(B2)</f>
        <v>1441.6182758620687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'28'!F51</f>
        <v>156958</v>
      </c>
      <c r="F51" s="145">
        <v>156958.44</v>
      </c>
      <c r="G51" s="112">
        <f t="shared" si="4"/>
        <v>0.44000000000232831</v>
      </c>
      <c r="H51" s="99">
        <f>G51+'28'!H51</f>
        <v>21713.890000000014</v>
      </c>
      <c r="I51" s="95"/>
      <c r="J51" s="175">
        <f>H51/DAY(B2)</f>
        <v>748.7548275862074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'28'!F52</f>
        <v>10</v>
      </c>
      <c r="F52" s="145">
        <v>10</v>
      </c>
      <c r="G52" s="112">
        <f t="shared" si="4"/>
        <v>0</v>
      </c>
      <c r="H52" s="99">
        <f>G52+'28'!H52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'28'!F53</f>
        <v>630355</v>
      </c>
      <c r="F53" s="145">
        <v>630355</v>
      </c>
      <c r="G53" s="112">
        <f t="shared" si="4"/>
        <v>0</v>
      </c>
      <c r="H53" s="99">
        <f>G53+'28'!H53</f>
        <v>83813.729999999981</v>
      </c>
      <c r="I53" s="95"/>
      <c r="J53" s="175">
        <f>H53/DAY(B2)</f>
        <v>2890.1286206896543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'28'!F54</f>
        <v>113518.36</v>
      </c>
      <c r="F54" s="145">
        <v>113875.22</v>
      </c>
      <c r="G54" s="112">
        <f t="shared" si="4"/>
        <v>356.86000000000058</v>
      </c>
      <c r="H54" s="99">
        <f>G54+'28'!H54</f>
        <v>6212.0599999999977</v>
      </c>
      <c r="I54" s="95"/>
      <c r="J54" s="175">
        <f>H54/DAY(B2)</f>
        <v>214.2089655172413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'28'!F55</f>
        <v>576335.63</v>
      </c>
      <c r="F55" s="145">
        <v>576335.63</v>
      </c>
      <c r="G55" s="112">
        <f t="shared" si="4"/>
        <v>0</v>
      </c>
      <c r="H55" s="99">
        <f>G55+'28'!H55</f>
        <v>14850.959999999963</v>
      </c>
      <c r="I55" s="95"/>
      <c r="J55" s="175">
        <f>H55/DAY(B2)</f>
        <v>512.10206896551597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'28'!F56</f>
        <v>334495</v>
      </c>
      <c r="F56" s="145">
        <v>334767.23</v>
      </c>
      <c r="G56" s="112">
        <f t="shared" si="4"/>
        <v>272.22999999998137</v>
      </c>
      <c r="H56" s="99">
        <f>G56+'28'!H56</f>
        <v>66652.219999999972</v>
      </c>
      <c r="I56" s="95"/>
      <c r="J56" s="175">
        <f>H56/DAY(B2)</f>
        <v>2298.3524137931026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'28'!F57</f>
        <v>623142</v>
      </c>
      <c r="F57" s="145">
        <v>625738</v>
      </c>
      <c r="G57" s="112">
        <f t="shared" si="4"/>
        <v>2596</v>
      </c>
      <c r="H57" s="99">
        <f>G57+'28'!H57</f>
        <v>62178.530000000028</v>
      </c>
      <c r="I57" s="95"/>
      <c r="J57" s="175">
        <f>H57/DAY(B2)</f>
        <v>2144.0872413793113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'28'!F58</f>
        <v>85614</v>
      </c>
      <c r="F58" s="145">
        <v>85989.551000000007</v>
      </c>
      <c r="G58" s="112">
        <f t="shared" si="4"/>
        <v>375.55100000000675</v>
      </c>
      <c r="H58" s="99">
        <f>G58+'28'!H58</f>
        <v>7273.8610000000044</v>
      </c>
      <c r="I58" s="95"/>
      <c r="J58" s="175">
        <f>H58/DAY(B2)</f>
        <v>250.82279310344842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5456.5509999999631</v>
      </c>
      <c r="H59" s="99">
        <f>G59+'28'!H59</f>
        <v>316471.701</v>
      </c>
      <c r="I59" s="95">
        <f>G7-G60</f>
        <v>1137.2390000000451</v>
      </c>
      <c r="J59" s="175">
        <f>H59/DAY(B2)</f>
        <v>10912.817275862069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21925.230999999927</v>
      </c>
      <c r="H60" s="99">
        <f>G60+'28'!H60</f>
        <v>587115.95100000012</v>
      </c>
      <c r="I60" s="95">
        <f>G13-G60</f>
        <v>550.06900000035239</v>
      </c>
      <c r="J60" s="175">
        <f>H60/DAY(B2)</f>
        <v>20245.377620689658</v>
      </c>
      <c r="K60" s="79"/>
      <c r="L60" s="66"/>
      <c r="N60" s="87"/>
      <c r="O60" s="71"/>
    </row>
    <row r="61" spans="1:15" s="68" customFormat="1" ht="26.25">
      <c r="A61" s="883" t="s">
        <v>332</v>
      </c>
      <c r="B61" s="884"/>
      <c r="C61" s="88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64" t="s">
        <v>198</v>
      </c>
      <c r="B62" s="865"/>
      <c r="C62" s="866"/>
      <c r="D62" s="151" t="s">
        <v>142</v>
      </c>
      <c r="E62" s="95">
        <f>'28'!F62</f>
        <v>311615</v>
      </c>
      <c r="F62" s="122">
        <v>311770</v>
      </c>
      <c r="G62" s="112">
        <f t="shared" ref="G62:G63" si="5">F62-E62</f>
        <v>155</v>
      </c>
      <c r="H62" s="99">
        <f>G62+'28'!H62</f>
        <v>3456</v>
      </c>
      <c r="I62" s="118"/>
      <c r="J62" s="175">
        <f>H62/DAY(B2)</f>
        <v>119.17241379310344</v>
      </c>
      <c r="K62" s="80"/>
      <c r="L62" s="66"/>
      <c r="N62" s="87"/>
      <c r="O62" s="71"/>
    </row>
    <row r="63" spans="1:15" ht="25.5">
      <c r="A63" s="864" t="s">
        <v>199</v>
      </c>
      <c r="B63" s="865"/>
      <c r="C63" s="866"/>
      <c r="D63" s="151" t="s">
        <v>142</v>
      </c>
      <c r="E63" s="95">
        <f>'28'!F63</f>
        <v>248708</v>
      </c>
      <c r="F63" s="122">
        <v>248821</v>
      </c>
      <c r="G63" s="112">
        <f t="shared" si="5"/>
        <v>113</v>
      </c>
      <c r="H63" s="99">
        <f>G63+'28'!H63</f>
        <v>1892</v>
      </c>
      <c r="I63" s="118"/>
      <c r="J63" s="175">
        <f>H63/DAY(B2)</f>
        <v>65.241379310344826</v>
      </c>
      <c r="K63" s="69"/>
      <c r="L63" s="66"/>
      <c r="N63" s="87"/>
      <c r="O63" s="71"/>
    </row>
    <row r="64" spans="1:15" ht="26.25">
      <c r="A64" s="861" t="s">
        <v>200</v>
      </c>
      <c r="B64" s="862"/>
      <c r="C64" s="863"/>
      <c r="D64" s="151"/>
      <c r="E64" s="95">
        <f>'28'!F64</f>
        <v>0</v>
      </c>
      <c r="F64" s="122"/>
      <c r="G64" s="112">
        <f>G62+G63</f>
        <v>268</v>
      </c>
      <c r="H64" s="99">
        <f>G64+'28'!H64</f>
        <v>5348</v>
      </c>
      <c r="I64" s="118"/>
      <c r="J64" s="175">
        <f>H64/DAY(B2)</f>
        <v>184.41379310344828</v>
      </c>
      <c r="K64" s="69"/>
      <c r="L64" s="66"/>
      <c r="N64" s="87"/>
      <c r="O64" s="71"/>
    </row>
    <row r="65" spans="1:15" ht="25.5">
      <c r="A65" s="864" t="s">
        <v>201</v>
      </c>
      <c r="B65" s="865"/>
      <c r="C65" s="866"/>
      <c r="D65" s="151" t="s">
        <v>142</v>
      </c>
      <c r="E65" s="95">
        <f>'28'!F65</f>
        <v>471624</v>
      </c>
      <c r="F65" s="122">
        <v>471763</v>
      </c>
      <c r="G65" s="112">
        <f t="shared" ref="G65:G70" si="6">F65-E65</f>
        <v>139</v>
      </c>
      <c r="H65" s="99">
        <f>G65+'28'!H65</f>
        <v>3862</v>
      </c>
      <c r="I65" s="118"/>
      <c r="J65" s="175">
        <f>H65/DAY(B2)</f>
        <v>133.17241379310346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'28'!F66</f>
        <v>113506</v>
      </c>
      <c r="F66" s="122">
        <v>113520</v>
      </c>
      <c r="G66" s="112">
        <f t="shared" si="6"/>
        <v>14</v>
      </c>
      <c r="H66" s="99">
        <f>G66+'28'!H66</f>
        <v>55773</v>
      </c>
      <c r="I66" s="118"/>
      <c r="J66" s="175">
        <f>H66/DAY(B2)</f>
        <v>1923.2068965517242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'28'!F67</f>
        <v>116486</v>
      </c>
      <c r="F67" s="122">
        <v>116512</v>
      </c>
      <c r="G67" s="112">
        <f t="shared" si="6"/>
        <v>26</v>
      </c>
      <c r="H67" s="99">
        <f>G67+'28'!H67</f>
        <v>657</v>
      </c>
      <c r="I67" s="118"/>
      <c r="J67" s="175">
        <f>H67/DAY(B2)</f>
        <v>22.655172413793103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'28'!F68</f>
        <v>169340</v>
      </c>
      <c r="F68" s="122">
        <v>169367</v>
      </c>
      <c r="G68" s="112">
        <f t="shared" si="6"/>
        <v>27</v>
      </c>
      <c r="H68" s="99">
        <f>G68+'28'!H68</f>
        <v>860</v>
      </c>
      <c r="I68" s="118"/>
      <c r="J68" s="175">
        <f>H68/DAY(B2)</f>
        <v>29.655172413793103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'28'!F69</f>
        <v>12949</v>
      </c>
      <c r="F69" s="122">
        <v>12955</v>
      </c>
      <c r="G69" s="112">
        <f t="shared" si="6"/>
        <v>6</v>
      </c>
      <c r="H69" s="99">
        <f>G69+'28'!H69</f>
        <v>145</v>
      </c>
      <c r="I69" s="118"/>
      <c r="J69" s="175">
        <f>H69/DAY(B2)</f>
        <v>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'28'!F70</f>
        <v>10992</v>
      </c>
      <c r="F70" s="122">
        <v>10998</v>
      </c>
      <c r="G70" s="112">
        <f t="shared" si="6"/>
        <v>6</v>
      </c>
      <c r="H70" s="99">
        <f>G70+'28'!H70</f>
        <v>219</v>
      </c>
      <c r="I70" s="118"/>
      <c r="J70" s="175">
        <f>H70/DAY(B2)</f>
        <v>7.5517241379310347</v>
      </c>
      <c r="K70" s="69"/>
      <c r="L70" s="66"/>
      <c r="N70" s="87"/>
      <c r="O70" s="71"/>
    </row>
    <row r="71" spans="1:15" ht="26.25">
      <c r="A71" s="861" t="s">
        <v>208</v>
      </c>
      <c r="B71" s="862"/>
      <c r="C71" s="863"/>
      <c r="D71" s="152"/>
      <c r="E71" s="95">
        <f>'28'!F71</f>
        <v>0</v>
      </c>
      <c r="F71" s="152"/>
      <c r="G71" s="153">
        <f>SUM(G65:G70)</f>
        <v>218</v>
      </c>
      <c r="H71" s="99">
        <f>G71+'28'!H71</f>
        <v>61516</v>
      </c>
      <c r="I71" s="154"/>
      <c r="J71" s="175">
        <f>H71/DAY(B2)</f>
        <v>2121.2413793103447</v>
      </c>
      <c r="K71" s="69"/>
      <c r="L71" s="66"/>
      <c r="N71" s="87"/>
      <c r="O71" s="71"/>
    </row>
    <row r="72" spans="1:15" s="88" customFormat="1" ht="25.5">
      <c r="A72" s="904"/>
      <c r="B72" s="89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09" t="s">
        <v>333</v>
      </c>
      <c r="B73" s="910"/>
      <c r="C73" s="91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64" t="s">
        <v>220</v>
      </c>
      <c r="B74" s="865"/>
      <c r="C74" s="866"/>
      <c r="D74" s="151" t="s">
        <v>139</v>
      </c>
      <c r="E74" s="95">
        <f>'28'!F74</f>
        <v>1330</v>
      </c>
      <c r="F74" s="117">
        <v>1639</v>
      </c>
      <c r="G74" s="112">
        <f t="shared" ref="G74:G78" si="7">F74-E74</f>
        <v>309</v>
      </c>
      <c r="H74" s="99">
        <f>G74+'28'!H74</f>
        <v>8279.9699999999721</v>
      </c>
      <c r="I74" s="154"/>
      <c r="J74" s="175">
        <f>H74/DAY(B2)</f>
        <v>285.51620689655078</v>
      </c>
      <c r="K74" s="69"/>
      <c r="L74" s="66"/>
      <c r="N74" s="87"/>
      <c r="O74" s="71"/>
    </row>
    <row r="75" spans="1:15" ht="25.5">
      <c r="A75" s="864" t="s">
        <v>221</v>
      </c>
      <c r="B75" s="865"/>
      <c r="C75" s="866"/>
      <c r="D75" s="151" t="s">
        <v>139</v>
      </c>
      <c r="E75" s="95">
        <f>'28'!F75</f>
        <v>73586.8</v>
      </c>
      <c r="F75" s="123">
        <v>73586.8</v>
      </c>
      <c r="G75" s="112">
        <f t="shared" si="7"/>
        <v>0</v>
      </c>
      <c r="H75" s="99">
        <f>G75+'28'!H75</f>
        <v>0.80000000000291038</v>
      </c>
      <c r="I75" s="154"/>
      <c r="J75" s="175">
        <f>H75/DAY(B2)</f>
        <v>2.7586206896652081E-2</v>
      </c>
      <c r="K75" s="69"/>
      <c r="L75" s="66"/>
      <c r="N75" s="87"/>
      <c r="O75" s="71"/>
    </row>
    <row r="76" spans="1:15" ht="25.5">
      <c r="A76" s="905" t="s">
        <v>222</v>
      </c>
      <c r="B76" s="891"/>
      <c r="C76" s="892"/>
      <c r="D76" s="151" t="s">
        <v>139</v>
      </c>
      <c r="E76" s="95">
        <f>'28'!F76</f>
        <v>207041</v>
      </c>
      <c r="F76" s="123">
        <v>207160</v>
      </c>
      <c r="G76" s="112">
        <f t="shared" si="7"/>
        <v>119</v>
      </c>
      <c r="H76" s="99">
        <f>G76+'28'!H76</f>
        <v>3498</v>
      </c>
      <c r="I76" s="154"/>
      <c r="J76" s="175">
        <f>H76/DAY(B2)</f>
        <v>120.62068965517241</v>
      </c>
      <c r="K76" s="69"/>
      <c r="L76" s="66"/>
      <c r="N76" s="87"/>
      <c r="O76" s="71"/>
    </row>
    <row r="77" spans="1:15" ht="25.5">
      <c r="A77" s="905" t="s">
        <v>223</v>
      </c>
      <c r="B77" s="891"/>
      <c r="C77" s="892"/>
      <c r="D77" s="151" t="s">
        <v>139</v>
      </c>
      <c r="E77" s="95">
        <f>'28'!F77</f>
        <v>57986</v>
      </c>
      <c r="F77" s="123">
        <v>58042</v>
      </c>
      <c r="G77" s="112">
        <f t="shared" si="7"/>
        <v>56</v>
      </c>
      <c r="H77" s="99">
        <f>G77+'28'!H77</f>
        <v>1520</v>
      </c>
      <c r="I77" s="154"/>
      <c r="J77" s="175">
        <f>H77/DAY(B2)</f>
        <v>52.413793103448278</v>
      </c>
      <c r="K77" s="69"/>
      <c r="L77" s="66"/>
      <c r="N77" s="87"/>
      <c r="O77" s="71"/>
    </row>
    <row r="78" spans="1:15" ht="25.5">
      <c r="A78" s="905" t="s">
        <v>224</v>
      </c>
      <c r="B78" s="891"/>
      <c r="C78" s="892"/>
      <c r="D78" s="151" t="s">
        <v>139</v>
      </c>
      <c r="E78" s="95">
        <f>'28'!F78</f>
        <v>9564</v>
      </c>
      <c r="F78" s="123">
        <v>9564</v>
      </c>
      <c r="G78" s="112">
        <f t="shared" si="7"/>
        <v>0</v>
      </c>
      <c r="H78" s="99">
        <f>G78+'28'!H78</f>
        <v>-0.3999999999996362</v>
      </c>
      <c r="I78" s="118"/>
      <c r="J78" s="175">
        <f>H78/DAY(B2)</f>
        <v>-1.3793103448263318E-2</v>
      </c>
      <c r="K78" s="69"/>
      <c r="L78" s="66"/>
      <c r="N78" s="87"/>
      <c r="O78" s="71"/>
    </row>
    <row r="79" spans="1:15" s="57" customFormat="1" ht="25.5">
      <c r="A79" s="905" t="s">
        <v>225</v>
      </c>
      <c r="B79" s="891"/>
      <c r="C79" s="892"/>
      <c r="D79" s="151"/>
      <c r="E79" s="95">
        <f>'28'!F79</f>
        <v>0</v>
      </c>
      <c r="F79" s="117"/>
      <c r="G79" s="112">
        <f>G15-SUM(G74:G78)</f>
        <v>770.98999999975786</v>
      </c>
      <c r="H79" s="99">
        <f>G79+'28'!H79</f>
        <v>18757.339999999989</v>
      </c>
      <c r="I79" s="118"/>
      <c r="J79" s="175"/>
      <c r="K79" s="59"/>
      <c r="L79" s="58"/>
      <c r="N79" s="87"/>
      <c r="O79" s="71"/>
    </row>
    <row r="80" spans="1:15" s="57" customFormat="1" ht="26.25">
      <c r="A80" s="861" t="s">
        <v>329</v>
      </c>
      <c r="B80" s="862"/>
      <c r="C80" s="863"/>
      <c r="D80" s="151"/>
      <c r="E80" s="117"/>
      <c r="F80" s="117"/>
      <c r="G80" s="112">
        <f>SUM(G74:G79)</f>
        <v>1254.9899999997579</v>
      </c>
      <c r="H80" s="99"/>
      <c r="I80" s="118"/>
      <c r="J80" s="175"/>
      <c r="K80" s="59"/>
      <c r="L80" s="58"/>
      <c r="N80" s="87"/>
      <c r="O80" s="71"/>
    </row>
    <row r="81" spans="1:15" ht="25.5">
      <c r="A81" s="897" t="s">
        <v>226</v>
      </c>
      <c r="B81" s="898"/>
      <c r="C81" s="89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'28'!F82</f>
        <v>0</v>
      </c>
      <c r="F82" s="122">
        <v>0</v>
      </c>
      <c r="G82" s="112">
        <f t="shared" ref="G82:G92" si="8">F82-E82</f>
        <v>0</v>
      </c>
      <c r="H82" s="99">
        <f>G82+'28'!H82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'28'!F83</f>
        <v>0</v>
      </c>
      <c r="F83" s="122">
        <v>0</v>
      </c>
      <c r="G83" s="112">
        <f t="shared" si="8"/>
        <v>0</v>
      </c>
      <c r="H83" s="99">
        <f>G83+'28'!H83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'28'!F84</f>
        <v>43546</v>
      </c>
      <c r="F84" s="164">
        <v>43546</v>
      </c>
      <c r="G84" s="112">
        <f t="shared" si="8"/>
        <v>0</v>
      </c>
      <c r="H84" s="99">
        <f>G84+'28'!H84</f>
        <v>2005.7900000000009</v>
      </c>
      <c r="I84" s="545"/>
      <c r="J84" s="175">
        <f>H84/DAY(B2)</f>
        <v>69.16517241379313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'28'!F85</f>
        <v>5860</v>
      </c>
      <c r="F85" s="164">
        <v>5884.54</v>
      </c>
      <c r="G85" s="112">
        <f t="shared" si="8"/>
        <v>24.539999999999964</v>
      </c>
      <c r="H85" s="99">
        <f>G85+'28'!H85</f>
        <v>200.53999999999996</v>
      </c>
      <c r="I85" s="545"/>
      <c r="J85" s="175">
        <f>H85/DAY(B2)</f>
        <v>6.9151724137931021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'28'!F86</f>
        <v>46834</v>
      </c>
      <c r="F86" s="164">
        <v>46834</v>
      </c>
      <c r="G86" s="112">
        <f t="shared" si="8"/>
        <v>0</v>
      </c>
      <c r="H86" s="99">
        <f>G86+'28'!H86</f>
        <v>80.069999999999709</v>
      </c>
      <c r="I86" s="545"/>
      <c r="J86" s="175">
        <f>H86/DAY(B2)</f>
        <v>2.7610344827586109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'28'!F87</f>
        <v>37020.449999999997</v>
      </c>
      <c r="F87" s="164">
        <v>37023.26</v>
      </c>
      <c r="G87" s="112">
        <f t="shared" si="8"/>
        <v>2.8100000000049477</v>
      </c>
      <c r="H87" s="99">
        <f>G87+'28'!H87</f>
        <v>473.05000000000291</v>
      </c>
      <c r="I87" s="545">
        <f>G84+G85+G86+G87</f>
        <v>27.350000000004911</v>
      </c>
      <c r="J87" s="175">
        <f>H87/DAY(B2)</f>
        <v>16.312068965517341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'28'!F88</f>
        <v>24589.47</v>
      </c>
      <c r="F88" s="164">
        <v>24598.35</v>
      </c>
      <c r="G88" s="112">
        <f t="shared" si="8"/>
        <v>8.8799999999973807</v>
      </c>
      <c r="H88" s="99">
        <f>G88+'28'!H88</f>
        <v>86.549999999999272</v>
      </c>
      <c r="I88" s="545"/>
      <c r="J88" s="175">
        <f>H88/DAY(B2)</f>
        <v>2.9844827586206644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'28'!F89</f>
        <v>28728.3</v>
      </c>
      <c r="F89" s="164">
        <v>28738</v>
      </c>
      <c r="G89" s="112">
        <f t="shared" si="8"/>
        <v>9.7000000000007276</v>
      </c>
      <c r="H89" s="99">
        <f>G89+'28'!H89</f>
        <v>236.29999999999927</v>
      </c>
      <c r="I89" s="545">
        <f>G88+G89</f>
        <v>18.579999999998108</v>
      </c>
      <c r="J89" s="175">
        <f>H89/DAY(B2)</f>
        <v>8.1482758620689406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'28'!F90</f>
        <v>74175.97</v>
      </c>
      <c r="F90" s="164">
        <v>74182.11</v>
      </c>
      <c r="G90" s="112">
        <f t="shared" si="8"/>
        <v>6.1399999999994179</v>
      </c>
      <c r="H90" s="99">
        <f>G90+'28'!H90</f>
        <v>46.110000000000582</v>
      </c>
      <c r="I90" s="545">
        <f>G90</f>
        <v>6.1399999999994179</v>
      </c>
      <c r="J90" s="175">
        <f>H90/DAY(B2)</f>
        <v>1.5900000000000201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'28'!F91</f>
        <v>5610</v>
      </c>
      <c r="F91" s="122">
        <v>5610</v>
      </c>
      <c r="G91" s="112">
        <f t="shared" si="8"/>
        <v>0</v>
      </c>
      <c r="H91" s="99">
        <f>G91+'28'!H91</f>
        <v>257.22999999999956</v>
      </c>
      <c r="I91" s="546"/>
      <c r="J91" s="175">
        <f>H91/DAY(B2)</f>
        <v>8.869999999999985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'28'!F92</f>
        <v>7046.07</v>
      </c>
      <c r="F92" s="122">
        <v>7057.7</v>
      </c>
      <c r="G92" s="112">
        <f t="shared" si="8"/>
        <v>11.630000000000109</v>
      </c>
      <c r="H92" s="99">
        <f>G92+'28'!H92</f>
        <v>57.699999999999818</v>
      </c>
      <c r="I92" s="547">
        <f>G91+G92</f>
        <v>11.630000000000109</v>
      </c>
      <c r="J92" s="175">
        <f>H92/DAY(B2)</f>
        <v>1.9896551724137868</v>
      </c>
      <c r="O92" s="71"/>
    </row>
    <row r="93" spans="1:15" ht="26.25">
      <c r="A93" s="906" t="s">
        <v>239</v>
      </c>
      <c r="B93" s="907"/>
      <c r="C93" s="90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64" t="s">
        <v>240</v>
      </c>
      <c r="B94" s="865"/>
      <c r="C94" s="866"/>
      <c r="D94" s="151" t="s">
        <v>130</v>
      </c>
      <c r="E94" s="151"/>
      <c r="F94" s="151"/>
      <c r="G94" s="99">
        <f>G35+G43+G49+G57</f>
        <v>5820.4699999999721</v>
      </c>
      <c r="H94" s="99">
        <f>G94+'28'!H94</f>
        <v>169334.14000000007</v>
      </c>
      <c r="I94" s="118"/>
      <c r="J94" s="175">
        <f>H94/DAY(B2)</f>
        <v>5839.1082758620714</v>
      </c>
      <c r="K94" s="69"/>
      <c r="L94" s="66"/>
      <c r="O94" s="71"/>
    </row>
    <row r="95" spans="1:15" ht="25.5">
      <c r="A95" s="864" t="s">
        <v>241</v>
      </c>
      <c r="B95" s="865"/>
      <c r="C95" s="866"/>
      <c r="D95" s="151" t="s">
        <v>23</v>
      </c>
      <c r="E95" s="146"/>
      <c r="F95" s="146"/>
      <c r="G95" s="166">
        <f>G94/G7</f>
        <v>0.25237843127817527</v>
      </c>
      <c r="H95" s="99">
        <f>G95+'28'!H95</f>
        <v>7.4569249727307323</v>
      </c>
      <c r="I95" s="167"/>
      <c r="J95" s="175">
        <f>H95/DAY(B2)</f>
        <v>0.25713534388726661</v>
      </c>
      <c r="K95" s="69"/>
      <c r="L95" s="66"/>
      <c r="O95" s="71"/>
    </row>
    <row r="96" spans="1:15" ht="25.5">
      <c r="A96" s="864" t="s">
        <v>242</v>
      </c>
      <c r="B96" s="865"/>
      <c r="C96" s="866"/>
      <c r="D96" s="151" t="s">
        <v>130</v>
      </c>
      <c r="E96" s="95"/>
      <c r="F96" s="95"/>
      <c r="G96" s="99">
        <f>G41+G42+G55+G56</f>
        <v>5058.1799999999348</v>
      </c>
      <c r="H96" s="99">
        <f>G96+'28'!H96</f>
        <v>122834.9599999999</v>
      </c>
      <c r="I96" s="118"/>
      <c r="J96" s="175">
        <f>H96/DAY(B2)</f>
        <v>4235.6882758620659</v>
      </c>
      <c r="K96" s="69"/>
      <c r="L96" s="66"/>
      <c r="O96" s="71"/>
    </row>
    <row r="97" spans="1:15" ht="25.5">
      <c r="A97" s="864" t="s">
        <v>243</v>
      </c>
      <c r="B97" s="865"/>
      <c r="C97" s="866"/>
      <c r="D97" s="151" t="s">
        <v>23</v>
      </c>
      <c r="E97" s="95"/>
      <c r="F97" s="95"/>
      <c r="G97" s="166">
        <f>G96/G7</f>
        <v>0.21932516334980343</v>
      </c>
      <c r="H97" s="99">
        <f>G97+'28'!H97</f>
        <v>5.3721432701517218</v>
      </c>
      <c r="I97" s="167"/>
      <c r="J97" s="175">
        <f>H97/DAY(B2)</f>
        <v>0.1852463196604042</v>
      </c>
      <c r="K97" s="69"/>
      <c r="L97" s="66"/>
      <c r="O97" s="71"/>
    </row>
    <row r="98" spans="1:15" ht="25.5">
      <c r="A98" s="864" t="s">
        <v>244</v>
      </c>
      <c r="B98" s="865"/>
      <c r="C98" s="866"/>
      <c r="D98" s="151" t="s">
        <v>130</v>
      </c>
      <c r="E98" s="95"/>
      <c r="F98" s="95"/>
      <c r="G98" s="99">
        <f>G39+G53</f>
        <v>2857</v>
      </c>
      <c r="H98" s="99">
        <f>G98+'28'!H98</f>
        <v>107050.54000000004</v>
      </c>
      <c r="I98" s="168"/>
      <c r="J98" s="175">
        <f>H98/DAY(B2)</f>
        <v>3691.3979310344839</v>
      </c>
      <c r="K98" s="69"/>
      <c r="L98" s="66"/>
      <c r="O98" s="71"/>
    </row>
    <row r="99" spans="1:15" ht="25.5">
      <c r="A99" s="864" t="s">
        <v>245</v>
      </c>
      <c r="B99" s="865"/>
      <c r="C99" s="866"/>
      <c r="D99" s="151" t="s">
        <v>23</v>
      </c>
      <c r="E99" s="95"/>
      <c r="F99" s="95"/>
      <c r="G99" s="166">
        <f>G98/G7</f>
        <v>0.12388091995350035</v>
      </c>
      <c r="H99" s="99">
        <f>G99+'28'!H99</f>
        <v>4.6984778667440317</v>
      </c>
      <c r="I99" s="168"/>
      <c r="J99" s="175">
        <f>H99/DAY(B2)</f>
        <v>0.1620164781635873</v>
      </c>
      <c r="O99" s="71"/>
    </row>
    <row r="100" spans="1:15" ht="26.25">
      <c r="A100" s="864" t="s">
        <v>246</v>
      </c>
      <c r="B100" s="865"/>
      <c r="C100" s="866"/>
      <c r="D100" s="151" t="s">
        <v>180</v>
      </c>
      <c r="E100" s="95"/>
      <c r="F100" s="95"/>
      <c r="G100" s="99">
        <f>G38+G52</f>
        <v>2745</v>
      </c>
      <c r="H100" s="99">
        <f>G100+'28'!H100</f>
        <v>56457.609999999986</v>
      </c>
      <c r="I100" s="118"/>
      <c r="J100" s="175">
        <f>H100/DAY(B2)</f>
        <v>1946.8141379310341</v>
      </c>
      <c r="K100" s="70"/>
      <c r="O100" s="71"/>
    </row>
    <row r="101" spans="1:15" ht="25.5">
      <c r="A101" s="864" t="s">
        <v>247</v>
      </c>
      <c r="B101" s="865"/>
      <c r="C101" s="866"/>
      <c r="D101" s="151" t="s">
        <v>23</v>
      </c>
      <c r="E101" s="95"/>
      <c r="F101" s="95"/>
      <c r="G101" s="166">
        <f>G100/G7</f>
        <v>0.1190245450725791</v>
      </c>
      <c r="H101" s="99">
        <f>G101+'28'!H101</f>
        <v>2.5251390668788019</v>
      </c>
      <c r="I101" s="168"/>
      <c r="J101" s="175">
        <f>H101/DAY(B2)</f>
        <v>8.7073760926855232E-2</v>
      </c>
      <c r="O101" s="71"/>
    </row>
    <row r="102" spans="1:15" ht="25.5">
      <c r="A102" s="864" t="s">
        <v>248</v>
      </c>
      <c r="B102" s="865"/>
      <c r="C102" s="866"/>
      <c r="D102" s="151" t="s">
        <v>180</v>
      </c>
      <c r="E102" s="95"/>
      <c r="F102" s="95"/>
      <c r="G102" s="99">
        <f>G36+G50</f>
        <v>2803</v>
      </c>
      <c r="H102" s="99">
        <f>G102+'28'!H102</f>
        <v>71750.820000000007</v>
      </c>
      <c r="I102" s="168"/>
      <c r="J102" s="175">
        <f>H102/DAY(B2)</f>
        <v>2474.166206896552</v>
      </c>
      <c r="O102" s="71"/>
    </row>
    <row r="103" spans="1:15" ht="25.5">
      <c r="A103" s="864" t="s">
        <v>249</v>
      </c>
      <c r="B103" s="865"/>
      <c r="C103" s="866"/>
      <c r="D103" s="151" t="s">
        <v>23</v>
      </c>
      <c r="E103" s="95"/>
      <c r="F103" s="95"/>
      <c r="G103" s="166">
        <f>G102/G7</f>
        <v>0.12153945349305618</v>
      </c>
      <c r="H103" s="99">
        <f>G103+'28'!H103</f>
        <v>3.1512315494257308</v>
      </c>
      <c r="I103" s="118"/>
      <c r="J103" s="175">
        <f>H103/DAY(B2)</f>
        <v>0.10866315687674934</v>
      </c>
      <c r="O103" s="71"/>
    </row>
    <row r="104" spans="1:15" ht="25.5">
      <c r="A104" s="864" t="s">
        <v>250</v>
      </c>
      <c r="B104" s="865"/>
      <c r="C104" s="866"/>
      <c r="D104" s="151" t="s">
        <v>180</v>
      </c>
      <c r="E104" s="95"/>
      <c r="F104" s="95"/>
      <c r="G104" s="99">
        <f>G37+G51</f>
        <v>1446.4400000000023</v>
      </c>
      <c r="H104" s="99">
        <f>G104+'28'!H104</f>
        <v>34157.200000000012</v>
      </c>
      <c r="I104" s="118"/>
      <c r="J104" s="175">
        <f>H104/DAY(B2)</f>
        <v>1177.8344827586211</v>
      </c>
      <c r="O104" s="71"/>
    </row>
    <row r="105" spans="1:15" ht="26.25" thickBot="1">
      <c r="A105" s="901" t="s">
        <v>251</v>
      </c>
      <c r="B105" s="902"/>
      <c r="C105" s="903"/>
      <c r="D105" s="231" t="s">
        <v>23</v>
      </c>
      <c r="E105" s="185"/>
      <c r="F105" s="185"/>
      <c r="G105" s="186">
        <f>G104/G7</f>
        <v>6.2718347167497843E-2</v>
      </c>
      <c r="H105" s="99">
        <f>G105+'28'!H105</f>
        <v>1.5175888811937945</v>
      </c>
      <c r="I105" s="187"/>
      <c r="J105" s="188">
        <f>H105/DAY(B2)</f>
        <v>5.2330651075648091E-2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15" t="s">
        <v>324</v>
      </c>
      <c r="B108" s="915"/>
      <c r="C108" s="915"/>
      <c r="D108" s="915"/>
      <c r="E108" s="915"/>
      <c r="F108" s="915"/>
      <c r="G108" s="915"/>
      <c r="H108" s="915"/>
      <c r="I108" s="915"/>
      <c r="J108" s="915"/>
    </row>
    <row r="109" spans="1:15" ht="26.25">
      <c r="A109" s="900"/>
      <c r="B109" s="900"/>
    </row>
    <row r="110" spans="1:15" ht="26.25">
      <c r="A110" s="916" t="s">
        <v>165</v>
      </c>
      <c r="B110" s="917"/>
      <c r="C110" s="917"/>
      <c r="D110" s="917"/>
      <c r="E110" s="917"/>
      <c r="F110" s="917"/>
      <c r="G110" s="917"/>
      <c r="H110" s="917"/>
      <c r="I110" s="917"/>
      <c r="J110" s="918"/>
    </row>
    <row r="111" spans="1:15" ht="25.5">
      <c r="A111" s="919"/>
      <c r="B111" s="920"/>
      <c r="C111" s="921"/>
      <c r="D111" s="165"/>
      <c r="E111" s="165"/>
      <c r="F111" s="165"/>
      <c r="G111" s="165"/>
      <c r="H111" s="156"/>
      <c r="I111" s="165"/>
      <c r="J111" s="327"/>
    </row>
    <row r="112" spans="1:15" ht="25.5">
      <c r="A112" s="894" t="s">
        <v>252</v>
      </c>
      <c r="B112" s="895"/>
      <c r="C112" s="896"/>
      <c r="D112" s="146" t="s">
        <v>183</v>
      </c>
      <c r="E112" s="237">
        <f>'28'!F112</f>
        <v>17330</v>
      </c>
      <c r="F112" s="237">
        <v>17391.54</v>
      </c>
      <c r="G112" s="112">
        <f t="shared" ref="G112" si="9">F112-E112</f>
        <v>61.540000000000873</v>
      </c>
      <c r="H112" s="99">
        <f>G112+'28'!H112</f>
        <v>1777.7400000000016</v>
      </c>
      <c r="I112" s="165"/>
      <c r="J112" s="328">
        <f>H112/DAY(B2)</f>
        <v>61.301379310344885</v>
      </c>
    </row>
    <row r="113" spans="1:18" ht="25.5">
      <c r="A113" s="894" t="s">
        <v>253</v>
      </c>
      <c r="B113" s="895"/>
      <c r="C113" s="896"/>
      <c r="D113" s="146" t="s">
        <v>183</v>
      </c>
      <c r="E113" s="237">
        <f>'28'!F113</f>
        <v>36717</v>
      </c>
      <c r="F113" s="237">
        <v>36773</v>
      </c>
      <c r="G113" s="112">
        <f t="shared" ref="G113:G123" si="10">F113-E113</f>
        <v>56</v>
      </c>
      <c r="H113" s="99">
        <f>G113+'28'!H113</f>
        <v>4322.3300000000017</v>
      </c>
      <c r="I113" s="165"/>
      <c r="J113" s="328">
        <f>H113/DAY(B2)</f>
        <v>149.04586206896559</v>
      </c>
    </row>
    <row r="114" spans="1:18" ht="25.5">
      <c r="A114" s="894" t="s">
        <v>254</v>
      </c>
      <c r="B114" s="895"/>
      <c r="C114" s="896"/>
      <c r="D114" s="146" t="s">
        <v>183</v>
      </c>
      <c r="E114" s="237">
        <f>'28'!F114</f>
        <v>53655</v>
      </c>
      <c r="F114" s="237">
        <v>53850</v>
      </c>
      <c r="G114" s="112">
        <f t="shared" si="10"/>
        <v>195</v>
      </c>
      <c r="H114" s="99">
        <f>G114+'28'!H114</f>
        <v>5883.6999999999971</v>
      </c>
      <c r="I114" s="165"/>
      <c r="J114" s="328">
        <f>H114/DAY(B2)</f>
        <v>202.88620689655161</v>
      </c>
    </row>
    <row r="115" spans="1:18" ht="25.5">
      <c r="A115" s="894" t="s">
        <v>255</v>
      </c>
      <c r="B115" s="895"/>
      <c r="C115" s="896"/>
      <c r="D115" s="146" t="s">
        <v>183</v>
      </c>
      <c r="E115" s="237">
        <f>'28'!F115</f>
        <v>34518</v>
      </c>
      <c r="F115" s="237">
        <v>34677.19</v>
      </c>
      <c r="G115" s="112">
        <f t="shared" si="10"/>
        <v>159.19000000000233</v>
      </c>
      <c r="H115" s="99">
        <f>G115+'28'!H115</f>
        <v>4240.7900000000009</v>
      </c>
      <c r="I115" s="165"/>
      <c r="J115" s="328">
        <f>H115/DAY(B2)</f>
        <v>146.23413793103452</v>
      </c>
    </row>
    <row r="116" spans="1:18" ht="25.5">
      <c r="A116" s="912" t="s">
        <v>96</v>
      </c>
      <c r="B116" s="913"/>
      <c r="C116" s="914"/>
      <c r="D116" s="146" t="s">
        <v>183</v>
      </c>
      <c r="E116" s="237">
        <f>'28'!F116</f>
        <v>133293</v>
      </c>
      <c r="F116" s="237">
        <v>133762</v>
      </c>
      <c r="G116" s="112">
        <f t="shared" si="10"/>
        <v>469</v>
      </c>
      <c r="H116" s="99">
        <f>G116+'28'!H116</f>
        <v>10901.800000000003</v>
      </c>
      <c r="I116" s="165"/>
      <c r="J116" s="328">
        <f>H116/DAY(B2)</f>
        <v>375.92413793103458</v>
      </c>
      <c r="Q116" s="894" t="s">
        <v>311</v>
      </c>
      <c r="R116" s="896"/>
    </row>
    <row r="117" spans="1:18" ht="25.5">
      <c r="A117" s="912" t="s">
        <v>184</v>
      </c>
      <c r="B117" s="913"/>
      <c r="C117" s="914"/>
      <c r="D117" s="146" t="s">
        <v>183</v>
      </c>
      <c r="E117" s="237">
        <f>'28'!F117</f>
        <v>81780</v>
      </c>
      <c r="F117" s="237">
        <v>82142.429999999993</v>
      </c>
      <c r="G117" s="112">
        <f t="shared" si="10"/>
        <v>362.42999999999302</v>
      </c>
      <c r="H117" s="99">
        <f>G117+'28'!H117</f>
        <v>8161.2299999999959</v>
      </c>
      <c r="I117" s="165"/>
      <c r="J117" s="328">
        <f>H117/DAY(B2)</f>
        <v>281.42172413793088</v>
      </c>
      <c r="Q117" s="894" t="s">
        <v>312</v>
      </c>
      <c r="R117" s="896"/>
    </row>
    <row r="118" spans="1:18" ht="25.5">
      <c r="A118" s="889" t="s">
        <v>97</v>
      </c>
      <c r="B118" s="889"/>
      <c r="C118" s="889"/>
      <c r="D118" s="151" t="s">
        <v>183</v>
      </c>
      <c r="E118" s="237">
        <f>'28'!F118</f>
        <v>156226</v>
      </c>
      <c r="F118" s="237">
        <v>156869</v>
      </c>
      <c r="G118" s="112">
        <f t="shared" si="10"/>
        <v>643</v>
      </c>
      <c r="H118" s="99">
        <f>G118+'28'!H118</f>
        <v>18056.549999999988</v>
      </c>
      <c r="I118" s="165"/>
      <c r="J118" s="328">
        <f>H118/DAY(B2)</f>
        <v>622.63965517241343</v>
      </c>
      <c r="Q118" s="894" t="s">
        <v>311</v>
      </c>
      <c r="R118" s="896"/>
    </row>
    <row r="119" spans="1:18" ht="25.5">
      <c r="A119" s="889" t="s">
        <v>98</v>
      </c>
      <c r="B119" s="889"/>
      <c r="C119" s="889"/>
      <c r="D119" s="151" t="s">
        <v>183</v>
      </c>
      <c r="E119" s="237">
        <f>'28'!F119</f>
        <v>43833.13</v>
      </c>
      <c r="F119" s="237">
        <v>43869</v>
      </c>
      <c r="G119" s="112">
        <f t="shared" si="10"/>
        <v>35.870000000002619</v>
      </c>
      <c r="H119" s="99">
        <f>G119+'28'!H119</f>
        <v>515.30000000000291</v>
      </c>
      <c r="I119" s="165"/>
      <c r="J119" s="328">
        <f>H119/DAY(B2)</f>
        <v>17.76896551724148</v>
      </c>
    </row>
    <row r="120" spans="1:18" ht="25.5">
      <c r="A120" s="889" t="s">
        <v>99</v>
      </c>
      <c r="B120" s="889"/>
      <c r="C120" s="889"/>
      <c r="D120" s="151" t="s">
        <v>183</v>
      </c>
      <c r="E120" s="237">
        <f>'28'!F120</f>
        <v>107225</v>
      </c>
      <c r="F120" s="237">
        <v>107636</v>
      </c>
      <c r="G120" s="112">
        <f t="shared" si="10"/>
        <v>411</v>
      </c>
      <c r="H120" s="99">
        <f>G120+'28'!H120</f>
        <v>11928.399999999994</v>
      </c>
      <c r="I120" s="165"/>
      <c r="J120" s="328">
        <f>H120/DAY(B2)</f>
        <v>411.32413793103427</v>
      </c>
    </row>
    <row r="121" spans="1:18" ht="25.5">
      <c r="A121" s="889" t="s">
        <v>100</v>
      </c>
      <c r="B121" s="889"/>
      <c r="C121" s="889"/>
      <c r="D121" s="151" t="s">
        <v>183</v>
      </c>
      <c r="E121" s="237">
        <f>'28'!F121</f>
        <v>119954</v>
      </c>
      <c r="F121" s="237">
        <v>120391</v>
      </c>
      <c r="G121" s="112">
        <f t="shared" si="10"/>
        <v>437</v>
      </c>
      <c r="H121" s="99">
        <f>G121+'28'!H121</f>
        <v>12561.949999999997</v>
      </c>
      <c r="I121" s="165"/>
      <c r="J121" s="328">
        <f>H121/DAY(B2)</f>
        <v>433.17068965517234</v>
      </c>
    </row>
    <row r="122" spans="1:18" ht="25.5">
      <c r="A122" s="889" t="s">
        <v>101</v>
      </c>
      <c r="B122" s="889"/>
      <c r="C122" s="889"/>
      <c r="D122" s="151" t="s">
        <v>183</v>
      </c>
      <c r="E122" s="237">
        <f>'28'!F122</f>
        <v>80372</v>
      </c>
      <c r="F122" s="237">
        <v>80678.69</v>
      </c>
      <c r="G122" s="112">
        <f t="shared" si="10"/>
        <v>306.69000000000233</v>
      </c>
      <c r="H122" s="99">
        <f>G122+'28'!H122</f>
        <v>9640.7900000000081</v>
      </c>
      <c r="I122" s="165"/>
      <c r="J122" s="328">
        <f>H122/DAY(B2)</f>
        <v>332.44103448275888</v>
      </c>
    </row>
    <row r="123" spans="1:18" ht="25.5">
      <c r="A123" s="889" t="s">
        <v>102</v>
      </c>
      <c r="B123" s="889"/>
      <c r="C123" s="889"/>
      <c r="D123" s="151" t="s">
        <v>183</v>
      </c>
      <c r="E123" s="237">
        <f>'28'!F123</f>
        <v>77118.45</v>
      </c>
      <c r="F123" s="237">
        <v>77430.679999999993</v>
      </c>
      <c r="G123" s="112">
        <f t="shared" si="10"/>
        <v>312.22999999999593</v>
      </c>
      <c r="H123" s="99">
        <f>G123+'28'!H123</f>
        <v>9073.3799999999901</v>
      </c>
      <c r="I123" s="165"/>
      <c r="J123" s="328">
        <f>H123/DAY(B2)</f>
        <v>312.87517241379277</v>
      </c>
    </row>
    <row r="124" spans="1:18" ht="25.5">
      <c r="A124" s="919"/>
      <c r="B124" s="920"/>
      <c r="C124" s="921"/>
      <c r="D124" s="165"/>
      <c r="E124" s="95">
        <f>'28'!F124</f>
        <v>0</v>
      </c>
      <c r="F124" s="165"/>
      <c r="G124" s="327"/>
      <c r="H124" s="99">
        <f>G124+'28'!H124</f>
        <v>0</v>
      </c>
      <c r="I124" s="165"/>
      <c r="J124" s="327"/>
    </row>
    <row r="125" spans="1:18" ht="25.5">
      <c r="A125" s="853" t="s">
        <v>196</v>
      </c>
      <c r="B125" s="854"/>
      <c r="C125" s="245"/>
      <c r="D125" s="307"/>
      <c r="E125" s="308"/>
      <c r="F125" s="308"/>
      <c r="G125" s="309">
        <f>SUM(G112:G124)</f>
        <v>3448.9499999999971</v>
      </c>
      <c r="H125" s="156"/>
      <c r="I125" s="327">
        <f>G125-(G39+G53)</f>
        <v>591.94999999999709</v>
      </c>
      <c r="J125" s="327"/>
    </row>
    <row r="126" spans="1:18" ht="25.5">
      <c r="A126" s="922" t="s">
        <v>317</v>
      </c>
      <c r="B126" s="922"/>
      <c r="C126" s="922"/>
      <c r="D126" s="922"/>
      <c r="E126" s="922"/>
      <c r="F126" s="922"/>
      <c r="G126" s="922"/>
      <c r="H126" s="922"/>
      <c r="I126" s="922"/>
      <c r="J126" s="922"/>
    </row>
    <row r="127" spans="1:18" ht="25.5">
      <c r="A127" s="923"/>
      <c r="B127" s="923"/>
      <c r="C127" s="245"/>
      <c r="D127" s="307"/>
      <c r="E127" s="308"/>
      <c r="F127" s="308"/>
      <c r="G127" s="309"/>
      <c r="H127" s="99">
        <f>G127+'28'!H127</f>
        <v>0</v>
      </c>
      <c r="I127" s="165"/>
      <c r="J127" s="328">
        <f>H127/DAY(B2)</f>
        <v>0</v>
      </c>
    </row>
    <row r="128" spans="1:18" ht="25.5">
      <c r="A128" s="894" t="s">
        <v>318</v>
      </c>
      <c r="B128" s="895"/>
      <c r="C128" s="896"/>
      <c r="D128" s="151" t="s">
        <v>183</v>
      </c>
      <c r="E128" s="95">
        <f>'28'!F128</f>
        <v>190500</v>
      </c>
      <c r="F128" s="165">
        <v>190931.08</v>
      </c>
      <c r="G128" s="112">
        <f t="shared" ref="G128:G134" si="11">F128-E128</f>
        <v>431.07999999998719</v>
      </c>
      <c r="H128" s="99">
        <f>G128+'28'!H128</f>
        <v>11519.229999999981</v>
      </c>
      <c r="I128" s="165"/>
      <c r="J128" s="328">
        <f>H128/DAY(B2)</f>
        <v>397.21482758620624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'28'!F129</f>
        <v>100806</v>
      </c>
      <c r="F129" s="165">
        <v>100952.76</v>
      </c>
      <c r="G129" s="112">
        <f t="shared" si="11"/>
        <v>146.75999999999476</v>
      </c>
      <c r="H129" s="99">
        <f>G129+'28'!H129</f>
        <v>4923.2599999999948</v>
      </c>
      <c r="I129" s="165"/>
      <c r="J129" s="328">
        <f>H129/DAY(B2)</f>
        <v>169.76758620689637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'28'!F130</f>
        <v>265876</v>
      </c>
      <c r="F130" s="464">
        <v>266410</v>
      </c>
      <c r="G130" s="112">
        <f t="shared" si="11"/>
        <v>534</v>
      </c>
      <c r="H130" s="99">
        <f>G130+'28'!H130</f>
        <v>19570.25</v>
      </c>
      <c r="I130" s="165"/>
      <c r="J130" s="328">
        <f>H130/DAY(B2)</f>
        <v>674.83620689655174</v>
      </c>
      <c r="N130" s="240"/>
      <c r="O130" s="241"/>
    </row>
    <row r="131" spans="1:15" ht="25.5">
      <c r="A131" s="894" t="s">
        <v>321</v>
      </c>
      <c r="B131" s="895"/>
      <c r="C131" s="896"/>
      <c r="D131" s="151" t="s">
        <v>183</v>
      </c>
      <c r="E131" s="95">
        <f>'28'!F131</f>
        <v>79159</v>
      </c>
      <c r="F131" s="165">
        <v>79273.054999999993</v>
      </c>
      <c r="G131" s="112">
        <f t="shared" si="11"/>
        <v>114.05499999999302</v>
      </c>
      <c r="H131" s="99">
        <f>G131+'28'!H131</f>
        <v>5762.4549999999872</v>
      </c>
      <c r="I131" s="165"/>
      <c r="J131" s="328">
        <f>H131/DAY(B2)</f>
        <v>198.70534482758578</v>
      </c>
      <c r="N131" s="240"/>
      <c r="O131" s="241"/>
    </row>
    <row r="132" spans="1:15" ht="25.5">
      <c r="A132" s="894" t="s">
        <v>322</v>
      </c>
      <c r="B132" s="895"/>
      <c r="C132" s="896"/>
      <c r="D132" s="151" t="s">
        <v>183</v>
      </c>
      <c r="E132" s="95">
        <f>'28'!F132</f>
        <v>148274</v>
      </c>
      <c r="F132" s="165">
        <v>148274</v>
      </c>
      <c r="G132" s="112">
        <f t="shared" si="11"/>
        <v>0</v>
      </c>
      <c r="H132" s="99">
        <f>G132+'28'!H132</f>
        <v>1289</v>
      </c>
      <c r="I132" s="165"/>
      <c r="J132" s="328">
        <f>H132/DAY(B2)</f>
        <v>44.448275862068968</v>
      </c>
    </row>
    <row r="133" spans="1:15" ht="25.5">
      <c r="A133" s="894" t="s">
        <v>359</v>
      </c>
      <c r="B133" s="895"/>
      <c r="C133" s="896"/>
      <c r="D133" s="151" t="s">
        <v>183</v>
      </c>
      <c r="E133" s="95">
        <f>'28'!F133</f>
        <v>930646</v>
      </c>
      <c r="F133" s="165">
        <v>932039</v>
      </c>
      <c r="G133" s="112">
        <f t="shared" si="11"/>
        <v>1393</v>
      </c>
      <c r="H133" s="99">
        <f>G133+'28'!H133</f>
        <v>21795</v>
      </c>
      <c r="I133" s="165"/>
      <c r="J133" s="328">
        <f>H133/DAY(B2)</f>
        <v>751.55172413793105</v>
      </c>
    </row>
    <row r="134" spans="1:15" ht="25.5">
      <c r="A134" s="894" t="s">
        <v>340</v>
      </c>
      <c r="B134" s="895"/>
      <c r="C134" s="896"/>
      <c r="D134" s="151" t="s">
        <v>183</v>
      </c>
      <c r="E134" s="95">
        <f>'28'!F134</f>
        <v>85193</v>
      </c>
      <c r="F134" s="165">
        <v>85426</v>
      </c>
      <c r="G134" s="112">
        <f t="shared" si="11"/>
        <v>233</v>
      </c>
      <c r="H134" s="99">
        <f>G134+'28'!H134</f>
        <v>6666.3999999999942</v>
      </c>
      <c r="I134" s="165"/>
      <c r="J134" s="328">
        <f>H134/DAY(B2)</f>
        <v>229.87586206896532</v>
      </c>
    </row>
    <row r="135" spans="1:15" ht="25.5">
      <c r="A135" s="853" t="s">
        <v>196</v>
      </c>
      <c r="B135" s="854"/>
      <c r="C135" s="331"/>
      <c r="D135" s="151"/>
      <c r="E135" s="95"/>
      <c r="F135" s="165" t="s">
        <v>366</v>
      </c>
      <c r="G135" s="112">
        <f>SUM(G127:G134)</f>
        <v>2851.894999999975</v>
      </c>
      <c r="H135" s="99">
        <f>G135+'23'!H135</f>
        <v>29878.364999999962</v>
      </c>
      <c r="I135" s="327">
        <f>G135-(G35+G49)</f>
        <v>-372.57499999999709</v>
      </c>
      <c r="J135" s="328"/>
    </row>
    <row r="136" spans="1:15" ht="27.75">
      <c r="A136" s="924" t="s">
        <v>325</v>
      </c>
      <c r="B136" s="924"/>
      <c r="C136" s="924"/>
      <c r="D136" s="924"/>
      <c r="E136" s="924"/>
      <c r="F136" s="924"/>
      <c r="G136" s="924"/>
      <c r="H136" s="924"/>
      <c r="I136" s="924"/>
      <c r="J136" s="92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9" t="s">
        <v>185</v>
      </c>
      <c r="B138" s="889"/>
      <c r="C138" s="889"/>
      <c r="D138" s="151" t="s">
        <v>183</v>
      </c>
      <c r="E138" s="95">
        <f>'28'!F138</f>
        <v>909135</v>
      </c>
      <c r="F138" s="147">
        <v>909235</v>
      </c>
      <c r="G138" s="112">
        <f t="shared" ref="G138:G151" si="12">F138-E138</f>
        <v>100</v>
      </c>
      <c r="H138" s="99">
        <f>G138+'28'!H138</f>
        <v>3608</v>
      </c>
      <c r="I138" s="118"/>
      <c r="J138" s="328">
        <f>H138/DAY(B2)</f>
        <v>124.41379310344827</v>
      </c>
    </row>
    <row r="139" spans="1:15" ht="25.5">
      <c r="A139" s="889" t="s">
        <v>186</v>
      </c>
      <c r="B139" s="889"/>
      <c r="C139" s="889"/>
      <c r="D139" s="151" t="s">
        <v>183</v>
      </c>
      <c r="E139" s="95">
        <f>'28'!F139</f>
        <v>932001</v>
      </c>
      <c r="F139" s="148">
        <v>932039</v>
      </c>
      <c r="G139" s="112">
        <f t="shared" si="12"/>
        <v>38</v>
      </c>
      <c r="H139" s="99">
        <f>G139+'28'!H139</f>
        <v>4758</v>
      </c>
      <c r="I139" s="118"/>
      <c r="J139" s="328">
        <f>H139/DAY(B2)</f>
        <v>164.06896551724137</v>
      </c>
    </row>
    <row r="140" spans="1:15" ht="25.5">
      <c r="A140" s="889" t="s">
        <v>187</v>
      </c>
      <c r="B140" s="889"/>
      <c r="C140" s="889"/>
      <c r="D140" s="151" t="s">
        <v>183</v>
      </c>
      <c r="E140" s="95">
        <f>'28'!F140</f>
        <v>3981.47</v>
      </c>
      <c r="F140" s="149">
        <v>4000.55</v>
      </c>
      <c r="G140" s="112">
        <f t="shared" si="12"/>
        <v>19.080000000000382</v>
      </c>
      <c r="H140" s="99">
        <f>G140+'28'!H140</f>
        <v>669.97000000000025</v>
      </c>
      <c r="I140" s="118"/>
      <c r="J140" s="328">
        <f>H140/DAY(B2)</f>
        <v>23.102413793103459</v>
      </c>
    </row>
    <row r="141" spans="1:15" ht="25.5">
      <c r="A141" s="893" t="s">
        <v>188</v>
      </c>
      <c r="B141" s="893"/>
      <c r="C141" s="893"/>
      <c r="D141" s="151" t="s">
        <v>183</v>
      </c>
      <c r="E141" s="95">
        <f>'28'!F141</f>
        <v>123986</v>
      </c>
      <c r="F141" s="149">
        <v>124179</v>
      </c>
      <c r="G141" s="112">
        <f t="shared" si="12"/>
        <v>193</v>
      </c>
      <c r="H141" s="99">
        <f>G141+'28'!H141</f>
        <v>6621.0200000000041</v>
      </c>
      <c r="I141" s="118"/>
      <c r="J141" s="328">
        <f>H141/DAY(B2)</f>
        <v>228.31103448275877</v>
      </c>
    </row>
    <row r="142" spans="1:15" ht="25.5">
      <c r="A142" s="893" t="s">
        <v>189</v>
      </c>
      <c r="B142" s="893"/>
      <c r="C142" s="893"/>
      <c r="D142" s="151" t="s">
        <v>183</v>
      </c>
      <c r="E142" s="95">
        <f>'28'!F142</f>
        <v>50269</v>
      </c>
      <c r="F142" s="148">
        <v>50353</v>
      </c>
      <c r="G142" s="112">
        <f t="shared" si="12"/>
        <v>84</v>
      </c>
      <c r="H142" s="99">
        <f>G142+'28'!H142</f>
        <v>2848.5</v>
      </c>
      <c r="I142" s="140"/>
      <c r="J142" s="328">
        <f>H142/DAY(B2)</f>
        <v>98.224137931034477</v>
      </c>
    </row>
    <row r="143" spans="1:15" ht="25.5">
      <c r="A143" s="889" t="s">
        <v>91</v>
      </c>
      <c r="B143" s="889"/>
      <c r="C143" s="889"/>
      <c r="D143" s="151" t="s">
        <v>183</v>
      </c>
      <c r="E143" s="95">
        <f>'28'!F143</f>
        <v>13287</v>
      </c>
      <c r="F143" s="149">
        <v>13323</v>
      </c>
      <c r="G143" s="112">
        <f t="shared" si="12"/>
        <v>36</v>
      </c>
      <c r="H143" s="99">
        <f>G143+'28'!H143</f>
        <v>907.60000000000036</v>
      </c>
      <c r="I143" s="140"/>
      <c r="J143" s="328">
        <f>H143/DAY(B2)</f>
        <v>31.296551724137945</v>
      </c>
    </row>
    <row r="144" spans="1:15" ht="25.5">
      <c r="A144" s="893" t="s">
        <v>90</v>
      </c>
      <c r="B144" s="893"/>
      <c r="C144" s="893"/>
      <c r="D144" s="151" t="s">
        <v>183</v>
      </c>
      <c r="E144" s="95">
        <f>'28'!F144</f>
        <v>954699</v>
      </c>
      <c r="F144" s="149">
        <v>954954</v>
      </c>
      <c r="G144" s="112">
        <f t="shared" si="12"/>
        <v>255</v>
      </c>
      <c r="H144" s="99">
        <f>G144+'28'!H144</f>
        <v>6756</v>
      </c>
      <c r="I144" s="140"/>
      <c r="J144" s="328">
        <f>H144/DAY(B2)</f>
        <v>232.9655172413793</v>
      </c>
    </row>
    <row r="145" spans="1:10" ht="25.5">
      <c r="A145" s="889" t="s">
        <v>190</v>
      </c>
      <c r="B145" s="889"/>
      <c r="C145" s="889"/>
      <c r="D145" s="152" t="s">
        <v>183</v>
      </c>
      <c r="E145" s="95">
        <f>'28'!F145</f>
        <v>26736</v>
      </c>
      <c r="F145" s="149">
        <v>26866.7</v>
      </c>
      <c r="G145" s="112">
        <f t="shared" si="12"/>
        <v>130.70000000000073</v>
      </c>
      <c r="H145" s="99">
        <f>G145+'28'!H145</f>
        <v>4270.6000000000022</v>
      </c>
      <c r="I145" s="140"/>
      <c r="J145" s="328">
        <f>H145/DAY(B2)</f>
        <v>147.26206896551733</v>
      </c>
    </row>
    <row r="146" spans="1:10" ht="25.5">
      <c r="A146" s="890" t="s">
        <v>191</v>
      </c>
      <c r="B146" s="891"/>
      <c r="C146" s="892"/>
      <c r="D146" s="152" t="s">
        <v>183</v>
      </c>
      <c r="E146" s="95">
        <f>'28'!F146</f>
        <v>787787</v>
      </c>
      <c r="F146" s="148">
        <v>787787</v>
      </c>
      <c r="G146" s="112">
        <f t="shared" si="12"/>
        <v>0</v>
      </c>
      <c r="H146" s="99">
        <f>G146+'28'!H146</f>
        <v>1119</v>
      </c>
      <c r="I146" s="140"/>
      <c r="J146" s="328">
        <f>H146/DAY(B2)</f>
        <v>38.586206896551722</v>
      </c>
    </row>
    <row r="147" spans="1:10" ht="25.5">
      <c r="A147" s="893" t="s">
        <v>192</v>
      </c>
      <c r="B147" s="893"/>
      <c r="C147" s="893"/>
      <c r="D147" s="152" t="s">
        <v>183</v>
      </c>
      <c r="E147" s="95">
        <f>'28'!F147</f>
        <v>758943</v>
      </c>
      <c r="F147" s="148">
        <v>759355</v>
      </c>
      <c r="G147" s="112">
        <f t="shared" si="12"/>
        <v>412</v>
      </c>
      <c r="H147" s="99">
        <f>G147+'28'!H147</f>
        <v>11800.839999999967</v>
      </c>
      <c r="I147" s="140"/>
      <c r="J147" s="328">
        <f>H147/DAY(B2)</f>
        <v>406.9255172413782</v>
      </c>
    </row>
    <row r="148" spans="1:10" ht="25.5">
      <c r="A148" s="886" t="s">
        <v>193</v>
      </c>
      <c r="B148" s="887"/>
      <c r="C148" s="888"/>
      <c r="D148" s="123" t="s">
        <v>130</v>
      </c>
      <c r="E148" s="95">
        <f>'28'!F148</f>
        <v>795530</v>
      </c>
      <c r="F148" s="150">
        <v>795983.2</v>
      </c>
      <c r="G148" s="112">
        <f t="shared" si="12"/>
        <v>453.19999999995343</v>
      </c>
      <c r="H148" s="99">
        <f>G148+'28'!H148</f>
        <v>11338.199999999953</v>
      </c>
      <c r="I148" s="124"/>
      <c r="J148" s="328">
        <f>H148/DAY(B2)</f>
        <v>390.97241379310185</v>
      </c>
    </row>
    <row r="149" spans="1:10" ht="25.5">
      <c r="A149" s="886" t="s">
        <v>336</v>
      </c>
      <c r="B149" s="887"/>
      <c r="C149" s="888"/>
      <c r="D149" s="227" t="s">
        <v>130</v>
      </c>
      <c r="E149" s="95">
        <f>'28'!F149</f>
        <v>199066</v>
      </c>
      <c r="F149" s="146">
        <v>199651.33</v>
      </c>
      <c r="G149" s="112">
        <f t="shared" si="12"/>
        <v>585.32999999998719</v>
      </c>
      <c r="H149" s="99">
        <f>G149+'28'!H149</f>
        <v>14354.439999999973</v>
      </c>
      <c r="I149" s="119"/>
      <c r="J149" s="328">
        <f>H149/DAY(B2)</f>
        <v>494.98068965517149</v>
      </c>
    </row>
    <row r="150" spans="1:10" ht="25.5">
      <c r="A150" s="886" t="s">
        <v>337</v>
      </c>
      <c r="B150" s="887"/>
      <c r="C150" s="888"/>
      <c r="D150" s="117" t="s">
        <v>130</v>
      </c>
      <c r="E150" s="95">
        <f>'28'!F150</f>
        <v>84234</v>
      </c>
      <c r="F150" s="233">
        <v>84495</v>
      </c>
      <c r="G150" s="112">
        <f t="shared" si="12"/>
        <v>261</v>
      </c>
      <c r="H150" s="99">
        <f>G150+'28'!H150</f>
        <v>7606.6999999999971</v>
      </c>
      <c r="I150" s="119"/>
      <c r="J150" s="328">
        <f>H150/DAY(B2)</f>
        <v>262.2999999999999</v>
      </c>
    </row>
    <row r="151" spans="1:10" ht="25.5">
      <c r="A151" s="886" t="s">
        <v>338</v>
      </c>
      <c r="B151" s="887"/>
      <c r="C151" s="888"/>
      <c r="D151" s="117" t="s">
        <v>130</v>
      </c>
      <c r="E151" s="95">
        <f>'28'!F151</f>
        <v>165795</v>
      </c>
      <c r="F151" s="233">
        <v>166158</v>
      </c>
      <c r="G151" s="112">
        <f t="shared" si="12"/>
        <v>363</v>
      </c>
      <c r="H151" s="99">
        <f>G151+'28'!H151</f>
        <v>7848</v>
      </c>
      <c r="I151" s="119"/>
      <c r="J151" s="328">
        <f>H151/DAY(B2)</f>
        <v>270.62068965517244</v>
      </c>
    </row>
    <row r="152" spans="1:10" ht="25.5">
      <c r="A152" s="886" t="s">
        <v>339</v>
      </c>
      <c r="B152" s="887"/>
      <c r="C152" s="888"/>
      <c r="D152" s="117" t="s">
        <v>130</v>
      </c>
      <c r="E152" s="95">
        <f>'28'!F152</f>
        <v>42127</v>
      </c>
      <c r="F152" s="233">
        <v>42256.855000000003</v>
      </c>
      <c r="G152" s="112">
        <f>F152-E152</f>
        <v>129.8550000000032</v>
      </c>
      <c r="H152" s="99">
        <f>G152+'28'!H152</f>
        <v>3640.9550000000017</v>
      </c>
      <c r="I152" s="119"/>
      <c r="J152" s="328">
        <f>H152/DAY(B2)</f>
        <v>125.55017241379316</v>
      </c>
    </row>
    <row r="153" spans="1:10" ht="25.5">
      <c r="A153" s="853" t="s">
        <v>196</v>
      </c>
      <c r="B153" s="854"/>
      <c r="C153" s="365"/>
      <c r="D153" s="358"/>
      <c r="E153" s="360"/>
      <c r="F153" s="361"/>
      <c r="G153" s="362">
        <f>SUM(G138:G152)</f>
        <v>3060.1649999999449</v>
      </c>
      <c r="H153" s="363"/>
      <c r="I153" s="119">
        <f>G153-(G38+G52)</f>
        <v>315.16499999994494</v>
      </c>
      <c r="J153" s="366"/>
    </row>
    <row r="154" spans="1:10" ht="27.75">
      <c r="A154" s="924" t="s">
        <v>344</v>
      </c>
      <c r="B154" s="924"/>
      <c r="C154" s="924"/>
      <c r="D154" s="924"/>
      <c r="E154" s="924"/>
      <c r="F154" s="924"/>
      <c r="G154" s="924"/>
      <c r="H154" s="924"/>
      <c r="I154" s="924"/>
      <c r="J154" s="924"/>
    </row>
    <row r="155" spans="1:10" ht="27.75">
      <c r="A155" s="893" t="s">
        <v>345</v>
      </c>
      <c r="B155" s="893"/>
      <c r="C155" s="893"/>
      <c r="D155" s="117" t="s">
        <v>130</v>
      </c>
      <c r="E155" s="95">
        <f>'28'!F155</f>
        <v>237255</v>
      </c>
      <c r="F155" s="388">
        <v>237858</v>
      </c>
      <c r="G155" s="112">
        <f t="shared" ref="G155:G158" si="13">F155-E155</f>
        <v>603</v>
      </c>
      <c r="H155" s="99">
        <f>G155+'28'!H155</f>
        <v>17870.299999999988</v>
      </c>
      <c r="I155" s="364"/>
      <c r="J155" s="328">
        <f>H155/DAY(B2)</f>
        <v>616.21724137930994</v>
      </c>
    </row>
    <row r="156" spans="1:10" ht="25.5">
      <c r="A156" s="893" t="s">
        <v>347</v>
      </c>
      <c r="B156" s="893"/>
      <c r="C156" s="893"/>
      <c r="D156" s="117" t="s">
        <v>130</v>
      </c>
      <c r="E156" s="95">
        <f>'28'!F156</f>
        <v>29258</v>
      </c>
      <c r="F156" s="155">
        <v>29368</v>
      </c>
      <c r="G156" s="112">
        <f t="shared" si="13"/>
        <v>110</v>
      </c>
      <c r="H156" s="99">
        <f>G156+'28'!H156</f>
        <v>2837.7999999999993</v>
      </c>
      <c r="I156" s="165"/>
      <c r="J156" s="328">
        <f>H156/DAY(B2)</f>
        <v>97.855172413793085</v>
      </c>
    </row>
    <row r="157" spans="1:10" ht="25.5">
      <c r="A157" s="886" t="s">
        <v>360</v>
      </c>
      <c r="B157" s="887"/>
      <c r="C157" s="888"/>
      <c r="D157" s="117" t="s">
        <v>130</v>
      </c>
      <c r="E157" s="95">
        <f>'28'!F157</f>
        <v>37559</v>
      </c>
      <c r="F157" s="155">
        <v>37559</v>
      </c>
      <c r="G157" s="112">
        <f t="shared" si="13"/>
        <v>0</v>
      </c>
      <c r="H157" s="99">
        <f>G157+'28'!H157</f>
        <v>0</v>
      </c>
      <c r="I157" s="165"/>
      <c r="J157" s="328">
        <f>H157/DAY(B2)</f>
        <v>0</v>
      </c>
    </row>
    <row r="158" spans="1:10" ht="25.5">
      <c r="A158" s="886" t="s">
        <v>361</v>
      </c>
      <c r="B158" s="887"/>
      <c r="C158" s="888"/>
      <c r="D158" s="117" t="s">
        <v>130</v>
      </c>
      <c r="E158" s="95">
        <f>'28'!F158</f>
        <v>1756</v>
      </c>
      <c r="F158" s="155">
        <v>1757</v>
      </c>
      <c r="G158" s="112">
        <f t="shared" si="13"/>
        <v>1</v>
      </c>
      <c r="H158" s="99">
        <f>G158+'28'!H158</f>
        <v>1</v>
      </c>
      <c r="I158" s="165"/>
      <c r="J158" s="328">
        <f>H158/DAY(B2)</f>
        <v>3.4482758620689655E-2</v>
      </c>
    </row>
    <row r="159" spans="1:10" ht="25.5">
      <c r="A159" s="942"/>
      <c r="B159" s="943"/>
      <c r="C159" s="944"/>
      <c r="D159" s="117"/>
      <c r="E159" s="95"/>
      <c r="F159" s="165"/>
      <c r="G159" s="112"/>
      <c r="H159" s="99"/>
      <c r="I159" s="165"/>
      <c r="J159" s="328"/>
    </row>
    <row r="160" spans="1:10" ht="27.75">
      <c r="A160" s="924" t="s">
        <v>326</v>
      </c>
      <c r="B160" s="924"/>
      <c r="C160" s="924"/>
      <c r="D160" s="924"/>
      <c r="E160" s="924"/>
      <c r="F160" s="924"/>
      <c r="G160" s="924"/>
      <c r="H160" s="924"/>
      <c r="I160" s="924"/>
      <c r="J160" s="924"/>
    </row>
    <row r="161" spans="1:10" ht="26.25">
      <c r="A161" s="242" t="s">
        <v>92</v>
      </c>
      <c r="B161" s="243"/>
      <c r="C161" s="243"/>
      <c r="D161" s="244" t="s">
        <v>180</v>
      </c>
      <c r="E161" s="95">
        <f>'28'!F161</f>
        <v>507890</v>
      </c>
      <c r="F161" s="235">
        <v>508057.96</v>
      </c>
      <c r="G161" s="238">
        <f t="shared" ref="G161:G165" si="14">F161-E161</f>
        <v>167.96000000002095</v>
      </c>
      <c r="H161" s="99">
        <f>G161+'28'!H161</f>
        <v>4686.8000000000466</v>
      </c>
      <c r="I161" s="236"/>
      <c r="J161" s="239">
        <f>H161/DAY(B2)</f>
        <v>161.61379310344989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'28'!F162</f>
        <v>680.22</v>
      </c>
      <c r="F162" s="235">
        <v>718.6</v>
      </c>
      <c r="G162" s="238">
        <f t="shared" si="14"/>
        <v>38.379999999999995</v>
      </c>
      <c r="H162" s="99">
        <f>G162+'28'!H162</f>
        <v>1098.7999999999943</v>
      </c>
      <c r="I162" s="236"/>
      <c r="J162" s="239">
        <f>H162/DAY(B2)</f>
        <v>37.889655172413597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'28'!F163</f>
        <v>0</v>
      </c>
      <c r="F163" s="235">
        <v>0</v>
      </c>
      <c r="G163" s="238">
        <f t="shared" si="14"/>
        <v>0</v>
      </c>
      <c r="H163" s="99">
        <f>G163+'28'!H163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'28'!F164</f>
        <v>7181.7</v>
      </c>
      <c r="F164" s="235">
        <v>7182.7</v>
      </c>
      <c r="G164" s="238">
        <f t="shared" si="14"/>
        <v>1</v>
      </c>
      <c r="H164" s="99">
        <f>G164+'28'!H164</f>
        <v>192.5</v>
      </c>
      <c r="I164" s="236"/>
      <c r="J164" s="239">
        <f>H164/DAY(B2)</f>
        <v>6.6379310344827589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'28'!F165</f>
        <v>32763.7</v>
      </c>
      <c r="F165" s="235">
        <v>32769.71</v>
      </c>
      <c r="G165" s="238">
        <f t="shared" si="14"/>
        <v>6.0099999999983993</v>
      </c>
      <c r="H165" s="99">
        <f>G165+'28'!H165</f>
        <v>195.61000000000058</v>
      </c>
      <c r="I165" s="236"/>
      <c r="J165" s="239">
        <f>H165/DAY(B2)</f>
        <v>6.7451724137931235</v>
      </c>
    </row>
    <row r="166" spans="1:10" ht="26.25">
      <c r="A166" s="923"/>
      <c r="B166" s="923"/>
      <c r="C166" s="246"/>
      <c r="D166" s="244" t="s">
        <v>180</v>
      </c>
      <c r="E166" s="95">
        <f>'28'!F166</f>
        <v>0</v>
      </c>
      <c r="F166" s="165"/>
      <c r="G166" s="165"/>
      <c r="H166" s="99">
        <f>G166+'28'!H166</f>
        <v>0</v>
      </c>
      <c r="I166" s="165"/>
      <c r="J166" s="239">
        <f>H166/DAY(B2)</f>
        <v>0</v>
      </c>
    </row>
    <row r="167" spans="1:10" ht="26.25">
      <c r="A167" s="923"/>
      <c r="B167" s="923"/>
      <c r="C167" s="246"/>
      <c r="D167" s="244" t="s">
        <v>180</v>
      </c>
      <c r="E167" s="95">
        <f>'28'!F167</f>
        <v>0</v>
      </c>
      <c r="F167" s="165"/>
      <c r="G167" s="165"/>
      <c r="H167" s="99">
        <f>G167+'28'!H167</f>
        <v>0</v>
      </c>
      <c r="I167" s="165"/>
      <c r="J167" s="239">
        <f>H167/DAY(B2)</f>
        <v>0</v>
      </c>
    </row>
    <row r="168" spans="1:10" ht="26.25">
      <c r="A168" s="923"/>
      <c r="B168" s="923"/>
      <c r="C168" s="246"/>
      <c r="D168" s="244" t="s">
        <v>180</v>
      </c>
      <c r="E168" s="95">
        <f>'28'!F168</f>
        <v>0</v>
      </c>
      <c r="F168" s="165"/>
      <c r="G168" s="165"/>
      <c r="H168" s="99">
        <f>G168+'28'!H168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33" t="s">
        <v>330</v>
      </c>
      <c r="B171" s="934"/>
      <c r="C171" s="934"/>
      <c r="D171" s="934"/>
      <c r="E171" s="934"/>
      <c r="F171" s="934"/>
      <c r="G171" s="934"/>
      <c r="H171" s="934"/>
      <c r="I171" s="934"/>
      <c r="J171" s="935"/>
    </row>
    <row r="172" spans="1:10" ht="25.5">
      <c r="A172" s="929"/>
      <c r="B172" s="930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41" t="s">
        <v>209</v>
      </c>
      <c r="B173" s="843"/>
      <c r="C173" s="333"/>
      <c r="D173" s="228" t="s">
        <v>142</v>
      </c>
      <c r="E173" s="95">
        <f>'28'!F173</f>
        <v>8612</v>
      </c>
      <c r="F173" s="155">
        <v>8612</v>
      </c>
      <c r="G173" s="155">
        <f>F173-E173</f>
        <v>0</v>
      </c>
      <c r="H173" s="99">
        <f>G173+'28'!H173</f>
        <v>28</v>
      </c>
      <c r="I173" s="155"/>
      <c r="J173" s="178">
        <f>H173/DAY(B2)</f>
        <v>0.96551724137931039</v>
      </c>
    </row>
    <row r="174" spans="1:10" ht="25.5">
      <c r="A174" s="841" t="s">
        <v>75</v>
      </c>
      <c r="B174" s="843"/>
      <c r="C174" s="333"/>
      <c r="D174" s="228" t="s">
        <v>142</v>
      </c>
      <c r="E174" s="95">
        <f>'28'!F174</f>
        <v>43026</v>
      </c>
      <c r="F174" s="157">
        <v>43040</v>
      </c>
      <c r="G174" s="155">
        <f t="shared" ref="G174:G175" si="15">F174-E174</f>
        <v>14</v>
      </c>
      <c r="H174" s="99">
        <f>G174+'28'!H174</f>
        <v>371</v>
      </c>
      <c r="I174" s="155"/>
      <c r="J174" s="178">
        <f>H174/DAY(B2)</f>
        <v>12.793103448275861</v>
      </c>
    </row>
    <row r="175" spans="1:10" ht="25.5">
      <c r="A175" s="841" t="s">
        <v>76</v>
      </c>
      <c r="B175" s="842"/>
      <c r="C175" s="843"/>
      <c r="D175" s="228" t="s">
        <v>142</v>
      </c>
      <c r="E175" s="95">
        <f>'28'!F175</f>
        <v>25760</v>
      </c>
      <c r="F175" s="155">
        <v>25768</v>
      </c>
      <c r="G175" s="155">
        <f t="shared" si="15"/>
        <v>8</v>
      </c>
      <c r="H175" s="99">
        <f>G175+'28'!H175</f>
        <v>375</v>
      </c>
      <c r="I175" s="155"/>
      <c r="J175" s="178">
        <f>H175/DAY(B2)</f>
        <v>12.931034482758621</v>
      </c>
    </row>
    <row r="176" spans="1:10" ht="25.5">
      <c r="A176" s="853" t="s">
        <v>196</v>
      </c>
      <c r="B176" s="854"/>
      <c r="C176" s="400"/>
      <c r="D176" s="228"/>
      <c r="E176" s="95"/>
      <c r="F176" s="155"/>
      <c r="G176" s="155">
        <f>SUM(G173:G175)</f>
        <v>22</v>
      </c>
      <c r="H176" s="99">
        <f>G176+'28'!H176</f>
        <v>774</v>
      </c>
      <c r="I176" s="155"/>
      <c r="J176" s="178">
        <f>H176/DAY(B2)</f>
        <v>26.689655172413794</v>
      </c>
    </row>
    <row r="177" spans="1:10" ht="25.5">
      <c r="A177" s="841" t="s">
        <v>77</v>
      </c>
      <c r="B177" s="843"/>
      <c r="C177" s="333"/>
      <c r="D177" s="228" t="s">
        <v>142</v>
      </c>
      <c r="E177" s="95"/>
      <c r="F177" s="155"/>
      <c r="G177" s="155"/>
      <c r="H177" s="99">
        <f>G177+'28'!H177</f>
        <v>0</v>
      </c>
      <c r="I177" s="155"/>
      <c r="J177" s="178">
        <f>H177/DAY(B2)</f>
        <v>0</v>
      </c>
    </row>
    <row r="178" spans="1:10" ht="25.5">
      <c r="A178" s="841" t="s">
        <v>210</v>
      </c>
      <c r="B178" s="843"/>
      <c r="C178" s="333"/>
      <c r="D178" s="228" t="s">
        <v>142</v>
      </c>
      <c r="E178" s="95">
        <f>'28'!F178</f>
        <v>106632</v>
      </c>
      <c r="F178" s="155">
        <v>106770</v>
      </c>
      <c r="G178" s="155">
        <f>F178-E178</f>
        <v>138</v>
      </c>
      <c r="H178" s="99">
        <f>G178+'28'!H178</f>
        <v>3127</v>
      </c>
      <c r="I178" s="155"/>
      <c r="J178" s="178">
        <f>H178/DAY(B2)</f>
        <v>107.82758620689656</v>
      </c>
    </row>
    <row r="179" spans="1:10" ht="25.5">
      <c r="A179" s="841" t="s">
        <v>211</v>
      </c>
      <c r="B179" s="843"/>
      <c r="C179" s="333"/>
      <c r="D179" s="228" t="s">
        <v>142</v>
      </c>
      <c r="E179" s="95">
        <f>'28'!F179</f>
        <v>37501</v>
      </c>
      <c r="F179" s="155">
        <v>37501</v>
      </c>
      <c r="G179" s="155">
        <f t="shared" ref="G179:G180" si="16">F179-E179</f>
        <v>0</v>
      </c>
      <c r="H179" s="99">
        <f>G179+'28'!H179</f>
        <v>0</v>
      </c>
      <c r="I179" s="155"/>
      <c r="J179" s="178">
        <f>H179/DAY(B2)</f>
        <v>0</v>
      </c>
    </row>
    <row r="180" spans="1:10" ht="25.5">
      <c r="A180" s="841" t="s">
        <v>212</v>
      </c>
      <c r="B180" s="843"/>
      <c r="C180" s="333"/>
      <c r="D180" s="228" t="s">
        <v>142</v>
      </c>
      <c r="E180" s="95">
        <f>'28'!F180</f>
        <v>7543</v>
      </c>
      <c r="F180" s="155">
        <v>7554</v>
      </c>
      <c r="G180" s="155">
        <f t="shared" si="16"/>
        <v>11</v>
      </c>
      <c r="H180" s="99">
        <f>G180+'28'!H180</f>
        <v>134</v>
      </c>
      <c r="I180" s="155"/>
      <c r="J180" s="178">
        <f>H180/DAY(B2)</f>
        <v>4.6206896551724137</v>
      </c>
    </row>
    <row r="181" spans="1:10" ht="25.5">
      <c r="A181" s="927" t="s">
        <v>108</v>
      </c>
      <c r="B181" s="928"/>
      <c r="C181" s="400"/>
      <c r="D181" s="228"/>
      <c r="E181" s="95"/>
      <c r="F181" s="155"/>
      <c r="G181" s="155">
        <f>SUM(G178:G180)</f>
        <v>149</v>
      </c>
      <c r="H181" s="99">
        <f>G181+'28'!H181</f>
        <v>3261</v>
      </c>
      <c r="I181" s="155"/>
      <c r="J181" s="178">
        <f>H181/DAY(B2)</f>
        <v>112.44827586206897</v>
      </c>
    </row>
    <row r="182" spans="1:10" ht="25.5">
      <c r="A182" s="841" t="s">
        <v>213</v>
      </c>
      <c r="B182" s="843"/>
      <c r="C182" s="333"/>
      <c r="D182" s="228"/>
      <c r="E182" s="95"/>
      <c r="F182" s="155"/>
      <c r="G182" s="155"/>
      <c r="H182" s="99">
        <f>G182+'28'!H182</f>
        <v>0</v>
      </c>
      <c r="I182" s="155"/>
      <c r="J182" s="178">
        <f>H182/DAY(B2)</f>
        <v>0</v>
      </c>
    </row>
    <row r="183" spans="1:10" ht="25.5">
      <c r="A183" s="841" t="s">
        <v>214</v>
      </c>
      <c r="B183" s="843"/>
      <c r="C183" s="334"/>
      <c r="D183" s="228" t="s">
        <v>142</v>
      </c>
      <c r="E183" s="95">
        <f>'28'!F183</f>
        <v>18353</v>
      </c>
      <c r="F183" s="157">
        <v>18361</v>
      </c>
      <c r="G183" s="157">
        <f>F183-E183</f>
        <v>8</v>
      </c>
      <c r="H183" s="99">
        <f>G183+'28'!H183</f>
        <v>193</v>
      </c>
      <c r="I183" s="155"/>
      <c r="J183" s="178">
        <f>H183/DAY(B2)</f>
        <v>6.6551724137931032</v>
      </c>
    </row>
    <row r="184" spans="1:10" ht="25.5">
      <c r="A184" s="841" t="s">
        <v>215</v>
      </c>
      <c r="B184" s="843"/>
      <c r="C184" s="334"/>
      <c r="D184" s="228" t="s">
        <v>142</v>
      </c>
      <c r="E184" s="95">
        <f>'28'!F184</f>
        <v>12960</v>
      </c>
      <c r="F184" s="157">
        <v>12965</v>
      </c>
      <c r="G184" s="157">
        <f t="shared" ref="G184:G185" si="17">F184-E184</f>
        <v>5</v>
      </c>
      <c r="H184" s="99">
        <f>G184+'28'!H184</f>
        <v>234</v>
      </c>
      <c r="I184" s="155"/>
      <c r="J184" s="178">
        <f>H184/DAY(B2)</f>
        <v>8.068965517241379</v>
      </c>
    </row>
    <row r="185" spans="1:10" ht="25.5">
      <c r="A185" s="841" t="s">
        <v>216</v>
      </c>
      <c r="B185" s="843"/>
      <c r="C185" s="334"/>
      <c r="D185" s="228" t="s">
        <v>142</v>
      </c>
      <c r="E185" s="95">
        <f>'28'!F185</f>
        <v>0</v>
      </c>
      <c r="F185" s="157"/>
      <c r="G185" s="157">
        <f t="shared" si="17"/>
        <v>0</v>
      </c>
      <c r="H185" s="99">
        <f>G185+'28'!H185</f>
        <v>0</v>
      </c>
      <c r="I185" s="155"/>
      <c r="J185" s="178">
        <f>H185/DAY(B2)</f>
        <v>0</v>
      </c>
    </row>
    <row r="186" spans="1:10" ht="25.5">
      <c r="A186" s="853" t="s">
        <v>196</v>
      </c>
      <c r="B186" s="854"/>
      <c r="C186" s="399"/>
      <c r="D186" s="229"/>
      <c r="E186" s="95"/>
      <c r="F186" s="157"/>
      <c r="G186" s="157">
        <f>SUM(G183:G185)</f>
        <v>13</v>
      </c>
      <c r="H186" s="99">
        <f>G186+'28'!H186</f>
        <v>427</v>
      </c>
      <c r="I186" s="157"/>
      <c r="J186" s="178">
        <f>H186/DAY(B2)</f>
        <v>14.724137931034482</v>
      </c>
    </row>
    <row r="187" spans="1:10" ht="25.5">
      <c r="A187" s="931" t="s">
        <v>217</v>
      </c>
      <c r="B187" s="932"/>
      <c r="C187" s="333"/>
      <c r="D187" s="230" t="s">
        <v>142</v>
      </c>
      <c r="E187" s="95">
        <f>'28'!F187</f>
        <v>0</v>
      </c>
      <c r="F187" s="159"/>
      <c r="G187" s="465">
        <f>G62+G19</f>
        <v>213</v>
      </c>
      <c r="H187" s="99">
        <f>G187+'28'!H187</f>
        <v>5039</v>
      </c>
      <c r="I187" s="158"/>
      <c r="J187" s="179">
        <f>H187/DAY(B2)</f>
        <v>173.75862068965517</v>
      </c>
    </row>
    <row r="188" spans="1:10" ht="25.5">
      <c r="A188" s="931" t="s">
        <v>218</v>
      </c>
      <c r="B188" s="932"/>
      <c r="C188" s="333"/>
      <c r="D188" s="230" t="s">
        <v>142</v>
      </c>
      <c r="E188" s="95">
        <f>'28'!F188</f>
        <v>0</v>
      </c>
      <c r="F188" s="159"/>
      <c r="G188" s="465">
        <f>G65+G66+G67+G69+G70</f>
        <v>191</v>
      </c>
      <c r="H188" s="99">
        <f>G188+'28'!H188</f>
        <v>2757</v>
      </c>
      <c r="I188" s="158"/>
      <c r="J188" s="179">
        <f>H188/DAY(B2)</f>
        <v>95.068965517241381</v>
      </c>
    </row>
    <row r="189" spans="1:10" ht="25.5">
      <c r="A189" s="931" t="s">
        <v>219</v>
      </c>
      <c r="B189" s="932"/>
      <c r="C189" s="333"/>
      <c r="D189" s="230" t="s">
        <v>142</v>
      </c>
      <c r="E189" s="95">
        <f>'28'!F189</f>
        <v>0</v>
      </c>
      <c r="F189" s="157"/>
      <c r="G189" s="416">
        <f>G181</f>
        <v>149</v>
      </c>
      <c r="H189" s="99">
        <f>G189+'28'!H189</f>
        <v>1401</v>
      </c>
      <c r="I189" s="158"/>
      <c r="J189" s="179">
        <f>H189/DAY(B2)</f>
        <v>48.310344827586206</v>
      </c>
    </row>
    <row r="190" spans="1:10" ht="25.5">
      <c r="A190" s="925"/>
      <c r="B190" s="926"/>
      <c r="C190" s="398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68:B168"/>
    <mergeCell ref="A167:B167"/>
    <mergeCell ref="A171:J171"/>
    <mergeCell ref="A172:B172"/>
    <mergeCell ref="A188:B188"/>
    <mergeCell ref="A189:B189"/>
    <mergeCell ref="A190:B190"/>
    <mergeCell ref="A180:B180"/>
    <mergeCell ref="A181:B181"/>
    <mergeCell ref="A185:B185"/>
    <mergeCell ref="A186:B186"/>
    <mergeCell ref="A187:B187"/>
    <mergeCell ref="A174:B174"/>
    <mergeCell ref="A176:B176"/>
    <mergeCell ref="A177:B177"/>
    <mergeCell ref="A178:B178"/>
    <mergeCell ref="A179:B179"/>
    <mergeCell ref="A184:B184"/>
    <mergeCell ref="A182:B182"/>
    <mergeCell ref="A183:B183"/>
    <mergeCell ref="A175:C175"/>
    <mergeCell ref="A173:B173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35:B135"/>
    <mergeCell ref="A140:C140"/>
    <mergeCell ref="A141:C141"/>
    <mergeCell ref="A142:C142"/>
    <mergeCell ref="A160:J160"/>
    <mergeCell ref="A166:B166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26:J126"/>
    <mergeCell ref="Q116:R116"/>
    <mergeCell ref="A117:C117"/>
    <mergeCell ref="Q117:R117"/>
    <mergeCell ref="A118:C118"/>
    <mergeCell ref="Q118:R118"/>
    <mergeCell ref="A119:C119"/>
    <mergeCell ref="A120:C120"/>
    <mergeCell ref="A134:C134"/>
    <mergeCell ref="A97:C97"/>
    <mergeCell ref="A98:C98"/>
    <mergeCell ref="A99:C99"/>
    <mergeCell ref="A100:C100"/>
    <mergeCell ref="A101:C101"/>
    <mergeCell ref="A121:C121"/>
    <mergeCell ref="A122:C122"/>
    <mergeCell ref="A124:C124"/>
    <mergeCell ref="A125:B125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03:C103"/>
    <mergeCell ref="A104:C104"/>
    <mergeCell ref="A105:C105"/>
    <mergeCell ref="A108:J108"/>
    <mergeCell ref="A110:J110"/>
    <mergeCell ref="A96:C96"/>
    <mergeCell ref="A93:C93"/>
    <mergeCell ref="A94:C94"/>
    <mergeCell ref="A77:C77"/>
    <mergeCell ref="A79:C79"/>
    <mergeCell ref="A80:C80"/>
    <mergeCell ref="A81:C81"/>
    <mergeCell ref="A95:C95"/>
    <mergeCell ref="A78:C78"/>
    <mergeCell ref="A74:C74"/>
    <mergeCell ref="A75:C75"/>
    <mergeCell ref="A76:C76"/>
    <mergeCell ref="A71:C71"/>
    <mergeCell ref="A72:B72"/>
    <mergeCell ref="A73:C73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21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R190"/>
  <sheetViews>
    <sheetView view="pageBreakPreview" topLeftCell="A4" zoomScale="55" zoomScaleNormal="55" zoomScaleSheetLayoutView="55" workbookViewId="0">
      <selection activeCell="G18" sqref="G18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27.5546875" style="160" customWidth="1"/>
    <col min="6" max="6" width="25.77734375" style="160" customWidth="1"/>
    <col min="7" max="7" width="26.44140625" style="160" customWidth="1"/>
    <col min="8" max="8" width="29.77734375" style="161" customWidth="1"/>
    <col min="9" max="9" width="18.88671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>
      <c r="A1" s="867" t="s">
        <v>115</v>
      </c>
      <c r="B1" s="868"/>
      <c r="C1" s="868"/>
      <c r="D1" s="868"/>
      <c r="E1" s="868"/>
      <c r="F1" s="868"/>
      <c r="G1" s="868"/>
      <c r="H1" s="868"/>
      <c r="I1" s="868"/>
      <c r="J1" s="869"/>
    </row>
    <row r="2" spans="1:15" s="57" customFormat="1" ht="30.75" customHeight="1">
      <c r="A2" s="191" t="s">
        <v>374</v>
      </c>
      <c r="B2" s="262">
        <v>44925</v>
      </c>
      <c r="C2" s="348" t="s">
        <v>67</v>
      </c>
      <c r="D2" s="218">
        <v>0.5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>
      <c r="A3" s="189"/>
      <c r="B3" s="221"/>
      <c r="C3" s="348" t="s">
        <v>118</v>
      </c>
      <c r="D3" s="219">
        <v>28</v>
      </c>
      <c r="E3" s="876" t="s">
        <v>119</v>
      </c>
      <c r="F3" s="877"/>
      <c r="G3" s="101"/>
      <c r="H3" s="102"/>
      <c r="I3" s="102"/>
      <c r="J3" s="222"/>
      <c r="K3" s="61"/>
      <c r="L3" s="58"/>
    </row>
    <row r="4" spans="1:15" s="57" customFormat="1" ht="30.75" customHeight="1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>
      <c r="A6" s="870" t="s">
        <v>128</v>
      </c>
      <c r="B6" s="871"/>
      <c r="C6" s="87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>
      <c r="A7" s="194" t="s">
        <v>129</v>
      </c>
      <c r="B7" s="195"/>
      <c r="C7" s="195"/>
      <c r="D7" s="151" t="s">
        <v>130</v>
      </c>
      <c r="E7" s="95">
        <f>'29'!F7</f>
        <v>932496.38</v>
      </c>
      <c r="F7" s="95">
        <v>953874</v>
      </c>
      <c r="G7" s="112">
        <f>F7-E7</f>
        <v>21377.619999999995</v>
      </c>
      <c r="H7" s="99">
        <f>G7+'29'!H7</f>
        <v>680191.45</v>
      </c>
      <c r="I7" s="113">
        <f>'1'!I7</f>
        <v>12000</v>
      </c>
      <c r="J7" s="175">
        <f>H7/DAY(B2)</f>
        <v>22673.048333333332</v>
      </c>
      <c r="K7" s="172">
        <v>1375467</v>
      </c>
      <c r="L7" s="66"/>
      <c r="N7" s="87"/>
      <c r="O7" s="71"/>
    </row>
    <row r="8" spans="1:15" ht="30.75" customHeight="1" thickBot="1">
      <c r="A8" s="196" t="s">
        <v>131</v>
      </c>
      <c r="B8" s="197"/>
      <c r="C8" s="198"/>
      <c r="D8" s="224" t="s">
        <v>24</v>
      </c>
      <c r="E8" s="114">
        <v>113986</v>
      </c>
      <c r="F8" s="114">
        <v>135515.17000000001</v>
      </c>
      <c r="G8" s="112">
        <f>F8-E8</f>
        <v>21529.170000000013</v>
      </c>
      <c r="H8" s="99">
        <f>G8+'29'!H8</f>
        <v>684254.17</v>
      </c>
      <c r="I8" s="116"/>
      <c r="J8" s="175">
        <f>H8/DAY(B2)</f>
        <v>22808.472333333335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>
      <c r="A9" s="199" t="s">
        <v>132</v>
      </c>
      <c r="B9" s="200"/>
      <c r="C9" s="200"/>
      <c r="D9" s="151" t="s">
        <v>130</v>
      </c>
      <c r="E9" s="95">
        <f>'29'!F9</f>
        <v>4384226.7</v>
      </c>
      <c r="F9" s="468">
        <v>4400599.0999999996</v>
      </c>
      <c r="G9" s="357">
        <f>F9-E9</f>
        <v>16372.399999999441</v>
      </c>
      <c r="H9" s="99">
        <f>G9+'29'!H9</f>
        <v>286428.79999999981</v>
      </c>
      <c r="I9" s="124">
        <f>I7-J7</f>
        <v>-10673.048333333332</v>
      </c>
      <c r="J9" s="175">
        <f>H9/DAY(B2)</f>
        <v>9547.6266666666597</v>
      </c>
      <c r="K9" s="79">
        <f>K8-100</f>
        <v>1715817</v>
      </c>
      <c r="L9" s="66"/>
      <c r="N9" s="87"/>
      <c r="O9" s="71"/>
    </row>
    <row r="10" spans="1:15" ht="30.75" customHeight="1">
      <c r="A10" s="194" t="s">
        <v>133</v>
      </c>
      <c r="B10" s="195"/>
      <c r="C10" s="195"/>
      <c r="D10" s="151" t="s">
        <v>130</v>
      </c>
      <c r="E10" s="95">
        <f>'29'!F10</f>
        <v>4060238.7</v>
      </c>
      <c r="F10" s="353">
        <v>4064615</v>
      </c>
      <c r="G10" s="112">
        <f t="shared" ref="G10:G12" si="0">F10-E10</f>
        <v>4376.2999999998137</v>
      </c>
      <c r="H10" s="99">
        <f>G10+'29'!H10</f>
        <v>375135.89999999991</v>
      </c>
      <c r="I10" s="282"/>
      <c r="J10" s="175">
        <f>H10/DAY(B2)</f>
        <v>12504.529999999997</v>
      </c>
      <c r="K10" s="79"/>
      <c r="L10" s="66"/>
      <c r="N10" s="87"/>
      <c r="O10" s="71"/>
    </row>
    <row r="11" spans="1:15" ht="30.75" customHeight="1">
      <c r="A11" s="194" t="s">
        <v>134</v>
      </c>
      <c r="B11" s="195"/>
      <c r="C11" s="195"/>
      <c r="D11" s="151" t="s">
        <v>130</v>
      </c>
      <c r="E11" s="95">
        <f>'29'!F11</f>
        <v>38700</v>
      </c>
      <c r="F11" s="95">
        <v>38700</v>
      </c>
      <c r="G11" s="112">
        <f t="shared" si="0"/>
        <v>0</v>
      </c>
      <c r="H11" s="99">
        <f>G11+'29'!H11</f>
        <v>580</v>
      </c>
      <c r="I11" s="282"/>
      <c r="J11" s="175">
        <f>H11/DAY(B2)</f>
        <v>19.333333333333332</v>
      </c>
      <c r="K11" s="79"/>
      <c r="L11" s="66"/>
      <c r="N11" s="87"/>
      <c r="O11" s="71"/>
    </row>
    <row r="12" spans="1:15" ht="30.75" customHeight="1">
      <c r="A12" s="194" t="s">
        <v>135</v>
      </c>
      <c r="B12" s="195"/>
      <c r="C12" s="195"/>
      <c r="D12" s="151" t="s">
        <v>130</v>
      </c>
      <c r="E12" s="95">
        <f>'29'!F12</f>
        <v>40550</v>
      </c>
      <c r="F12" s="117">
        <v>40550</v>
      </c>
      <c r="G12" s="112">
        <f t="shared" si="0"/>
        <v>0</v>
      </c>
      <c r="H12" s="99">
        <f>G12+'29'!H12</f>
        <v>160</v>
      </c>
      <c r="I12" s="282"/>
      <c r="J12" s="175">
        <f>H12/DAY(B2)</f>
        <v>5.333333333333333</v>
      </c>
      <c r="K12" s="79"/>
      <c r="L12" s="66"/>
      <c r="N12" s="87"/>
      <c r="O12" s="71"/>
    </row>
    <row r="13" spans="1:15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20748.699999999255</v>
      </c>
      <c r="H13" s="99">
        <f>G13+'29'!H13</f>
        <v>666533.39999999944</v>
      </c>
      <c r="I13" s="120">
        <f>G7-G13</f>
        <v>628.9200000007404</v>
      </c>
      <c r="J13" s="175">
        <f>H13/DAY(B2)</f>
        <v>22217.779999999981</v>
      </c>
      <c r="K13" s="79"/>
      <c r="L13" s="66"/>
      <c r="N13" s="87"/>
      <c r="O13" s="71" t="s">
        <v>372</v>
      </c>
    </row>
    <row r="14" spans="1:15" ht="30.75" customHeight="1">
      <c r="A14" s="873" t="s">
        <v>137</v>
      </c>
      <c r="B14" s="874"/>
      <c r="C14" s="87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>
      <c r="A15" s="345" t="s">
        <v>138</v>
      </c>
      <c r="B15" s="205"/>
      <c r="C15" s="205"/>
      <c r="D15" s="151" t="s">
        <v>139</v>
      </c>
      <c r="E15" s="468">
        <v>2250996.71</v>
      </c>
      <c r="F15" s="468">
        <v>2252211</v>
      </c>
      <c r="G15" s="112">
        <f>(F15-E15)</f>
        <v>1214.2900000000373</v>
      </c>
      <c r="H15" s="99">
        <f>G15+'29'!H15</f>
        <v>33270</v>
      </c>
      <c r="I15" s="113">
        <f>'1'!I15</f>
        <v>800</v>
      </c>
      <c r="J15" s="175">
        <f>H15/DAY(B2)</f>
        <v>1109</v>
      </c>
      <c r="K15" s="79"/>
      <c r="L15" s="66"/>
      <c r="N15" s="87"/>
      <c r="O15" s="71"/>
    </row>
    <row r="16" spans="1:15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-309</v>
      </c>
      <c r="J16" s="176"/>
      <c r="K16" s="79"/>
      <c r="L16" s="66"/>
      <c r="N16" s="87"/>
      <c r="O16" s="71"/>
    </row>
    <row r="17" spans="1:15" ht="30.75" customHeight="1">
      <c r="A17" s="873" t="s">
        <v>140</v>
      </c>
      <c r="B17" s="874"/>
      <c r="C17" s="87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864" t="s">
        <v>141</v>
      </c>
      <c r="B18" s="865"/>
      <c r="C18" s="866"/>
      <c r="D18" s="151" t="s">
        <v>142</v>
      </c>
      <c r="E18" s="95">
        <f>'29'!F18</f>
        <v>21</v>
      </c>
      <c r="F18" s="122">
        <v>31</v>
      </c>
      <c r="G18" s="119">
        <f>F18*10</f>
        <v>310</v>
      </c>
      <c r="H18" s="99">
        <f>G18+'29'!H18</f>
        <v>8000</v>
      </c>
      <c r="I18" s="113">
        <f>'1'!I18</f>
        <v>65</v>
      </c>
      <c r="J18" s="175">
        <f>H18/DAY(B2)</f>
        <v>266.66666666666669</v>
      </c>
      <c r="K18" s="79"/>
      <c r="L18" s="66"/>
      <c r="N18" s="87"/>
      <c r="O18" s="71"/>
    </row>
    <row r="19" spans="1:15" ht="30.75" customHeight="1">
      <c r="A19" s="864" t="s">
        <v>69</v>
      </c>
      <c r="B19" s="865"/>
      <c r="C19" s="866"/>
      <c r="D19" s="151" t="s">
        <v>142</v>
      </c>
      <c r="E19" s="95">
        <f>'29'!F19</f>
        <v>169459</v>
      </c>
      <c r="F19" s="122">
        <v>169512</v>
      </c>
      <c r="G19" s="112">
        <f t="shared" ref="G19" si="1">F19-E19</f>
        <v>53</v>
      </c>
      <c r="H19" s="99">
        <f>G19+'29'!H19</f>
        <v>1636</v>
      </c>
      <c r="I19" s="335"/>
      <c r="J19" s="175">
        <f>H19/DAY(B2)</f>
        <v>54.533333333333331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363</v>
      </c>
      <c r="H20" s="99">
        <f>G20+'29'!H20</f>
        <v>9636</v>
      </c>
      <c r="I20" s="336">
        <f>I18-J20</f>
        <v>-256.2</v>
      </c>
      <c r="J20" s="175">
        <f>H20/DAY(B2)</f>
        <v>321.2</v>
      </c>
      <c r="K20" s="79"/>
      <c r="L20" s="66"/>
      <c r="N20" s="87"/>
      <c r="O20" s="71"/>
    </row>
    <row r="21" spans="1:15" ht="30.75" customHeight="1">
      <c r="A21" s="873" t="s">
        <v>144</v>
      </c>
      <c r="B21" s="874"/>
      <c r="C21" s="87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'29'!F22</f>
        <v>2970</v>
      </c>
      <c r="F22" s="122">
        <v>2970</v>
      </c>
      <c r="G22" s="119">
        <f t="shared" ref="G22" si="2">(F22-E22)</f>
        <v>0</v>
      </c>
      <c r="H22" s="99">
        <f>G22+'29'!H22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'29'!F23</f>
        <v>2000</v>
      </c>
      <c r="F23" s="122">
        <v>2000</v>
      </c>
      <c r="G23" s="119">
        <v>0</v>
      </c>
      <c r="H23" s="99">
        <f>G23+'29'!H23</f>
        <v>-100</v>
      </c>
      <c r="I23" s="118"/>
      <c r="J23" s="175">
        <f>H23/DAY(B2)</f>
        <v>-3.3333333333333335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f>'29'!F24</f>
        <v>4970</v>
      </c>
      <c r="F24" s="128">
        <v>4970</v>
      </c>
      <c r="G24" s="119">
        <v>0</v>
      </c>
      <c r="H24" s="99">
        <f>G24+'29'!H24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878" t="s">
        <v>149</v>
      </c>
      <c r="B25" s="879"/>
      <c r="C25" s="88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21529.170000000013</v>
      </c>
      <c r="F27" s="136">
        <v>9</v>
      </c>
      <c r="G27" s="137">
        <f>E27*F27</f>
        <v>193762.53000000012</v>
      </c>
      <c r="H27" s="99">
        <f>G27+'29'!H27</f>
        <v>6180878.3300000001</v>
      </c>
      <c r="I27" s="138"/>
      <c r="J27" s="175">
        <f>H27/DAY(B2)</f>
        <v>206029.27766666666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1214.2900000000373</v>
      </c>
      <c r="F28" s="136">
        <v>70</v>
      </c>
      <c r="G28" s="137">
        <f>E28*F28</f>
        <v>85000.300000002608</v>
      </c>
      <c r="H28" s="99">
        <f>G28+'29'!H28</f>
        <v>2339411.7500000005</v>
      </c>
      <c r="I28" s="140"/>
      <c r="J28" s="175">
        <f>H28/DAY(B2)</f>
        <v>77980.391666666677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G29+'29'!H29</f>
        <v>20700</v>
      </c>
      <c r="I29" s="140"/>
      <c r="J29" s="175">
        <f>H29/DAY(B2)</f>
        <v>690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151</v>
      </c>
      <c r="G30" s="137">
        <f>E30*F30</f>
        <v>8003</v>
      </c>
      <c r="H30" s="99">
        <f>G30+'29'!H30</f>
        <v>247036</v>
      </c>
      <c r="I30" s="140"/>
      <c r="J30" s="175">
        <f>H30/DAY(B2)</f>
        <v>8234.5333333333328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310</v>
      </c>
      <c r="F31" s="136">
        <v>80</v>
      </c>
      <c r="G31" s="137">
        <f>E31*F31</f>
        <v>24800</v>
      </c>
      <c r="H31" s="99">
        <f>G31+'29'!H31</f>
        <v>640000</v>
      </c>
      <c r="I31" s="140"/>
      <c r="J31" s="175">
        <f>H31/DAY(B2)</f>
        <v>21333.333333333332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311565.83000000275</v>
      </c>
      <c r="H32" s="99">
        <f>G32+'29'!H32</f>
        <v>9428026.0800000001</v>
      </c>
      <c r="I32" s="144"/>
      <c r="J32" s="175">
        <f>H32/DAY(B2)</f>
        <v>314267.53600000002</v>
      </c>
      <c r="K32" s="63"/>
      <c r="L32" s="89"/>
      <c r="N32" s="87"/>
      <c r="O32" s="71"/>
    </row>
    <row r="33" spans="1:15" ht="30.75" customHeight="1">
      <c r="A33" s="881" t="s">
        <v>331</v>
      </c>
      <c r="B33" s="882"/>
      <c r="C33" s="882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'29'!F35</f>
        <v>448867</v>
      </c>
      <c r="F35" s="145">
        <v>451691</v>
      </c>
      <c r="G35" s="112">
        <f t="shared" ref="G35:G46" si="3">F35-E35</f>
        <v>2824</v>
      </c>
      <c r="H35" s="99">
        <f>G35+'29'!H35</f>
        <v>82594.090000000026</v>
      </c>
      <c r="I35" s="95"/>
      <c r="J35" s="175">
        <f>H35/DAY(B2)</f>
        <v>2753.1363333333343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'29'!F36</f>
        <v>352161</v>
      </c>
      <c r="F36" s="145">
        <v>353078</v>
      </c>
      <c r="G36" s="112">
        <f t="shared" si="3"/>
        <v>917</v>
      </c>
      <c r="H36" s="99">
        <f>G36+'29'!H36</f>
        <v>30860.890000000014</v>
      </c>
      <c r="I36" s="95"/>
      <c r="J36" s="175">
        <f>H36/DAY(B2)</f>
        <v>1028.6963333333338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'29'!F37</f>
        <v>335442</v>
      </c>
      <c r="F37" s="145">
        <v>336890</v>
      </c>
      <c r="G37" s="112">
        <f t="shared" si="3"/>
        <v>1448</v>
      </c>
      <c r="H37" s="99">
        <f>G37+'29'!H37</f>
        <v>13891.309999999998</v>
      </c>
      <c r="I37" s="95"/>
      <c r="J37" s="175">
        <f>H37/DAY(B2)</f>
        <v>463.04366666666658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'29'!F38</f>
        <v>792310</v>
      </c>
      <c r="F38" s="108">
        <v>799500</v>
      </c>
      <c r="G38" s="112">
        <f t="shared" si="3"/>
        <v>7190</v>
      </c>
      <c r="H38" s="99">
        <f>G38+'29'!H38</f>
        <v>63647.609999999986</v>
      </c>
      <c r="I38" s="95"/>
      <c r="J38" s="175">
        <f>H38/DAY(B2)</f>
        <v>2121.5869999999995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'29'!F39</f>
        <v>614821</v>
      </c>
      <c r="F39" s="145">
        <v>617452.18999999994</v>
      </c>
      <c r="G39" s="112">
        <f t="shared" si="3"/>
        <v>2631.1899999999441</v>
      </c>
      <c r="H39" s="99">
        <f>G39+'29'!H39</f>
        <v>25868</v>
      </c>
      <c r="I39" s="95"/>
      <c r="J39" s="175">
        <f>H39/DAY(B2)</f>
        <v>862.26666666666665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'29'!F40</f>
        <v>208774.73</v>
      </c>
      <c r="F40" s="145">
        <v>209228</v>
      </c>
      <c r="G40" s="112">
        <f t="shared" si="3"/>
        <v>453.26999999998952</v>
      </c>
      <c r="H40" s="99">
        <f>G40+'29'!H40</f>
        <v>12498.029999999999</v>
      </c>
      <c r="I40" s="95"/>
      <c r="J40" s="175">
        <f>H40/DAY(B2)</f>
        <v>416.60099999999994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'29'!F41</f>
        <v>420212.5</v>
      </c>
      <c r="F41" s="145">
        <v>420212.5</v>
      </c>
      <c r="G41" s="112">
        <f t="shared" si="3"/>
        <v>0</v>
      </c>
      <c r="H41" s="99">
        <f>G41+'29'!H41</f>
        <v>1044.9099999999744</v>
      </c>
      <c r="I41" s="95"/>
      <c r="J41" s="175">
        <f>H41/DAY(B2)</f>
        <v>34.830333333332483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'29'!F42</f>
        <v>912056.95</v>
      </c>
      <c r="F42" s="145">
        <v>916738</v>
      </c>
      <c r="G42" s="112">
        <f t="shared" si="3"/>
        <v>4681.0500000000466</v>
      </c>
      <c r="H42" s="99">
        <f>G42+'29'!H42</f>
        <v>44967.920000000042</v>
      </c>
      <c r="I42" s="95"/>
      <c r="J42" s="175">
        <f>H42/DAY(B2)</f>
        <v>1498.930666666668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'29'!F43</f>
        <v>422444</v>
      </c>
      <c r="F43" s="145">
        <v>422444</v>
      </c>
      <c r="G43" s="112">
        <f t="shared" si="3"/>
        <v>0</v>
      </c>
      <c r="H43" s="99">
        <f>G43+'29'!H43</f>
        <v>15416</v>
      </c>
      <c r="I43" s="95"/>
      <c r="J43" s="175">
        <f>H43/DAY(B2)</f>
        <v>513.86666666666667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'29'!F44</f>
        <v>0</v>
      </c>
      <c r="F44" s="145">
        <v>0</v>
      </c>
      <c r="G44" s="112">
        <f t="shared" si="3"/>
        <v>0</v>
      </c>
      <c r="H44" s="99">
        <f>G44+'29'!H44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'29'!F45</f>
        <v>0</v>
      </c>
      <c r="F45" s="145">
        <v>0</v>
      </c>
      <c r="G45" s="112">
        <f t="shared" si="3"/>
        <v>0</v>
      </c>
      <c r="H45" s="99">
        <f>G45+'29'!H45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'29'!F46</f>
        <v>0</v>
      </c>
      <c r="F46" s="145">
        <v>0</v>
      </c>
      <c r="G46" s="112">
        <f t="shared" si="3"/>
        <v>0</v>
      </c>
      <c r="H46" s="99">
        <f>G46+'29'!H46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20144.50999999998</v>
      </c>
      <c r="H47" s="99">
        <f>G47+'29'!H47</f>
        <v>290788.76</v>
      </c>
      <c r="I47" s="95"/>
      <c r="J47" s="175">
        <f>H47/DAY(B2)</f>
        <v>9692.9586666666673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'29'!F49</f>
        <v>805592.47</v>
      </c>
      <c r="F49" s="145">
        <v>806004</v>
      </c>
      <c r="G49" s="112">
        <f t="shared" ref="G49:G58" si="4">F49-E49</f>
        <v>411.53000000002794</v>
      </c>
      <c r="H49" s="99">
        <f>G49+'29'!H49</f>
        <v>12381.050000000047</v>
      </c>
      <c r="I49" s="95"/>
      <c r="J49" s="175">
        <f>H49/DAY(B2)</f>
        <v>412.70166666666825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'29'!F50</f>
        <v>498476</v>
      </c>
      <c r="F50" s="145">
        <v>499714</v>
      </c>
      <c r="G50" s="112">
        <f t="shared" si="4"/>
        <v>1238</v>
      </c>
      <c r="H50" s="99">
        <f>G50+'29'!H50</f>
        <v>43044.929999999993</v>
      </c>
      <c r="I50" s="95"/>
      <c r="J50" s="175">
        <f>H50/DAY(B2)</f>
        <v>1434.8309999999997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'29'!F51</f>
        <v>156958.44</v>
      </c>
      <c r="F51" s="145">
        <v>156958</v>
      </c>
      <c r="G51" s="112">
        <f t="shared" si="4"/>
        <v>-0.44000000000232831</v>
      </c>
      <c r="H51" s="99">
        <f>G51+'29'!H51</f>
        <v>21713.450000000012</v>
      </c>
      <c r="I51" s="95"/>
      <c r="J51" s="175">
        <f>H51/DAY(B2)</f>
        <v>723.78166666666709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'29'!F52</f>
        <v>10</v>
      </c>
      <c r="F52" s="145">
        <v>10</v>
      </c>
      <c r="G52" s="112">
        <f t="shared" si="4"/>
        <v>0</v>
      </c>
      <c r="H52" s="99">
        <f>G52+'29'!H52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'29'!F53</f>
        <v>630355</v>
      </c>
      <c r="F53" s="418">
        <v>630355</v>
      </c>
      <c r="G53" s="112">
        <f t="shared" si="4"/>
        <v>0</v>
      </c>
      <c r="H53" s="99">
        <f>G53+'29'!H53</f>
        <v>83813.729999999981</v>
      </c>
      <c r="I53" s="95"/>
      <c r="J53" s="175">
        <f>H53/DAY(B2)</f>
        <v>2793.7909999999993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'29'!F54</f>
        <v>113875.22</v>
      </c>
      <c r="F54" s="418">
        <v>114236</v>
      </c>
      <c r="G54" s="112">
        <f t="shared" si="4"/>
        <v>360.77999999999884</v>
      </c>
      <c r="H54" s="99">
        <f>G54+'29'!H54</f>
        <v>6572.8399999999965</v>
      </c>
      <c r="I54" s="95"/>
      <c r="J54" s="175">
        <f>H54/DAY(B2)</f>
        <v>219.09466666666654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'29'!F55</f>
        <v>576335.63</v>
      </c>
      <c r="F55" s="418">
        <v>576335.63</v>
      </c>
      <c r="G55" s="112">
        <f t="shared" si="4"/>
        <v>0</v>
      </c>
      <c r="H55" s="99">
        <f>G55+'29'!H55</f>
        <v>14850.959999999963</v>
      </c>
      <c r="I55" s="95"/>
      <c r="J55" s="175">
        <f>H55/DAY(B2)</f>
        <v>495.03199999999873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'29'!F56</f>
        <v>334767.23</v>
      </c>
      <c r="F56" s="418">
        <v>334767</v>
      </c>
      <c r="G56" s="112">
        <f t="shared" si="4"/>
        <v>-0.22999999998137355</v>
      </c>
      <c r="H56" s="99">
        <f>G56+'29'!H56</f>
        <v>66651.989999999991</v>
      </c>
      <c r="I56" s="95"/>
      <c r="J56" s="175">
        <f>H56/DAY(B2)</f>
        <v>2221.7329999999997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'29'!F57</f>
        <v>625738</v>
      </c>
      <c r="F57" s="418">
        <v>628226</v>
      </c>
      <c r="G57" s="112">
        <f t="shared" si="4"/>
        <v>2488</v>
      </c>
      <c r="H57" s="99">
        <f>G57+'29'!H57</f>
        <v>64666.530000000028</v>
      </c>
      <c r="I57" s="95"/>
      <c r="J57" s="175">
        <f>H57/DAY(B2)</f>
        <v>2155.5510000000008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'29'!F58</f>
        <v>85989.551000000007</v>
      </c>
      <c r="F58" s="418">
        <v>86281.5</v>
      </c>
      <c r="G58" s="112">
        <f t="shared" si="4"/>
        <v>291.94899999999325</v>
      </c>
      <c r="H58" s="99">
        <f>G58+'29'!H58</f>
        <v>7565.8099999999977</v>
      </c>
      <c r="I58" s="95"/>
      <c r="J58" s="175">
        <f>H58/DAY(B2)</f>
        <v>252.19366666666659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227"/>
      <c r="G59" s="119">
        <f>G49+G50+G51+G52+G53+G54+G55+G56+G57+G58</f>
        <v>4789.5890000000363</v>
      </c>
      <c r="H59" s="99">
        <f>G59+'29'!H59</f>
        <v>321261.29000000004</v>
      </c>
      <c r="I59" s="95">
        <f>G7-G60</f>
        <v>-3556.4790000000212</v>
      </c>
      <c r="J59" s="175">
        <f>H59/DAY(B2)</f>
        <v>10708.709666666668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227"/>
      <c r="G60" s="119">
        <f>G47+G59</f>
        <v>24934.099000000017</v>
      </c>
      <c r="H60" s="99">
        <f>G60+'29'!H60</f>
        <v>612050.05000000016</v>
      </c>
      <c r="I60" s="95">
        <f>G13-G60</f>
        <v>-4185.3990000007616</v>
      </c>
      <c r="J60" s="175">
        <f>H60/DAY(B2)</f>
        <v>20401.668333333339</v>
      </c>
      <c r="K60" s="79"/>
      <c r="L60" s="66"/>
      <c r="N60" s="87"/>
      <c r="O60" s="71"/>
    </row>
    <row r="61" spans="1:15" s="68" customFormat="1" ht="30.75" customHeight="1">
      <c r="A61" s="883" t="s">
        <v>332</v>
      </c>
      <c r="B61" s="884"/>
      <c r="C61" s="885"/>
      <c r="D61" s="339"/>
      <c r="E61" s="339"/>
      <c r="F61" s="340"/>
      <c r="G61" s="340" t="s">
        <v>207</v>
      </c>
      <c r="H61" s="339"/>
      <c r="I61" s="339"/>
      <c r="J61" s="341"/>
      <c r="K61" s="69"/>
      <c r="L61" s="67"/>
      <c r="N61" s="87"/>
      <c r="O61" s="71"/>
    </row>
    <row r="62" spans="1:15" ht="30.75" customHeight="1">
      <c r="A62" s="864" t="s">
        <v>198</v>
      </c>
      <c r="B62" s="865"/>
      <c r="C62" s="866"/>
      <c r="D62" s="151" t="s">
        <v>142</v>
      </c>
      <c r="E62" s="95">
        <f>'29'!F62</f>
        <v>311770</v>
      </c>
      <c r="F62" s="150">
        <v>311910</v>
      </c>
      <c r="G62" s="112">
        <f t="shared" ref="G62:G63" si="5">F62-E62</f>
        <v>140</v>
      </c>
      <c r="H62" s="99">
        <f>G62+'29'!H62</f>
        <v>3596</v>
      </c>
      <c r="I62" s="118"/>
      <c r="J62" s="175">
        <f>H62/DAY(B2)</f>
        <v>119.86666666666666</v>
      </c>
      <c r="K62" s="80"/>
      <c r="L62" s="66"/>
      <c r="N62" s="87"/>
      <c r="O62" s="71"/>
    </row>
    <row r="63" spans="1:15" ht="30.75" customHeight="1">
      <c r="A63" s="864" t="s">
        <v>199</v>
      </c>
      <c r="B63" s="865"/>
      <c r="C63" s="866"/>
      <c r="D63" s="151" t="s">
        <v>142</v>
      </c>
      <c r="E63" s="95">
        <f>'29'!F63</f>
        <v>248821</v>
      </c>
      <c r="F63" s="150">
        <v>248936</v>
      </c>
      <c r="G63" s="112">
        <f t="shared" si="5"/>
        <v>115</v>
      </c>
      <c r="H63" s="99">
        <f>G63+'29'!H63</f>
        <v>2007</v>
      </c>
      <c r="I63" s="118"/>
      <c r="J63" s="175">
        <f>H63/DAY(B2)</f>
        <v>66.900000000000006</v>
      </c>
      <c r="K63" s="69"/>
      <c r="L63" s="66"/>
      <c r="N63" s="87"/>
      <c r="O63" s="71"/>
    </row>
    <row r="64" spans="1:15" ht="30.75" customHeight="1">
      <c r="A64" s="861" t="s">
        <v>200</v>
      </c>
      <c r="B64" s="862"/>
      <c r="C64" s="863"/>
      <c r="D64" s="151"/>
      <c r="E64" s="95">
        <f>'29'!F64</f>
        <v>0</v>
      </c>
      <c r="F64" s="150"/>
      <c r="G64" s="112">
        <f>G62+G63</f>
        <v>255</v>
      </c>
      <c r="H64" s="99">
        <f>G64+'29'!H64</f>
        <v>5603</v>
      </c>
      <c r="I64" s="118"/>
      <c r="J64" s="175">
        <f>H64/DAY(B2)</f>
        <v>186.76666666666668</v>
      </c>
      <c r="K64" s="69"/>
      <c r="L64" s="66"/>
      <c r="N64" s="87"/>
      <c r="O64" s="71"/>
    </row>
    <row r="65" spans="1:15" ht="30.75" customHeight="1">
      <c r="A65" s="864" t="s">
        <v>201</v>
      </c>
      <c r="B65" s="865"/>
      <c r="C65" s="866"/>
      <c r="D65" s="151" t="s">
        <v>142</v>
      </c>
      <c r="E65" s="95">
        <f>'29'!F65</f>
        <v>471763</v>
      </c>
      <c r="F65" s="150">
        <v>471890</v>
      </c>
      <c r="G65" s="112">
        <f t="shared" ref="G65:G70" si="6">F65-E65</f>
        <v>127</v>
      </c>
      <c r="H65" s="99">
        <f>G65+'29'!H65</f>
        <v>3989</v>
      </c>
      <c r="I65" s="118"/>
      <c r="J65" s="175">
        <f>H65/DAY(B2)</f>
        <v>132.96666666666667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'29'!F66</f>
        <v>113520</v>
      </c>
      <c r="F66" s="150">
        <v>113542</v>
      </c>
      <c r="G66" s="112">
        <f t="shared" si="6"/>
        <v>22</v>
      </c>
      <c r="H66" s="99">
        <f>G66+'29'!H66</f>
        <v>55795</v>
      </c>
      <c r="I66" s="118"/>
      <c r="J66" s="175">
        <f>H66/DAY(B2)</f>
        <v>1859.8333333333333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'29'!F67</f>
        <v>116512</v>
      </c>
      <c r="F67" s="150">
        <v>116540</v>
      </c>
      <c r="G67" s="112">
        <f t="shared" si="6"/>
        <v>28</v>
      </c>
      <c r="H67" s="99">
        <f>G67+'29'!H67</f>
        <v>685</v>
      </c>
      <c r="I67" s="118"/>
      <c r="J67" s="175">
        <f>H67/DAY(B2)</f>
        <v>22.833333333333332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'29'!F68</f>
        <v>169367</v>
      </c>
      <c r="F68" s="150">
        <v>169390</v>
      </c>
      <c r="G68" s="112">
        <f t="shared" si="6"/>
        <v>23</v>
      </c>
      <c r="H68" s="99">
        <f>G68+'29'!H68</f>
        <v>883</v>
      </c>
      <c r="I68" s="118"/>
      <c r="J68" s="175">
        <f>H68/DAY(B2)</f>
        <v>29.433333333333334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'29'!F69</f>
        <v>12955</v>
      </c>
      <c r="F69" s="150">
        <v>12991</v>
      </c>
      <c r="G69" s="112">
        <f t="shared" si="6"/>
        <v>36</v>
      </c>
      <c r="H69" s="99">
        <f>G69+'29'!H69</f>
        <v>181</v>
      </c>
      <c r="I69" s="118"/>
      <c r="J69" s="175">
        <f>H69/DAY(B2)</f>
        <v>6.0333333333333332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'29'!F70</f>
        <v>10998</v>
      </c>
      <c r="F70" s="150">
        <v>11010</v>
      </c>
      <c r="G70" s="112">
        <f t="shared" si="6"/>
        <v>12</v>
      </c>
      <c r="H70" s="99">
        <f>G70+'29'!H70</f>
        <v>231</v>
      </c>
      <c r="I70" s="118"/>
      <c r="J70" s="175">
        <f>H70/DAY(B2)</f>
        <v>7.7</v>
      </c>
      <c r="K70" s="69"/>
      <c r="L70" s="66"/>
      <c r="N70" s="87"/>
      <c r="O70" s="71"/>
    </row>
    <row r="71" spans="1:15" ht="30.75" customHeight="1">
      <c r="A71" s="861" t="s">
        <v>208</v>
      </c>
      <c r="B71" s="862"/>
      <c r="C71" s="863"/>
      <c r="D71" s="152"/>
      <c r="E71" s="152"/>
      <c r="F71" s="152"/>
      <c r="G71" s="153">
        <f>SUM(G65:G70)</f>
        <v>248</v>
      </c>
      <c r="H71" s="99">
        <f>G71+'29'!H71</f>
        <v>61764</v>
      </c>
      <c r="I71" s="154"/>
      <c r="J71" s="175">
        <f>H71/DAY(B2)</f>
        <v>2058.8000000000002</v>
      </c>
      <c r="K71" s="69"/>
      <c r="L71" s="66"/>
      <c r="N71" s="87"/>
      <c r="O71" s="71"/>
    </row>
    <row r="72" spans="1:15" s="88" customFormat="1" ht="30.75" customHeight="1">
      <c r="A72" s="904"/>
      <c r="B72" s="89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909" t="s">
        <v>333</v>
      </c>
      <c r="B73" s="910"/>
      <c r="C73" s="91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864" t="s">
        <v>220</v>
      </c>
      <c r="B74" s="865"/>
      <c r="C74" s="866"/>
      <c r="D74" s="151" t="s">
        <v>139</v>
      </c>
      <c r="E74" s="95">
        <f>'29'!F74</f>
        <v>1639</v>
      </c>
      <c r="F74" s="123">
        <v>2213</v>
      </c>
      <c r="G74" s="112">
        <f t="shared" ref="G74:G78" si="7">F74-E74</f>
        <v>574</v>
      </c>
      <c r="H74" s="99">
        <f>G74+'29'!H74</f>
        <v>8853.9699999999721</v>
      </c>
      <c r="I74" s="154"/>
      <c r="J74" s="175">
        <f>H74/DAY(B2)</f>
        <v>295.13233333333238</v>
      </c>
      <c r="K74" s="69"/>
      <c r="L74" s="66"/>
      <c r="N74" s="87"/>
      <c r="O74" s="71"/>
    </row>
    <row r="75" spans="1:15" ht="30.75" customHeight="1">
      <c r="A75" s="864" t="s">
        <v>221</v>
      </c>
      <c r="B75" s="865"/>
      <c r="C75" s="866"/>
      <c r="D75" s="151" t="s">
        <v>139</v>
      </c>
      <c r="E75" s="95">
        <f>'29'!F75</f>
        <v>73586.8</v>
      </c>
      <c r="F75" s="123">
        <v>73586.8</v>
      </c>
      <c r="G75" s="112">
        <f t="shared" si="7"/>
        <v>0</v>
      </c>
      <c r="H75" s="99">
        <f>G75+'29'!H75</f>
        <v>0.80000000000291038</v>
      </c>
      <c r="I75" s="154"/>
      <c r="J75" s="175">
        <f>H75/DAY(B2)</f>
        <v>2.6666666666763681E-2</v>
      </c>
      <c r="K75" s="69"/>
      <c r="L75" s="66"/>
      <c r="N75" s="87"/>
      <c r="O75" s="71"/>
    </row>
    <row r="76" spans="1:15" ht="30.75" customHeight="1">
      <c r="A76" s="905" t="s">
        <v>222</v>
      </c>
      <c r="B76" s="891"/>
      <c r="C76" s="892"/>
      <c r="D76" s="151" t="s">
        <v>139</v>
      </c>
      <c r="E76" s="95">
        <f>'29'!F76</f>
        <v>207160</v>
      </c>
      <c r="F76" s="123">
        <v>207272</v>
      </c>
      <c r="G76" s="112">
        <f t="shared" si="7"/>
        <v>112</v>
      </c>
      <c r="H76" s="99">
        <f>G76+'29'!H76</f>
        <v>3610</v>
      </c>
      <c r="I76" s="154"/>
      <c r="J76" s="175">
        <f>H76/DAY(B2)</f>
        <v>120.33333333333333</v>
      </c>
      <c r="K76" s="69"/>
      <c r="L76" s="66"/>
      <c r="N76" s="87"/>
      <c r="O76" s="71"/>
    </row>
    <row r="77" spans="1:15" ht="30.75" customHeight="1">
      <c r="A77" s="905" t="s">
        <v>223</v>
      </c>
      <c r="B77" s="891"/>
      <c r="C77" s="892"/>
      <c r="D77" s="151" t="s">
        <v>139</v>
      </c>
      <c r="E77" s="95">
        <f>'29'!F77</f>
        <v>58042</v>
      </c>
      <c r="F77" s="123">
        <v>58093</v>
      </c>
      <c r="G77" s="112">
        <f t="shared" si="7"/>
        <v>51</v>
      </c>
      <c r="H77" s="99">
        <f>G77+'29'!H77</f>
        <v>1571</v>
      </c>
      <c r="I77" s="154"/>
      <c r="J77" s="175">
        <f>H77/DAY(B2)</f>
        <v>52.366666666666667</v>
      </c>
      <c r="K77" s="69"/>
      <c r="L77" s="66"/>
      <c r="N77" s="87"/>
      <c r="O77" s="71"/>
    </row>
    <row r="78" spans="1:15" ht="30.75" customHeight="1">
      <c r="A78" s="905" t="s">
        <v>224</v>
      </c>
      <c r="B78" s="891"/>
      <c r="C78" s="892"/>
      <c r="D78" s="151" t="s">
        <v>139</v>
      </c>
      <c r="E78" s="95">
        <f>'29'!F78</f>
        <v>9564</v>
      </c>
      <c r="F78" s="123">
        <v>9564</v>
      </c>
      <c r="G78" s="112">
        <f t="shared" si="7"/>
        <v>0</v>
      </c>
      <c r="H78" s="99">
        <f>G78+'29'!H78</f>
        <v>-0.3999999999996362</v>
      </c>
      <c r="I78" s="118"/>
      <c r="J78" s="175">
        <f>H78/DAY(B2)</f>
        <v>-1.3333333333321207E-2</v>
      </c>
      <c r="K78" s="69"/>
      <c r="L78" s="66"/>
      <c r="N78" s="87"/>
      <c r="O78" s="71"/>
    </row>
    <row r="79" spans="1:15" s="57" customFormat="1" ht="30.75" customHeight="1">
      <c r="A79" s="905" t="s">
        <v>225</v>
      </c>
      <c r="B79" s="891"/>
      <c r="C79" s="892"/>
      <c r="D79" s="151"/>
      <c r="E79" s="95">
        <f>'29'!F79</f>
        <v>0</v>
      </c>
      <c r="F79" s="117"/>
      <c r="G79" s="112">
        <f>G15-SUM(G74:G78)</f>
        <v>477.29000000003725</v>
      </c>
      <c r="H79" s="99">
        <f>G79+'29'!H79</f>
        <v>19234.630000000026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861" t="s">
        <v>329</v>
      </c>
      <c r="B80" s="862"/>
      <c r="C80" s="863"/>
      <c r="D80" s="151"/>
      <c r="E80" s="117"/>
      <c r="F80" s="117"/>
      <c r="G80" s="112">
        <f>SUM(G74:G79)</f>
        <v>1214.2900000000373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897" t="s">
        <v>226</v>
      </c>
      <c r="B81" s="898"/>
      <c r="C81" s="899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'29'!F82</f>
        <v>0</v>
      </c>
      <c r="F82" s="122">
        <v>0</v>
      </c>
      <c r="G82" s="112">
        <f t="shared" ref="G82:G92" si="8">F82-E82</f>
        <v>0</v>
      </c>
      <c r="H82" s="99">
        <f>G82+'29'!H82</f>
        <v>0</v>
      </c>
      <c r="I82" s="545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'29'!F83</f>
        <v>0</v>
      </c>
      <c r="F83" s="122">
        <v>0</v>
      </c>
      <c r="G83" s="112">
        <f t="shared" si="8"/>
        <v>0</v>
      </c>
      <c r="H83" s="99">
        <f>G83+'29'!H83</f>
        <v>0</v>
      </c>
      <c r="I83" s="545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'29'!F84</f>
        <v>43546</v>
      </c>
      <c r="F84" s="164">
        <v>43546</v>
      </c>
      <c r="G84" s="112">
        <f t="shared" si="8"/>
        <v>0</v>
      </c>
      <c r="H84" s="99">
        <f>G84+'29'!H84</f>
        <v>2005.7900000000009</v>
      </c>
      <c r="I84" s="545"/>
      <c r="J84" s="175">
        <f>H84/DAY(B2)</f>
        <v>66.859666666666698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120">
        <f>'29'!F85</f>
        <v>5884.54</v>
      </c>
      <c r="F85" s="150">
        <v>5908.46</v>
      </c>
      <c r="G85" s="112">
        <f t="shared" si="8"/>
        <v>23.920000000000073</v>
      </c>
      <c r="H85" s="99">
        <f>G85+'29'!H85</f>
        <v>224.46000000000004</v>
      </c>
      <c r="I85" s="545"/>
      <c r="J85" s="175">
        <f>H85/DAY(B2)</f>
        <v>7.4820000000000011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'29'!F86</f>
        <v>46834</v>
      </c>
      <c r="F86" s="164">
        <v>46834</v>
      </c>
      <c r="G86" s="112">
        <f t="shared" si="8"/>
        <v>0</v>
      </c>
      <c r="H86" s="99">
        <f>G86+'29'!H86</f>
        <v>80.069999999999709</v>
      </c>
      <c r="I86" s="545"/>
      <c r="J86" s="175">
        <f>H86/DAY(B2)</f>
        <v>2.6689999999999903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'29'!F87</f>
        <v>37023.26</v>
      </c>
      <c r="F87" s="164">
        <v>37023</v>
      </c>
      <c r="G87" s="112">
        <f t="shared" si="8"/>
        <v>-0.26000000000203727</v>
      </c>
      <c r="H87" s="99">
        <f>G87+'29'!H87</f>
        <v>472.79000000000087</v>
      </c>
      <c r="I87" s="544">
        <f>G84+G85+G86+G87</f>
        <v>23.659999999998035</v>
      </c>
      <c r="J87" s="175">
        <f>H87/DAY(B2)</f>
        <v>15.759666666666696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'29'!F88</f>
        <v>24598.35</v>
      </c>
      <c r="F88" s="164">
        <v>24601</v>
      </c>
      <c r="G88" s="112">
        <f t="shared" si="8"/>
        <v>2.6500000000014552</v>
      </c>
      <c r="H88" s="99">
        <f>G88+'29'!H88</f>
        <v>89.200000000000728</v>
      </c>
      <c r="I88" s="544"/>
      <c r="J88" s="175">
        <f>H88/DAY(B2)</f>
        <v>2.9733333333333576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'29'!F89</f>
        <v>28738</v>
      </c>
      <c r="F89" s="164">
        <v>28749.13</v>
      </c>
      <c r="G89" s="112">
        <f t="shared" si="8"/>
        <v>11.130000000001019</v>
      </c>
      <c r="H89" s="99">
        <f>G89+'29'!H89</f>
        <v>247.43000000000029</v>
      </c>
      <c r="I89" s="544">
        <f>G88+G89</f>
        <v>13.780000000002474</v>
      </c>
      <c r="J89" s="175">
        <f>H89/DAY(B2)</f>
        <v>8.2476666666666762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'29'!F90</f>
        <v>74182.11</v>
      </c>
      <c r="F90" s="164">
        <v>74193</v>
      </c>
      <c r="G90" s="112">
        <f t="shared" si="8"/>
        <v>10.889999999999418</v>
      </c>
      <c r="H90" s="99">
        <f>G90+'29'!H90</f>
        <v>57</v>
      </c>
      <c r="I90" s="544">
        <f>G90</f>
        <v>10.889999999999418</v>
      </c>
      <c r="J90" s="175">
        <f>H90/DAY(B2)</f>
        <v>1.9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'29'!F91</f>
        <v>5610</v>
      </c>
      <c r="F91" s="122">
        <v>5618</v>
      </c>
      <c r="G91" s="112">
        <f t="shared" si="8"/>
        <v>8</v>
      </c>
      <c r="H91" s="99">
        <f>G91+'29'!H91</f>
        <v>265.22999999999956</v>
      </c>
      <c r="I91" s="555"/>
      <c r="J91" s="175">
        <f>H91/DAY(B2)</f>
        <v>8.8409999999999851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'29'!F92</f>
        <v>7057.7</v>
      </c>
      <c r="F92" s="122">
        <v>7068.83</v>
      </c>
      <c r="G92" s="112">
        <f t="shared" si="8"/>
        <v>11.130000000000109</v>
      </c>
      <c r="H92" s="99">
        <f>G92+'29'!H92</f>
        <v>68.829999999999927</v>
      </c>
      <c r="I92" s="556">
        <f>G91+G92</f>
        <v>19.130000000000109</v>
      </c>
      <c r="J92" s="175">
        <f>H92/DAY(B2)</f>
        <v>2.2943333333333311</v>
      </c>
      <c r="O92" s="71"/>
    </row>
    <row r="93" spans="1:15" ht="30.75" customHeight="1">
      <c r="A93" s="906" t="s">
        <v>239</v>
      </c>
      <c r="B93" s="907"/>
      <c r="C93" s="90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864" t="s">
        <v>240</v>
      </c>
      <c r="B94" s="865"/>
      <c r="C94" s="866"/>
      <c r="D94" s="151" t="s">
        <v>130</v>
      </c>
      <c r="E94" s="151"/>
      <c r="F94" s="151"/>
      <c r="G94" s="99">
        <f>G35+G43+G49+G57</f>
        <v>5723.5300000000279</v>
      </c>
      <c r="H94" s="99">
        <f>G94+'29'!H94</f>
        <v>175057.6700000001</v>
      </c>
      <c r="I94" s="118"/>
      <c r="J94" s="175">
        <f>H94/DAY(B2)</f>
        <v>5835.2556666666696</v>
      </c>
      <c r="K94" s="69"/>
      <c r="L94" s="66"/>
      <c r="O94" s="71"/>
    </row>
    <row r="95" spans="1:15" ht="30.75" customHeight="1">
      <c r="A95" s="864" t="s">
        <v>241</v>
      </c>
      <c r="B95" s="865"/>
      <c r="C95" s="866"/>
      <c r="D95" s="151" t="s">
        <v>23</v>
      </c>
      <c r="E95" s="146"/>
      <c r="F95" s="146"/>
      <c r="G95" s="166">
        <f>G94/G7</f>
        <v>0.26773466831200243</v>
      </c>
      <c r="H95" s="99">
        <f>G95+'29'!H95</f>
        <v>7.7246596410427344</v>
      </c>
      <c r="I95" s="167"/>
      <c r="J95" s="175">
        <f>H95/DAY(B2)</f>
        <v>0.25748865470142446</v>
      </c>
      <c r="K95" s="69"/>
      <c r="L95" s="66"/>
      <c r="O95" s="71"/>
    </row>
    <row r="96" spans="1:15" ht="30.75" customHeight="1">
      <c r="A96" s="864" t="s">
        <v>242</v>
      </c>
      <c r="B96" s="865"/>
      <c r="C96" s="866"/>
      <c r="D96" s="151" t="s">
        <v>130</v>
      </c>
      <c r="E96" s="95"/>
      <c r="F96" s="95"/>
      <c r="G96" s="99">
        <f>G41+G42+G55+G56</f>
        <v>4680.8200000000652</v>
      </c>
      <c r="H96" s="99">
        <f>G96+'29'!H96</f>
        <v>127515.77999999997</v>
      </c>
      <c r="I96" s="118"/>
      <c r="J96" s="175">
        <f>H96/DAY(B2)</f>
        <v>4250.5259999999989</v>
      </c>
      <c r="K96" s="69"/>
      <c r="L96" s="66"/>
      <c r="O96" s="71"/>
    </row>
    <row r="97" spans="1:15" ht="30.75" customHeight="1">
      <c r="A97" s="864" t="s">
        <v>243</v>
      </c>
      <c r="B97" s="865"/>
      <c r="C97" s="866"/>
      <c r="D97" s="151" t="s">
        <v>23</v>
      </c>
      <c r="E97" s="95"/>
      <c r="F97" s="95"/>
      <c r="G97" s="166">
        <f>G96/G7</f>
        <v>0.21895889252405396</v>
      </c>
      <c r="H97" s="99">
        <f>G97+'29'!H97</f>
        <v>5.5911021626757753</v>
      </c>
      <c r="I97" s="167"/>
      <c r="J97" s="175">
        <f>H97/DAY(B2)</f>
        <v>0.18637007208919251</v>
      </c>
      <c r="K97" s="69"/>
      <c r="L97" s="66"/>
      <c r="O97" s="71"/>
    </row>
    <row r="98" spans="1:15" ht="30.75" customHeight="1">
      <c r="A98" s="864" t="s">
        <v>244</v>
      </c>
      <c r="B98" s="865"/>
      <c r="C98" s="866"/>
      <c r="D98" s="151" t="s">
        <v>130</v>
      </c>
      <c r="E98" s="95"/>
      <c r="F98" s="95"/>
      <c r="G98" s="99">
        <f>G39+G53</f>
        <v>2631.1899999999441</v>
      </c>
      <c r="H98" s="99">
        <f>G98+'29'!H98</f>
        <v>109681.72999999998</v>
      </c>
      <c r="I98" s="168"/>
      <c r="J98" s="175">
        <f>H98/DAY(B2)</f>
        <v>3656.0576666666661</v>
      </c>
      <c r="K98" s="69"/>
      <c r="L98" s="66"/>
      <c r="O98" s="71"/>
    </row>
    <row r="99" spans="1:15" ht="30.75" customHeight="1">
      <c r="A99" s="864" t="s">
        <v>245</v>
      </c>
      <c r="B99" s="865"/>
      <c r="C99" s="866"/>
      <c r="D99" s="151" t="s">
        <v>23</v>
      </c>
      <c r="E99" s="95"/>
      <c r="F99" s="95"/>
      <c r="G99" s="166">
        <f>G98/G7</f>
        <v>0.12308152170353598</v>
      </c>
      <c r="H99" s="99">
        <f>G99+'29'!H99</f>
        <v>4.821559388447568</v>
      </c>
      <c r="I99" s="168"/>
      <c r="J99" s="175">
        <f>H99/DAY(B2)</f>
        <v>0.16071864628158561</v>
      </c>
      <c r="O99" s="71"/>
    </row>
    <row r="100" spans="1:15" ht="30.75" customHeight="1">
      <c r="A100" s="864" t="s">
        <v>246</v>
      </c>
      <c r="B100" s="865"/>
      <c r="C100" s="866"/>
      <c r="D100" s="151" t="s">
        <v>180</v>
      </c>
      <c r="E100" s="95"/>
      <c r="F100" s="95"/>
      <c r="G100" s="99">
        <f>G38+G52</f>
        <v>7190</v>
      </c>
      <c r="H100" s="99">
        <f>G100+'29'!H100</f>
        <v>63647.609999999986</v>
      </c>
      <c r="I100" s="118"/>
      <c r="J100" s="175">
        <f>H100/DAY(B2)</f>
        <v>2121.5869999999995</v>
      </c>
      <c r="K100" s="70"/>
      <c r="O100" s="71"/>
    </row>
    <row r="101" spans="1:15" ht="30.75" customHeight="1">
      <c r="A101" s="864" t="s">
        <v>247</v>
      </c>
      <c r="B101" s="865"/>
      <c r="C101" s="866"/>
      <c r="D101" s="151" t="s">
        <v>23</v>
      </c>
      <c r="E101" s="95"/>
      <c r="F101" s="95"/>
      <c r="G101" s="166">
        <f>G100/G7</f>
        <v>0.33633304362225552</v>
      </c>
      <c r="H101" s="99">
        <f>G101+'29'!H101</f>
        <v>2.8614721105010572</v>
      </c>
      <c r="I101" s="168"/>
      <c r="J101" s="175">
        <f>H101/DAY(B2)</f>
        <v>9.5382403683368575E-2</v>
      </c>
      <c r="O101" s="71"/>
    </row>
    <row r="102" spans="1:15" ht="30.75" customHeight="1">
      <c r="A102" s="864" t="s">
        <v>248</v>
      </c>
      <c r="B102" s="865"/>
      <c r="C102" s="866"/>
      <c r="D102" s="151" t="s">
        <v>180</v>
      </c>
      <c r="E102" s="95"/>
      <c r="F102" s="95"/>
      <c r="G102" s="99">
        <f>G36+G50</f>
        <v>2155</v>
      </c>
      <c r="H102" s="99">
        <f>G102+'29'!H102</f>
        <v>73905.820000000007</v>
      </c>
      <c r="I102" s="168"/>
      <c r="J102" s="175">
        <f>H102/DAY(B2)</f>
        <v>2463.5273333333334</v>
      </c>
      <c r="O102" s="71"/>
    </row>
    <row r="103" spans="1:15" ht="30.75" customHeight="1">
      <c r="A103" s="864" t="s">
        <v>249</v>
      </c>
      <c r="B103" s="865"/>
      <c r="C103" s="866"/>
      <c r="D103" s="151" t="s">
        <v>23</v>
      </c>
      <c r="E103" s="95"/>
      <c r="F103" s="95"/>
      <c r="G103" s="166">
        <f>G102/G7</f>
        <v>0.10080635730263708</v>
      </c>
      <c r="H103" s="99">
        <f>G103+'29'!H103</f>
        <v>3.252037906728368</v>
      </c>
      <c r="I103" s="118"/>
      <c r="J103" s="175">
        <f>H103/DAY(B2)</f>
        <v>0.10840126355761227</v>
      </c>
      <c r="O103" s="71"/>
    </row>
    <row r="104" spans="1:15" ht="30.75" customHeight="1">
      <c r="A104" s="864" t="s">
        <v>250</v>
      </c>
      <c r="B104" s="865"/>
      <c r="C104" s="866"/>
      <c r="D104" s="151" t="s">
        <v>180</v>
      </c>
      <c r="E104" s="95"/>
      <c r="F104" s="95"/>
      <c r="G104" s="99">
        <f>G37+G51</f>
        <v>1447.5599999999977</v>
      </c>
      <c r="H104" s="99">
        <f>G104+'29'!H104</f>
        <v>35604.760000000009</v>
      </c>
      <c r="I104" s="118"/>
      <c r="J104" s="175">
        <f>H104/DAY(B2)</f>
        <v>1186.8253333333337</v>
      </c>
      <c r="O104" s="71"/>
    </row>
    <row r="105" spans="1:15" ht="30.75" customHeight="1" thickBot="1">
      <c r="A105" s="901" t="s">
        <v>251</v>
      </c>
      <c r="B105" s="902"/>
      <c r="C105" s="903"/>
      <c r="D105" s="231" t="s">
        <v>23</v>
      </c>
      <c r="E105" s="185"/>
      <c r="F105" s="185"/>
      <c r="G105" s="186">
        <f>G104/G7</f>
        <v>6.7713805372160138E-2</v>
      </c>
      <c r="H105" s="99">
        <f>G105+'29'!H105</f>
        <v>1.5853026865659547</v>
      </c>
      <c r="I105" s="187"/>
      <c r="J105" s="188">
        <f>H105/DAY(B2)</f>
        <v>5.2843422885531822E-2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915" t="s">
        <v>324</v>
      </c>
      <c r="B108" s="915"/>
      <c r="C108" s="915"/>
      <c r="D108" s="915"/>
      <c r="E108" s="915"/>
      <c r="F108" s="915"/>
      <c r="G108" s="915"/>
      <c r="H108" s="915"/>
      <c r="I108" s="915"/>
      <c r="J108" s="915"/>
    </row>
    <row r="109" spans="1:15" ht="30.75" customHeight="1">
      <c r="A109" s="900"/>
      <c r="B109" s="900"/>
    </row>
    <row r="110" spans="1:15" ht="30.75" customHeight="1">
      <c r="A110" s="916" t="s">
        <v>165</v>
      </c>
      <c r="B110" s="917"/>
      <c r="C110" s="917"/>
      <c r="D110" s="917"/>
      <c r="E110" s="917"/>
      <c r="F110" s="917"/>
      <c r="G110" s="917"/>
      <c r="H110" s="917"/>
      <c r="I110" s="917"/>
      <c r="J110" s="918"/>
    </row>
    <row r="111" spans="1:15" ht="30.75" customHeight="1">
      <c r="A111" s="919"/>
      <c r="B111" s="920"/>
      <c r="C111" s="921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894" t="s">
        <v>252</v>
      </c>
      <c r="B112" s="895"/>
      <c r="C112" s="896"/>
      <c r="D112" s="146" t="s">
        <v>183</v>
      </c>
      <c r="E112" s="95">
        <f>'29'!F112</f>
        <v>17391.54</v>
      </c>
      <c r="F112" s="237">
        <v>17451.5</v>
      </c>
      <c r="G112" s="112">
        <f t="shared" ref="G112:G123" si="9">F112-E112</f>
        <v>59.959999999999127</v>
      </c>
      <c r="H112" s="99">
        <f>G112+'29'!H112</f>
        <v>1837.7000000000007</v>
      </c>
      <c r="I112" s="165"/>
      <c r="J112" s="328">
        <f>H112/DAY(B2)</f>
        <v>61.256666666666689</v>
      </c>
    </row>
    <row r="113" spans="1:18" ht="30.75" customHeight="1">
      <c r="A113" s="894" t="s">
        <v>253</v>
      </c>
      <c r="B113" s="895"/>
      <c r="C113" s="896"/>
      <c r="D113" s="146" t="s">
        <v>183</v>
      </c>
      <c r="E113" s="95">
        <f>'29'!F113</f>
        <v>36773</v>
      </c>
      <c r="F113" s="237">
        <v>36929</v>
      </c>
      <c r="G113" s="112">
        <f t="shared" si="9"/>
        <v>156</v>
      </c>
      <c r="H113" s="99">
        <f>G113+'29'!H113</f>
        <v>4478.3300000000017</v>
      </c>
      <c r="I113" s="165"/>
      <c r="J113" s="328">
        <f>H113/DAY(B2)</f>
        <v>149.27766666666673</v>
      </c>
    </row>
    <row r="114" spans="1:18" ht="30.75" customHeight="1">
      <c r="A114" s="894" t="s">
        <v>254</v>
      </c>
      <c r="B114" s="895"/>
      <c r="C114" s="896"/>
      <c r="D114" s="146" t="s">
        <v>183</v>
      </c>
      <c r="E114" s="95">
        <f>'29'!F114</f>
        <v>53850</v>
      </c>
      <c r="F114" s="237">
        <v>54043</v>
      </c>
      <c r="G114" s="112">
        <f t="shared" si="9"/>
        <v>193</v>
      </c>
      <c r="H114" s="99">
        <f>G114+'29'!H114</f>
        <v>6076.6999999999971</v>
      </c>
      <c r="I114" s="165"/>
      <c r="J114" s="328">
        <f>H114/DAY(B2)</f>
        <v>202.55666666666656</v>
      </c>
    </row>
    <row r="115" spans="1:18" ht="30.75" customHeight="1">
      <c r="A115" s="894" t="s">
        <v>255</v>
      </c>
      <c r="B115" s="895"/>
      <c r="C115" s="896"/>
      <c r="D115" s="146" t="s">
        <v>183</v>
      </c>
      <c r="E115" s="95">
        <f>'29'!F115</f>
        <v>34677.19</v>
      </c>
      <c r="F115" s="237">
        <v>34815</v>
      </c>
      <c r="G115" s="112">
        <f t="shared" si="9"/>
        <v>137.80999999999767</v>
      </c>
      <c r="H115" s="99">
        <f>G115+'29'!H115</f>
        <v>4378.5999999999985</v>
      </c>
      <c r="I115" s="165"/>
      <c r="J115" s="328">
        <f>H115/DAY(B2)</f>
        <v>145.95333333333329</v>
      </c>
    </row>
    <row r="116" spans="1:18" ht="30.75" customHeight="1">
      <c r="A116" s="912" t="s">
        <v>96</v>
      </c>
      <c r="B116" s="913"/>
      <c r="C116" s="914"/>
      <c r="D116" s="146" t="s">
        <v>183</v>
      </c>
      <c r="E116" s="95">
        <f>'29'!F116</f>
        <v>133762</v>
      </c>
      <c r="F116" s="237">
        <v>134006</v>
      </c>
      <c r="G116" s="112">
        <f t="shared" si="9"/>
        <v>244</v>
      </c>
      <c r="H116" s="99">
        <f>G116+'29'!H116</f>
        <v>11145.800000000003</v>
      </c>
      <c r="I116" s="165"/>
      <c r="J116" s="328">
        <f>H116/DAY(B2)</f>
        <v>371.52666666666676</v>
      </c>
      <c r="Q116" s="894" t="s">
        <v>311</v>
      </c>
      <c r="R116" s="896"/>
    </row>
    <row r="117" spans="1:18" ht="30.75" customHeight="1">
      <c r="A117" s="912" t="s">
        <v>184</v>
      </c>
      <c r="B117" s="913"/>
      <c r="C117" s="914"/>
      <c r="D117" s="146" t="s">
        <v>183</v>
      </c>
      <c r="E117" s="95">
        <f>'29'!F117</f>
        <v>82142.429999999993</v>
      </c>
      <c r="F117" s="237">
        <v>82492</v>
      </c>
      <c r="G117" s="112">
        <f t="shared" si="9"/>
        <v>349.57000000000698</v>
      </c>
      <c r="H117" s="99">
        <f>G117+'29'!H117</f>
        <v>8510.8000000000029</v>
      </c>
      <c r="I117" s="165"/>
      <c r="J117" s="328">
        <f>H117/DAY(B2)</f>
        <v>283.69333333333344</v>
      </c>
      <c r="Q117" s="894" t="s">
        <v>312</v>
      </c>
      <c r="R117" s="896"/>
    </row>
    <row r="118" spans="1:18" ht="30.75" customHeight="1">
      <c r="A118" s="889" t="s">
        <v>97</v>
      </c>
      <c r="B118" s="889"/>
      <c r="C118" s="889"/>
      <c r="D118" s="151" t="s">
        <v>183</v>
      </c>
      <c r="E118" s="95">
        <f>'29'!F118</f>
        <v>156869</v>
      </c>
      <c r="F118" s="237">
        <v>157497</v>
      </c>
      <c r="G118" s="112">
        <f t="shared" si="9"/>
        <v>628</v>
      </c>
      <c r="H118" s="99">
        <f>G118+'29'!H118</f>
        <v>18684.549999999988</v>
      </c>
      <c r="I118" s="165"/>
      <c r="J118" s="328">
        <f>H118/DAY(B2)</f>
        <v>622.81833333333293</v>
      </c>
      <c r="Q118" s="894" t="s">
        <v>311</v>
      </c>
      <c r="R118" s="896"/>
    </row>
    <row r="119" spans="1:18" ht="30.75" customHeight="1">
      <c r="A119" s="889" t="s">
        <v>98</v>
      </c>
      <c r="B119" s="889"/>
      <c r="C119" s="889"/>
      <c r="D119" s="151" t="s">
        <v>183</v>
      </c>
      <c r="E119" s="95">
        <f>'29'!F119</f>
        <v>43869</v>
      </c>
      <c r="F119" s="237">
        <v>43904.84</v>
      </c>
      <c r="G119" s="112">
        <f t="shared" si="9"/>
        <v>35.839999999996508</v>
      </c>
      <c r="H119" s="99">
        <f>G119+'29'!H119</f>
        <v>551.13999999999942</v>
      </c>
      <c r="I119" s="165"/>
      <c r="J119" s="328">
        <f>H119/DAY(B2)</f>
        <v>18.371333333333315</v>
      </c>
    </row>
    <row r="120" spans="1:18" ht="30.75" customHeight="1">
      <c r="A120" s="889" t="s">
        <v>99</v>
      </c>
      <c r="B120" s="889"/>
      <c r="C120" s="889"/>
      <c r="D120" s="151" t="s">
        <v>183</v>
      </c>
      <c r="E120" s="95">
        <f>'29'!F120</f>
        <v>107636</v>
      </c>
      <c r="F120" s="237">
        <v>108045</v>
      </c>
      <c r="G120" s="112">
        <f t="shared" si="9"/>
        <v>409</v>
      </c>
      <c r="H120" s="99">
        <f>G120+'29'!H120</f>
        <v>12337.399999999994</v>
      </c>
      <c r="I120" s="165"/>
      <c r="J120" s="328">
        <f>H120/DAY(B2)</f>
        <v>411.2466666666665</v>
      </c>
    </row>
    <row r="121" spans="1:18" ht="30.75" customHeight="1">
      <c r="A121" s="889" t="s">
        <v>100</v>
      </c>
      <c r="B121" s="889"/>
      <c r="C121" s="889"/>
      <c r="D121" s="151" t="s">
        <v>183</v>
      </c>
      <c r="E121" s="95">
        <f>'29'!F121</f>
        <v>120391</v>
      </c>
      <c r="F121" s="237">
        <v>120814.21</v>
      </c>
      <c r="G121" s="112">
        <f t="shared" si="9"/>
        <v>423.2100000000064</v>
      </c>
      <c r="H121" s="99">
        <f>G121+'29'!H121</f>
        <v>12985.160000000003</v>
      </c>
      <c r="I121" s="165"/>
      <c r="J121" s="328">
        <f>H121/DAY(B2)</f>
        <v>432.83866666666677</v>
      </c>
    </row>
    <row r="122" spans="1:18" ht="30.75" customHeight="1">
      <c r="A122" s="889" t="s">
        <v>101</v>
      </c>
      <c r="B122" s="889"/>
      <c r="C122" s="889"/>
      <c r="D122" s="151" t="s">
        <v>183</v>
      </c>
      <c r="E122" s="95">
        <f>'29'!F122</f>
        <v>80678.69</v>
      </c>
      <c r="F122" s="237">
        <v>80976.67</v>
      </c>
      <c r="G122" s="112">
        <f t="shared" si="9"/>
        <v>297.97999999999593</v>
      </c>
      <c r="H122" s="99">
        <f>G122+'29'!H122</f>
        <v>9938.7700000000041</v>
      </c>
      <c r="I122" s="165"/>
      <c r="J122" s="328">
        <f>H122/DAY(B2)</f>
        <v>331.29233333333349</v>
      </c>
    </row>
    <row r="123" spans="1:18" ht="30.75" customHeight="1">
      <c r="A123" s="889" t="s">
        <v>102</v>
      </c>
      <c r="B123" s="889"/>
      <c r="C123" s="889"/>
      <c r="D123" s="151" t="s">
        <v>183</v>
      </c>
      <c r="E123" s="95">
        <f>'29'!F123</f>
        <v>77430.679999999993</v>
      </c>
      <c r="F123" s="237">
        <v>77731</v>
      </c>
      <c r="G123" s="112">
        <f t="shared" si="9"/>
        <v>300.32000000000698</v>
      </c>
      <c r="H123" s="99">
        <f>G123+'29'!H123</f>
        <v>9373.6999999999971</v>
      </c>
      <c r="I123" s="165"/>
      <c r="J123" s="328">
        <f>H123/DAY(B2)</f>
        <v>312.45666666666659</v>
      </c>
    </row>
    <row r="124" spans="1:18" ht="30.75" customHeight="1">
      <c r="A124" s="919"/>
      <c r="B124" s="920"/>
      <c r="C124" s="921"/>
      <c r="D124" s="165"/>
      <c r="E124" s="95">
        <f>'29'!F124</f>
        <v>0</v>
      </c>
      <c r="F124" s="165"/>
      <c r="G124" s="327"/>
      <c r="H124" s="99">
        <f>G124+'29'!H124</f>
        <v>0</v>
      </c>
      <c r="I124" s="165"/>
      <c r="J124" s="327"/>
    </row>
    <row r="125" spans="1:18" ht="30.75" customHeight="1">
      <c r="A125" s="853" t="s">
        <v>196</v>
      </c>
      <c r="B125" s="854"/>
      <c r="C125" s="245"/>
      <c r="D125" s="307"/>
      <c r="E125" s="308"/>
      <c r="F125" s="308"/>
      <c r="G125" s="309">
        <f>SUM(G112:G124)</f>
        <v>3234.6900000000096</v>
      </c>
      <c r="H125" s="156"/>
      <c r="I125" s="327">
        <f>G125-(G39+G53)</f>
        <v>603.50000000006548</v>
      </c>
      <c r="J125" s="327"/>
    </row>
    <row r="126" spans="1:18" ht="30.75" customHeight="1">
      <c r="A126" s="922" t="s">
        <v>317</v>
      </c>
      <c r="B126" s="922"/>
      <c r="C126" s="922"/>
      <c r="D126" s="922"/>
      <c r="E126" s="922"/>
      <c r="F126" s="922"/>
      <c r="G126" s="922"/>
      <c r="H126" s="922"/>
      <c r="I126" s="922"/>
      <c r="J126" s="922"/>
    </row>
    <row r="127" spans="1:18" ht="30.75" customHeight="1">
      <c r="A127" s="923"/>
      <c r="B127" s="923"/>
      <c r="C127" s="245"/>
      <c r="D127" s="307"/>
      <c r="E127" s="308"/>
      <c r="F127" s="308"/>
      <c r="G127" s="309"/>
      <c r="H127" s="99">
        <f>G127+'29'!H127</f>
        <v>0</v>
      </c>
      <c r="I127" s="165"/>
      <c r="J127" s="328">
        <f>H127/DAY(B2)</f>
        <v>0</v>
      </c>
    </row>
    <row r="128" spans="1:18" ht="30.75" customHeight="1">
      <c r="A128" s="894" t="s">
        <v>318</v>
      </c>
      <c r="B128" s="895"/>
      <c r="C128" s="896"/>
      <c r="D128" s="151" t="s">
        <v>183</v>
      </c>
      <c r="E128" s="95">
        <f>'29'!F128</f>
        <v>190931.08</v>
      </c>
      <c r="F128" s="165">
        <v>191394</v>
      </c>
      <c r="G128" s="112">
        <f t="shared" ref="G128:G134" si="10">F128-E128</f>
        <v>462.92000000001281</v>
      </c>
      <c r="H128" s="99">
        <f>G128+'29'!H128</f>
        <v>11982.149999999994</v>
      </c>
      <c r="I128" s="165"/>
      <c r="J128" s="328">
        <f>H128/DAY(B2)</f>
        <v>399.4049999999998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'29'!F129</f>
        <v>100952.76</v>
      </c>
      <c r="F129" s="165">
        <v>101107</v>
      </c>
      <c r="G129" s="112">
        <f t="shared" si="10"/>
        <v>154.24000000000524</v>
      </c>
      <c r="H129" s="99">
        <f>G129+'29'!H129</f>
        <v>5077.5</v>
      </c>
      <c r="I129" s="165"/>
      <c r="J129" s="328">
        <f>H129/DAY(B2)</f>
        <v>169.25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'29'!F130</f>
        <v>266410</v>
      </c>
      <c r="F130" s="165">
        <v>266932</v>
      </c>
      <c r="G130" s="112">
        <f t="shared" si="10"/>
        <v>522</v>
      </c>
      <c r="H130" s="99">
        <f>G130+'29'!H130</f>
        <v>20092.25</v>
      </c>
      <c r="I130" s="165"/>
      <c r="J130" s="328">
        <f>H130/DAY(B2)</f>
        <v>669.74166666666667</v>
      </c>
      <c r="N130" s="240"/>
      <c r="O130" s="241"/>
    </row>
    <row r="131" spans="1:15" ht="30.75" customHeight="1">
      <c r="A131" s="894" t="s">
        <v>321</v>
      </c>
      <c r="B131" s="895"/>
      <c r="C131" s="896"/>
      <c r="D131" s="151" t="s">
        <v>183</v>
      </c>
      <c r="E131" s="95">
        <f>'29'!F131</f>
        <v>79273.054999999993</v>
      </c>
      <c r="F131" s="165">
        <v>79388</v>
      </c>
      <c r="G131" s="112">
        <f t="shared" si="10"/>
        <v>114.94500000000698</v>
      </c>
      <c r="H131" s="99">
        <f>G131+'29'!H131</f>
        <v>5877.3999999999942</v>
      </c>
      <c r="I131" s="165"/>
      <c r="J131" s="328">
        <f>H131/DAY(B2)</f>
        <v>195.91333333333313</v>
      </c>
      <c r="N131" s="240"/>
      <c r="O131" s="241"/>
    </row>
    <row r="132" spans="1:15" ht="30.75" customHeight="1">
      <c r="A132" s="894" t="s">
        <v>322</v>
      </c>
      <c r="B132" s="895"/>
      <c r="C132" s="896"/>
      <c r="D132" s="151" t="s">
        <v>183</v>
      </c>
      <c r="E132" s="120">
        <f>'29'!F132</f>
        <v>148274</v>
      </c>
      <c r="F132" s="464">
        <v>148274</v>
      </c>
      <c r="G132" s="112">
        <f t="shared" si="10"/>
        <v>0</v>
      </c>
      <c r="H132" s="99">
        <f>G132+'29'!H132</f>
        <v>1289</v>
      </c>
      <c r="I132" s="165"/>
      <c r="J132" s="328">
        <f>H132/DAY(B2)</f>
        <v>42.966666666666669</v>
      </c>
    </row>
    <row r="133" spans="1:15" ht="30.75" customHeight="1">
      <c r="A133" s="894" t="s">
        <v>359</v>
      </c>
      <c r="B133" s="895"/>
      <c r="C133" s="896"/>
      <c r="D133" s="151" t="s">
        <v>183</v>
      </c>
      <c r="E133" s="95">
        <f>'29'!F133</f>
        <v>932039</v>
      </c>
      <c r="F133" s="165">
        <v>932255</v>
      </c>
      <c r="G133" s="112">
        <f t="shared" si="10"/>
        <v>216</v>
      </c>
      <c r="H133" s="99">
        <f>G133+'29'!H133</f>
        <v>22011</v>
      </c>
      <c r="I133" s="165"/>
      <c r="J133" s="328">
        <f>H133/DAY(B2)</f>
        <v>733.7</v>
      </c>
    </row>
    <row r="134" spans="1:15" ht="30.75" customHeight="1">
      <c r="A134" s="894" t="s">
        <v>340</v>
      </c>
      <c r="B134" s="895"/>
      <c r="C134" s="896"/>
      <c r="D134" s="151" t="s">
        <v>183</v>
      </c>
      <c r="E134" s="95">
        <f>'29'!F134</f>
        <v>85426</v>
      </c>
      <c r="F134" s="466">
        <v>85688</v>
      </c>
      <c r="G134" s="112">
        <f t="shared" si="10"/>
        <v>262</v>
      </c>
      <c r="H134" s="99">
        <f>G134+'29'!H134</f>
        <v>6928.3999999999942</v>
      </c>
      <c r="I134" s="165"/>
      <c r="J134" s="328">
        <f>H134/DAY(B2)</f>
        <v>230.94666666666646</v>
      </c>
    </row>
    <row r="135" spans="1:15" ht="30.75" customHeight="1">
      <c r="A135" s="853" t="s">
        <v>196</v>
      </c>
      <c r="B135" s="854"/>
      <c r="C135" s="331"/>
      <c r="D135" s="151"/>
      <c r="E135" s="95"/>
      <c r="F135" s="165"/>
      <c r="G135" s="112">
        <f>SUM(G128:G134)</f>
        <v>1732.105000000025</v>
      </c>
      <c r="H135" s="99">
        <f>G135+'23'!H135</f>
        <v>28758.575000000012</v>
      </c>
      <c r="I135" s="327">
        <f>G135-(G35+G49)</f>
        <v>-1503.4250000000029</v>
      </c>
      <c r="J135" s="328">
        <f>H135/DAY(B2)</f>
        <v>958.61916666666707</v>
      </c>
    </row>
    <row r="136" spans="1:15" ht="30.75" customHeight="1">
      <c r="A136" s="924" t="s">
        <v>325</v>
      </c>
      <c r="B136" s="924"/>
      <c r="C136" s="924"/>
      <c r="D136" s="924"/>
      <c r="E136" s="924"/>
      <c r="F136" s="924"/>
      <c r="G136" s="924"/>
      <c r="H136" s="924"/>
      <c r="I136" s="924"/>
      <c r="J136" s="924"/>
    </row>
    <row r="137" spans="1:15" ht="30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>
      <c r="A138" s="889" t="s">
        <v>185</v>
      </c>
      <c r="B138" s="889"/>
      <c r="C138" s="889"/>
      <c r="D138" s="151" t="s">
        <v>183</v>
      </c>
      <c r="E138" s="95">
        <f>'29'!F138</f>
        <v>909235</v>
      </c>
      <c r="F138" s="147">
        <v>909347</v>
      </c>
      <c r="G138" s="112">
        <f t="shared" ref="G138:G152" si="11">F138-E138</f>
        <v>112</v>
      </c>
      <c r="H138" s="99">
        <f>G138+'29'!H138</f>
        <v>3720</v>
      </c>
      <c r="I138" s="118"/>
      <c r="J138" s="328">
        <f>H138/DAY(B2)</f>
        <v>124</v>
      </c>
    </row>
    <row r="139" spans="1:15" ht="30.75" customHeight="1">
      <c r="A139" s="889" t="s">
        <v>186</v>
      </c>
      <c r="B139" s="889"/>
      <c r="C139" s="889"/>
      <c r="D139" s="151" t="s">
        <v>183</v>
      </c>
      <c r="E139" s="95">
        <f>'29'!F139</f>
        <v>932039</v>
      </c>
      <c r="F139" s="148">
        <v>932201</v>
      </c>
      <c r="G139" s="112">
        <f t="shared" si="11"/>
        <v>162</v>
      </c>
      <c r="H139" s="99">
        <f>G139+'29'!H139</f>
        <v>4920</v>
      </c>
      <c r="I139" s="118"/>
      <c r="J139" s="328">
        <f>H139/DAY(B2)</f>
        <v>164</v>
      </c>
    </row>
    <row r="140" spans="1:15" ht="30.75" customHeight="1">
      <c r="A140" s="889" t="s">
        <v>187</v>
      </c>
      <c r="B140" s="889"/>
      <c r="C140" s="889"/>
      <c r="D140" s="151" t="s">
        <v>183</v>
      </c>
      <c r="E140" s="95">
        <f>'29'!F140</f>
        <v>4000.55</v>
      </c>
      <c r="F140" s="149">
        <v>4016.51</v>
      </c>
      <c r="G140" s="112">
        <f t="shared" si="11"/>
        <v>15.960000000000036</v>
      </c>
      <c r="H140" s="99">
        <f>G140+'29'!H140</f>
        <v>685.93000000000029</v>
      </c>
      <c r="I140" s="118"/>
      <c r="J140" s="328">
        <f>H140/DAY(B2)</f>
        <v>22.864333333333342</v>
      </c>
    </row>
    <row r="141" spans="1:15" ht="30.75" customHeight="1">
      <c r="A141" s="893" t="s">
        <v>188</v>
      </c>
      <c r="B141" s="893"/>
      <c r="C141" s="893"/>
      <c r="D141" s="151" t="s">
        <v>183</v>
      </c>
      <c r="E141" s="95">
        <f>'29'!F141</f>
        <v>124179</v>
      </c>
      <c r="F141" s="149">
        <v>124371</v>
      </c>
      <c r="G141" s="112">
        <f t="shared" si="11"/>
        <v>192</v>
      </c>
      <c r="H141" s="99">
        <f>G141+'29'!H141</f>
        <v>6813.0200000000041</v>
      </c>
      <c r="I141" s="118"/>
      <c r="J141" s="328">
        <f>H141/DAY(B2)</f>
        <v>227.1006666666668</v>
      </c>
    </row>
    <row r="142" spans="1:15" ht="30.75" customHeight="1">
      <c r="A142" s="893" t="s">
        <v>189</v>
      </c>
      <c r="B142" s="893"/>
      <c r="C142" s="893"/>
      <c r="D142" s="151" t="s">
        <v>183</v>
      </c>
      <c r="E142" s="95">
        <f>'29'!F142</f>
        <v>50353</v>
      </c>
      <c r="F142" s="148">
        <v>50450.59</v>
      </c>
      <c r="G142" s="112">
        <f t="shared" si="11"/>
        <v>97.589999999996508</v>
      </c>
      <c r="H142" s="99">
        <f>G142+'29'!H142</f>
        <v>2946.0899999999965</v>
      </c>
      <c r="I142" s="140"/>
      <c r="J142" s="328">
        <f>H142/DAY(B2)</f>
        <v>98.202999999999889</v>
      </c>
    </row>
    <row r="143" spans="1:15" ht="30.75" customHeight="1">
      <c r="A143" s="889" t="s">
        <v>91</v>
      </c>
      <c r="B143" s="889"/>
      <c r="C143" s="889"/>
      <c r="D143" s="151" t="s">
        <v>183</v>
      </c>
      <c r="E143" s="95">
        <f>'29'!F143</f>
        <v>13323</v>
      </c>
      <c r="F143" s="149">
        <v>13359.53</v>
      </c>
      <c r="G143" s="112">
        <f t="shared" si="11"/>
        <v>36.530000000000655</v>
      </c>
      <c r="H143" s="99">
        <f>G143+'29'!H143</f>
        <v>944.13000000000102</v>
      </c>
      <c r="I143" s="140"/>
      <c r="J143" s="328">
        <f>H143/DAY(B2)</f>
        <v>31.471000000000036</v>
      </c>
    </row>
    <row r="144" spans="1:15" ht="30.75" customHeight="1">
      <c r="A144" s="893" t="s">
        <v>90</v>
      </c>
      <c r="B144" s="893"/>
      <c r="C144" s="893"/>
      <c r="D144" s="151" t="s">
        <v>183</v>
      </c>
      <c r="E144" s="95">
        <f>'29'!F144</f>
        <v>954954</v>
      </c>
      <c r="F144" s="149">
        <v>955226</v>
      </c>
      <c r="G144" s="112">
        <f t="shared" si="11"/>
        <v>272</v>
      </c>
      <c r="H144" s="99">
        <f>G144+'29'!H144</f>
        <v>7028</v>
      </c>
      <c r="I144" s="140"/>
      <c r="J144" s="328">
        <f>H144/DAY(B2)</f>
        <v>234.26666666666668</v>
      </c>
    </row>
    <row r="145" spans="1:10" ht="30.75" customHeight="1">
      <c r="A145" s="889" t="s">
        <v>190</v>
      </c>
      <c r="B145" s="889"/>
      <c r="C145" s="889"/>
      <c r="D145" s="152" t="s">
        <v>183</v>
      </c>
      <c r="E145" s="95">
        <f>'29'!F145</f>
        <v>26866.7</v>
      </c>
      <c r="F145" s="149">
        <v>26951</v>
      </c>
      <c r="G145" s="112">
        <f t="shared" si="11"/>
        <v>84.299999999999272</v>
      </c>
      <c r="H145" s="99">
        <f>G145+'29'!H145</f>
        <v>4354.9000000000015</v>
      </c>
      <c r="I145" s="140"/>
      <c r="J145" s="328">
        <f>H145/DAY(B2)</f>
        <v>145.16333333333338</v>
      </c>
    </row>
    <row r="146" spans="1:10" ht="30.75" customHeight="1">
      <c r="A146" s="890" t="s">
        <v>191</v>
      </c>
      <c r="B146" s="891"/>
      <c r="C146" s="892"/>
      <c r="D146" s="152" t="s">
        <v>183</v>
      </c>
      <c r="E146" s="95">
        <f>'29'!F146</f>
        <v>787787</v>
      </c>
      <c r="F146" s="148">
        <v>787832</v>
      </c>
      <c r="G146" s="112">
        <f t="shared" si="11"/>
        <v>45</v>
      </c>
      <c r="H146" s="99">
        <f>G146+'29'!H146</f>
        <v>1164</v>
      </c>
      <c r="I146" s="140"/>
      <c r="J146" s="328">
        <f>H146/DAY(B2)</f>
        <v>38.799999999999997</v>
      </c>
    </row>
    <row r="147" spans="1:10" ht="30.75" customHeight="1">
      <c r="A147" s="893" t="s">
        <v>192</v>
      </c>
      <c r="B147" s="893"/>
      <c r="C147" s="893"/>
      <c r="D147" s="152" t="s">
        <v>183</v>
      </c>
      <c r="E147" s="95">
        <f>'29'!F147</f>
        <v>759355</v>
      </c>
      <c r="F147" s="148">
        <v>759716.32</v>
      </c>
      <c r="G147" s="112">
        <f t="shared" si="11"/>
        <v>361.31999999994878</v>
      </c>
      <c r="H147" s="99">
        <f>G147+'29'!H147</f>
        <v>12162.159999999916</v>
      </c>
      <c r="I147" s="140"/>
      <c r="J147" s="328">
        <f>H147/DAY(B2)</f>
        <v>405.40533333333053</v>
      </c>
    </row>
    <row r="148" spans="1:10" ht="30.75" customHeight="1">
      <c r="A148" s="886" t="s">
        <v>193</v>
      </c>
      <c r="B148" s="887"/>
      <c r="C148" s="888"/>
      <c r="D148" s="123" t="s">
        <v>130</v>
      </c>
      <c r="E148" s="95">
        <f>'29'!F148</f>
        <v>795983.2</v>
      </c>
      <c r="F148" s="150">
        <v>796031.52</v>
      </c>
      <c r="G148" s="112">
        <f t="shared" si="11"/>
        <v>48.320000000065193</v>
      </c>
      <c r="H148" s="99">
        <f>G148+'29'!H148</f>
        <v>11386.520000000019</v>
      </c>
      <c r="I148" s="124"/>
      <c r="J148" s="328">
        <f>H148/DAY(B2)</f>
        <v>379.55066666666727</v>
      </c>
    </row>
    <row r="149" spans="1:10" ht="30.75" customHeight="1">
      <c r="A149" s="886" t="s">
        <v>336</v>
      </c>
      <c r="B149" s="887"/>
      <c r="C149" s="888"/>
      <c r="D149" s="227" t="s">
        <v>130</v>
      </c>
      <c r="E149" s="146">
        <v>99729.31</v>
      </c>
      <c r="F149" s="146">
        <v>100310</v>
      </c>
      <c r="G149" s="112">
        <f t="shared" si="11"/>
        <v>580.69000000000233</v>
      </c>
      <c r="H149" s="99">
        <f>G149+'29'!H149</f>
        <v>14935.129999999976</v>
      </c>
      <c r="I149" s="119"/>
      <c r="J149" s="328">
        <f>H149/DAY(B2)</f>
        <v>497.83766666666583</v>
      </c>
    </row>
    <row r="150" spans="1:10" ht="30.75" customHeight="1">
      <c r="A150" s="886" t="s">
        <v>337</v>
      </c>
      <c r="B150" s="887"/>
      <c r="C150" s="888"/>
      <c r="D150" s="117" t="s">
        <v>130</v>
      </c>
      <c r="E150" s="95">
        <f>'29'!F150</f>
        <v>84495</v>
      </c>
      <c r="F150" s="233">
        <v>85131</v>
      </c>
      <c r="G150" s="112">
        <f t="shared" si="11"/>
        <v>636</v>
      </c>
      <c r="H150" s="99">
        <f>G150+'29'!H150</f>
        <v>8242.6999999999971</v>
      </c>
      <c r="I150" s="119"/>
      <c r="J150" s="328">
        <f>H150/DAY(B2)</f>
        <v>274.75666666666655</v>
      </c>
    </row>
    <row r="151" spans="1:10" ht="30.75" customHeight="1">
      <c r="A151" s="886" t="s">
        <v>338</v>
      </c>
      <c r="B151" s="887"/>
      <c r="C151" s="888"/>
      <c r="D151" s="117" t="s">
        <v>130</v>
      </c>
      <c r="E151" s="95">
        <f>'29'!F151</f>
        <v>166158</v>
      </c>
      <c r="F151" s="233">
        <v>166451</v>
      </c>
      <c r="G151" s="112">
        <f t="shared" si="11"/>
        <v>293</v>
      </c>
      <c r="H151" s="99">
        <f>G151+'29'!H151</f>
        <v>8141</v>
      </c>
      <c r="I151" s="119"/>
      <c r="J151" s="328">
        <f>H151/DAY(B2)</f>
        <v>271.36666666666667</v>
      </c>
    </row>
    <row r="152" spans="1:10" ht="30.75" customHeight="1">
      <c r="A152" s="886" t="s">
        <v>339</v>
      </c>
      <c r="B152" s="887"/>
      <c r="C152" s="888"/>
      <c r="D152" s="117" t="s">
        <v>130</v>
      </c>
      <c r="E152" s="95">
        <f>'29'!F152</f>
        <v>42256.855000000003</v>
      </c>
      <c r="F152" s="233">
        <v>42384.800000000003</v>
      </c>
      <c r="G152" s="112">
        <f t="shared" si="11"/>
        <v>127.94499999999971</v>
      </c>
      <c r="H152" s="99">
        <f>G152+'29'!H152</f>
        <v>3768.9000000000015</v>
      </c>
      <c r="I152" s="119"/>
      <c r="J152" s="328">
        <f>H152/DAY(B2)</f>
        <v>125.63000000000005</v>
      </c>
    </row>
    <row r="153" spans="1:10" ht="30.75" customHeight="1">
      <c r="A153" s="853" t="s">
        <v>196</v>
      </c>
      <c r="B153" s="854"/>
      <c r="C153" s="365"/>
      <c r="D153" s="358"/>
      <c r="E153" s="360"/>
      <c r="F153" s="361"/>
      <c r="G153" s="362">
        <f>SUM(G138:G152)</f>
        <v>3064.6550000000125</v>
      </c>
      <c r="H153" s="363"/>
      <c r="I153" s="119">
        <f>G153-(G38+G52)</f>
        <v>-4125.3449999999875</v>
      </c>
      <c r="J153" s="366"/>
    </row>
    <row r="154" spans="1:10" ht="30.75" customHeight="1">
      <c r="A154" s="924" t="s">
        <v>344</v>
      </c>
      <c r="B154" s="924"/>
      <c r="C154" s="924"/>
      <c r="D154" s="924"/>
      <c r="E154" s="924"/>
      <c r="F154" s="924"/>
      <c r="G154" s="924"/>
      <c r="H154" s="924"/>
      <c r="I154" s="924"/>
      <c r="J154" s="924"/>
    </row>
    <row r="155" spans="1:10" ht="30.75" customHeight="1">
      <c r="A155" s="893" t="s">
        <v>345</v>
      </c>
      <c r="B155" s="893"/>
      <c r="C155" s="893"/>
      <c r="D155" s="117" t="s">
        <v>130</v>
      </c>
      <c r="E155" s="95">
        <f>'29'!F155</f>
        <v>237858</v>
      </c>
      <c r="F155" s="374">
        <v>238474.39</v>
      </c>
      <c r="G155" s="112">
        <f t="shared" ref="G155:G158" si="12">F155-E155</f>
        <v>616.39000000001397</v>
      </c>
      <c r="H155" s="99">
        <f>G155+'29'!H155</f>
        <v>18486.690000000002</v>
      </c>
      <c r="I155" s="364"/>
      <c r="J155" s="328">
        <f>H155/DAY(B2)</f>
        <v>616.22300000000007</v>
      </c>
    </row>
    <row r="156" spans="1:10" ht="30.75" customHeight="1">
      <c r="A156" s="893" t="s">
        <v>347</v>
      </c>
      <c r="B156" s="893"/>
      <c r="C156" s="893"/>
      <c r="D156" s="117" t="s">
        <v>130</v>
      </c>
      <c r="E156" s="95">
        <f>'29'!F156</f>
        <v>29368</v>
      </c>
      <c r="F156" s="155">
        <v>29472.35</v>
      </c>
      <c r="G156" s="112">
        <f t="shared" si="12"/>
        <v>104.34999999999854</v>
      </c>
      <c r="H156" s="99">
        <f>G156+'29'!H156</f>
        <v>2942.1499999999978</v>
      </c>
      <c r="I156" s="165"/>
      <c r="J156" s="328">
        <f>H156/DAY(B2)</f>
        <v>98.071666666666587</v>
      </c>
    </row>
    <row r="157" spans="1:10" ht="30.75" customHeight="1">
      <c r="A157" s="886" t="s">
        <v>360</v>
      </c>
      <c r="B157" s="887"/>
      <c r="C157" s="888"/>
      <c r="D157" s="117" t="s">
        <v>130</v>
      </c>
      <c r="E157" s="95">
        <f>'29'!F157</f>
        <v>37559</v>
      </c>
      <c r="F157" s="155">
        <v>37559</v>
      </c>
      <c r="G157" s="112">
        <f t="shared" si="12"/>
        <v>0</v>
      </c>
      <c r="H157" s="99">
        <f>G157+'29'!H157</f>
        <v>0</v>
      </c>
      <c r="I157" s="165"/>
      <c r="J157" s="328">
        <f>H157/DAY(B2)</f>
        <v>0</v>
      </c>
    </row>
    <row r="158" spans="1:10" ht="30.75" customHeight="1">
      <c r="A158" s="886" t="s">
        <v>361</v>
      </c>
      <c r="B158" s="887"/>
      <c r="C158" s="888"/>
      <c r="D158" s="117" t="s">
        <v>130</v>
      </c>
      <c r="E158" s="95">
        <f>'29'!F158</f>
        <v>1757</v>
      </c>
      <c r="F158" s="155">
        <v>1758</v>
      </c>
      <c r="G158" s="112">
        <f t="shared" si="12"/>
        <v>1</v>
      </c>
      <c r="H158" s="99">
        <f>G158+'29'!H158</f>
        <v>2</v>
      </c>
      <c r="I158" s="165"/>
      <c r="J158" s="328">
        <f>H158/DAY(B2)</f>
        <v>6.6666666666666666E-2</v>
      </c>
    </row>
    <row r="159" spans="1:10" ht="30.75" customHeight="1">
      <c r="A159" s="942"/>
      <c r="B159" s="943"/>
      <c r="C159" s="944"/>
      <c r="D159" s="117"/>
      <c r="E159" s="95"/>
      <c r="F159" s="165"/>
      <c r="G159" s="112"/>
      <c r="H159" s="99"/>
      <c r="I159" s="165"/>
      <c r="J159" s="328"/>
    </row>
    <row r="160" spans="1:10" ht="30.75" customHeight="1">
      <c r="A160" s="924"/>
      <c r="B160" s="924"/>
      <c r="C160" s="924"/>
      <c r="D160" s="924"/>
      <c r="E160" s="924"/>
      <c r="F160" s="924"/>
      <c r="G160" s="924"/>
      <c r="H160" s="924"/>
      <c r="I160" s="924"/>
      <c r="J160" s="924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'29'!F161</f>
        <v>508057.96</v>
      </c>
      <c r="F161" s="235">
        <v>508241.64</v>
      </c>
      <c r="G161" s="238">
        <f t="shared" ref="G161:G165" si="13">F161-E161</f>
        <v>183.67999999999302</v>
      </c>
      <c r="H161" s="99">
        <f>G161+'29'!H161</f>
        <v>4870.4800000000396</v>
      </c>
      <c r="I161" s="236"/>
      <c r="J161" s="239">
        <f>H161/DAY(B2)</f>
        <v>162.34933333333464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'29'!F162</f>
        <v>718.6</v>
      </c>
      <c r="F162" s="235">
        <v>749.6</v>
      </c>
      <c r="G162" s="238">
        <f t="shared" si="13"/>
        <v>31</v>
      </c>
      <c r="H162" s="99">
        <f>G162+'29'!H162</f>
        <v>1129.7999999999943</v>
      </c>
      <c r="I162" s="236"/>
      <c r="J162" s="239">
        <f>H162/DAY(B2)</f>
        <v>37.659999999999812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'29'!F163</f>
        <v>0</v>
      </c>
      <c r="F163" s="235">
        <v>0</v>
      </c>
      <c r="G163" s="238">
        <f t="shared" si="13"/>
        <v>0</v>
      </c>
      <c r="H163" s="99">
        <f>G163+'29'!H163</f>
        <v>0</v>
      </c>
      <c r="I163" s="236"/>
      <c r="J163" s="239">
        <f>H163/DAY(B2)</f>
        <v>0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'29'!F164</f>
        <v>7182.7</v>
      </c>
      <c r="F164" s="235">
        <v>7193.7</v>
      </c>
      <c r="G164" s="238">
        <f t="shared" si="13"/>
        <v>11</v>
      </c>
      <c r="H164" s="99">
        <f>G164+'29'!H164</f>
        <v>203.5</v>
      </c>
      <c r="I164" s="236"/>
      <c r="J164" s="239">
        <f>H164/DAY(B2)</f>
        <v>6.7833333333333332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'29'!F165</f>
        <v>32769.71</v>
      </c>
      <c r="F165" s="235">
        <v>32775.89</v>
      </c>
      <c r="G165" s="238">
        <f t="shared" si="13"/>
        <v>6.180000000000291</v>
      </c>
      <c r="H165" s="99">
        <f>G165+'29'!H165</f>
        <v>201.79000000000087</v>
      </c>
      <c r="I165" s="236"/>
      <c r="J165" s="239">
        <f>H165/DAY(B2)</f>
        <v>6.7263333333333621</v>
      </c>
    </row>
    <row r="166" spans="1:10" ht="30.75" customHeight="1">
      <c r="A166" s="923"/>
      <c r="B166" s="923"/>
      <c r="C166" s="246"/>
      <c r="D166" s="244" t="s">
        <v>180</v>
      </c>
      <c r="E166" s="95">
        <f>'29'!F166</f>
        <v>0</v>
      </c>
      <c r="F166" s="165"/>
      <c r="G166" s="165"/>
      <c r="H166" s="99">
        <f>G166+'29'!H166</f>
        <v>0</v>
      </c>
      <c r="I166" s="165"/>
      <c r="J166" s="239">
        <f>H166/DAY(B2)</f>
        <v>0</v>
      </c>
    </row>
    <row r="167" spans="1:10" ht="30.75" customHeight="1">
      <c r="A167" s="923"/>
      <c r="B167" s="923"/>
      <c r="C167" s="246"/>
      <c r="D167" s="244" t="s">
        <v>180</v>
      </c>
      <c r="E167" s="95">
        <f>'29'!F167</f>
        <v>0</v>
      </c>
      <c r="F167" s="165"/>
      <c r="G167" s="165"/>
      <c r="H167" s="99">
        <f>G167+'29'!H167</f>
        <v>0</v>
      </c>
      <c r="I167" s="165"/>
      <c r="J167" s="239">
        <f>H167/DAY(B2)</f>
        <v>0</v>
      </c>
    </row>
    <row r="168" spans="1:10" ht="30.75" customHeight="1">
      <c r="A168" s="923"/>
      <c r="B168" s="923"/>
      <c r="C168" s="246"/>
      <c r="D168" s="244" t="s">
        <v>180</v>
      </c>
      <c r="E168" s="95">
        <f>'29'!F168</f>
        <v>0</v>
      </c>
      <c r="F168" s="165"/>
      <c r="G168" s="165"/>
      <c r="H168" s="99">
        <f>G168+'29'!H168</f>
        <v>0</v>
      </c>
      <c r="I168" s="165"/>
      <c r="J168" s="239">
        <f>H168/DAY(B2)</f>
        <v>0</v>
      </c>
    </row>
    <row r="171" spans="1:10" ht="30.75" customHeight="1">
      <c r="A171" s="933" t="s">
        <v>330</v>
      </c>
      <c r="B171" s="934"/>
      <c r="C171" s="934"/>
      <c r="D171" s="934"/>
      <c r="E171" s="934"/>
      <c r="F171" s="934"/>
      <c r="G171" s="934"/>
      <c r="H171" s="934"/>
      <c r="I171" s="934"/>
      <c r="J171" s="935"/>
    </row>
    <row r="172" spans="1:10" ht="30.75" customHeight="1">
      <c r="A172" s="929"/>
      <c r="B172" s="930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841" t="s">
        <v>209</v>
      </c>
      <c r="B173" s="843"/>
      <c r="C173" s="333"/>
      <c r="D173" s="228" t="s">
        <v>142</v>
      </c>
      <c r="E173" s="95">
        <f>'29'!F173</f>
        <v>8612</v>
      </c>
      <c r="F173" s="155">
        <v>8612</v>
      </c>
      <c r="G173" s="155">
        <f>F173-E173</f>
        <v>0</v>
      </c>
      <c r="H173" s="99">
        <f>G173+'29'!H173</f>
        <v>28</v>
      </c>
      <c r="I173" s="155"/>
      <c r="J173" s="178">
        <f>H173/DAY(B2)</f>
        <v>0.93333333333333335</v>
      </c>
    </row>
    <row r="174" spans="1:10" ht="30.75" customHeight="1">
      <c r="A174" s="841" t="s">
        <v>75</v>
      </c>
      <c r="B174" s="843"/>
      <c r="C174" s="333"/>
      <c r="D174" s="228" t="s">
        <v>142</v>
      </c>
      <c r="E174" s="95">
        <f>'29'!F174</f>
        <v>43040</v>
      </c>
      <c r="F174" s="157">
        <v>43050</v>
      </c>
      <c r="G174" s="155">
        <f t="shared" ref="G174:G175" si="14">F174-E174</f>
        <v>10</v>
      </c>
      <c r="H174" s="99">
        <f>G174+'29'!H174</f>
        <v>381</v>
      </c>
      <c r="I174" s="155"/>
      <c r="J174" s="178">
        <f>H174/DAY(B2)</f>
        <v>12.7</v>
      </c>
    </row>
    <row r="175" spans="1:10" ht="30.75" customHeight="1">
      <c r="A175" s="841" t="s">
        <v>76</v>
      </c>
      <c r="B175" s="842"/>
      <c r="C175" s="843"/>
      <c r="D175" s="228" t="s">
        <v>142</v>
      </c>
      <c r="E175" s="95">
        <f>'29'!F175</f>
        <v>25768</v>
      </c>
      <c r="F175" s="155">
        <v>25805</v>
      </c>
      <c r="G175" s="155">
        <f t="shared" si="14"/>
        <v>37</v>
      </c>
      <c r="H175" s="99">
        <f>G175+'29'!H175</f>
        <v>412</v>
      </c>
      <c r="I175" s="155"/>
      <c r="J175" s="178">
        <f>H175/DAY(B2)</f>
        <v>13.733333333333333</v>
      </c>
    </row>
    <row r="176" spans="1:10" ht="30.75" customHeight="1">
      <c r="A176" s="853" t="s">
        <v>196</v>
      </c>
      <c r="B176" s="854"/>
      <c r="C176" s="400"/>
      <c r="D176" s="228" t="s">
        <v>142</v>
      </c>
      <c r="E176" s="95"/>
      <c r="F176" s="155"/>
      <c r="G176" s="155">
        <f>SUM(G173:G175)</f>
        <v>47</v>
      </c>
      <c r="H176" s="99">
        <f>G176+'29'!H176</f>
        <v>821</v>
      </c>
      <c r="I176" s="155"/>
      <c r="J176" s="178">
        <f>H176/DAY(B2)</f>
        <v>27.366666666666667</v>
      </c>
    </row>
    <row r="177" spans="1:10" ht="30.75" customHeight="1">
      <c r="A177" s="841" t="s">
        <v>77</v>
      </c>
      <c r="B177" s="843"/>
      <c r="C177" s="333"/>
      <c r="D177" s="228" t="s">
        <v>142</v>
      </c>
      <c r="E177" s="95"/>
      <c r="F177" s="155"/>
      <c r="G177" s="155"/>
      <c r="H177" s="99">
        <f>G177+'29'!H177</f>
        <v>0</v>
      </c>
      <c r="I177" s="155"/>
      <c r="J177" s="178">
        <f>H177/DAY(B2)</f>
        <v>0</v>
      </c>
    </row>
    <row r="178" spans="1:10" ht="30.75" customHeight="1">
      <c r="A178" s="841" t="s">
        <v>210</v>
      </c>
      <c r="B178" s="843"/>
      <c r="C178" s="333"/>
      <c r="D178" s="228" t="s">
        <v>142</v>
      </c>
      <c r="E178" s="95">
        <f>'29'!F178</f>
        <v>106770</v>
      </c>
      <c r="F178" s="155">
        <v>106894</v>
      </c>
      <c r="G178" s="155">
        <f>F178-E178</f>
        <v>124</v>
      </c>
      <c r="H178" s="99">
        <f>G178+'29'!H178</f>
        <v>3251</v>
      </c>
      <c r="I178" s="155"/>
      <c r="J178" s="178">
        <f>H178/DAY(B2)</f>
        <v>108.36666666666666</v>
      </c>
    </row>
    <row r="179" spans="1:10" ht="30.75" customHeight="1">
      <c r="A179" s="841" t="s">
        <v>211</v>
      </c>
      <c r="B179" s="843"/>
      <c r="C179" s="333"/>
      <c r="D179" s="228" t="s">
        <v>142</v>
      </c>
      <c r="E179" s="95">
        <f>'29'!F179</f>
        <v>37501</v>
      </c>
      <c r="F179" s="155">
        <v>37501</v>
      </c>
      <c r="G179" s="155">
        <f t="shared" ref="G179:G180" si="15">F179-E179</f>
        <v>0</v>
      </c>
      <c r="H179" s="99">
        <f>G179+'29'!H179</f>
        <v>0</v>
      </c>
      <c r="I179" s="155"/>
      <c r="J179" s="178">
        <f>H179/DAY(B2)</f>
        <v>0</v>
      </c>
    </row>
    <row r="180" spans="1:10" ht="30.75" customHeight="1">
      <c r="A180" s="841" t="s">
        <v>212</v>
      </c>
      <c r="B180" s="843"/>
      <c r="C180" s="333"/>
      <c r="D180" s="228" t="s">
        <v>142</v>
      </c>
      <c r="E180" s="95">
        <f>'29'!F180</f>
        <v>7554</v>
      </c>
      <c r="F180" s="155">
        <v>7554</v>
      </c>
      <c r="G180" s="155">
        <f t="shared" si="15"/>
        <v>0</v>
      </c>
      <c r="H180" s="99">
        <f>G180+'29'!H180</f>
        <v>134</v>
      </c>
      <c r="I180" s="155"/>
      <c r="J180" s="178">
        <f>H180/DAY(B2)</f>
        <v>4.4666666666666668</v>
      </c>
    </row>
    <row r="181" spans="1:10" ht="30.75" customHeight="1">
      <c r="A181" s="927" t="s">
        <v>108</v>
      </c>
      <c r="B181" s="928"/>
      <c r="C181" s="400"/>
      <c r="D181" s="228" t="s">
        <v>142</v>
      </c>
      <c r="E181" s="95"/>
      <c r="F181" s="155"/>
      <c r="G181" s="155">
        <f>SUM(G178:G180)</f>
        <v>124</v>
      </c>
      <c r="H181" s="99">
        <f>G181+'29'!H181</f>
        <v>3385</v>
      </c>
      <c r="I181" s="155"/>
      <c r="J181" s="178">
        <f>H181/DAY(B2)</f>
        <v>112.83333333333333</v>
      </c>
    </row>
    <row r="182" spans="1:10" ht="30.75" customHeight="1">
      <c r="A182" s="841" t="s">
        <v>213</v>
      </c>
      <c r="B182" s="843"/>
      <c r="C182" s="333"/>
      <c r="D182" s="228" t="s">
        <v>142</v>
      </c>
      <c r="E182" s="95"/>
      <c r="F182" s="155"/>
      <c r="G182" s="155"/>
      <c r="H182" s="99">
        <f>G182+'29'!H182</f>
        <v>0</v>
      </c>
      <c r="I182" s="155"/>
      <c r="J182" s="178">
        <f>H182/DAY(B2)</f>
        <v>0</v>
      </c>
    </row>
    <row r="183" spans="1:10" ht="30.75" customHeight="1">
      <c r="A183" s="841" t="s">
        <v>214</v>
      </c>
      <c r="B183" s="843"/>
      <c r="C183" s="334"/>
      <c r="D183" s="228" t="s">
        <v>142</v>
      </c>
      <c r="E183" s="95">
        <f>'29'!F183</f>
        <v>18361</v>
      </c>
      <c r="F183" s="157">
        <v>18373</v>
      </c>
      <c r="G183" s="157">
        <f>F183-E183</f>
        <v>12</v>
      </c>
      <c r="H183" s="99">
        <f>G183+'29'!H183</f>
        <v>205</v>
      </c>
      <c r="I183" s="155"/>
      <c r="J183" s="178">
        <f>H183/DAY(B2)</f>
        <v>6.833333333333333</v>
      </c>
    </row>
    <row r="184" spans="1:10" ht="30.75" customHeight="1">
      <c r="A184" s="841" t="s">
        <v>215</v>
      </c>
      <c r="B184" s="843"/>
      <c r="C184" s="334"/>
      <c r="D184" s="228" t="s">
        <v>142</v>
      </c>
      <c r="E184" s="95">
        <f>'29'!F184</f>
        <v>12965</v>
      </c>
      <c r="F184" s="157">
        <v>12973</v>
      </c>
      <c r="G184" s="157">
        <f t="shared" ref="G184:G185" si="16">F184-E184</f>
        <v>8</v>
      </c>
      <c r="H184" s="99">
        <f>G184+'29'!H184</f>
        <v>242</v>
      </c>
      <c r="I184" s="155"/>
      <c r="J184" s="178">
        <f>H184/DAY(B2)</f>
        <v>8.0666666666666664</v>
      </c>
    </row>
    <row r="185" spans="1:10" ht="30.75" customHeight="1">
      <c r="A185" s="841" t="s">
        <v>216</v>
      </c>
      <c r="B185" s="843"/>
      <c r="C185" s="334"/>
      <c r="D185" s="228" t="s">
        <v>142</v>
      </c>
      <c r="E185" s="95">
        <f>'29'!F185</f>
        <v>0</v>
      </c>
      <c r="F185" s="157"/>
      <c r="G185" s="157">
        <f t="shared" si="16"/>
        <v>0</v>
      </c>
      <c r="H185" s="99">
        <f>G185+'29'!H185</f>
        <v>0</v>
      </c>
      <c r="I185" s="155"/>
      <c r="J185" s="178">
        <f>H185/DAY(B2)</f>
        <v>0</v>
      </c>
    </row>
    <row r="186" spans="1:10" ht="30.75" customHeight="1">
      <c r="A186" s="853" t="s">
        <v>196</v>
      </c>
      <c r="B186" s="854"/>
      <c r="C186" s="399"/>
      <c r="D186" s="228" t="s">
        <v>142</v>
      </c>
      <c r="E186" s="95"/>
      <c r="F186" s="157"/>
      <c r="G186" s="157">
        <f>SUM(G183:G185)</f>
        <v>20</v>
      </c>
      <c r="H186" s="99">
        <f>G186+'29'!H186</f>
        <v>447</v>
      </c>
      <c r="I186" s="157"/>
      <c r="J186" s="178">
        <f>H186/DAY(B2)</f>
        <v>14.9</v>
      </c>
    </row>
    <row r="187" spans="1:10" ht="30.75" customHeight="1">
      <c r="A187" s="931" t="s">
        <v>217</v>
      </c>
      <c r="B187" s="932"/>
      <c r="C187" s="333"/>
      <c r="D187" s="228" t="s">
        <v>142</v>
      </c>
      <c r="E187" s="95"/>
      <c r="F187" s="159"/>
      <c r="G187" s="159">
        <f>G62+G19</f>
        <v>193</v>
      </c>
      <c r="H187" s="99">
        <f>G187+'29'!H187</f>
        <v>5232</v>
      </c>
      <c r="I187" s="158"/>
      <c r="J187" s="179">
        <f>H187/DAY(B2)</f>
        <v>174.4</v>
      </c>
    </row>
    <row r="188" spans="1:10" ht="30.75" customHeight="1">
      <c r="A188" s="931" t="s">
        <v>218</v>
      </c>
      <c r="B188" s="932"/>
      <c r="C188" s="333"/>
      <c r="D188" s="230" t="s">
        <v>142</v>
      </c>
      <c r="E188" s="95"/>
      <c r="F188" s="159"/>
      <c r="G188" s="159">
        <f>G65+G66+G67+G69+G70</f>
        <v>225</v>
      </c>
      <c r="H188" s="99">
        <f>G188+'29'!H188</f>
        <v>2982</v>
      </c>
      <c r="I188" s="158"/>
      <c r="J188" s="179">
        <f>H188/DAY(B2)</f>
        <v>99.4</v>
      </c>
    </row>
    <row r="189" spans="1:10" ht="30.75" customHeight="1">
      <c r="A189" s="931" t="s">
        <v>219</v>
      </c>
      <c r="B189" s="932"/>
      <c r="C189" s="333"/>
      <c r="D189" s="230" t="s">
        <v>142</v>
      </c>
      <c r="E189" s="95"/>
      <c r="F189" s="157"/>
      <c r="G189" s="157">
        <f>G181</f>
        <v>124</v>
      </c>
      <c r="H189" s="99">
        <f>G189+'29'!H189</f>
        <v>1525</v>
      </c>
      <c r="I189" s="158"/>
      <c r="J189" s="179">
        <f>H189/DAY(B2)</f>
        <v>50.833333333333336</v>
      </c>
    </row>
    <row r="190" spans="1:10" ht="30.75" customHeight="1">
      <c r="A190" s="925"/>
      <c r="B190" s="926"/>
      <c r="C190" s="398"/>
      <c r="D190" s="395"/>
      <c r="E190" s="395"/>
      <c r="F190" s="395"/>
      <c r="G190" s="395"/>
      <c r="H190" s="396"/>
      <c r="I190" s="395"/>
      <c r="J190" s="397"/>
    </row>
  </sheetData>
  <mergeCells count="115">
    <mergeCell ref="A159:C159"/>
    <mergeCell ref="A176:B176"/>
    <mergeCell ref="A177:B177"/>
    <mergeCell ref="A178:B178"/>
    <mergeCell ref="A188:B188"/>
    <mergeCell ref="A189:B189"/>
    <mergeCell ref="A190:B190"/>
    <mergeCell ref="A179:B179"/>
    <mergeCell ref="A180:B180"/>
    <mergeCell ref="A185:B185"/>
    <mergeCell ref="A186:B186"/>
    <mergeCell ref="A187:B187"/>
    <mergeCell ref="A183:B183"/>
    <mergeCell ref="A184:B184"/>
    <mergeCell ref="A181:B181"/>
    <mergeCell ref="A182:B182"/>
    <mergeCell ref="A141:C141"/>
    <mergeCell ref="A142:C142"/>
    <mergeCell ref="A160:J160"/>
    <mergeCell ref="A166:B166"/>
    <mergeCell ref="A167:B167"/>
    <mergeCell ref="A146:C146"/>
    <mergeCell ref="A175:C175"/>
    <mergeCell ref="A148:C148"/>
    <mergeCell ref="A149:C149"/>
    <mergeCell ref="A168:B168"/>
    <mergeCell ref="A171:J171"/>
    <mergeCell ref="A172:B172"/>
    <mergeCell ref="A143:C143"/>
    <mergeCell ref="A144:C144"/>
    <mergeCell ref="A145:C145"/>
    <mergeCell ref="A173:B173"/>
    <mergeCell ref="A174:B174"/>
    <mergeCell ref="A147:C147"/>
    <mergeCell ref="A154:J154"/>
    <mergeCell ref="A155:C155"/>
    <mergeCell ref="A156:C156"/>
    <mergeCell ref="A153:B153"/>
    <mergeCell ref="A157:C157"/>
    <mergeCell ref="A158:C158"/>
    <mergeCell ref="Q116:R116"/>
    <mergeCell ref="A117:C117"/>
    <mergeCell ref="Q117:R117"/>
    <mergeCell ref="A118:C118"/>
    <mergeCell ref="Q118:R118"/>
    <mergeCell ref="A112:C112"/>
    <mergeCell ref="A113:C113"/>
    <mergeCell ref="A114:C114"/>
    <mergeCell ref="A115:C115"/>
    <mergeCell ref="A116:C116"/>
    <mergeCell ref="A104:C104"/>
    <mergeCell ref="A105:C105"/>
    <mergeCell ref="A108:J108"/>
    <mergeCell ref="A110:J110"/>
    <mergeCell ref="A111:C111"/>
    <mergeCell ref="A98:C98"/>
    <mergeCell ref="A99:C99"/>
    <mergeCell ref="A100:C100"/>
    <mergeCell ref="A101:C101"/>
    <mergeCell ref="A103:C103"/>
    <mergeCell ref="A102:C102"/>
    <mergeCell ref="A109:B109"/>
    <mergeCell ref="A123:C123"/>
    <mergeCell ref="A136:J136"/>
    <mergeCell ref="A138:C138"/>
    <mergeCell ref="A139:C139"/>
    <mergeCell ref="A140:C140"/>
    <mergeCell ref="A128:C128"/>
    <mergeCell ref="A131:C131"/>
    <mergeCell ref="A132:C132"/>
    <mergeCell ref="A133:C133"/>
    <mergeCell ref="A134:C134"/>
    <mergeCell ref="A135:B135"/>
    <mergeCell ref="A19:C19"/>
    <mergeCell ref="A21:C21"/>
    <mergeCell ref="A64:C64"/>
    <mergeCell ref="A65:C65"/>
    <mergeCell ref="A33:C33"/>
    <mergeCell ref="A61:C61"/>
    <mergeCell ref="A62:C62"/>
    <mergeCell ref="A63:C63"/>
    <mergeCell ref="A75:C75"/>
    <mergeCell ref="A76:C76"/>
    <mergeCell ref="A77:C77"/>
    <mergeCell ref="A79:C79"/>
    <mergeCell ref="A80:C80"/>
    <mergeCell ref="A78:C78"/>
    <mergeCell ref="A81:C81"/>
    <mergeCell ref="A95:C95"/>
    <mergeCell ref="A94:C94"/>
    <mergeCell ref="A93:C93"/>
    <mergeCell ref="A96:C96"/>
    <mergeCell ref="A150:C150"/>
    <mergeCell ref="A151:C151"/>
    <mergeCell ref="A152:C152"/>
    <mergeCell ref="A97:C97"/>
    <mergeCell ref="A18:C18"/>
    <mergeCell ref="A1:J1"/>
    <mergeCell ref="E3:F3"/>
    <mergeCell ref="A6:C6"/>
    <mergeCell ref="A14:C14"/>
    <mergeCell ref="A17:C17"/>
    <mergeCell ref="A25:C25"/>
    <mergeCell ref="A74:C74"/>
    <mergeCell ref="A73:C73"/>
    <mergeCell ref="A71:C71"/>
    <mergeCell ref="A72:B72"/>
    <mergeCell ref="A119:C119"/>
    <mergeCell ref="A120:C120"/>
    <mergeCell ref="A121:C121"/>
    <mergeCell ref="A122:C122"/>
    <mergeCell ref="A124:C124"/>
    <mergeCell ref="A125:B125"/>
    <mergeCell ref="A126:J126"/>
    <mergeCell ref="A127:B127"/>
  </mergeCells>
  <pageMargins left="0.23622047244094491" right="0.15748031496062992" top="0.15748031496062992" bottom="0.19685039370078741" header="0.19685039370078741" footer="0.19685039370078741"/>
  <pageSetup paperSize="9" scale="14" fitToHeight="2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R320"/>
  <sheetViews>
    <sheetView tabSelected="1" view="pageBreakPreview" zoomScale="53" zoomScaleNormal="75" zoomScaleSheetLayoutView="53" workbookViewId="0">
      <selection activeCell="F15" sqref="F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413" customWidth="1"/>
    <col min="7" max="7" width="28.88671875" style="413" customWidth="1"/>
    <col min="8" max="8" width="29.109375" style="161" customWidth="1"/>
    <col min="9" max="9" width="23.5546875" style="413" customWidth="1"/>
    <col min="10" max="10" width="24" style="161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67" t="s">
        <v>115</v>
      </c>
      <c r="B1" s="868"/>
      <c r="C1" s="868"/>
      <c r="D1" s="868"/>
      <c r="E1" s="868"/>
      <c r="F1" s="868"/>
      <c r="G1" s="868"/>
      <c r="H1" s="868"/>
      <c r="I1" s="868"/>
      <c r="J1" s="869"/>
    </row>
    <row r="2" spans="1:15" s="57" customFormat="1" ht="23.25">
      <c r="A2" s="191" t="s">
        <v>379</v>
      </c>
      <c r="B2" s="262">
        <v>44926</v>
      </c>
      <c r="C2" s="348" t="s">
        <v>67</v>
      </c>
      <c r="D2" s="218">
        <v>0.5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31</v>
      </c>
      <c r="E3" s="876" t="s">
        <v>119</v>
      </c>
      <c r="F3" s="877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0" t="s">
        <v>128</v>
      </c>
      <c r="B6" s="871"/>
      <c r="C6" s="872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6.25" thickBot="1">
      <c r="A7" s="979" t="s">
        <v>129</v>
      </c>
      <c r="B7" s="980"/>
      <c r="C7" s="981"/>
      <c r="D7" s="151" t="s">
        <v>130</v>
      </c>
      <c r="E7" s="95">
        <v>953874</v>
      </c>
      <c r="F7" s="95">
        <v>976800</v>
      </c>
      <c r="G7" s="112">
        <f>F7-E7</f>
        <v>22926</v>
      </c>
      <c r="H7" s="99">
        <f>G7+'30'!H7</f>
        <v>703117.45</v>
      </c>
      <c r="I7" s="113">
        <f>'1'!I7</f>
        <v>12000</v>
      </c>
      <c r="J7" s="175">
        <f>H7/DAY(B2)</f>
        <v>22681.208064516126</v>
      </c>
      <c r="K7" s="172">
        <v>1375467</v>
      </c>
      <c r="L7" s="66"/>
      <c r="N7" s="87">
        <f>F7-'1'!E7</f>
        <v>703117.45</v>
      </c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114">
        <v>135515.17000000001</v>
      </c>
      <c r="F8" s="114">
        <v>157857</v>
      </c>
      <c r="G8" s="115">
        <f>F8-E8</f>
        <v>22341.829999999987</v>
      </c>
      <c r="H8" s="99">
        <f>G8+'30'!H8</f>
        <v>706596</v>
      </c>
      <c r="I8" s="116"/>
      <c r="J8" s="175">
        <f>H8/DAY(B2)</f>
        <v>22793.419354838708</v>
      </c>
      <c r="K8" s="172">
        <v>1715917</v>
      </c>
      <c r="L8" s="76">
        <v>1728480</v>
      </c>
      <c r="M8" s="87">
        <f>L8-K8</f>
        <v>12563</v>
      </c>
      <c r="N8" s="87">
        <f>F8-'1'!E8</f>
        <v>-293404</v>
      </c>
      <c r="O8" s="71"/>
    </row>
    <row r="9" spans="1:15" ht="25.5">
      <c r="A9" s="982" t="s">
        <v>132</v>
      </c>
      <c r="B9" s="983"/>
      <c r="C9" s="984"/>
      <c r="D9" s="151" t="s">
        <v>130</v>
      </c>
      <c r="E9" s="468">
        <v>4400599.0999999996</v>
      </c>
      <c r="F9" s="468">
        <v>4416605.9000000004</v>
      </c>
      <c r="G9" s="112">
        <f>F9-E9</f>
        <v>16006.800000000745</v>
      </c>
      <c r="H9" s="99">
        <f>G9+'30'!H9</f>
        <v>302435.60000000056</v>
      </c>
      <c r="I9" s="124">
        <f>I7-J7</f>
        <v>-10681.208064516126</v>
      </c>
      <c r="J9" s="175">
        <f>H9/DAY(B2)</f>
        <v>9755.9870967742118</v>
      </c>
      <c r="K9" s="79">
        <f>K8-100</f>
        <v>1715817</v>
      </c>
      <c r="L9" s="66"/>
      <c r="N9" s="87"/>
      <c r="O9" s="71"/>
    </row>
    <row r="10" spans="1:15" ht="25.5">
      <c r="A10" s="979" t="s">
        <v>133</v>
      </c>
      <c r="B10" s="980"/>
      <c r="C10" s="981"/>
      <c r="D10" s="151" t="s">
        <v>130</v>
      </c>
      <c r="E10" s="353">
        <v>4064615</v>
      </c>
      <c r="F10" s="353">
        <v>4070036.3</v>
      </c>
      <c r="G10" s="112">
        <f t="shared" ref="G10:G12" si="0">F10-E10</f>
        <v>5421.2999999998137</v>
      </c>
      <c r="H10" s="99">
        <f>G10+'30'!H10</f>
        <v>380557.19999999972</v>
      </c>
      <c r="I10" s="120"/>
      <c r="J10" s="175">
        <f>H10/DAY(B2)</f>
        <v>12276.03870967741</v>
      </c>
      <c r="K10" s="79"/>
      <c r="L10" s="66"/>
      <c r="N10" s="87"/>
      <c r="O10" s="71"/>
    </row>
    <row r="11" spans="1:15" ht="25.5">
      <c r="A11" s="979" t="s">
        <v>134</v>
      </c>
      <c r="B11" s="980"/>
      <c r="C11" s="981"/>
      <c r="D11" s="151" t="s">
        <v>130</v>
      </c>
      <c r="E11" s="95">
        <v>38700</v>
      </c>
      <c r="F11" s="95">
        <v>38700</v>
      </c>
      <c r="G11" s="112">
        <f t="shared" si="0"/>
        <v>0</v>
      </c>
      <c r="H11" s="99">
        <f>G11+'30'!H11</f>
        <v>580</v>
      </c>
      <c r="I11" s="120"/>
      <c r="J11" s="175">
        <f>H11/DAY(B2)</f>
        <v>18.70967741935484</v>
      </c>
      <c r="K11" s="79"/>
      <c r="L11" s="66"/>
      <c r="N11" s="87"/>
      <c r="O11" s="71"/>
    </row>
    <row r="12" spans="1:15" ht="25.5">
      <c r="A12" s="979" t="s">
        <v>135</v>
      </c>
      <c r="B12" s="980"/>
      <c r="C12" s="981"/>
      <c r="D12" s="151" t="s">
        <v>130</v>
      </c>
      <c r="E12" s="117">
        <v>40550</v>
      </c>
      <c r="F12" s="117">
        <v>40550</v>
      </c>
      <c r="G12" s="112">
        <f t="shared" si="0"/>
        <v>0</v>
      </c>
      <c r="H12" s="99">
        <f>G12+'30'!H12</f>
        <v>160</v>
      </c>
      <c r="I12" s="120"/>
      <c r="J12" s="175">
        <f>H12/DAY(B2)</f>
        <v>5.161290322580645</v>
      </c>
      <c r="K12" s="79"/>
      <c r="L12" s="66"/>
      <c r="N12" s="87"/>
      <c r="O12" s="71"/>
    </row>
    <row r="13" spans="1:15" ht="21.9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21428.100000000559</v>
      </c>
      <c r="H13" s="99">
        <f>G13+'30'!H13</f>
        <v>687961.5</v>
      </c>
      <c r="I13" s="120">
        <f>G7-G13</f>
        <v>1497.8999999994412</v>
      </c>
      <c r="J13" s="175">
        <f>H13/DAY(B2)</f>
        <v>22192.306451612902</v>
      </c>
      <c r="K13" s="79"/>
      <c r="L13" s="66"/>
      <c r="N13" s="87"/>
      <c r="O13" s="71"/>
    </row>
    <row r="14" spans="1:15" ht="26.25">
      <c r="A14" s="873" t="s">
        <v>137</v>
      </c>
      <c r="B14" s="874"/>
      <c r="C14" s="875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>
      <c r="A15" s="864" t="s">
        <v>138</v>
      </c>
      <c r="B15" s="865"/>
      <c r="C15" s="866"/>
      <c r="D15" s="151" t="s">
        <v>139</v>
      </c>
      <c r="E15" s="468">
        <v>2252211</v>
      </c>
      <c r="F15" s="468">
        <v>2253301.358</v>
      </c>
      <c r="G15" s="112">
        <f>(F15-E15)</f>
        <v>1090.3580000000075</v>
      </c>
      <c r="H15" s="99">
        <f>G15+'30'!H15</f>
        <v>34360.358000000007</v>
      </c>
      <c r="I15" s="113">
        <f>'1'!I15</f>
        <v>800</v>
      </c>
      <c r="J15" s="175">
        <f>H15/DAY(B2)</f>
        <v>1108.3986451612905</v>
      </c>
      <c r="K15" s="79"/>
      <c r="L15" s="66"/>
      <c r="N15" s="87">
        <f>F15-'1'!E15</f>
        <v>34360.358000000007</v>
      </c>
      <c r="O15" s="71"/>
    </row>
    <row r="16" spans="1:15" ht="21.95" customHeight="1">
      <c r="A16" s="976"/>
      <c r="B16" s="977"/>
      <c r="C16" s="978"/>
      <c r="D16" s="152"/>
      <c r="E16" s="123"/>
      <c r="F16" s="123"/>
      <c r="G16" s="112"/>
      <c r="H16" s="124"/>
      <c r="I16" s="113">
        <f>'1'!I16</f>
        <v>-182.39999999990687</v>
      </c>
      <c r="J16" s="560">
        <f>H16/DAY(B2)</f>
        <v>0</v>
      </c>
      <c r="K16" s="79"/>
      <c r="L16" s="66"/>
      <c r="N16" s="87"/>
      <c r="O16" s="71"/>
    </row>
    <row r="17" spans="1:15" ht="26.25">
      <c r="A17" s="873" t="s">
        <v>140</v>
      </c>
      <c r="B17" s="874"/>
      <c r="C17" s="875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64" t="s">
        <v>141</v>
      </c>
      <c r="B18" s="865"/>
      <c r="C18" s="866"/>
      <c r="D18" s="151" t="s">
        <v>142</v>
      </c>
      <c r="E18" s="122">
        <v>32</v>
      </c>
      <c r="F18" s="164">
        <v>18</v>
      </c>
      <c r="G18" s="119">
        <f>F18*10</f>
        <v>180</v>
      </c>
      <c r="H18" s="99">
        <f>G18+'30'!H18</f>
        <v>8180</v>
      </c>
      <c r="I18" s="113">
        <f>'1'!I18</f>
        <v>65</v>
      </c>
      <c r="J18" s="175">
        <f>H18/DAY(B2)</f>
        <v>263.87096774193549</v>
      </c>
      <c r="K18" s="79"/>
      <c r="L18" s="66"/>
      <c r="N18" s="87"/>
      <c r="O18" s="71"/>
    </row>
    <row r="19" spans="1:15" ht="25.5">
      <c r="A19" s="864" t="s">
        <v>69</v>
      </c>
      <c r="B19" s="865"/>
      <c r="C19" s="866"/>
      <c r="D19" s="151" t="s">
        <v>142</v>
      </c>
      <c r="E19" s="122">
        <v>169512</v>
      </c>
      <c r="F19" s="122">
        <v>169560</v>
      </c>
      <c r="G19" s="112">
        <f t="shared" ref="G19" si="1">F19-E19</f>
        <v>48</v>
      </c>
      <c r="H19" s="99">
        <f>G19+'30'!H19</f>
        <v>1684</v>
      </c>
      <c r="I19" s="123"/>
      <c r="J19" s="175">
        <f>H19/DAY(B2)</f>
        <v>54.322580645161288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228</v>
      </c>
      <c r="H20" s="99">
        <f>G20+'30'!H20</f>
        <v>9864</v>
      </c>
      <c r="I20" s="336">
        <f>I18-J20</f>
        <v>-253.19354838709677</v>
      </c>
      <c r="J20" s="175">
        <f>H20/DAY(B2)</f>
        <v>318.19354838709677</v>
      </c>
      <c r="K20" s="79"/>
      <c r="L20" s="66"/>
      <c r="N20" s="87"/>
      <c r="O20" s="71"/>
    </row>
    <row r="21" spans="1:15" ht="26.25">
      <c r="A21" s="873" t="s">
        <v>144</v>
      </c>
      <c r="B21" s="874"/>
      <c r="C21" s="875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122">
        <v>2970</v>
      </c>
      <c r="F22" s="122">
        <v>2970</v>
      </c>
      <c r="G22" s="119">
        <f t="shared" ref="G22" si="2">(F22-E22)</f>
        <v>0</v>
      </c>
      <c r="H22" s="99">
        <f>G22+'30'!H22</f>
        <v>0</v>
      </c>
      <c r="I22" s="95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122">
        <v>2000</v>
      </c>
      <c r="F23" s="122">
        <v>2000</v>
      </c>
      <c r="G23" s="119">
        <v>0</v>
      </c>
      <c r="H23" s="99">
        <f>G23+'30'!H23</f>
        <v>-100</v>
      </c>
      <c r="I23" s="95"/>
      <c r="J23" s="175">
        <f>H23/DAY(B2)</f>
        <v>-3.225806451612903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128">
        <v>4970</v>
      </c>
      <c r="F24" s="128">
        <v>4970</v>
      </c>
      <c r="G24" s="119">
        <v>0</v>
      </c>
      <c r="H24" s="99">
        <f>G24+'30'!H24</f>
        <v>0</v>
      </c>
      <c r="I24" s="95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78" t="s">
        <v>149</v>
      </c>
      <c r="B25" s="879"/>
      <c r="C25" s="880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6.25" thickBot="1">
      <c r="A27" s="208" t="s">
        <v>5</v>
      </c>
      <c r="B27" s="209"/>
      <c r="C27" s="210"/>
      <c r="D27" s="226" t="s">
        <v>24</v>
      </c>
      <c r="E27" s="756">
        <v>22342</v>
      </c>
      <c r="F27" s="136">
        <v>9</v>
      </c>
      <c r="G27" s="137">
        <f>E27*F27</f>
        <v>201078</v>
      </c>
      <c r="H27" s="99">
        <f>G27+'30'!H27</f>
        <v>6381956.3300000001</v>
      </c>
      <c r="I27" s="138"/>
      <c r="J27" s="175">
        <f>H27/DAY(B2)</f>
        <v>205869.55903225805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v>1090</v>
      </c>
      <c r="F28" s="136">
        <v>70</v>
      </c>
      <c r="G28" s="137">
        <f>E28*F28</f>
        <v>76300</v>
      </c>
      <c r="H28" s="99">
        <f>G28+'30'!H28</f>
        <v>2415711.7500000005</v>
      </c>
      <c r="I28" s="528"/>
      <c r="J28" s="175">
        <f>H28/DAY(B2)</f>
        <v>77926.185483870984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v>0</v>
      </c>
      <c r="F29" s="136">
        <v>69</v>
      </c>
      <c r="G29" s="137">
        <f>E29*F29</f>
        <v>0</v>
      </c>
      <c r="H29" s="99">
        <f>G29+'30'!H29</f>
        <v>20700</v>
      </c>
      <c r="I29" s="528"/>
      <c r="J29" s="175">
        <f>H29/DAY(B2)</f>
        <v>667.74193548387098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v>48</v>
      </c>
      <c r="F30" s="136">
        <v>151</v>
      </c>
      <c r="G30" s="137">
        <f>E30*F30</f>
        <v>7248</v>
      </c>
      <c r="H30" s="99">
        <f>G30+'30'!H30</f>
        <v>254284</v>
      </c>
      <c r="I30" s="528"/>
      <c r="J30" s="175">
        <f>H30/DAY(B2)</f>
        <v>8202.7096774193542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v>160</v>
      </c>
      <c r="F31" s="136">
        <v>80</v>
      </c>
      <c r="G31" s="137">
        <f>E31*F31</f>
        <v>12800</v>
      </c>
      <c r="H31" s="99">
        <f>G31+'30'!H31</f>
        <v>652800</v>
      </c>
      <c r="I31" s="528"/>
      <c r="J31" s="175">
        <f>H31/DAY(B2)</f>
        <v>21058.064516129034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297426</v>
      </c>
      <c r="H32" s="99">
        <f>G32+'30'!H32</f>
        <v>9725452.0800000001</v>
      </c>
      <c r="I32" s="144"/>
      <c r="J32" s="175">
        <f>H32/DAY(B2)</f>
        <v>313724.26064516127</v>
      </c>
      <c r="K32" s="63"/>
      <c r="L32" s="89"/>
      <c r="N32" s="87"/>
      <c r="O32" s="71"/>
    </row>
    <row r="33" spans="1:15" ht="25.5" customHeight="1">
      <c r="A33" s="881" t="s">
        <v>331</v>
      </c>
      <c r="B33" s="882"/>
      <c r="C33" s="882"/>
      <c r="D33" s="337"/>
      <c r="E33" s="529"/>
      <c r="F33" s="529"/>
      <c r="G33" s="529"/>
      <c r="H33" s="529"/>
      <c r="I33" s="529"/>
      <c r="J33" s="530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145">
        <v>451691</v>
      </c>
      <c r="F35" s="145">
        <v>454517.99</v>
      </c>
      <c r="G35" s="112">
        <f t="shared" ref="G35:G46" si="3">F35-E35</f>
        <v>2826.9899999999907</v>
      </c>
      <c r="H35" s="99">
        <f>G35+'30'!H35</f>
        <v>85421.080000000016</v>
      </c>
      <c r="I35" s="95"/>
      <c r="J35" s="175">
        <f>H35/DAY(B2)</f>
        <v>2755.5187096774198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145">
        <v>353078</v>
      </c>
      <c r="F36" s="145">
        <v>354088.9</v>
      </c>
      <c r="G36" s="112">
        <f t="shared" si="3"/>
        <v>1010.9000000000233</v>
      </c>
      <c r="H36" s="99">
        <f>G36+'30'!H36</f>
        <v>31871.790000000037</v>
      </c>
      <c r="I36" s="95"/>
      <c r="J36" s="175">
        <f>H36/DAY(B2)</f>
        <v>1028.1222580645174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145">
        <v>336890</v>
      </c>
      <c r="F37" s="145">
        <v>338269.87</v>
      </c>
      <c r="G37" s="112">
        <f t="shared" si="3"/>
        <v>1379.8699999999953</v>
      </c>
      <c r="H37" s="99">
        <f>G37+'30'!H37</f>
        <v>15271.179999999993</v>
      </c>
      <c r="I37" s="95"/>
      <c r="J37" s="175">
        <f>H37/DAY(B2)</f>
        <v>492.61870967741913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108">
        <v>799500</v>
      </c>
      <c r="F38" s="108">
        <v>799677.35</v>
      </c>
      <c r="G38" s="112">
        <f t="shared" si="3"/>
        <v>177.34999999997672</v>
      </c>
      <c r="H38" s="99">
        <f>G38+'30'!H38</f>
        <v>63824.959999999963</v>
      </c>
      <c r="I38" s="95"/>
      <c r="J38" s="175">
        <f>H38/DAY(B2)</f>
        <v>2058.8696774193536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145">
        <v>617452.18999999994</v>
      </c>
      <c r="F39" s="145">
        <v>620290</v>
      </c>
      <c r="G39" s="112">
        <f t="shared" si="3"/>
        <v>2837.8100000000559</v>
      </c>
      <c r="H39" s="99">
        <f>G39+'30'!H39</f>
        <v>28705.810000000056</v>
      </c>
      <c r="I39" s="95"/>
      <c r="J39" s="175">
        <f>H39/DAY(B2)</f>
        <v>925.99387096774376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145">
        <v>209228</v>
      </c>
      <c r="F40" s="145">
        <v>209686.35</v>
      </c>
      <c r="G40" s="112">
        <f t="shared" si="3"/>
        <v>458.35000000000582</v>
      </c>
      <c r="H40" s="99">
        <f>G40+'30'!H40</f>
        <v>12956.380000000005</v>
      </c>
      <c r="I40" s="95"/>
      <c r="J40" s="175">
        <f>H40/DAY(B2)</f>
        <v>417.94774193548403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145">
        <v>420212.5</v>
      </c>
      <c r="F41" s="145">
        <v>420212.51</v>
      </c>
      <c r="G41" s="112">
        <f t="shared" si="3"/>
        <v>1.0000000009313226E-2</v>
      </c>
      <c r="H41" s="99">
        <f>G41+'30'!H41</f>
        <v>1044.9199999999837</v>
      </c>
      <c r="I41" s="95"/>
      <c r="J41" s="175">
        <f>H41/DAY(B2)</f>
        <v>33.707096774193026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145">
        <v>916738</v>
      </c>
      <c r="F42" s="145">
        <v>920954.47</v>
      </c>
      <c r="G42" s="112">
        <f t="shared" si="3"/>
        <v>4216.4699999999721</v>
      </c>
      <c r="H42" s="99">
        <f>G42+'30'!H42</f>
        <v>49184.390000000014</v>
      </c>
      <c r="I42" s="95"/>
      <c r="J42" s="175">
        <f>H42/DAY(B2)</f>
        <v>1586.593225806452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145">
        <v>422444</v>
      </c>
      <c r="F43" s="145">
        <v>422444</v>
      </c>
      <c r="G43" s="112">
        <f t="shared" si="3"/>
        <v>0</v>
      </c>
      <c r="H43" s="99">
        <f>G43+'30'!H43</f>
        <v>15416</v>
      </c>
      <c r="I43" s="95"/>
      <c r="J43" s="175">
        <f>H43/DAY(B2)</f>
        <v>497.29032258064518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145">
        <v>0</v>
      </c>
      <c r="F44" s="145">
        <v>0</v>
      </c>
      <c r="G44" s="112">
        <f t="shared" si="3"/>
        <v>0</v>
      </c>
      <c r="H44" s="99">
        <f>G44+'30'!H44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145">
        <v>0</v>
      </c>
      <c r="F45" s="145">
        <v>0</v>
      </c>
      <c r="G45" s="112">
        <f t="shared" si="3"/>
        <v>0</v>
      </c>
      <c r="H45" s="99">
        <f>G45+'30'!H45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145">
        <v>0</v>
      </c>
      <c r="F46" s="145">
        <v>0</v>
      </c>
      <c r="G46" s="112">
        <f t="shared" si="3"/>
        <v>0</v>
      </c>
      <c r="H46" s="99">
        <f>G46+'30'!H46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12907.750000000029</v>
      </c>
      <c r="H47" s="99">
        <f>G47+'30'!H47</f>
        <v>303696.51</v>
      </c>
      <c r="I47" s="95"/>
      <c r="J47" s="175">
        <f>H47/DAY(B2)</f>
        <v>9796.6616129032263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145">
        <v>806004</v>
      </c>
      <c r="F49" s="145">
        <v>806504.15</v>
      </c>
      <c r="G49" s="112">
        <f t="shared" ref="G49:G58" si="4">F49-E49</f>
        <v>500.15000000002328</v>
      </c>
      <c r="H49" s="99">
        <f>G49+'30'!H49</f>
        <v>12881.20000000007</v>
      </c>
      <c r="I49" s="95"/>
      <c r="J49" s="175">
        <f>H49/DAY(B2)</f>
        <v>415.52258064516354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145">
        <v>499714</v>
      </c>
      <c r="F50" s="145">
        <v>501153</v>
      </c>
      <c r="G50" s="112">
        <f t="shared" si="4"/>
        <v>1439</v>
      </c>
      <c r="H50" s="99">
        <f>G50+'30'!H50</f>
        <v>44483.929999999993</v>
      </c>
      <c r="I50" s="95"/>
      <c r="J50" s="175">
        <f>H50/DAY(B2)</f>
        <v>1434.9654838709675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145">
        <v>156958</v>
      </c>
      <c r="F51" s="145">
        <v>156958</v>
      </c>
      <c r="G51" s="112">
        <f t="shared" si="4"/>
        <v>0</v>
      </c>
      <c r="H51" s="99">
        <f>G51+'30'!H51</f>
        <v>21713.450000000012</v>
      </c>
      <c r="I51" s="95"/>
      <c r="J51" s="175">
        <f>H51/DAY(B2)</f>
        <v>700.43387096774234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145">
        <v>10</v>
      </c>
      <c r="F52" s="145">
        <v>10</v>
      </c>
      <c r="G52" s="112">
        <f t="shared" si="4"/>
        <v>0</v>
      </c>
      <c r="H52" s="99">
        <f>G52+'30'!H52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418">
        <v>630355</v>
      </c>
      <c r="F53" s="145">
        <v>630355.03</v>
      </c>
      <c r="G53" s="112">
        <f t="shared" si="4"/>
        <v>3.0000000027939677E-2</v>
      </c>
      <c r="H53" s="99">
        <f>G53+'30'!H53</f>
        <v>83813.760000000009</v>
      </c>
      <c r="I53" s="95"/>
      <c r="J53" s="175">
        <f>H53/DAY(B2)</f>
        <v>2703.6696774193551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418">
        <v>114236</v>
      </c>
      <c r="F54" s="145">
        <v>114597.13</v>
      </c>
      <c r="G54" s="112">
        <f t="shared" si="4"/>
        <v>361.13000000000466</v>
      </c>
      <c r="H54" s="99">
        <f>G54+'30'!H54</f>
        <v>6933.9700000000012</v>
      </c>
      <c r="I54" s="95"/>
      <c r="J54" s="175">
        <f>H54/DAY(B2)</f>
        <v>223.67645161290326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418">
        <v>576335.63</v>
      </c>
      <c r="F55" s="145">
        <v>576335.63</v>
      </c>
      <c r="G55" s="112">
        <f t="shared" si="4"/>
        <v>0</v>
      </c>
      <c r="H55" s="99">
        <f>G55+'30'!H55</f>
        <v>14850.959999999963</v>
      </c>
      <c r="I55" s="95"/>
      <c r="J55" s="175">
        <f>H55/DAY(B2)</f>
        <v>479.06322580645042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418">
        <v>334767</v>
      </c>
      <c r="F56" s="145">
        <v>335226.21000000002</v>
      </c>
      <c r="G56" s="112">
        <f t="shared" si="4"/>
        <v>459.21000000002095</v>
      </c>
      <c r="H56" s="99">
        <f>G56+'30'!H56</f>
        <v>67111.200000000012</v>
      </c>
      <c r="I56" s="95"/>
      <c r="J56" s="175">
        <f>H56/DAY(B2)</f>
        <v>2164.8774193548393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418">
        <v>628226</v>
      </c>
      <c r="F57" s="145">
        <v>630833</v>
      </c>
      <c r="G57" s="112">
        <f t="shared" si="4"/>
        <v>2607</v>
      </c>
      <c r="H57" s="99">
        <f>G57+'30'!H57</f>
        <v>67273.530000000028</v>
      </c>
      <c r="I57" s="95"/>
      <c r="J57" s="175">
        <f>H57/DAY(B2)</f>
        <v>2170.113870967743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418">
        <v>86281.5</v>
      </c>
      <c r="F58" s="145">
        <v>86560.498999999996</v>
      </c>
      <c r="G58" s="112">
        <f t="shared" si="4"/>
        <v>278.99899999999616</v>
      </c>
      <c r="H58" s="99">
        <f>G58+'30'!H58</f>
        <v>7844.8089999999938</v>
      </c>
      <c r="I58" s="95"/>
      <c r="J58" s="175">
        <f>H58/DAY(B2)</f>
        <v>253.05835483870948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227"/>
      <c r="F59" s="146"/>
      <c r="G59" s="119">
        <f>G49+G50+G51+G52+G53+G54+G55+G56+G57+G58</f>
        <v>5645.519000000073</v>
      </c>
      <c r="H59" s="99">
        <f>G59+'30'!H59</f>
        <v>326906.80900000012</v>
      </c>
      <c r="I59" s="95">
        <f>G7-G60</f>
        <v>4372.7309999998979</v>
      </c>
      <c r="J59" s="175">
        <f>H59/DAY(B2)</f>
        <v>10545.380935483876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227"/>
      <c r="F60" s="146"/>
      <c r="G60" s="119">
        <f>G47+G59</f>
        <v>18553.269000000102</v>
      </c>
      <c r="H60" s="99">
        <f>G60+'30'!H60</f>
        <v>630603.31900000025</v>
      </c>
      <c r="I60" s="95">
        <f>G13-G60</f>
        <v>2874.8310000004567</v>
      </c>
      <c r="J60" s="175">
        <f>H60/DAY(B2)</f>
        <v>20342.042548387104</v>
      </c>
      <c r="K60" s="79"/>
      <c r="L60" s="66"/>
      <c r="N60" s="87"/>
      <c r="O60" s="71"/>
    </row>
    <row r="61" spans="1:15" s="68" customFormat="1" ht="26.25">
      <c r="A61" s="883" t="s">
        <v>332</v>
      </c>
      <c r="B61" s="884"/>
      <c r="C61" s="885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64" t="s">
        <v>198</v>
      </c>
      <c r="B62" s="865"/>
      <c r="C62" s="866"/>
      <c r="D62" s="151" t="s">
        <v>142</v>
      </c>
      <c r="E62" s="150">
        <v>311910</v>
      </c>
      <c r="F62" s="122">
        <v>312100</v>
      </c>
      <c r="G62" s="112">
        <f t="shared" ref="G62:G63" si="5">F62-E62</f>
        <v>190</v>
      </c>
      <c r="H62" s="99">
        <f>G62+'30'!H62</f>
        <v>3786</v>
      </c>
      <c r="I62" s="95"/>
      <c r="J62" s="175">
        <f>H62/DAY(B2)</f>
        <v>122.12903225806451</v>
      </c>
      <c r="K62" s="80"/>
      <c r="L62" s="66"/>
      <c r="N62" s="87"/>
      <c r="O62" s="71"/>
    </row>
    <row r="63" spans="1:15" ht="25.5">
      <c r="A63" s="864" t="s">
        <v>199</v>
      </c>
      <c r="B63" s="865"/>
      <c r="C63" s="866"/>
      <c r="D63" s="151" t="s">
        <v>142</v>
      </c>
      <c r="E63" s="150">
        <v>248936</v>
      </c>
      <c r="F63" s="164">
        <v>249035</v>
      </c>
      <c r="G63" s="112">
        <f t="shared" si="5"/>
        <v>99</v>
      </c>
      <c r="H63" s="99">
        <f>G63+'30'!H63</f>
        <v>2106</v>
      </c>
      <c r="I63" s="95"/>
      <c r="J63" s="175">
        <f>H63/DAY(B2)</f>
        <v>67.935483870967744</v>
      </c>
      <c r="K63" s="69"/>
      <c r="L63" s="66"/>
      <c r="N63" s="87"/>
      <c r="O63" s="71"/>
    </row>
    <row r="64" spans="1:15" ht="26.25">
      <c r="A64" s="861" t="s">
        <v>200</v>
      </c>
      <c r="B64" s="862"/>
      <c r="C64" s="863"/>
      <c r="D64" s="151"/>
      <c r="E64" s="150"/>
      <c r="F64" s="122"/>
      <c r="G64" s="112">
        <f>G62+G63</f>
        <v>289</v>
      </c>
      <c r="H64" s="99">
        <f>G64+'30'!H64</f>
        <v>5892</v>
      </c>
      <c r="I64" s="95"/>
      <c r="J64" s="175">
        <f>H64/DAY(B2)</f>
        <v>190.06451612903226</v>
      </c>
      <c r="K64" s="69"/>
      <c r="L64" s="66"/>
      <c r="N64" s="87"/>
      <c r="O64" s="71"/>
    </row>
    <row r="65" spans="1:15" ht="25.5">
      <c r="A65" s="864" t="s">
        <v>201</v>
      </c>
      <c r="B65" s="865"/>
      <c r="C65" s="866"/>
      <c r="D65" s="151" t="s">
        <v>142</v>
      </c>
      <c r="E65" s="150">
        <v>471890</v>
      </c>
      <c r="F65" s="122">
        <v>472030</v>
      </c>
      <c r="G65" s="112">
        <f t="shared" ref="G65:G70" si="6">F65-E65</f>
        <v>140</v>
      </c>
      <c r="H65" s="99">
        <f>G65+'30'!H65</f>
        <v>4129</v>
      </c>
      <c r="I65" s="95"/>
      <c r="J65" s="175">
        <f>H65/DAY(B2)</f>
        <v>133.19354838709677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150">
        <v>113542</v>
      </c>
      <c r="F66" s="122">
        <v>113559</v>
      </c>
      <c r="G66" s="112">
        <f t="shared" si="6"/>
        <v>17</v>
      </c>
      <c r="H66" s="99">
        <f>G66+'30'!H66</f>
        <v>55812</v>
      </c>
      <c r="I66" s="95"/>
      <c r="J66" s="175">
        <f>H66/DAY(B2)</f>
        <v>1800.3870967741937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150">
        <v>116540</v>
      </c>
      <c r="F67" s="122">
        <v>116567</v>
      </c>
      <c r="G67" s="112">
        <f t="shared" si="6"/>
        <v>27</v>
      </c>
      <c r="H67" s="99">
        <f>G67+'30'!H67</f>
        <v>712</v>
      </c>
      <c r="I67" s="95"/>
      <c r="J67" s="175">
        <f>H67/DAY(B2)</f>
        <v>22.967741935483872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150">
        <v>169390</v>
      </c>
      <c r="F68" s="122">
        <v>169410</v>
      </c>
      <c r="G68" s="112">
        <f t="shared" si="6"/>
        <v>20</v>
      </c>
      <c r="H68" s="99">
        <f>G68+'30'!H68</f>
        <v>903</v>
      </c>
      <c r="I68" s="95"/>
      <c r="J68" s="175">
        <f>H68/DAY(B2)</f>
        <v>29.129032258064516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150">
        <v>12991</v>
      </c>
      <c r="F69" s="122">
        <v>12998</v>
      </c>
      <c r="G69" s="112">
        <f t="shared" si="6"/>
        <v>7</v>
      </c>
      <c r="H69" s="99">
        <f>G69+'30'!H69</f>
        <v>188</v>
      </c>
      <c r="I69" s="95"/>
      <c r="J69" s="175">
        <f>H69/DAY(B2)</f>
        <v>6.064516129032258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150">
        <v>11010</v>
      </c>
      <c r="F70" s="122">
        <v>11016</v>
      </c>
      <c r="G70" s="112">
        <f t="shared" si="6"/>
        <v>6</v>
      </c>
      <c r="H70" s="99">
        <f>G70+'30'!H70</f>
        <v>237</v>
      </c>
      <c r="I70" s="95"/>
      <c r="J70" s="175">
        <f>H70/DAY(B2)</f>
        <v>7.645161290322581</v>
      </c>
      <c r="K70" s="69"/>
      <c r="L70" s="66"/>
      <c r="N70" s="87"/>
      <c r="O70" s="71"/>
    </row>
    <row r="71" spans="1:15" ht="26.25">
      <c r="A71" s="861" t="s">
        <v>208</v>
      </c>
      <c r="B71" s="862"/>
      <c r="C71" s="863"/>
      <c r="D71" s="152"/>
      <c r="E71" s="152"/>
      <c r="F71" s="152"/>
      <c r="G71" s="153">
        <f>SUM(G65:G70)</f>
        <v>217</v>
      </c>
      <c r="H71" s="99">
        <f>G71+'30'!H71</f>
        <v>61981</v>
      </c>
      <c r="I71" s="531"/>
      <c r="J71" s="175">
        <f>H71/DAY(B2)</f>
        <v>1999.3870967741937</v>
      </c>
      <c r="K71" s="69"/>
      <c r="L71" s="66"/>
      <c r="N71" s="87"/>
      <c r="O71" s="71"/>
    </row>
    <row r="72" spans="1:15" s="88" customFormat="1" ht="25.5">
      <c r="A72" s="904"/>
      <c r="B72" s="896"/>
      <c r="C72" s="347"/>
      <c r="D72" s="180"/>
      <c r="E72" s="180"/>
      <c r="F72" s="411"/>
      <c r="G72" s="411"/>
      <c r="H72" s="181"/>
      <c r="I72" s="411"/>
      <c r="J72" s="532"/>
      <c r="N72" s="87"/>
      <c r="O72" s="71"/>
    </row>
    <row r="73" spans="1:15" ht="26.25">
      <c r="A73" s="909" t="s">
        <v>333</v>
      </c>
      <c r="B73" s="910"/>
      <c r="C73" s="91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64" t="s">
        <v>220</v>
      </c>
      <c r="B74" s="865"/>
      <c r="C74" s="866"/>
      <c r="D74" s="151" t="s">
        <v>139</v>
      </c>
      <c r="E74" s="123">
        <v>2213</v>
      </c>
      <c r="F74" s="123">
        <v>2515</v>
      </c>
      <c r="G74" s="112">
        <f t="shared" ref="G74:G78" si="7">F74-E74</f>
        <v>302</v>
      </c>
      <c r="H74" s="99">
        <f>G74+'30'!H74</f>
        <v>9155.9699999999721</v>
      </c>
      <c r="I74" s="531"/>
      <c r="J74" s="175">
        <f>H74/DAY(B2)</f>
        <v>295.35387096774105</v>
      </c>
      <c r="K74" s="69"/>
      <c r="L74" s="66"/>
      <c r="N74" s="87"/>
      <c r="O74" s="71"/>
    </row>
    <row r="75" spans="1:15" ht="25.5">
      <c r="A75" s="864" t="s">
        <v>221</v>
      </c>
      <c r="B75" s="865"/>
      <c r="C75" s="866"/>
      <c r="D75" s="151" t="s">
        <v>139</v>
      </c>
      <c r="E75" s="123">
        <v>73586.8</v>
      </c>
      <c r="F75" s="123">
        <v>73586.8</v>
      </c>
      <c r="G75" s="112">
        <f t="shared" si="7"/>
        <v>0</v>
      </c>
      <c r="H75" s="99">
        <f>G75+'30'!H75</f>
        <v>0.80000000000291038</v>
      </c>
      <c r="I75" s="531"/>
      <c r="J75" s="175">
        <f>H75/DAY(B2)</f>
        <v>2.5806451612997109E-2</v>
      </c>
      <c r="K75" s="69"/>
      <c r="L75" s="66"/>
      <c r="N75" s="87"/>
      <c r="O75" s="71"/>
    </row>
    <row r="76" spans="1:15" ht="25.5">
      <c r="A76" s="905" t="s">
        <v>222</v>
      </c>
      <c r="B76" s="891"/>
      <c r="C76" s="892"/>
      <c r="D76" s="151" t="s">
        <v>139</v>
      </c>
      <c r="E76" s="123">
        <v>207272</v>
      </c>
      <c r="F76" s="123">
        <v>207377</v>
      </c>
      <c r="G76" s="112">
        <f t="shared" si="7"/>
        <v>105</v>
      </c>
      <c r="H76" s="99">
        <f>G76+'30'!H76</f>
        <v>3715</v>
      </c>
      <c r="I76" s="531"/>
      <c r="J76" s="175">
        <f>H76/DAY(B2)</f>
        <v>119.83870967741936</v>
      </c>
      <c r="K76" s="69"/>
      <c r="L76" s="66"/>
      <c r="N76" s="87"/>
      <c r="O76" s="71"/>
    </row>
    <row r="77" spans="1:15" ht="25.5">
      <c r="A77" s="905" t="s">
        <v>223</v>
      </c>
      <c r="B77" s="891"/>
      <c r="C77" s="892"/>
      <c r="D77" s="151" t="s">
        <v>139</v>
      </c>
      <c r="E77" s="123">
        <v>58093</v>
      </c>
      <c r="F77" s="409">
        <v>58152</v>
      </c>
      <c r="G77" s="112">
        <f t="shared" si="7"/>
        <v>59</v>
      </c>
      <c r="H77" s="99">
        <f>G77+'30'!H77</f>
        <v>1630</v>
      </c>
      <c r="I77" s="531"/>
      <c r="J77" s="175">
        <f>H77/DAY(B2)</f>
        <v>52.58064516129032</v>
      </c>
      <c r="K77" s="69"/>
      <c r="L77" s="66"/>
      <c r="N77" s="87"/>
      <c r="O77" s="71"/>
    </row>
    <row r="78" spans="1:15" ht="25.5">
      <c r="A78" s="905" t="s">
        <v>224</v>
      </c>
      <c r="B78" s="891"/>
      <c r="C78" s="892"/>
      <c r="D78" s="151" t="s">
        <v>139</v>
      </c>
      <c r="E78" s="123">
        <v>9564</v>
      </c>
      <c r="F78" s="409">
        <v>9564</v>
      </c>
      <c r="G78" s="112">
        <f t="shared" si="7"/>
        <v>0</v>
      </c>
      <c r="H78" s="99">
        <f>G78+'30'!H78</f>
        <v>-0.3999999999996362</v>
      </c>
      <c r="I78" s="95"/>
      <c r="J78" s="175">
        <f>H78/DAY(B2)</f>
        <v>-1.2903225806439877E-2</v>
      </c>
      <c r="K78" s="69"/>
      <c r="L78" s="66"/>
      <c r="N78" s="87"/>
      <c r="O78" s="71"/>
    </row>
    <row r="79" spans="1:15" s="57" customFormat="1" ht="25.5">
      <c r="A79" s="905" t="s">
        <v>225</v>
      </c>
      <c r="B79" s="891"/>
      <c r="C79" s="892"/>
      <c r="D79" s="151"/>
      <c r="E79" s="117"/>
      <c r="F79" s="123"/>
      <c r="G79" s="112">
        <f>G15-SUM(G74:G78)</f>
        <v>624.35800000000745</v>
      </c>
      <c r="H79" s="99">
        <f>G79+'30'!H79</f>
        <v>19858.988000000034</v>
      </c>
      <c r="I79" s="95"/>
      <c r="J79" s="175"/>
      <c r="K79" s="59"/>
      <c r="L79" s="58"/>
      <c r="N79" s="87"/>
      <c r="O79" s="71"/>
    </row>
    <row r="80" spans="1:15" s="57" customFormat="1" ht="26.25">
      <c r="A80" s="861" t="s">
        <v>329</v>
      </c>
      <c r="B80" s="862"/>
      <c r="C80" s="863"/>
      <c r="D80" s="151"/>
      <c r="E80" s="117"/>
      <c r="F80" s="117"/>
      <c r="G80" s="112">
        <f>SUM(G74:G79)</f>
        <v>1090.3580000000075</v>
      </c>
      <c r="H80" s="99"/>
      <c r="I80" s="95"/>
      <c r="J80" s="175"/>
      <c r="K80" s="59"/>
      <c r="L80" s="58"/>
      <c r="N80" s="87"/>
      <c r="O80" s="71"/>
    </row>
    <row r="81" spans="1:15" ht="25.5">
      <c r="A81" s="897" t="s">
        <v>226</v>
      </c>
      <c r="B81" s="898"/>
      <c r="C81" s="89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122">
        <v>0</v>
      </c>
      <c r="F82" s="122">
        <v>0</v>
      </c>
      <c r="G82" s="112">
        <f t="shared" ref="G82:G92" si="8">F82-E82</f>
        <v>0</v>
      </c>
      <c r="H82" s="99">
        <f>G82+'30'!H131</f>
        <v>5877.3999999999942</v>
      </c>
      <c r="I82" s="545"/>
      <c r="J82" s="175">
        <f>H82/DAY(B2)</f>
        <v>189.59354838709658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122">
        <v>0</v>
      </c>
      <c r="F83" s="122">
        <v>0</v>
      </c>
      <c r="G83" s="112">
        <f t="shared" si="8"/>
        <v>0</v>
      </c>
      <c r="H83" s="99">
        <f>G83+'30'!H83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164">
        <v>43546</v>
      </c>
      <c r="F84" s="164">
        <v>43546</v>
      </c>
      <c r="G84" s="112">
        <f t="shared" si="8"/>
        <v>0</v>
      </c>
      <c r="H84" s="99">
        <f>G84+'30'!H84</f>
        <v>2005.7900000000009</v>
      </c>
      <c r="I84" s="545"/>
      <c r="J84" s="175">
        <f>H84/DAY(B2)</f>
        <v>64.70290322580648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150">
        <v>5908.46</v>
      </c>
      <c r="F85" s="164">
        <v>5932.45</v>
      </c>
      <c r="G85" s="112">
        <f t="shared" si="8"/>
        <v>23.989999999999782</v>
      </c>
      <c r="H85" s="99">
        <f>G85+'30'!H85</f>
        <v>248.44999999999982</v>
      </c>
      <c r="I85" s="545"/>
      <c r="J85" s="175">
        <f>H85/DAY(B2)</f>
        <v>8.014516129032252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164">
        <v>46834</v>
      </c>
      <c r="F86" s="164">
        <v>46834</v>
      </c>
      <c r="G86" s="112">
        <f t="shared" si="8"/>
        <v>0</v>
      </c>
      <c r="H86" s="99">
        <f>G86+'30'!H86</f>
        <v>80.069999999999709</v>
      </c>
      <c r="I86" s="545"/>
      <c r="J86" s="175">
        <f>H86/DAY(B2)</f>
        <v>2.5829032258064424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164">
        <v>37023</v>
      </c>
      <c r="F87" s="164">
        <v>37028</v>
      </c>
      <c r="G87" s="112">
        <f t="shared" si="8"/>
        <v>5</v>
      </c>
      <c r="H87" s="99">
        <f>G87+'30'!H87</f>
        <v>477.79000000000087</v>
      </c>
      <c r="I87" s="545">
        <f>G84+G85+G86+G87</f>
        <v>28.989999999999782</v>
      </c>
      <c r="J87" s="175">
        <f>H87/DAY(B2)</f>
        <v>15.412580645161318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164">
        <v>24601</v>
      </c>
      <c r="F88" s="164">
        <v>24603.599999999999</v>
      </c>
      <c r="G88" s="112">
        <f t="shared" si="8"/>
        <v>2.5999999999985448</v>
      </c>
      <c r="H88" s="99">
        <f>G88+'30'!H88</f>
        <v>91.799999999999272</v>
      </c>
      <c r="I88" s="545"/>
      <c r="J88" s="175">
        <f>H88/DAY(B2)</f>
        <v>2.9612903225806217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164">
        <v>28749.13</v>
      </c>
      <c r="F89" s="164">
        <v>28758</v>
      </c>
      <c r="G89" s="112">
        <f t="shared" si="8"/>
        <v>8.8699999999989814</v>
      </c>
      <c r="H89" s="99">
        <f>G89+'30'!H89</f>
        <v>256.29999999999927</v>
      </c>
      <c r="I89" s="545">
        <f>G88+G89</f>
        <v>11.469999999997526</v>
      </c>
      <c r="J89" s="175">
        <f>H89/DAY(B2)</f>
        <v>8.2677419354838477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164">
        <v>74193</v>
      </c>
      <c r="F90" s="164">
        <v>74203.179999999993</v>
      </c>
      <c r="G90" s="112">
        <f>F90-E90</f>
        <v>10.179999999993015</v>
      </c>
      <c r="H90" s="99">
        <f>G90+'30'!H90</f>
        <v>67.179999999993015</v>
      </c>
      <c r="I90" s="545">
        <f>G90</f>
        <v>10.179999999993015</v>
      </c>
      <c r="J90" s="175">
        <f>H90/DAY(B2)</f>
        <v>2.1670967741933231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122">
        <v>5618</v>
      </c>
      <c r="F91" s="122">
        <v>5618.21</v>
      </c>
      <c r="G91" s="112">
        <f t="shared" si="8"/>
        <v>0.21000000000003638</v>
      </c>
      <c r="H91" s="99">
        <f>G91+'30'!H91</f>
        <v>265.4399999999996</v>
      </c>
      <c r="I91" s="546"/>
      <c r="J91" s="175">
        <f>H91/DAY(B2)</f>
        <v>8.5625806451612778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122">
        <v>7068.83</v>
      </c>
      <c r="F92" s="122">
        <v>7079.69</v>
      </c>
      <c r="G92" s="112">
        <f t="shared" si="8"/>
        <v>10.859999999999673</v>
      </c>
      <c r="H92" s="99">
        <f>G92+'30'!H92</f>
        <v>79.6899999999996</v>
      </c>
      <c r="I92" s="547">
        <f>G91+G92</f>
        <v>11.069999999999709</v>
      </c>
      <c r="J92" s="175">
        <f>H92/DAY(B2)</f>
        <v>2.5706451612903098</v>
      </c>
      <c r="O92" s="71"/>
    </row>
    <row r="93" spans="1:15" ht="26.25">
      <c r="A93" s="906"/>
      <c r="B93" s="907"/>
      <c r="C93" s="90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64" t="s">
        <v>240</v>
      </c>
      <c r="B94" s="865"/>
      <c r="C94" s="866"/>
      <c r="D94" s="151" t="s">
        <v>130</v>
      </c>
      <c r="E94" s="151"/>
      <c r="F94" s="151"/>
      <c r="G94" s="99">
        <f>G35+G43+G49+G57</f>
        <v>5934.140000000014</v>
      </c>
      <c r="H94" s="99">
        <f>G94+'30'!H94</f>
        <v>180991.81000000011</v>
      </c>
      <c r="I94" s="95"/>
      <c r="J94" s="175">
        <f>H94/DAY(B2)</f>
        <v>5838.4454838709717</v>
      </c>
      <c r="K94" s="69"/>
      <c r="L94" s="66"/>
      <c r="O94" s="71"/>
    </row>
    <row r="95" spans="1:15" ht="25.5">
      <c r="A95" s="864" t="s">
        <v>241</v>
      </c>
      <c r="B95" s="865"/>
      <c r="C95" s="866"/>
      <c r="D95" s="151" t="s">
        <v>23</v>
      </c>
      <c r="E95" s="146"/>
      <c r="F95" s="146"/>
      <c r="G95" s="166">
        <f>G94/G7</f>
        <v>0.25883887289540319</v>
      </c>
      <c r="H95" s="99">
        <f>G95+'30'!H95</f>
        <v>7.9834985139381374</v>
      </c>
      <c r="I95" s="533"/>
      <c r="J95" s="175">
        <f>H95/DAY(B2)</f>
        <v>0.2575322101270367</v>
      </c>
      <c r="K95" s="69"/>
      <c r="L95" s="66"/>
      <c r="O95" s="71"/>
    </row>
    <row r="96" spans="1:15" ht="25.5">
      <c r="A96" s="864" t="s">
        <v>242</v>
      </c>
      <c r="B96" s="865"/>
      <c r="C96" s="866"/>
      <c r="D96" s="151" t="s">
        <v>130</v>
      </c>
      <c r="E96" s="95"/>
      <c r="F96" s="95"/>
      <c r="G96" s="99">
        <f>G41+G42+G55+G56</f>
        <v>4675.6900000000023</v>
      </c>
      <c r="H96" s="99">
        <f>G96+'30'!H96</f>
        <v>132191.46999999997</v>
      </c>
      <c r="I96" s="95"/>
      <c r="J96" s="175">
        <f>H96/DAY(B2)</f>
        <v>4264.2409677419346</v>
      </c>
      <c r="K96" s="69"/>
      <c r="L96" s="66"/>
      <c r="O96" s="71"/>
    </row>
    <row r="97" spans="1:15" ht="25.5">
      <c r="A97" s="864" t="s">
        <v>243</v>
      </c>
      <c r="B97" s="865"/>
      <c r="C97" s="866"/>
      <c r="D97" s="151" t="s">
        <v>23</v>
      </c>
      <c r="E97" s="95"/>
      <c r="F97" s="95"/>
      <c r="G97" s="166">
        <f>G96/G7</f>
        <v>0.20394704702084979</v>
      </c>
      <c r="H97" s="99">
        <f>G97+'30'!H97</f>
        <v>5.7950492096966251</v>
      </c>
      <c r="I97" s="533"/>
      <c r="J97" s="175">
        <f>H97/DAY(B2)</f>
        <v>0.1869370712805363</v>
      </c>
      <c r="K97" s="69"/>
      <c r="L97" s="66"/>
      <c r="O97" s="71"/>
    </row>
    <row r="98" spans="1:15" ht="25.5">
      <c r="A98" s="864" t="s">
        <v>244</v>
      </c>
      <c r="B98" s="865"/>
      <c r="C98" s="866"/>
      <c r="D98" s="151" t="s">
        <v>130</v>
      </c>
      <c r="E98" s="95"/>
      <c r="F98" s="95"/>
      <c r="G98" s="99">
        <f>G39+G53</f>
        <v>2837.8400000000838</v>
      </c>
      <c r="H98" s="99">
        <f>G98+'30'!H98</f>
        <v>112519.57000000007</v>
      </c>
      <c r="I98" s="512"/>
      <c r="J98" s="175">
        <f>H98/DAY(B2)</f>
        <v>3629.6635483870987</v>
      </c>
      <c r="K98" s="69"/>
      <c r="L98" s="66"/>
      <c r="O98" s="71"/>
    </row>
    <row r="99" spans="1:15" ht="25.5">
      <c r="A99" s="864" t="s">
        <v>245</v>
      </c>
      <c r="B99" s="865"/>
      <c r="C99" s="866"/>
      <c r="D99" s="151" t="s">
        <v>23</v>
      </c>
      <c r="E99" s="95"/>
      <c r="F99" s="95"/>
      <c r="G99" s="166">
        <f>G98/G7</f>
        <v>0.12378260490273418</v>
      </c>
      <c r="H99" s="99">
        <f>G99+'30'!H99</f>
        <v>4.9453419933503024</v>
      </c>
      <c r="I99" s="512"/>
      <c r="J99" s="175">
        <f>H99/DAY(B2)</f>
        <v>0.15952716107581622</v>
      </c>
      <c r="O99" s="71"/>
    </row>
    <row r="100" spans="1:15" ht="26.25">
      <c r="A100" s="864" t="s">
        <v>246</v>
      </c>
      <c r="B100" s="865"/>
      <c r="C100" s="866"/>
      <c r="D100" s="151" t="s">
        <v>180</v>
      </c>
      <c r="E100" s="95"/>
      <c r="F100" s="95"/>
      <c r="G100" s="99">
        <f>G38+G52</f>
        <v>177.34999999997672</v>
      </c>
      <c r="H100" s="99">
        <f>G100+'30'!H100</f>
        <v>63824.959999999963</v>
      </c>
      <c r="I100" s="95"/>
      <c r="J100" s="175">
        <f>H100/DAY(B2)</f>
        <v>2058.8696774193536</v>
      </c>
      <c r="K100" s="70"/>
      <c r="O100" s="71"/>
    </row>
    <row r="101" spans="1:15" ht="25.5">
      <c r="A101" s="864" t="s">
        <v>247</v>
      </c>
      <c r="B101" s="865"/>
      <c r="C101" s="866"/>
      <c r="D101" s="151" t="s">
        <v>23</v>
      </c>
      <c r="E101" s="95"/>
      <c r="F101" s="95"/>
      <c r="G101" s="166">
        <f>G100/G7</f>
        <v>7.7357585274350832E-3</v>
      </c>
      <c r="H101" s="99">
        <f>G101+'30'!H101</f>
        <v>2.8692078690284921</v>
      </c>
      <c r="I101" s="512"/>
      <c r="J101" s="175">
        <f>H101/DAY(B2)</f>
        <v>9.2555092549306203E-2</v>
      </c>
      <c r="O101" s="71"/>
    </row>
    <row r="102" spans="1:15" ht="25.5">
      <c r="A102" s="864" t="s">
        <v>248</v>
      </c>
      <c r="B102" s="865"/>
      <c r="C102" s="866"/>
      <c r="D102" s="151" t="s">
        <v>180</v>
      </c>
      <c r="E102" s="95"/>
      <c r="F102" s="95"/>
      <c r="G102" s="99">
        <f>G36+G50</f>
        <v>2449.9000000000233</v>
      </c>
      <c r="H102" s="99">
        <f>G102+'30'!H102</f>
        <v>76355.72000000003</v>
      </c>
      <c r="I102" s="512"/>
      <c r="J102" s="175">
        <f>H102/DAY(B2)</f>
        <v>2463.0877419354847</v>
      </c>
      <c r="O102" s="71"/>
    </row>
    <row r="103" spans="1:15" ht="25.5">
      <c r="A103" s="864" t="s">
        <v>249</v>
      </c>
      <c r="B103" s="865"/>
      <c r="C103" s="866"/>
      <c r="D103" s="151" t="s">
        <v>23</v>
      </c>
      <c r="E103" s="95"/>
      <c r="F103" s="95"/>
      <c r="G103" s="166">
        <f>G102/G7</f>
        <v>0.10686120561807656</v>
      </c>
      <c r="H103" s="99">
        <f>G103+'30'!H103</f>
        <v>3.3588991123464447</v>
      </c>
      <c r="I103" s="95"/>
      <c r="J103" s="175">
        <f>H103/DAY(B2)</f>
        <v>0.10835158426924014</v>
      </c>
      <c r="O103" s="71"/>
    </row>
    <row r="104" spans="1:15" ht="25.5">
      <c r="A104" s="864" t="s">
        <v>250</v>
      </c>
      <c r="B104" s="865"/>
      <c r="C104" s="866"/>
      <c r="D104" s="151" t="s">
        <v>180</v>
      </c>
      <c r="E104" s="95"/>
      <c r="F104" s="95"/>
      <c r="G104" s="99">
        <f>G37+G51</f>
        <v>1379.8699999999953</v>
      </c>
      <c r="H104" s="99">
        <f>G104+'30'!H104</f>
        <v>36984.630000000005</v>
      </c>
      <c r="I104" s="95"/>
      <c r="J104" s="175">
        <f>H104/DAY(B2)</f>
        <v>1193.0525806451615</v>
      </c>
      <c r="O104" s="71"/>
    </row>
    <row r="105" spans="1:15" ht="26.25" thickBot="1">
      <c r="A105" s="901" t="s">
        <v>251</v>
      </c>
      <c r="B105" s="902"/>
      <c r="C105" s="903"/>
      <c r="D105" s="231" t="s">
        <v>23</v>
      </c>
      <c r="E105" s="185"/>
      <c r="F105" s="185"/>
      <c r="G105" s="186">
        <f>G104/G7</f>
        <v>6.018799616156309E-2</v>
      </c>
      <c r="H105" s="99">
        <f>G105+'30'!H105</f>
        <v>1.6454906827275178</v>
      </c>
      <c r="I105" s="185"/>
      <c r="J105" s="188">
        <f>H105/DAY(B2)</f>
        <v>5.3080344604113476E-2</v>
      </c>
      <c r="O105" s="71"/>
    </row>
    <row r="106" spans="1:15" ht="25.5">
      <c r="A106" s="105"/>
      <c r="B106" s="96"/>
      <c r="C106" s="96"/>
      <c r="D106" s="169"/>
      <c r="E106" s="412"/>
      <c r="F106" s="412"/>
      <c r="G106" s="412"/>
      <c r="H106" s="170"/>
      <c r="I106" s="412"/>
      <c r="J106" s="170"/>
      <c r="O106" s="71"/>
    </row>
    <row r="107" spans="1:15" ht="26.25"/>
    <row r="108" spans="1:15" ht="27.75">
      <c r="A108" s="915" t="s">
        <v>324</v>
      </c>
      <c r="B108" s="915"/>
      <c r="C108" s="915"/>
      <c r="D108" s="915"/>
      <c r="E108" s="915"/>
      <c r="F108" s="915"/>
      <c r="G108" s="915"/>
      <c r="H108" s="915"/>
      <c r="I108" s="915"/>
      <c r="J108" s="915"/>
    </row>
    <row r="109" spans="1:15" ht="26.25">
      <c r="A109" s="900"/>
      <c r="B109" s="900"/>
    </row>
    <row r="110" spans="1:15" ht="26.25">
      <c r="A110" s="916" t="s">
        <v>165</v>
      </c>
      <c r="B110" s="917"/>
      <c r="C110" s="917"/>
      <c r="D110" s="917"/>
      <c r="E110" s="917"/>
      <c r="F110" s="917"/>
      <c r="G110" s="917"/>
      <c r="H110" s="917"/>
      <c r="I110" s="917"/>
      <c r="J110" s="918"/>
    </row>
    <row r="111" spans="1:15" ht="25.5">
      <c r="A111" s="919"/>
      <c r="B111" s="920"/>
      <c r="C111" s="921"/>
      <c r="D111" s="165"/>
      <c r="E111" s="155"/>
      <c r="F111" s="155"/>
      <c r="G111" s="155"/>
      <c r="H111" s="156"/>
      <c r="I111" s="155"/>
      <c r="J111" s="156"/>
    </row>
    <row r="112" spans="1:15" ht="25.5">
      <c r="A112" s="894" t="s">
        <v>252</v>
      </c>
      <c r="B112" s="895"/>
      <c r="C112" s="896"/>
      <c r="D112" s="146" t="s">
        <v>183</v>
      </c>
      <c r="E112" s="237">
        <v>17451.5</v>
      </c>
      <c r="F112" s="237">
        <v>17511.3</v>
      </c>
      <c r="G112" s="112">
        <f t="shared" ref="G112:G123" si="9">F112-E112</f>
        <v>59.799999999999272</v>
      </c>
      <c r="H112" s="99">
        <f>G112+'30'!H112</f>
        <v>1897.5</v>
      </c>
      <c r="I112" s="155"/>
      <c r="J112" s="328">
        <f>H112/DAY(B2)</f>
        <v>61.20967741935484</v>
      </c>
    </row>
    <row r="113" spans="1:18" ht="25.5">
      <c r="A113" s="894" t="s">
        <v>253</v>
      </c>
      <c r="B113" s="895"/>
      <c r="C113" s="896"/>
      <c r="D113" s="146" t="s">
        <v>183</v>
      </c>
      <c r="E113" s="237">
        <v>36929</v>
      </c>
      <c r="F113" s="237">
        <v>37079</v>
      </c>
      <c r="G113" s="112">
        <f t="shared" si="9"/>
        <v>150</v>
      </c>
      <c r="H113" s="99">
        <f>G113+'30'!H113</f>
        <v>4628.3300000000017</v>
      </c>
      <c r="I113" s="155"/>
      <c r="J113" s="328">
        <f>H113/DAY(B2)</f>
        <v>149.30096774193555</v>
      </c>
    </row>
    <row r="114" spans="1:18" ht="25.5">
      <c r="A114" s="894" t="s">
        <v>254</v>
      </c>
      <c r="B114" s="895"/>
      <c r="C114" s="896"/>
      <c r="D114" s="146" t="s">
        <v>183</v>
      </c>
      <c r="E114" s="237">
        <v>54043</v>
      </c>
      <c r="F114" s="237">
        <v>54267.78</v>
      </c>
      <c r="G114" s="112">
        <f t="shared" si="9"/>
        <v>224.77999999999884</v>
      </c>
      <c r="H114" s="99">
        <f>G114+'30'!H114</f>
        <v>6301.4799999999959</v>
      </c>
      <c r="I114" s="155"/>
      <c r="J114" s="328">
        <f>H114/DAY(B2)</f>
        <v>203.27354838709664</v>
      </c>
    </row>
    <row r="115" spans="1:18" ht="25.5">
      <c r="A115" s="894" t="s">
        <v>255</v>
      </c>
      <c r="B115" s="895"/>
      <c r="C115" s="896"/>
      <c r="D115" s="146" t="s">
        <v>183</v>
      </c>
      <c r="E115" s="237">
        <v>34815</v>
      </c>
      <c r="F115" s="237">
        <v>34966.910000000003</v>
      </c>
      <c r="G115" s="112">
        <f t="shared" si="9"/>
        <v>151.91000000000349</v>
      </c>
      <c r="H115" s="99">
        <f>G115+'30'!H115</f>
        <v>4530.510000000002</v>
      </c>
      <c r="I115" s="155"/>
      <c r="J115" s="328">
        <f>H115/DAY(B2)</f>
        <v>146.14548387096781</v>
      </c>
    </row>
    <row r="116" spans="1:18" ht="25.5">
      <c r="A116" s="912" t="s">
        <v>96</v>
      </c>
      <c r="B116" s="913"/>
      <c r="C116" s="914"/>
      <c r="D116" s="146" t="s">
        <v>183</v>
      </c>
      <c r="E116" s="237">
        <v>134006</v>
      </c>
      <c r="F116" s="237">
        <v>134488.39000000001</v>
      </c>
      <c r="G116" s="112">
        <f t="shared" si="9"/>
        <v>482.39000000001397</v>
      </c>
      <c r="H116" s="99">
        <f>G116+'30'!H116</f>
        <v>11628.190000000017</v>
      </c>
      <c r="I116" s="155"/>
      <c r="J116" s="328">
        <f>H116/DAY(B2)</f>
        <v>375.10290322580698</v>
      </c>
      <c r="Q116" s="894"/>
      <c r="R116" s="896"/>
    </row>
    <row r="117" spans="1:18" ht="25.5">
      <c r="A117" s="912" t="s">
        <v>184</v>
      </c>
      <c r="B117" s="913"/>
      <c r="C117" s="914"/>
      <c r="D117" s="146" t="s">
        <v>183</v>
      </c>
      <c r="E117" s="237">
        <v>82492</v>
      </c>
      <c r="F117" s="237">
        <v>82710</v>
      </c>
      <c r="G117" s="112">
        <f t="shared" si="9"/>
        <v>218</v>
      </c>
      <c r="H117" s="99">
        <f>G117+'30'!H117</f>
        <v>8728.8000000000029</v>
      </c>
      <c r="I117" s="155"/>
      <c r="J117" s="328">
        <f>H117/DAY(B2)</f>
        <v>281.5741935483872</v>
      </c>
      <c r="Q117" s="894"/>
      <c r="R117" s="896"/>
    </row>
    <row r="118" spans="1:18" ht="25.5">
      <c r="A118" s="889" t="s">
        <v>97</v>
      </c>
      <c r="B118" s="889"/>
      <c r="C118" s="889"/>
      <c r="D118" s="151" t="s">
        <v>183</v>
      </c>
      <c r="E118" s="237">
        <v>157497</v>
      </c>
      <c r="F118" s="237">
        <v>158137.15</v>
      </c>
      <c r="G118" s="112">
        <f t="shared" si="9"/>
        <v>640.14999999999418</v>
      </c>
      <c r="H118" s="99">
        <f>G118+'30'!H118</f>
        <v>19324.699999999983</v>
      </c>
      <c r="I118" s="155"/>
      <c r="J118" s="328">
        <f>H118/DAY(B2)</f>
        <v>623.37741935483814</v>
      </c>
      <c r="Q118" s="894"/>
      <c r="R118" s="896"/>
    </row>
    <row r="119" spans="1:18" ht="25.5">
      <c r="A119" s="889" t="s">
        <v>98</v>
      </c>
      <c r="B119" s="889"/>
      <c r="C119" s="889"/>
      <c r="D119" s="151" t="s">
        <v>183</v>
      </c>
      <c r="E119" s="237">
        <v>43904.84</v>
      </c>
      <c r="F119" s="237">
        <v>43939.175000000003</v>
      </c>
      <c r="G119" s="112">
        <f t="shared" si="9"/>
        <v>34.335000000006403</v>
      </c>
      <c r="H119" s="99">
        <f>G119+'30'!H119</f>
        <v>585.47500000000582</v>
      </c>
      <c r="I119" s="155"/>
      <c r="J119" s="328">
        <f>H119/DAY(B2)</f>
        <v>18.886290322580834</v>
      </c>
    </row>
    <row r="120" spans="1:18" ht="25.5">
      <c r="A120" s="889" t="s">
        <v>99</v>
      </c>
      <c r="B120" s="889"/>
      <c r="C120" s="889"/>
      <c r="D120" s="151" t="s">
        <v>183</v>
      </c>
      <c r="E120" s="237">
        <v>108045</v>
      </c>
      <c r="F120" s="237">
        <v>108437.14</v>
      </c>
      <c r="G120" s="112">
        <f t="shared" si="9"/>
        <v>392.13999999999942</v>
      </c>
      <c r="H120" s="99">
        <f>G120+'30'!H120</f>
        <v>12729.539999999994</v>
      </c>
      <c r="I120" s="155"/>
      <c r="J120" s="328">
        <f>H120/DAY(B2)</f>
        <v>410.63032258064493</v>
      </c>
    </row>
    <row r="121" spans="1:18" ht="25.5">
      <c r="A121" s="889" t="s">
        <v>100</v>
      </c>
      <c r="B121" s="889"/>
      <c r="C121" s="889"/>
      <c r="D121" s="151" t="s">
        <v>183</v>
      </c>
      <c r="E121" s="237">
        <v>120814.21</v>
      </c>
      <c r="F121" s="237">
        <v>121222.89</v>
      </c>
      <c r="G121" s="112">
        <f t="shared" si="9"/>
        <v>408.67999999999302</v>
      </c>
      <c r="H121" s="99">
        <f>G121+'30'!H121</f>
        <v>13393.839999999997</v>
      </c>
      <c r="I121" s="155"/>
      <c r="J121" s="328">
        <f>H121/DAY(B2)</f>
        <v>432.05935483870957</v>
      </c>
    </row>
    <row r="122" spans="1:18" ht="25.5">
      <c r="A122" s="889" t="s">
        <v>101</v>
      </c>
      <c r="B122" s="889"/>
      <c r="C122" s="889"/>
      <c r="D122" s="151" t="s">
        <v>183</v>
      </c>
      <c r="E122" s="237">
        <v>80976.67</v>
      </c>
      <c r="F122" s="237">
        <v>81274.37</v>
      </c>
      <c r="G122" s="112">
        <f t="shared" si="9"/>
        <v>297.69999999999709</v>
      </c>
      <c r="H122" s="99">
        <f>G122+'30'!H122</f>
        <v>10236.470000000001</v>
      </c>
      <c r="I122" s="155"/>
      <c r="J122" s="328">
        <f>H122/DAY(B2)</f>
        <v>330.20870967741939</v>
      </c>
    </row>
    <row r="123" spans="1:18" ht="25.5">
      <c r="A123" s="889" t="s">
        <v>348</v>
      </c>
      <c r="B123" s="889"/>
      <c r="C123" s="889"/>
      <c r="D123" s="151" t="s">
        <v>183</v>
      </c>
      <c r="E123" s="237">
        <v>77731</v>
      </c>
      <c r="F123" s="237">
        <v>77949</v>
      </c>
      <c r="G123" s="112">
        <f t="shared" si="9"/>
        <v>218</v>
      </c>
      <c r="H123" s="99">
        <f>G123+'30'!H123</f>
        <v>9591.6999999999971</v>
      </c>
      <c r="I123" s="155"/>
      <c r="J123" s="328">
        <f>H123/DAY(B2)</f>
        <v>309.40967741935475</v>
      </c>
    </row>
    <row r="124" spans="1:18" ht="25.5">
      <c r="A124" s="919"/>
      <c r="B124" s="920"/>
      <c r="C124" s="921"/>
      <c r="D124" s="165"/>
      <c r="E124" s="165"/>
      <c r="F124" s="155"/>
      <c r="G124" s="156"/>
      <c r="H124" s="99">
        <f>G124+'30'!H124</f>
        <v>0</v>
      </c>
      <c r="I124" s="155"/>
      <c r="J124" s="156"/>
    </row>
    <row r="125" spans="1:18" ht="25.5">
      <c r="A125" s="853" t="s">
        <v>196</v>
      </c>
      <c r="B125" s="985"/>
      <c r="C125" s="854"/>
      <c r="D125" s="307"/>
      <c r="E125" s="308"/>
      <c r="F125" s="308"/>
      <c r="G125" s="309">
        <f>SUM(G112:G124)</f>
        <v>3277.8850000000057</v>
      </c>
      <c r="H125" s="156"/>
      <c r="I125" s="156">
        <f>G125-(G39+G53)</f>
        <v>440.04499999992186</v>
      </c>
      <c r="J125" s="156"/>
    </row>
    <row r="126" spans="1:18" ht="25.5">
      <c r="A126" s="922" t="s">
        <v>317</v>
      </c>
      <c r="B126" s="922"/>
      <c r="C126" s="922"/>
      <c r="D126" s="922"/>
      <c r="E126" s="922"/>
      <c r="F126" s="922"/>
      <c r="G126" s="922"/>
      <c r="H126" s="922"/>
      <c r="I126" s="922"/>
      <c r="J126" s="922"/>
    </row>
    <row r="127" spans="1:18" ht="25.5">
      <c r="A127" s="923"/>
      <c r="B127" s="923"/>
      <c r="C127" s="245"/>
      <c r="D127" s="307"/>
      <c r="E127" s="308"/>
      <c r="F127" s="308"/>
      <c r="G127" s="309"/>
      <c r="H127" s="99">
        <f>G127+'30'!H127</f>
        <v>0</v>
      </c>
      <c r="I127" s="155"/>
      <c r="J127" s="328">
        <f>H127/DAY(B2)</f>
        <v>0</v>
      </c>
    </row>
    <row r="128" spans="1:18" ht="25.5">
      <c r="A128" s="894" t="s">
        <v>318</v>
      </c>
      <c r="B128" s="895"/>
      <c r="C128" s="896"/>
      <c r="D128" s="151" t="s">
        <v>183</v>
      </c>
      <c r="E128" s="165">
        <v>191394</v>
      </c>
      <c r="F128" s="155">
        <v>191885.63</v>
      </c>
      <c r="G128" s="112">
        <f t="shared" ref="G128:G134" si="10">F128-E128</f>
        <v>491.63000000000466</v>
      </c>
      <c r="H128" s="99">
        <f>G128+'30'!H128</f>
        <v>12473.779999999999</v>
      </c>
      <c r="I128" s="155"/>
      <c r="J128" s="328">
        <f>H128/DAY(B2)</f>
        <v>402.37999999999994</v>
      </c>
    </row>
    <row r="129" spans="1:15" ht="25.5">
      <c r="A129" s="329" t="s">
        <v>319</v>
      </c>
      <c r="B129" s="330"/>
      <c r="C129" s="331"/>
      <c r="D129" s="151" t="s">
        <v>183</v>
      </c>
      <c r="E129" s="165">
        <v>101107</v>
      </c>
      <c r="F129" s="155">
        <v>101277</v>
      </c>
      <c r="G129" s="112">
        <f t="shared" si="10"/>
        <v>170</v>
      </c>
      <c r="H129" s="99">
        <f>G129+'30'!H129</f>
        <v>5247.5</v>
      </c>
      <c r="I129" s="155"/>
      <c r="J129" s="328">
        <f>H129/DAY(B2)</f>
        <v>169.2741935483871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165">
        <v>266932</v>
      </c>
      <c r="F130" s="424">
        <v>267524</v>
      </c>
      <c r="G130" s="551">
        <f t="shared" si="10"/>
        <v>592</v>
      </c>
      <c r="H130" s="99">
        <f>G130+'30'!H130</f>
        <v>20684.25</v>
      </c>
      <c r="I130" s="155"/>
      <c r="J130" s="328">
        <f>H130/DAY(B2)</f>
        <v>667.23387096774195</v>
      </c>
      <c r="N130" s="240"/>
      <c r="O130" s="241"/>
    </row>
    <row r="131" spans="1:15" ht="25.5">
      <c r="A131" s="894" t="s">
        <v>321</v>
      </c>
      <c r="B131" s="895"/>
      <c r="C131" s="896"/>
      <c r="D131" s="151" t="s">
        <v>183</v>
      </c>
      <c r="E131" s="165">
        <v>79388</v>
      </c>
      <c r="F131" s="156">
        <v>79550.63</v>
      </c>
      <c r="G131" s="112">
        <f t="shared" si="10"/>
        <v>162.63000000000466</v>
      </c>
      <c r="H131" s="99">
        <f>G131+'30'!H131</f>
        <v>6040.0299999999988</v>
      </c>
      <c r="I131" s="155"/>
      <c r="J131" s="328">
        <f>H131/DAY(B2)</f>
        <v>194.83967741935481</v>
      </c>
      <c r="N131" s="240"/>
      <c r="O131" s="241"/>
    </row>
    <row r="132" spans="1:15" ht="25.5">
      <c r="A132" s="894" t="s">
        <v>322</v>
      </c>
      <c r="B132" s="895"/>
      <c r="C132" s="896"/>
      <c r="D132" s="151" t="s">
        <v>183</v>
      </c>
      <c r="E132" s="464">
        <v>148274</v>
      </c>
      <c r="F132" s="155">
        <v>148274</v>
      </c>
      <c r="G132" s="112">
        <f t="shared" si="10"/>
        <v>0</v>
      </c>
      <c r="H132" s="99">
        <f>G132+'30'!H132</f>
        <v>1289</v>
      </c>
      <c r="I132" s="155"/>
      <c r="J132" s="328">
        <f>H132/DAY(B2)</f>
        <v>41.58064516129032</v>
      </c>
    </row>
    <row r="133" spans="1:15" ht="25.5">
      <c r="A133" s="894" t="s">
        <v>359</v>
      </c>
      <c r="B133" s="895"/>
      <c r="C133" s="896"/>
      <c r="D133" s="151" t="s">
        <v>183</v>
      </c>
      <c r="E133" s="165">
        <v>932255</v>
      </c>
      <c r="F133" s="155">
        <v>933048</v>
      </c>
      <c r="G133" s="112">
        <f t="shared" si="10"/>
        <v>793</v>
      </c>
      <c r="H133" s="99">
        <f>G133+'30'!H133</f>
        <v>22804</v>
      </c>
      <c r="I133" s="155"/>
      <c r="J133" s="328">
        <f>H133/DAY(B2)</f>
        <v>735.61290322580646</v>
      </c>
    </row>
    <row r="134" spans="1:15" ht="25.5">
      <c r="A134" s="894" t="s">
        <v>340</v>
      </c>
      <c r="B134" s="895"/>
      <c r="C134" s="896"/>
      <c r="D134" s="151" t="s">
        <v>183</v>
      </c>
      <c r="E134" s="466">
        <v>85688</v>
      </c>
      <c r="F134" s="155">
        <v>85952</v>
      </c>
      <c r="G134" s="112">
        <f t="shared" si="10"/>
        <v>264</v>
      </c>
      <c r="H134" s="99">
        <f>G134+'30'!H134</f>
        <v>7192.3999999999942</v>
      </c>
      <c r="I134" s="155"/>
      <c r="J134" s="328">
        <f>H134/DAY(B2)</f>
        <v>232.01290322580627</v>
      </c>
    </row>
    <row r="135" spans="1:15" ht="25.5">
      <c r="A135" s="853" t="s">
        <v>196</v>
      </c>
      <c r="B135" s="985"/>
      <c r="C135" s="854"/>
      <c r="D135" s="151"/>
      <c r="E135" s="165"/>
      <c r="F135" s="155"/>
      <c r="G135" s="112">
        <f>SUM(G128:G134)</f>
        <v>2473.2600000000093</v>
      </c>
      <c r="H135" s="99">
        <f>G135+'23'!H135</f>
        <v>29499.729999999996</v>
      </c>
      <c r="I135" s="156">
        <f>G135-(G35+G49)</f>
        <v>-853.88000000000466</v>
      </c>
      <c r="J135" s="328"/>
    </row>
    <row r="136" spans="1:15" ht="27.75">
      <c r="A136" s="924" t="s">
        <v>325</v>
      </c>
      <c r="B136" s="924"/>
      <c r="C136" s="924"/>
      <c r="D136" s="924"/>
      <c r="E136" s="924"/>
      <c r="F136" s="924"/>
      <c r="G136" s="924"/>
      <c r="H136" s="924"/>
      <c r="I136" s="924"/>
      <c r="J136" s="924"/>
    </row>
    <row r="137" spans="1:15" ht="26.25">
      <c r="A137" s="245"/>
      <c r="B137" s="246"/>
      <c r="C137" s="246"/>
      <c r="D137" s="165"/>
      <c r="E137" s="155"/>
      <c r="F137" s="155"/>
      <c r="G137" s="155"/>
      <c r="H137" s="156"/>
      <c r="I137" s="155"/>
      <c r="J137" s="156"/>
    </row>
    <row r="138" spans="1:15" ht="25.5">
      <c r="A138" s="889" t="s">
        <v>185</v>
      </c>
      <c r="B138" s="889"/>
      <c r="C138" s="889"/>
      <c r="D138" s="151" t="s">
        <v>183</v>
      </c>
      <c r="E138" s="147">
        <v>909347</v>
      </c>
      <c r="F138" s="147">
        <v>909479</v>
      </c>
      <c r="G138" s="112">
        <f t="shared" ref="G138:G152" si="11">F138-E138</f>
        <v>132</v>
      </c>
      <c r="H138" s="99">
        <f>G138+'30'!H138</f>
        <v>3852</v>
      </c>
      <c r="I138" s="95"/>
      <c r="J138" s="328">
        <f>H138/DAY(B2)</f>
        <v>124.25806451612904</v>
      </c>
    </row>
    <row r="139" spans="1:15" ht="25.5">
      <c r="A139" s="889" t="s">
        <v>186</v>
      </c>
      <c r="B139" s="889"/>
      <c r="C139" s="889"/>
      <c r="D139" s="151" t="s">
        <v>183</v>
      </c>
      <c r="E139" s="148">
        <v>932201</v>
      </c>
      <c r="F139" s="148">
        <v>932360</v>
      </c>
      <c r="G139" s="112">
        <f t="shared" si="11"/>
        <v>159</v>
      </c>
      <c r="H139" s="99">
        <f>G139+'30'!H139</f>
        <v>5079</v>
      </c>
      <c r="I139" s="95"/>
      <c r="J139" s="328">
        <f>H139/DAY(B2)</f>
        <v>163.83870967741936</v>
      </c>
    </row>
    <row r="140" spans="1:15" ht="25.5">
      <c r="A140" s="889" t="s">
        <v>187</v>
      </c>
      <c r="B140" s="889"/>
      <c r="C140" s="889"/>
      <c r="D140" s="151" t="s">
        <v>183</v>
      </c>
      <c r="E140" s="149">
        <v>4016.51</v>
      </c>
      <c r="F140" s="149">
        <v>4033.511</v>
      </c>
      <c r="G140" s="112">
        <f t="shared" si="11"/>
        <v>17.000999999999749</v>
      </c>
      <c r="H140" s="99">
        <f>G140+'30'!H140</f>
        <v>702.93100000000004</v>
      </c>
      <c r="I140" s="95"/>
      <c r="J140" s="328">
        <f>H140/DAY(B2)</f>
        <v>22.675193548387099</v>
      </c>
    </row>
    <row r="141" spans="1:15" ht="25.5">
      <c r="A141" s="893" t="s">
        <v>188</v>
      </c>
      <c r="B141" s="893"/>
      <c r="C141" s="893"/>
      <c r="D141" s="151" t="s">
        <v>183</v>
      </c>
      <c r="E141" s="149">
        <v>124371</v>
      </c>
      <c r="F141" s="149">
        <v>124598</v>
      </c>
      <c r="G141" s="112">
        <f t="shared" si="11"/>
        <v>227</v>
      </c>
      <c r="H141" s="99">
        <f>G141+'30'!H141</f>
        <v>7040.0200000000041</v>
      </c>
      <c r="I141" s="95"/>
      <c r="J141" s="328">
        <f>H141/DAY(B2)</f>
        <v>227.09741935483885</v>
      </c>
    </row>
    <row r="142" spans="1:15" ht="25.5">
      <c r="A142" s="893" t="s">
        <v>189</v>
      </c>
      <c r="B142" s="893"/>
      <c r="C142" s="893"/>
      <c r="D142" s="151" t="s">
        <v>183</v>
      </c>
      <c r="E142" s="148">
        <v>50450.59</v>
      </c>
      <c r="F142" s="148">
        <v>50565.55</v>
      </c>
      <c r="G142" s="112">
        <f t="shared" si="11"/>
        <v>114.9600000000064</v>
      </c>
      <c r="H142" s="99">
        <f>G142+'30'!H142</f>
        <v>3061.0500000000029</v>
      </c>
      <c r="I142" s="528"/>
      <c r="J142" s="328">
        <f>H142/DAY(B2)</f>
        <v>98.743548387096865</v>
      </c>
    </row>
    <row r="143" spans="1:15" ht="25.5">
      <c r="A143" s="889" t="s">
        <v>91</v>
      </c>
      <c r="B143" s="889"/>
      <c r="C143" s="889"/>
      <c r="D143" s="151" t="s">
        <v>183</v>
      </c>
      <c r="E143" s="149">
        <v>13359.53</v>
      </c>
      <c r="F143" s="149">
        <v>13387</v>
      </c>
      <c r="G143" s="112">
        <f t="shared" si="11"/>
        <v>27.469999999999345</v>
      </c>
      <c r="H143" s="99">
        <f>G143+'30'!H143</f>
        <v>971.60000000000036</v>
      </c>
      <c r="I143" s="528"/>
      <c r="J143" s="328">
        <f>H143/DAY(B2)</f>
        <v>31.34193548387098</v>
      </c>
    </row>
    <row r="144" spans="1:15" ht="25.5">
      <c r="A144" s="893" t="s">
        <v>90</v>
      </c>
      <c r="B144" s="893"/>
      <c r="C144" s="893"/>
      <c r="D144" s="151" t="s">
        <v>183</v>
      </c>
      <c r="E144" s="149">
        <v>955226</v>
      </c>
      <c r="F144" s="149">
        <v>955470</v>
      </c>
      <c r="G144" s="112">
        <f t="shared" si="11"/>
        <v>244</v>
      </c>
      <c r="H144" s="99">
        <f>G144+'30'!H144</f>
        <v>7272</v>
      </c>
      <c r="I144" s="528"/>
      <c r="J144" s="328">
        <f>H144/DAY(B2)</f>
        <v>234.58064516129033</v>
      </c>
    </row>
    <row r="145" spans="1:11" ht="25.5">
      <c r="A145" s="889" t="s">
        <v>190</v>
      </c>
      <c r="B145" s="889"/>
      <c r="C145" s="889"/>
      <c r="D145" s="152" t="s">
        <v>183</v>
      </c>
      <c r="E145" s="149">
        <v>26951</v>
      </c>
      <c r="F145" s="149">
        <v>26991.77</v>
      </c>
      <c r="G145" s="112">
        <f t="shared" si="11"/>
        <v>40.770000000000437</v>
      </c>
      <c r="H145" s="99">
        <f>G145+'30'!H145</f>
        <v>4395.6700000000019</v>
      </c>
      <c r="I145" s="528"/>
      <c r="J145" s="328">
        <f>H145/DAY(B2)</f>
        <v>141.79580645161298</v>
      </c>
    </row>
    <row r="146" spans="1:11" ht="25.5">
      <c r="A146" s="890" t="s">
        <v>191</v>
      </c>
      <c r="B146" s="891"/>
      <c r="C146" s="892"/>
      <c r="D146" s="152" t="s">
        <v>183</v>
      </c>
      <c r="E146" s="148">
        <v>787832</v>
      </c>
      <c r="F146" s="148">
        <v>787858</v>
      </c>
      <c r="G146" s="112">
        <f t="shared" si="11"/>
        <v>26</v>
      </c>
      <c r="H146" s="99">
        <f>G146+'30'!H146</f>
        <v>1190</v>
      </c>
      <c r="I146" s="528"/>
      <c r="J146" s="328">
        <f>H146/DAY(B2)</f>
        <v>38.387096774193552</v>
      </c>
    </row>
    <row r="147" spans="1:11" ht="25.5">
      <c r="A147" s="893" t="s">
        <v>192</v>
      </c>
      <c r="B147" s="893"/>
      <c r="C147" s="893"/>
      <c r="D147" s="152" t="s">
        <v>183</v>
      </c>
      <c r="E147" s="148">
        <v>759716.32</v>
      </c>
      <c r="F147" s="148">
        <v>760138</v>
      </c>
      <c r="G147" s="112">
        <f t="shared" si="11"/>
        <v>421.68000000005122</v>
      </c>
      <c r="H147" s="99">
        <f>G147+'30'!H147</f>
        <v>12583.839999999967</v>
      </c>
      <c r="I147" s="528"/>
      <c r="J147" s="328">
        <f>H147/DAY(B2)</f>
        <v>405.93032258064409</v>
      </c>
    </row>
    <row r="148" spans="1:11" ht="25.5">
      <c r="A148" s="886" t="s">
        <v>193</v>
      </c>
      <c r="B148" s="887"/>
      <c r="C148" s="888"/>
      <c r="D148" s="123" t="s">
        <v>130</v>
      </c>
      <c r="E148" s="150">
        <v>796031.52</v>
      </c>
      <c r="F148" s="150">
        <v>796412.08</v>
      </c>
      <c r="G148" s="112">
        <f t="shared" si="11"/>
        <v>380.55999999993946</v>
      </c>
      <c r="H148" s="99">
        <f>G148+'30'!H148</f>
        <v>11767.079999999958</v>
      </c>
      <c r="I148" s="124"/>
      <c r="J148" s="328">
        <f>H148/DAY(B2)</f>
        <v>379.58322580645029</v>
      </c>
    </row>
    <row r="149" spans="1:11" ht="25.5">
      <c r="A149" s="886" t="s">
        <v>336</v>
      </c>
      <c r="B149" s="887"/>
      <c r="C149" s="888"/>
      <c r="D149" s="227" t="s">
        <v>130</v>
      </c>
      <c r="E149" s="146">
        <v>100310</v>
      </c>
      <c r="F149" s="146">
        <v>100895</v>
      </c>
      <c r="G149" s="112">
        <f t="shared" si="11"/>
        <v>585</v>
      </c>
      <c r="H149" s="99">
        <f>G149+'30'!H149</f>
        <v>15520.129999999976</v>
      </c>
      <c r="I149" s="119"/>
      <c r="J149" s="328">
        <f>H149/DAY(B2)</f>
        <v>500.64935483870892</v>
      </c>
    </row>
    <row r="150" spans="1:11" ht="25.5">
      <c r="A150" s="886" t="s">
        <v>337</v>
      </c>
      <c r="B150" s="887"/>
      <c r="C150" s="888"/>
      <c r="D150" s="117" t="s">
        <v>130</v>
      </c>
      <c r="E150" s="233">
        <v>85131</v>
      </c>
      <c r="F150" s="233">
        <v>85972</v>
      </c>
      <c r="G150" s="112">
        <f t="shared" si="11"/>
        <v>841</v>
      </c>
      <c r="H150" s="99">
        <f>G150+'30'!H150</f>
        <v>9083.6999999999971</v>
      </c>
      <c r="I150" s="119"/>
      <c r="J150" s="328">
        <f>H150/DAY(B2)</f>
        <v>293.02258064516121</v>
      </c>
    </row>
    <row r="151" spans="1:11" ht="25.5">
      <c r="A151" s="886" t="s">
        <v>338</v>
      </c>
      <c r="B151" s="887"/>
      <c r="C151" s="888"/>
      <c r="D151" s="117" t="s">
        <v>130</v>
      </c>
      <c r="E151" s="233">
        <v>166451</v>
      </c>
      <c r="F151" s="233">
        <v>166730</v>
      </c>
      <c r="G151" s="112">
        <f t="shared" si="11"/>
        <v>279</v>
      </c>
      <c r="H151" s="99">
        <f>G151+'30'!H151</f>
        <v>8420</v>
      </c>
      <c r="I151" s="119"/>
      <c r="J151" s="328">
        <f>H151/DAY(B2)</f>
        <v>271.61290322580646</v>
      </c>
    </row>
    <row r="152" spans="1:11" ht="25.5">
      <c r="A152" s="886" t="s">
        <v>339</v>
      </c>
      <c r="B152" s="887"/>
      <c r="C152" s="888"/>
      <c r="D152" s="117" t="s">
        <v>130</v>
      </c>
      <c r="E152" s="233">
        <v>42384.800000000003</v>
      </c>
      <c r="F152" s="233">
        <v>42511</v>
      </c>
      <c r="G152" s="112">
        <f t="shared" si="11"/>
        <v>126.19999999999709</v>
      </c>
      <c r="H152" s="99">
        <f>G152+'30'!H152</f>
        <v>3895.0999999999985</v>
      </c>
      <c r="I152" s="119"/>
      <c r="J152" s="328">
        <f>H152/DAY(B2)</f>
        <v>125.64838709677414</v>
      </c>
    </row>
    <row r="153" spans="1:11" ht="25.5">
      <c r="A153" s="853" t="s">
        <v>196</v>
      </c>
      <c r="B153" s="985"/>
      <c r="C153" s="854"/>
      <c r="D153" s="358"/>
      <c r="E153" s="361"/>
      <c r="F153" s="361"/>
      <c r="G153" s="362">
        <f>SUM(G138:G152)</f>
        <v>3621.6409999999937</v>
      </c>
      <c r="H153" s="363"/>
      <c r="I153" s="119">
        <f>G153-(G38+G52)</f>
        <v>3444.291000000017</v>
      </c>
      <c r="J153" s="366"/>
    </row>
    <row r="154" spans="1:11" ht="27.75">
      <c r="A154" s="924" t="s">
        <v>344</v>
      </c>
      <c r="B154" s="924"/>
      <c r="C154" s="924"/>
      <c r="D154" s="924"/>
      <c r="E154" s="924"/>
      <c r="F154" s="924"/>
      <c r="G154" s="924"/>
      <c r="H154" s="924"/>
      <c r="I154" s="924"/>
      <c r="J154" s="924"/>
    </row>
    <row r="155" spans="1:11" ht="27.75">
      <c r="A155" s="893" t="s">
        <v>345</v>
      </c>
      <c r="B155" s="893"/>
      <c r="C155" s="893"/>
      <c r="D155" s="117" t="s">
        <v>130</v>
      </c>
      <c r="E155" s="374">
        <v>238474.39</v>
      </c>
      <c r="F155" s="388">
        <v>239034</v>
      </c>
      <c r="G155" s="112">
        <f t="shared" ref="G155:G158" si="12">F155-E155</f>
        <v>559.60999999998603</v>
      </c>
      <c r="H155" s="99">
        <f>G155+'30'!H155</f>
        <v>19046.299999999988</v>
      </c>
      <c r="I155" s="364"/>
      <c r="J155" s="328">
        <f>H155/DAY(B2)</f>
        <v>614.39677419354803</v>
      </c>
    </row>
    <row r="156" spans="1:11" ht="25.5">
      <c r="A156" s="893" t="s">
        <v>347</v>
      </c>
      <c r="B156" s="893"/>
      <c r="C156" s="893"/>
      <c r="D156" s="117" t="s">
        <v>130</v>
      </c>
      <c r="E156" s="155">
        <v>29472.35</v>
      </c>
      <c r="F156" s="155">
        <v>29957</v>
      </c>
      <c r="G156" s="112">
        <f t="shared" si="12"/>
        <v>484.65000000000146</v>
      </c>
      <c r="H156" s="99">
        <f>G156+'30'!H156</f>
        <v>3426.7999999999993</v>
      </c>
      <c r="I156" s="155"/>
      <c r="J156" s="328">
        <f>H156/DAY(B2)</f>
        <v>110.54193548387094</v>
      </c>
    </row>
    <row r="157" spans="1:11" ht="25.5">
      <c r="A157" s="886" t="s">
        <v>360</v>
      </c>
      <c r="B157" s="887"/>
      <c r="C157" s="888"/>
      <c r="D157" s="117" t="s">
        <v>130</v>
      </c>
      <c r="E157" s="155">
        <v>37559</v>
      </c>
      <c r="F157" s="95">
        <v>37559</v>
      </c>
      <c r="G157" s="112">
        <f t="shared" si="12"/>
        <v>0</v>
      </c>
      <c r="H157" s="99">
        <f>G157+'30'!H157</f>
        <v>0</v>
      </c>
      <c r="I157" s="99"/>
      <c r="J157" s="155"/>
      <c r="K157" s="328"/>
    </row>
    <row r="158" spans="1:11" ht="25.5">
      <c r="A158" s="886" t="s">
        <v>361</v>
      </c>
      <c r="B158" s="887"/>
      <c r="C158" s="888"/>
      <c r="D158" s="117" t="s">
        <v>130</v>
      </c>
      <c r="E158" s="155">
        <v>1758</v>
      </c>
      <c r="F158" s="155">
        <v>1758</v>
      </c>
      <c r="G158" s="112">
        <f t="shared" si="12"/>
        <v>0</v>
      </c>
      <c r="H158" s="99">
        <f>G158+'30'!H158</f>
        <v>2</v>
      </c>
      <c r="I158" s="155"/>
      <c r="J158" s="328"/>
    </row>
    <row r="159" spans="1:11" ht="25.5">
      <c r="A159" s="942"/>
      <c r="B159" s="943"/>
      <c r="C159" s="944"/>
      <c r="D159" s="117"/>
      <c r="E159" s="165"/>
      <c r="F159" s="155"/>
      <c r="G159" s="112"/>
      <c r="H159" s="99"/>
      <c r="I159" s="155"/>
      <c r="J159" s="328"/>
    </row>
    <row r="160" spans="1:11" ht="27.75">
      <c r="A160" s="924" t="s">
        <v>326</v>
      </c>
      <c r="B160" s="924"/>
      <c r="C160" s="924"/>
      <c r="D160" s="924"/>
      <c r="E160" s="924"/>
      <c r="F160" s="924"/>
      <c r="G160" s="924"/>
      <c r="H160" s="924"/>
      <c r="I160" s="924"/>
      <c r="J160" s="924"/>
    </row>
    <row r="161" spans="1:10" ht="26.25">
      <c r="A161" s="242" t="s">
        <v>92</v>
      </c>
      <c r="B161" s="243"/>
      <c r="C161" s="243"/>
      <c r="D161" s="244" t="s">
        <v>180</v>
      </c>
      <c r="E161" s="235">
        <v>508241.64</v>
      </c>
      <c r="F161" s="235">
        <v>508383.32</v>
      </c>
      <c r="G161" s="238">
        <f t="shared" ref="G161:G165" si="13">F161-E161</f>
        <v>141.67999999999302</v>
      </c>
      <c r="H161" s="99">
        <f>G161+'30'!H161</f>
        <v>5012.1600000000326</v>
      </c>
      <c r="I161" s="236"/>
      <c r="J161" s="239">
        <f>H161/DAY(B2)</f>
        <v>161.68258064516235</v>
      </c>
    </row>
    <row r="162" spans="1:10" ht="26.25">
      <c r="A162" s="242" t="s">
        <v>93</v>
      </c>
      <c r="B162" s="243"/>
      <c r="C162" s="243"/>
      <c r="D162" s="244" t="s">
        <v>180</v>
      </c>
      <c r="E162" s="235">
        <v>749.6</v>
      </c>
      <c r="F162" s="235">
        <v>771.6</v>
      </c>
      <c r="G162" s="238">
        <f t="shared" si="13"/>
        <v>22</v>
      </c>
      <c r="H162" s="99">
        <f>G162+'30'!H162</f>
        <v>1151.7999999999943</v>
      </c>
      <c r="I162" s="236"/>
      <c r="J162" s="239">
        <f>H162/DAY(B2)</f>
        <v>37.154838709677236</v>
      </c>
    </row>
    <row r="163" spans="1:10" ht="26.25">
      <c r="A163" s="242" t="s">
        <v>197</v>
      </c>
      <c r="B163" s="243"/>
      <c r="C163" s="243"/>
      <c r="D163" s="244" t="s">
        <v>180</v>
      </c>
      <c r="E163" s="235">
        <v>0</v>
      </c>
      <c r="F163" s="235">
        <v>0</v>
      </c>
      <c r="G163" s="238">
        <f t="shared" si="13"/>
        <v>0</v>
      </c>
      <c r="H163" s="99">
        <f>G163+'30'!H163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235">
        <v>7193.7</v>
      </c>
      <c r="F164" s="235">
        <v>7199</v>
      </c>
      <c r="G164" s="238">
        <f t="shared" si="13"/>
        <v>5.3000000000001819</v>
      </c>
      <c r="H164" s="99">
        <f>G164+'30'!H164</f>
        <v>208.80000000000018</v>
      </c>
      <c r="I164" s="236"/>
      <c r="J164" s="239">
        <f>H164/DAY(B2)</f>
        <v>6.735483870967748</v>
      </c>
    </row>
    <row r="165" spans="1:10" ht="26.25">
      <c r="A165" s="242" t="s">
        <v>309</v>
      </c>
      <c r="B165" s="243"/>
      <c r="C165" s="243"/>
      <c r="D165" s="244" t="s">
        <v>180</v>
      </c>
      <c r="E165" s="235">
        <v>32775.89</v>
      </c>
      <c r="F165" s="235">
        <v>32780.088000000003</v>
      </c>
      <c r="G165" s="238">
        <f t="shared" si="13"/>
        <v>4.1980000000039581</v>
      </c>
      <c r="H165" s="99">
        <f>G165+'30'!H165</f>
        <v>205.98800000000483</v>
      </c>
      <c r="I165" s="236"/>
      <c r="J165" s="239">
        <f>H165/DAY(B2)</f>
        <v>6.6447741935485434</v>
      </c>
    </row>
    <row r="166" spans="1:10" ht="26.25">
      <c r="A166" s="923"/>
      <c r="B166" s="923"/>
      <c r="C166" s="246"/>
      <c r="D166" s="244" t="s">
        <v>180</v>
      </c>
      <c r="E166" s="165"/>
      <c r="F166" s="155"/>
      <c r="G166" s="155"/>
      <c r="H166" s="99">
        <f>G166+'30'!H166</f>
        <v>0</v>
      </c>
      <c r="I166" s="155"/>
      <c r="J166" s="239">
        <f>H166/DAY(B2)</f>
        <v>0</v>
      </c>
    </row>
    <row r="167" spans="1:10" ht="26.25">
      <c r="A167" s="923"/>
      <c r="B167" s="923"/>
      <c r="C167" s="246"/>
      <c r="D167" s="244" t="s">
        <v>180</v>
      </c>
      <c r="E167" s="165"/>
      <c r="F167" s="155"/>
      <c r="G167" s="155"/>
      <c r="H167" s="99">
        <f>G167+'30'!H167</f>
        <v>0</v>
      </c>
      <c r="I167" s="155"/>
      <c r="J167" s="239">
        <f>H167/DAY(B2)</f>
        <v>0</v>
      </c>
    </row>
    <row r="168" spans="1:10" ht="26.25">
      <c r="A168" s="923"/>
      <c r="B168" s="923"/>
      <c r="C168" s="246"/>
      <c r="D168" s="244" t="s">
        <v>180</v>
      </c>
      <c r="E168" s="165"/>
      <c r="F168" s="155"/>
      <c r="G168" s="155"/>
      <c r="H168" s="99">
        <f>G168+'30'!H168</f>
        <v>0</v>
      </c>
      <c r="I168" s="155"/>
      <c r="J168" s="239">
        <f>H168/DAY(B2)</f>
        <v>0</v>
      </c>
    </row>
    <row r="169" spans="1:10" ht="26.25"/>
    <row r="170" spans="1:10" ht="26.25"/>
    <row r="171" spans="1:10" ht="27.75">
      <c r="A171" s="933" t="s">
        <v>330</v>
      </c>
      <c r="B171" s="934"/>
      <c r="C171" s="934"/>
      <c r="D171" s="934"/>
      <c r="E171" s="934"/>
      <c r="F171" s="934"/>
      <c r="G171" s="934"/>
      <c r="H171" s="934"/>
      <c r="I171" s="934"/>
      <c r="J171" s="935"/>
    </row>
    <row r="172" spans="1:10" ht="25.5">
      <c r="A172" s="929"/>
      <c r="B172" s="930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41" t="s">
        <v>209</v>
      </c>
      <c r="B173" s="843"/>
      <c r="C173" s="333"/>
      <c r="D173" s="228" t="s">
        <v>142</v>
      </c>
      <c r="E173" s="155">
        <v>8612</v>
      </c>
      <c r="F173" s="424">
        <v>8612</v>
      </c>
      <c r="G173" s="155">
        <f>F173-E173</f>
        <v>0</v>
      </c>
      <c r="H173" s="99">
        <f>G173+'30'!H173</f>
        <v>28</v>
      </c>
      <c r="I173" s="155"/>
      <c r="J173" s="178">
        <f>H173/DAY(B2)</f>
        <v>0.90322580645161288</v>
      </c>
    </row>
    <row r="174" spans="1:10" ht="25.5">
      <c r="A174" s="841" t="s">
        <v>75</v>
      </c>
      <c r="B174" s="843"/>
      <c r="C174" s="333"/>
      <c r="D174" s="228" t="s">
        <v>142</v>
      </c>
      <c r="E174" s="157">
        <v>43040</v>
      </c>
      <c r="F174" s="157">
        <v>43050</v>
      </c>
      <c r="G174" s="155">
        <f t="shared" ref="G174:G175" si="14">F174-E174</f>
        <v>10</v>
      </c>
      <c r="H174" s="99">
        <f>G174+'30'!H174</f>
        <v>391</v>
      </c>
      <c r="I174" s="155"/>
      <c r="J174" s="178">
        <f>H174/DAY(B2)</f>
        <v>12.612903225806452</v>
      </c>
    </row>
    <row r="175" spans="1:10" ht="25.5">
      <c r="A175" s="841" t="s">
        <v>76</v>
      </c>
      <c r="B175" s="842"/>
      <c r="C175" s="843"/>
      <c r="D175" s="228" t="s">
        <v>142</v>
      </c>
      <c r="E175" s="155">
        <v>25805</v>
      </c>
      <c r="F175" s="155">
        <v>25821</v>
      </c>
      <c r="G175" s="155">
        <f t="shared" si="14"/>
        <v>16</v>
      </c>
      <c r="H175" s="99">
        <f>G175+'30'!H175</f>
        <v>428</v>
      </c>
      <c r="I175" s="155"/>
      <c r="J175" s="178">
        <f>H175/DAY(B2)</f>
        <v>13.806451612903226</v>
      </c>
    </row>
    <row r="176" spans="1:10" ht="25.5">
      <c r="A176" s="853" t="s">
        <v>196</v>
      </c>
      <c r="B176" s="985"/>
      <c r="C176" s="854"/>
      <c r="D176" s="228" t="s">
        <v>142</v>
      </c>
      <c r="E176" s="155"/>
      <c r="F176" s="155"/>
      <c r="G176" s="155">
        <f>SUM(G173:G175)</f>
        <v>26</v>
      </c>
      <c r="H176" s="99">
        <f>G176+'30'!H176</f>
        <v>847</v>
      </c>
      <c r="I176" s="155"/>
      <c r="J176" s="178">
        <f>H176/DAY(B2)</f>
        <v>27.322580645161292</v>
      </c>
    </row>
    <row r="177" spans="1:10" ht="25.5">
      <c r="A177" s="841" t="s">
        <v>77</v>
      </c>
      <c r="B177" s="843"/>
      <c r="C177" s="333"/>
      <c r="D177" s="228" t="s">
        <v>142</v>
      </c>
      <c r="E177" s="155"/>
      <c r="F177" s="155"/>
      <c r="G177" s="155"/>
      <c r="H177" s="99">
        <f>G177+'30'!H177</f>
        <v>0</v>
      </c>
      <c r="I177" s="155"/>
      <c r="J177" s="178">
        <f>H177/DAY(B2)</f>
        <v>0</v>
      </c>
    </row>
    <row r="178" spans="1:10" ht="25.5">
      <c r="A178" s="841" t="s">
        <v>210</v>
      </c>
      <c r="B178" s="843"/>
      <c r="C178" s="333"/>
      <c r="D178" s="228" t="s">
        <v>142</v>
      </c>
      <c r="E178" s="155">
        <v>106894</v>
      </c>
      <c r="F178" s="155">
        <v>106999</v>
      </c>
      <c r="G178" s="155">
        <f>F178-E178</f>
        <v>105</v>
      </c>
      <c r="H178" s="99">
        <f>G178+'30'!H178</f>
        <v>3356</v>
      </c>
      <c r="I178" s="155"/>
      <c r="J178" s="178">
        <f>H178/DAY(B2)</f>
        <v>108.25806451612904</v>
      </c>
    </row>
    <row r="179" spans="1:10" ht="25.5">
      <c r="A179" s="841" t="s">
        <v>211</v>
      </c>
      <c r="B179" s="843"/>
      <c r="C179" s="333"/>
      <c r="D179" s="228" t="s">
        <v>142</v>
      </c>
      <c r="E179" s="155">
        <v>37501</v>
      </c>
      <c r="F179" s="157">
        <v>37501</v>
      </c>
      <c r="G179" s="155">
        <f t="shared" ref="G179:G180" si="15">F179-E179</f>
        <v>0</v>
      </c>
      <c r="H179" s="99">
        <f>G179+'30'!H179</f>
        <v>0</v>
      </c>
      <c r="I179" s="155"/>
      <c r="J179" s="178">
        <f>H179/DAY(B2)</f>
        <v>0</v>
      </c>
    </row>
    <row r="180" spans="1:10" ht="25.5">
      <c r="A180" s="841" t="s">
        <v>212</v>
      </c>
      <c r="B180" s="843"/>
      <c r="C180" s="333"/>
      <c r="D180" s="228" t="s">
        <v>142</v>
      </c>
      <c r="E180" s="155">
        <v>7554</v>
      </c>
      <c r="F180" s="157">
        <v>7563</v>
      </c>
      <c r="G180" s="155">
        <f t="shared" si="15"/>
        <v>9</v>
      </c>
      <c r="H180" s="99">
        <f>G180+'30'!H180</f>
        <v>143</v>
      </c>
      <c r="I180" s="155"/>
      <c r="J180" s="178">
        <f>H180/DAY(B2)</f>
        <v>4.612903225806452</v>
      </c>
    </row>
    <row r="181" spans="1:10" ht="25.5">
      <c r="A181" s="927" t="s">
        <v>108</v>
      </c>
      <c r="B181" s="928"/>
      <c r="C181" s="400"/>
      <c r="D181" s="228" t="s">
        <v>142</v>
      </c>
      <c r="E181" s="155"/>
      <c r="F181" s="157"/>
      <c r="G181" s="155">
        <f>SUM(G178:G180)</f>
        <v>114</v>
      </c>
      <c r="H181" s="99">
        <f>G181+'30'!H181</f>
        <v>3499</v>
      </c>
      <c r="I181" s="155"/>
      <c r="J181" s="178">
        <f>H181/DAY(B2)</f>
        <v>112.87096774193549</v>
      </c>
    </row>
    <row r="182" spans="1:10" ht="25.5">
      <c r="A182" s="841" t="s">
        <v>213</v>
      </c>
      <c r="B182" s="843"/>
      <c r="C182" s="333"/>
      <c r="D182" s="228" t="s">
        <v>142</v>
      </c>
      <c r="E182" s="155"/>
      <c r="F182" s="155"/>
      <c r="G182" s="155"/>
      <c r="H182" s="99">
        <f>G182+'30'!H182</f>
        <v>0</v>
      </c>
      <c r="I182" s="155"/>
      <c r="J182" s="178">
        <f>H182/DAY(B2)</f>
        <v>0</v>
      </c>
    </row>
    <row r="183" spans="1:10" ht="25.5">
      <c r="A183" s="841" t="s">
        <v>214</v>
      </c>
      <c r="B183" s="843"/>
      <c r="C183" s="334"/>
      <c r="D183" s="228" t="s">
        <v>142</v>
      </c>
      <c r="E183" s="157">
        <v>18373</v>
      </c>
      <c r="F183" s="157">
        <v>18378</v>
      </c>
      <c r="G183" s="157">
        <f>F183-E183</f>
        <v>5</v>
      </c>
      <c r="H183" s="99">
        <f>G183+'30'!H183</f>
        <v>210</v>
      </c>
      <c r="I183" s="155"/>
      <c r="J183" s="178">
        <f>H183/DAY(B2)</f>
        <v>6.774193548387097</v>
      </c>
    </row>
    <row r="184" spans="1:10" ht="25.5">
      <c r="A184" s="841" t="s">
        <v>215</v>
      </c>
      <c r="B184" s="843"/>
      <c r="C184" s="334"/>
      <c r="D184" s="228" t="s">
        <v>142</v>
      </c>
      <c r="E184" s="157">
        <v>12973</v>
      </c>
      <c r="F184" s="157">
        <v>12980</v>
      </c>
      <c r="G184" s="157">
        <f t="shared" ref="G184:G185" si="16">F184-E184</f>
        <v>7</v>
      </c>
      <c r="H184" s="99">
        <f>G184+'30'!H184</f>
        <v>249</v>
      </c>
      <c r="I184" s="155"/>
      <c r="J184" s="178">
        <f>H184/DAY(B2)</f>
        <v>8.0322580645161299</v>
      </c>
    </row>
    <row r="185" spans="1:10" ht="25.5">
      <c r="A185" s="841" t="s">
        <v>216</v>
      </c>
      <c r="B185" s="843"/>
      <c r="C185" s="334"/>
      <c r="D185" s="228" t="s">
        <v>142</v>
      </c>
      <c r="E185" s="157"/>
      <c r="F185" s="157"/>
      <c r="G185" s="157">
        <f t="shared" si="16"/>
        <v>0</v>
      </c>
      <c r="H185" s="99">
        <f>G185+'30'!H185</f>
        <v>0</v>
      </c>
      <c r="I185" s="155"/>
      <c r="J185" s="178">
        <f>H185/DAY(B2)</f>
        <v>0</v>
      </c>
    </row>
    <row r="186" spans="1:10" ht="25.5">
      <c r="A186" s="853" t="s">
        <v>196</v>
      </c>
      <c r="B186" s="854"/>
      <c r="C186" s="399"/>
      <c r="D186" s="228" t="s">
        <v>142</v>
      </c>
      <c r="E186" s="157"/>
      <c r="F186" s="157"/>
      <c r="G186" s="157">
        <f>SUM(G183:G185)</f>
        <v>12</v>
      </c>
      <c r="H186" s="99">
        <f>G186+'30'!H186</f>
        <v>459</v>
      </c>
      <c r="I186" s="157"/>
      <c r="J186" s="178">
        <f>H186/DAY(B2)</f>
        <v>14.806451612903226</v>
      </c>
    </row>
    <row r="187" spans="1:10" ht="25.5">
      <c r="A187" s="931" t="s">
        <v>217</v>
      </c>
      <c r="B187" s="932"/>
      <c r="C187" s="333"/>
      <c r="D187" s="230" t="s">
        <v>142</v>
      </c>
      <c r="E187" s="159"/>
      <c r="F187" s="159"/>
      <c r="G187" s="377">
        <f>G62+G19</f>
        <v>238</v>
      </c>
      <c r="H187" s="99">
        <f>G187+'30'!H187</f>
        <v>5470</v>
      </c>
      <c r="I187" s="157"/>
      <c r="J187" s="179">
        <f>H187/DAY(B2)</f>
        <v>176.45161290322579</v>
      </c>
    </row>
    <row r="188" spans="1:10" ht="25.5">
      <c r="A188" s="931" t="s">
        <v>218</v>
      </c>
      <c r="B188" s="932"/>
      <c r="C188" s="333"/>
      <c r="D188" s="230" t="s">
        <v>142</v>
      </c>
      <c r="E188" s="159"/>
      <c r="F188" s="159"/>
      <c r="G188" s="377">
        <f>G65+G66+G67+G69+G70</f>
        <v>197</v>
      </c>
      <c r="H188" s="99">
        <f>G188+'30'!H188</f>
        <v>3179</v>
      </c>
      <c r="I188" s="157"/>
      <c r="J188" s="179">
        <f>H188/DAY(B2)</f>
        <v>102.54838709677419</v>
      </c>
    </row>
    <row r="189" spans="1:10" ht="25.5">
      <c r="A189" s="931" t="s">
        <v>219</v>
      </c>
      <c r="B189" s="932"/>
      <c r="C189" s="333"/>
      <c r="D189" s="230" t="s">
        <v>142</v>
      </c>
      <c r="E189" s="157"/>
      <c r="F189" s="157"/>
      <c r="G189" s="527">
        <f>G181</f>
        <v>114</v>
      </c>
      <c r="H189" s="99">
        <f>G189+'30'!H189</f>
        <v>1639</v>
      </c>
      <c r="I189" s="157"/>
      <c r="J189" s="179">
        <f>H189/DAY(B2)</f>
        <v>52.87096774193548</v>
      </c>
    </row>
    <row r="190" spans="1:10" ht="25.5">
      <c r="A190" s="925"/>
      <c r="B190" s="926"/>
      <c r="C190" s="398"/>
      <c r="D190" s="395"/>
      <c r="E190" s="414"/>
      <c r="F190" s="414"/>
      <c r="G190" s="414"/>
      <c r="H190" s="396"/>
      <c r="I190" s="414"/>
      <c r="J190" s="534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271" ht="26.25"/>
    <row r="272" ht="26.25"/>
    <row r="273" ht="26.25"/>
    <row r="274" ht="26.25"/>
    <row r="275" ht="26.25"/>
    <row r="276" ht="26.25"/>
    <row r="277" ht="26.25"/>
    <row r="278" ht="26.25"/>
    <row r="279" ht="26.25"/>
    <row r="280" ht="26.25"/>
    <row r="281" ht="26.25"/>
    <row r="282" ht="26.25"/>
    <row r="283" ht="26.25"/>
    <row r="284" ht="26.25"/>
    <row r="285" ht="26.25"/>
    <row r="286" ht="26.25"/>
    <row r="287" ht="26.25"/>
    <row r="288" ht="26.25"/>
    <row r="289" ht="26.25"/>
    <row r="290" ht="26.25"/>
    <row r="291" ht="26.25"/>
    <row r="292" ht="26.25"/>
    <row r="293" ht="26.25"/>
    <row r="294" ht="26.25"/>
    <row r="295" ht="26.25"/>
    <row r="296" ht="26.25"/>
    <row r="297" ht="26.25"/>
    <row r="298" ht="26.25"/>
    <row r="299" ht="26.25"/>
    <row r="300" ht="26.25"/>
    <row r="301" ht="26.25"/>
    <row r="302" ht="26.25"/>
    <row r="303" ht="26.25"/>
    <row r="304" ht="26.25"/>
    <row r="305" ht="26.25"/>
    <row r="306" ht="26.25"/>
    <row r="307" ht="26.25"/>
    <row r="308" ht="26.25"/>
    <row r="309" ht="26.25"/>
    <row r="310" ht="26.25"/>
    <row r="311" ht="26.25"/>
    <row r="312" ht="26.25"/>
    <row r="313" ht="26.25"/>
    <row r="314" ht="26.25"/>
    <row r="315" ht="26.25"/>
    <row r="316" ht="26.25"/>
    <row r="317" ht="26.25"/>
    <row r="318" ht="26.25"/>
    <row r="319" ht="26.25"/>
    <row r="320" ht="26.25"/>
  </sheetData>
  <mergeCells count="122">
    <mergeCell ref="A158:C158"/>
    <mergeCell ref="A159:C159"/>
    <mergeCell ref="A176:C176"/>
    <mergeCell ref="A154:J154"/>
    <mergeCell ref="A155:C155"/>
    <mergeCell ref="A156:C156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75:C175"/>
    <mergeCell ref="A171:J171"/>
    <mergeCell ref="A172:B172"/>
    <mergeCell ref="A173:B173"/>
    <mergeCell ref="A157:C157"/>
    <mergeCell ref="A131:C131"/>
    <mergeCell ref="A174:B174"/>
    <mergeCell ref="A160:J160"/>
    <mergeCell ref="A105:C105"/>
    <mergeCell ref="A108:J108"/>
    <mergeCell ref="A110:J110"/>
    <mergeCell ref="A111:C111"/>
    <mergeCell ref="A112:C112"/>
    <mergeCell ref="A113:C113"/>
    <mergeCell ref="A114:C114"/>
    <mergeCell ref="A115:C115"/>
    <mergeCell ref="A116:C116"/>
    <mergeCell ref="A134:C134"/>
    <mergeCell ref="A135:C135"/>
    <mergeCell ref="A124:C124"/>
    <mergeCell ref="A126:J126"/>
    <mergeCell ref="A127:B127"/>
    <mergeCell ref="A128:C128"/>
    <mergeCell ref="A167:B167"/>
    <mergeCell ref="A168:B168"/>
    <mergeCell ref="A109:B109"/>
    <mergeCell ref="A120:C120"/>
    <mergeCell ref="A121:C121"/>
    <mergeCell ref="A99:C99"/>
    <mergeCell ref="Q116:R116"/>
    <mergeCell ref="Q117:R117"/>
    <mergeCell ref="A118:C118"/>
    <mergeCell ref="Q118:R118"/>
    <mergeCell ref="A123:C123"/>
    <mergeCell ref="A132:C132"/>
    <mergeCell ref="A125:C125"/>
    <mergeCell ref="A166:B166"/>
    <mergeCell ref="A136:J136"/>
    <mergeCell ref="A153:C153"/>
    <mergeCell ref="A119:C119"/>
    <mergeCell ref="A145:C145"/>
    <mergeCell ref="A146:C146"/>
    <mergeCell ref="A147:C147"/>
    <mergeCell ref="A148:C148"/>
    <mergeCell ref="A149:C149"/>
    <mergeCell ref="A143:C143"/>
    <mergeCell ref="A138:C138"/>
    <mergeCell ref="A139:C139"/>
    <mergeCell ref="A140:C140"/>
    <mergeCell ref="A141:C141"/>
    <mergeCell ref="A144:C144"/>
    <mergeCell ref="A142:C142"/>
    <mergeCell ref="A1:J1"/>
    <mergeCell ref="A6:C6"/>
    <mergeCell ref="A14:C14"/>
    <mergeCell ref="A17:C17"/>
    <mergeCell ref="A18:C18"/>
    <mergeCell ref="A19:C19"/>
    <mergeCell ref="A21:C21"/>
    <mergeCell ref="A64:C64"/>
    <mergeCell ref="A25:C25"/>
    <mergeCell ref="A33:C33"/>
    <mergeCell ref="A61:C61"/>
    <mergeCell ref="A62:C62"/>
    <mergeCell ref="A63:C63"/>
    <mergeCell ref="E3:F3"/>
    <mergeCell ref="A15:C15"/>
    <mergeCell ref="A16:C16"/>
    <mergeCell ref="A7:C7"/>
    <mergeCell ref="A9:C9"/>
    <mergeCell ref="A10:C10"/>
    <mergeCell ref="A11:C11"/>
    <mergeCell ref="A12:C12"/>
    <mergeCell ref="A133:C133"/>
    <mergeCell ref="A102:C102"/>
    <mergeCell ref="A150:C150"/>
    <mergeCell ref="A151:C151"/>
    <mergeCell ref="A152:C152"/>
    <mergeCell ref="A100:C100"/>
    <mergeCell ref="A101:C101"/>
    <mergeCell ref="A103:C103"/>
    <mergeCell ref="A104:C104"/>
    <mergeCell ref="A122:C122"/>
    <mergeCell ref="A117:C117"/>
    <mergeCell ref="A65:C65"/>
    <mergeCell ref="A71:C71"/>
    <mergeCell ref="A72:B72"/>
    <mergeCell ref="A78:C78"/>
    <mergeCell ref="A97:C97"/>
    <mergeCell ref="A98:C98"/>
    <mergeCell ref="A81:C81"/>
    <mergeCell ref="A95:C95"/>
    <mergeCell ref="A96:C96"/>
    <mergeCell ref="A93:C93"/>
    <mergeCell ref="A94:C94"/>
    <mergeCell ref="A76:C76"/>
    <mergeCell ref="A77:C77"/>
    <mergeCell ref="A79:C79"/>
    <mergeCell ref="A80:C80"/>
    <mergeCell ref="A73:C73"/>
    <mergeCell ref="A74:C74"/>
    <mergeCell ref="A75:C75"/>
  </mergeCells>
  <pageMargins left="0.22" right="0.17" top="0.14000000000000001" bottom="0.2" header="0.2" footer="0.2"/>
  <pageSetup paperSize="5" scale="21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758"/>
      <c r="B1" s="758"/>
      <c r="C1" s="758"/>
      <c r="D1" s="758"/>
      <c r="E1" s="758"/>
      <c r="F1" s="758"/>
      <c r="G1" s="758"/>
      <c r="H1" s="758"/>
      <c r="I1" s="758"/>
      <c r="J1" s="758"/>
      <c r="K1" s="758"/>
      <c r="L1" s="758"/>
      <c r="M1" s="758"/>
      <c r="N1" s="758"/>
      <c r="O1" s="758"/>
    </row>
    <row r="2" spans="1:15" ht="28.5" customHeight="1">
      <c r="A2" s="1" t="s">
        <v>0</v>
      </c>
      <c r="B2" s="1" t="s">
        <v>0</v>
      </c>
      <c r="C2" s="264" t="s">
        <v>1</v>
      </c>
      <c r="D2" s="4" t="s">
        <v>4</v>
      </c>
      <c r="E2" s="760" t="s">
        <v>6</v>
      </c>
      <c r="F2" s="760"/>
      <c r="G2" s="760"/>
      <c r="H2" s="766" t="s">
        <v>14</v>
      </c>
      <c r="I2" s="766"/>
      <c r="J2" s="766"/>
      <c r="K2" s="264" t="s">
        <v>15</v>
      </c>
      <c r="L2" s="766" t="s">
        <v>16</v>
      </c>
      <c r="M2" s="766"/>
      <c r="N2" s="766"/>
      <c r="O2" s="264" t="s">
        <v>17</v>
      </c>
    </row>
    <row r="3" spans="1:15" s="15" customFormat="1" ht="38.25">
      <c r="A3" s="6"/>
      <c r="B3" s="1"/>
      <c r="C3" s="7"/>
      <c r="D3" s="10" t="s">
        <v>23</v>
      </c>
      <c r="E3" s="11" t="s">
        <v>28</v>
      </c>
      <c r="F3" s="11" t="s">
        <v>25</v>
      </c>
      <c r="G3" s="11" t="s">
        <v>26</v>
      </c>
      <c r="H3" s="12" t="s">
        <v>39</v>
      </c>
      <c r="I3" s="12" t="s">
        <v>40</v>
      </c>
      <c r="J3" s="12" t="s">
        <v>41</v>
      </c>
      <c r="K3" s="12"/>
      <c r="L3" s="12" t="s">
        <v>42</v>
      </c>
      <c r="M3" s="12" t="s">
        <v>43</v>
      </c>
      <c r="N3" s="12" t="s">
        <v>256</v>
      </c>
      <c r="O3" s="12"/>
    </row>
    <row r="4" spans="1:15">
      <c r="A4" s="16">
        <v>1</v>
      </c>
      <c r="B4" s="17">
        <v>1</v>
      </c>
      <c r="C4" s="18"/>
      <c r="D4" s="19">
        <f>'1'!F8</f>
        <v>473851.8</v>
      </c>
      <c r="E4" s="19">
        <f>'1'!G97</f>
        <v>0.15031664773523012</v>
      </c>
      <c r="F4" s="19">
        <f>'1'!F142</f>
        <v>47585.9</v>
      </c>
      <c r="G4" s="21">
        <f>E4*F4</f>
        <v>7152.952967463887</v>
      </c>
      <c r="H4" s="19">
        <f>'1'!G68</f>
        <v>45</v>
      </c>
      <c r="I4" s="19">
        <f>'1'!G69</f>
        <v>5</v>
      </c>
      <c r="J4" s="19">
        <f>'1'!G70</f>
        <v>8</v>
      </c>
      <c r="K4" s="23">
        <f>H4+I4</f>
        <v>50</v>
      </c>
      <c r="L4" s="19">
        <f>'1'!G71</f>
        <v>228</v>
      </c>
      <c r="M4" s="19">
        <f>'1'!G72</f>
        <v>0</v>
      </c>
      <c r="N4" s="19">
        <v>0</v>
      </c>
      <c r="O4" s="23">
        <f>L4+M4+N4</f>
        <v>228</v>
      </c>
    </row>
    <row r="5" spans="1:15">
      <c r="A5" s="16">
        <v>2</v>
      </c>
      <c r="B5" s="26">
        <v>2</v>
      </c>
      <c r="C5" s="26"/>
      <c r="D5" s="19">
        <f>'2'!F8</f>
        <v>496033.35</v>
      </c>
      <c r="E5" s="19">
        <f>'2'!G96</f>
        <v>3267.039999999979</v>
      </c>
      <c r="F5" s="19">
        <f>'2'!F123</f>
        <v>68974</v>
      </c>
      <c r="G5" s="21">
        <f t="shared" ref="G5:G18" si="0">E5*F5</f>
        <v>225340816.95999855</v>
      </c>
      <c r="H5" s="19">
        <f>'2'!G68</f>
        <v>46</v>
      </c>
      <c r="I5" s="19">
        <f>'2'!G69</f>
        <v>3</v>
      </c>
      <c r="J5" s="19">
        <f>'2'!G70</f>
        <v>11</v>
      </c>
      <c r="K5" s="23">
        <f t="shared" ref="K5:K18" si="1">H5+I5</f>
        <v>49</v>
      </c>
      <c r="L5" s="19">
        <f>'2'!G71</f>
        <v>210</v>
      </c>
      <c r="M5" s="19">
        <f>'2'!G72</f>
        <v>0</v>
      </c>
      <c r="N5" s="19">
        <v>0</v>
      </c>
      <c r="O5" s="23">
        <f t="shared" ref="O5:O18" si="2">L5+M5+N5</f>
        <v>210</v>
      </c>
    </row>
    <row r="6" spans="1:15">
      <c r="A6" s="16">
        <v>3</v>
      </c>
      <c r="B6" s="26">
        <v>3</v>
      </c>
      <c r="C6" s="26"/>
      <c r="D6" s="19">
        <f>'4'!F8</f>
        <v>542176</v>
      </c>
      <c r="E6" s="19">
        <f>'3'!G96</f>
        <v>3387.9000000000233</v>
      </c>
      <c r="F6" s="19">
        <f>'3'!F123</f>
        <v>69291.27</v>
      </c>
      <c r="G6" s="21">
        <f t="shared" si="0"/>
        <v>234751893.63300163</v>
      </c>
      <c r="H6" s="19">
        <f>'4'!G68</f>
        <v>31</v>
      </c>
      <c r="I6" s="19">
        <f>'4'!G69</f>
        <v>2</v>
      </c>
      <c r="J6" s="19">
        <f>'4'!G70</f>
        <v>8</v>
      </c>
      <c r="K6" s="23">
        <f t="shared" si="1"/>
        <v>33</v>
      </c>
      <c r="L6" s="19">
        <f>'4'!G71</f>
        <v>198</v>
      </c>
      <c r="M6" s="19">
        <f>'4'!G72</f>
        <v>0</v>
      </c>
      <c r="N6" s="19">
        <v>0</v>
      </c>
      <c r="O6" s="23">
        <f t="shared" si="2"/>
        <v>198</v>
      </c>
    </row>
    <row r="7" spans="1:15">
      <c r="A7" s="16">
        <v>4</v>
      </c>
      <c r="B7" s="27">
        <v>4</v>
      </c>
      <c r="C7" s="27"/>
      <c r="D7" s="19">
        <f>'3'!F8</f>
        <v>518664</v>
      </c>
      <c r="E7" s="19">
        <f>'4'!G96</f>
        <v>3975.9300000000512</v>
      </c>
      <c r="F7" s="19">
        <f>'1'!F142</f>
        <v>47585.9</v>
      </c>
      <c r="G7" s="21">
        <f t="shared" si="0"/>
        <v>189198207.38700244</v>
      </c>
      <c r="H7" s="19">
        <f>'3'!G68</f>
        <v>19</v>
      </c>
      <c r="I7" s="19">
        <f>'3'!G69</f>
        <v>5</v>
      </c>
      <c r="J7" s="19">
        <f>'3'!G70</f>
        <v>6</v>
      </c>
      <c r="K7" s="23">
        <f t="shared" si="1"/>
        <v>24</v>
      </c>
      <c r="L7" s="19">
        <f>'3'!G71</f>
        <v>192</v>
      </c>
      <c r="M7" s="19">
        <f>'3'!G72</f>
        <v>0</v>
      </c>
      <c r="N7" s="19">
        <v>0</v>
      </c>
      <c r="O7" s="23">
        <f t="shared" si="2"/>
        <v>192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47585.9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588942</v>
      </c>
      <c r="E9" s="19">
        <f>'6'!G96</f>
        <v>3777.7000000000698</v>
      </c>
      <c r="F9" s="19">
        <f>'1'!F142</f>
        <v>47585.9</v>
      </c>
      <c r="G9" s="21">
        <f t="shared" si="0"/>
        <v>179765254.43000332</v>
      </c>
      <c r="H9" s="19">
        <f>'6'!G68</f>
        <v>18</v>
      </c>
      <c r="I9" s="19">
        <f>'6'!G69</f>
        <v>3</v>
      </c>
      <c r="J9" s="19">
        <f>'6'!G70</f>
        <v>5</v>
      </c>
      <c r="K9" s="23">
        <f t="shared" si="1"/>
        <v>21</v>
      </c>
      <c r="L9" s="19">
        <f>'6'!G71</f>
        <v>201</v>
      </c>
      <c r="M9" s="19">
        <f>'6'!G72</f>
        <v>0</v>
      </c>
      <c r="N9" s="19">
        <v>0</v>
      </c>
      <c r="O9" s="23">
        <f t="shared" si="2"/>
        <v>201</v>
      </c>
    </row>
    <row r="10" spans="1:15">
      <c r="A10" s="16">
        <v>7</v>
      </c>
      <c r="B10" s="26">
        <v>7</v>
      </c>
      <c r="C10" s="27"/>
      <c r="D10" s="19">
        <f>'7'!F8</f>
        <v>611362</v>
      </c>
      <c r="E10" s="19">
        <f>'7'!G96</f>
        <v>3991.2199999999139</v>
      </c>
      <c r="F10" s="19">
        <f>'1'!F142</f>
        <v>47585.9</v>
      </c>
      <c r="G10" s="21">
        <f t="shared" si="0"/>
        <v>189925795.7979959</v>
      </c>
      <c r="H10" s="19">
        <f>'7'!G68</f>
        <v>23</v>
      </c>
      <c r="I10" s="19">
        <f>'7'!G69</f>
        <v>3</v>
      </c>
      <c r="J10" s="19">
        <f>'7'!G70</f>
        <v>8</v>
      </c>
      <c r="K10" s="23">
        <f t="shared" si="1"/>
        <v>26</v>
      </c>
      <c r="L10" s="19">
        <f>'7'!G71</f>
        <v>55630</v>
      </c>
      <c r="M10" s="19">
        <f>'7'!G72</f>
        <v>0</v>
      </c>
      <c r="N10" s="19">
        <v>0</v>
      </c>
      <c r="O10" s="23">
        <f t="shared" si="2"/>
        <v>55630</v>
      </c>
    </row>
    <row r="11" spans="1:15">
      <c r="A11" s="16">
        <v>8</v>
      </c>
      <c r="B11" s="26">
        <v>8</v>
      </c>
      <c r="C11" s="18"/>
      <c r="D11" s="19">
        <f>'8'!F8</f>
        <v>635166.71</v>
      </c>
      <c r="E11" s="19">
        <f>'8'!G96</f>
        <v>4345.6600000000326</v>
      </c>
      <c r="F11" s="19">
        <f>'1'!F142</f>
        <v>47585.9</v>
      </c>
      <c r="G11" s="21">
        <f t="shared" si="0"/>
        <v>206792142.19400156</v>
      </c>
      <c r="H11" s="19">
        <f>'8'!G68</f>
        <v>34</v>
      </c>
      <c r="I11" s="19">
        <f>'8'!G69</f>
        <v>3</v>
      </c>
      <c r="J11" s="19">
        <f>'8'!G70</f>
        <v>5</v>
      </c>
      <c r="K11" s="23">
        <f t="shared" si="1"/>
        <v>37</v>
      </c>
      <c r="L11" s="19">
        <f>'8'!G71</f>
        <v>192</v>
      </c>
      <c r="M11" s="19">
        <f>'8'!G72</f>
        <v>0</v>
      </c>
      <c r="N11" s="19">
        <v>0</v>
      </c>
      <c r="O11" s="23">
        <f t="shared" si="2"/>
        <v>192</v>
      </c>
    </row>
    <row r="12" spans="1:15">
      <c r="A12" s="16">
        <v>9</v>
      </c>
      <c r="B12" s="27">
        <v>9</v>
      </c>
      <c r="C12" s="26"/>
      <c r="D12" s="19">
        <f>'9'!F8</f>
        <v>658942.55000000005</v>
      </c>
      <c r="E12" s="19">
        <f>'9'!G96</f>
        <v>3719.7200000000303</v>
      </c>
      <c r="F12" s="19">
        <f>'1'!F142</f>
        <v>47585.9</v>
      </c>
      <c r="G12" s="21">
        <f t="shared" si="0"/>
        <v>177006223.94800144</v>
      </c>
      <c r="H12" s="19">
        <f>'9'!G68</f>
        <v>20</v>
      </c>
      <c r="I12" s="19">
        <f>'9'!G69</f>
        <v>7</v>
      </c>
      <c r="J12" s="19">
        <f>'9'!G70</f>
        <v>8</v>
      </c>
      <c r="K12" s="23">
        <f t="shared" si="1"/>
        <v>27</v>
      </c>
      <c r="L12" s="19">
        <f>'9'!G71</f>
        <v>228</v>
      </c>
      <c r="M12" s="19">
        <f>'9'!G72</f>
        <v>0</v>
      </c>
      <c r="N12" s="19">
        <v>0</v>
      </c>
      <c r="O12" s="23">
        <f t="shared" si="2"/>
        <v>228</v>
      </c>
    </row>
    <row r="13" spans="1:15">
      <c r="A13" s="16">
        <v>10</v>
      </c>
      <c r="B13" s="27">
        <v>10</v>
      </c>
      <c r="C13" s="26"/>
      <c r="D13" s="19">
        <f>'10'!F8</f>
        <v>681573.35</v>
      </c>
      <c r="E13" s="19">
        <f>'10'!G96</f>
        <v>3216.140000000014</v>
      </c>
      <c r="F13" s="19">
        <f>'1'!F142</f>
        <v>47585.9</v>
      </c>
      <c r="G13" s="21">
        <f t="shared" si="0"/>
        <v>153042916.42600065</v>
      </c>
      <c r="H13" s="19">
        <f>'10'!G68</f>
        <v>41</v>
      </c>
      <c r="I13" s="19">
        <f>'10'!G69</f>
        <v>6</v>
      </c>
      <c r="J13" s="19">
        <f>'10'!G70</f>
        <v>8</v>
      </c>
      <c r="K13" s="23">
        <f t="shared" si="1"/>
        <v>47</v>
      </c>
      <c r="L13" s="19">
        <f>'10'!G71</f>
        <v>246</v>
      </c>
      <c r="M13" s="19">
        <f>'10'!G72</f>
        <v>0</v>
      </c>
      <c r="N13" s="19">
        <v>0</v>
      </c>
      <c r="O13" s="23">
        <f t="shared" si="2"/>
        <v>246</v>
      </c>
    </row>
    <row r="14" spans="1:15">
      <c r="A14" s="16">
        <v>11</v>
      </c>
      <c r="B14" s="17">
        <v>11</v>
      </c>
      <c r="C14" s="27"/>
      <c r="D14" s="19">
        <f>'11'!F8</f>
        <v>703370.39</v>
      </c>
      <c r="E14" s="19">
        <f>'11'!G96</f>
        <v>3042.6599999999744</v>
      </c>
      <c r="F14" s="19">
        <f>'1'!F142</f>
        <v>47585.9</v>
      </c>
      <c r="G14" s="21">
        <f t="shared" si="0"/>
        <v>144787714.4939988</v>
      </c>
      <c r="H14" s="19">
        <f>'11'!G68</f>
        <v>22</v>
      </c>
      <c r="I14" s="19">
        <f>'11'!G69</f>
        <v>6</v>
      </c>
      <c r="J14" s="19">
        <f>'11'!G70</f>
        <v>6</v>
      </c>
      <c r="K14" s="23">
        <f t="shared" si="1"/>
        <v>28</v>
      </c>
      <c r="L14" s="19">
        <f>'11'!G71</f>
        <v>194</v>
      </c>
      <c r="M14" s="19">
        <f>'11'!G72</f>
        <v>0</v>
      </c>
      <c r="N14" s="19">
        <v>0</v>
      </c>
      <c r="O14" s="23">
        <f t="shared" si="2"/>
        <v>194</v>
      </c>
    </row>
    <row r="15" spans="1:15">
      <c r="A15" s="16">
        <v>12</v>
      </c>
      <c r="B15" s="26">
        <v>12</v>
      </c>
      <c r="C15" s="27"/>
      <c r="D15" s="19">
        <f>'12'!F8</f>
        <v>725796</v>
      </c>
      <c r="E15" s="19">
        <f>'12'!G96</f>
        <v>3707.4500000000116</v>
      </c>
      <c r="F15" s="19">
        <f>'1'!F142</f>
        <v>47585.9</v>
      </c>
      <c r="G15" s="20">
        <f t="shared" si="0"/>
        <v>176422344.95500055</v>
      </c>
      <c r="H15" s="19">
        <f>'12'!G68</f>
        <v>34</v>
      </c>
      <c r="I15" s="19">
        <f>'12'!G69</f>
        <v>6</v>
      </c>
      <c r="J15" s="19">
        <f>'12'!G70</f>
        <v>5</v>
      </c>
      <c r="K15" s="23">
        <f t="shared" si="1"/>
        <v>40</v>
      </c>
      <c r="L15" s="19">
        <f>'12'!G71</f>
        <v>191</v>
      </c>
      <c r="M15" s="19">
        <f>'12'!G72</f>
        <v>0</v>
      </c>
      <c r="N15" s="19">
        <v>0</v>
      </c>
      <c r="O15" s="23">
        <f t="shared" si="2"/>
        <v>191</v>
      </c>
    </row>
    <row r="16" spans="1:15">
      <c r="A16" s="16">
        <v>13</v>
      </c>
      <c r="B16" s="26">
        <v>13</v>
      </c>
      <c r="C16" s="26"/>
      <c r="D16" s="19">
        <f>'13'!F8</f>
        <v>748843</v>
      </c>
      <c r="E16" s="19">
        <f>'13'!G96</f>
        <v>3994.1899999999441</v>
      </c>
      <c r="F16" s="19">
        <f>'1'!F142</f>
        <v>47585.9</v>
      </c>
      <c r="G16" s="20">
        <f t="shared" si="0"/>
        <v>190067125.92099735</v>
      </c>
      <c r="H16" s="19">
        <f>'13'!G68</f>
        <v>30</v>
      </c>
      <c r="I16" s="19">
        <f>'13'!G69</f>
        <v>5</v>
      </c>
      <c r="J16" s="19">
        <f>'13'!G70</f>
        <v>7</v>
      </c>
      <c r="K16" s="23">
        <f t="shared" si="1"/>
        <v>35</v>
      </c>
      <c r="L16" s="19">
        <f>'13'!G71</f>
        <v>193</v>
      </c>
      <c r="M16" s="19">
        <f>'13'!G72</f>
        <v>0</v>
      </c>
      <c r="N16" s="19">
        <v>0</v>
      </c>
      <c r="O16" s="23">
        <f t="shared" si="2"/>
        <v>193</v>
      </c>
    </row>
    <row r="17" spans="1:15">
      <c r="A17" s="16">
        <v>14</v>
      </c>
      <c r="B17" s="17">
        <v>14</v>
      </c>
      <c r="C17" s="27"/>
      <c r="D17" s="19">
        <f>'14'!F8</f>
        <v>775180</v>
      </c>
      <c r="E17" s="19">
        <f>'14'!G96</f>
        <v>7314.8100000000559</v>
      </c>
      <c r="F17" s="19">
        <f>'1'!F142</f>
        <v>47585.9</v>
      </c>
      <c r="G17" s="20">
        <f t="shared" si="0"/>
        <v>348081817.17900264</v>
      </c>
      <c r="H17" s="19">
        <f>'14'!G68</f>
        <v>29</v>
      </c>
      <c r="I17" s="19">
        <f>'14'!G69</f>
        <v>10</v>
      </c>
      <c r="J17" s="19">
        <f>'14'!G71</f>
        <v>231</v>
      </c>
      <c r="K17" s="23">
        <f t="shared" si="1"/>
        <v>39</v>
      </c>
      <c r="L17" s="19">
        <f>'14'!G72</f>
        <v>0</v>
      </c>
      <c r="M17" s="19">
        <f>'14'!G73</f>
        <v>0</v>
      </c>
      <c r="N17" s="19">
        <v>0</v>
      </c>
      <c r="O17" s="23">
        <f t="shared" si="2"/>
        <v>0</v>
      </c>
    </row>
    <row r="18" spans="1:15">
      <c r="A18" s="16">
        <v>15</v>
      </c>
      <c r="B18" s="26">
        <v>15</v>
      </c>
      <c r="C18" s="18"/>
      <c r="D18" s="19">
        <f>'15'!F8</f>
        <v>799828</v>
      </c>
      <c r="E18" s="19">
        <f>'15'!G96</f>
        <v>6679.4499999999534</v>
      </c>
      <c r="F18" s="19">
        <f>'1'!F142</f>
        <v>47585.9</v>
      </c>
      <c r="G18" s="20">
        <f t="shared" si="0"/>
        <v>317847639.75499779</v>
      </c>
      <c r="H18" s="19">
        <f>'15'!G68</f>
        <v>34</v>
      </c>
      <c r="I18" s="19">
        <f>'15'!G69</f>
        <v>7</v>
      </c>
      <c r="J18" s="19">
        <f>'15'!G71</f>
        <v>227</v>
      </c>
      <c r="K18" s="23">
        <f t="shared" si="1"/>
        <v>41</v>
      </c>
      <c r="L18" s="19">
        <f>'15'!G72</f>
        <v>0</v>
      </c>
      <c r="M18" s="19">
        <f>'15'!G73</f>
        <v>0</v>
      </c>
      <c r="N18" s="19">
        <v>0</v>
      </c>
      <c r="O18" s="23">
        <f t="shared" si="2"/>
        <v>0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R183"/>
  <sheetViews>
    <sheetView topLeftCell="A91" zoomScale="50" zoomScaleNormal="50" workbookViewId="0">
      <selection activeCell="Q117" sqref="Q117:R120"/>
    </sheetView>
  </sheetViews>
  <sheetFormatPr defaultColWidth="22.33203125" defaultRowHeight="33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7" ht="33" customHeight="1">
      <c r="A1" s="867" t="s">
        <v>115</v>
      </c>
      <c r="B1" s="868"/>
      <c r="C1" s="868"/>
      <c r="D1" s="868"/>
      <c r="E1" s="868"/>
      <c r="F1" s="868"/>
      <c r="G1" s="868"/>
      <c r="H1" s="868"/>
      <c r="I1" s="868"/>
      <c r="J1" s="869"/>
    </row>
    <row r="2" spans="1:17" s="57" customFormat="1" ht="33" customHeight="1">
      <c r="A2" s="191" t="s">
        <v>303</v>
      </c>
      <c r="B2" s="262">
        <v>44439</v>
      </c>
      <c r="C2" s="324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7" s="57" customFormat="1" ht="33" customHeight="1">
      <c r="A3" s="189"/>
      <c r="B3" s="221"/>
      <c r="C3" s="324" t="s">
        <v>118</v>
      </c>
      <c r="D3" s="219">
        <v>28</v>
      </c>
      <c r="E3" s="876" t="s">
        <v>119</v>
      </c>
      <c r="F3" s="877"/>
      <c r="G3" s="101"/>
      <c r="H3" s="102"/>
      <c r="I3" s="102"/>
      <c r="J3" s="222"/>
      <c r="K3" s="61"/>
      <c r="L3" s="58"/>
    </row>
    <row r="4" spans="1:17" s="57" customFormat="1" ht="33" customHeight="1">
      <c r="A4" s="192"/>
      <c r="B4" s="223"/>
      <c r="C4" s="324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7" ht="33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7" ht="33" customHeight="1">
      <c r="A6" s="870" t="s">
        <v>128</v>
      </c>
      <c r="B6" s="871"/>
      <c r="C6" s="872"/>
      <c r="D6" s="110"/>
      <c r="E6" s="110"/>
      <c r="F6" s="110"/>
      <c r="G6" s="110"/>
      <c r="H6" s="111"/>
      <c r="I6" s="111"/>
      <c r="J6" s="174"/>
      <c r="K6" s="78"/>
      <c r="L6" s="66"/>
    </row>
    <row r="7" spans="1:17" ht="33" customHeight="1" thickBot="1">
      <c r="A7" s="194" t="s">
        <v>129</v>
      </c>
      <c r="B7" s="195"/>
      <c r="C7" s="195"/>
      <c r="D7" s="151" t="s">
        <v>130</v>
      </c>
      <c r="E7" s="95"/>
      <c r="F7" s="95"/>
      <c r="G7" s="112">
        <f>F7-E7</f>
        <v>0</v>
      </c>
      <c r="H7" s="99">
        <f>G7+'30'!H7</f>
        <v>680191.45</v>
      </c>
      <c r="I7" s="113">
        <f>'1'!I7</f>
        <v>12000</v>
      </c>
      <c r="J7" s="175">
        <f>H7/DAY(B2)</f>
        <v>21941.659677419353</v>
      </c>
      <c r="K7" s="172">
        <v>1375467</v>
      </c>
      <c r="L7" s="66"/>
      <c r="N7" s="87"/>
      <c r="O7" s="71"/>
    </row>
    <row r="8" spans="1:17" ht="33" customHeight="1" thickBot="1">
      <c r="A8" s="196" t="s">
        <v>131</v>
      </c>
      <c r="B8" s="197"/>
      <c r="C8" s="198"/>
      <c r="D8" s="224" t="s">
        <v>24</v>
      </c>
      <c r="E8" s="95"/>
      <c r="F8" s="114"/>
      <c r="G8" s="115">
        <f>F8-E8</f>
        <v>0</v>
      </c>
      <c r="H8" s="99">
        <f>G8+'30'!H8</f>
        <v>684254.17</v>
      </c>
      <c r="I8" s="116"/>
      <c r="J8" s="175">
        <f>H8/DAY(B2)</f>
        <v>22072.715161290325</v>
      </c>
      <c r="K8" s="172">
        <v>1715917</v>
      </c>
      <c r="L8" s="76">
        <v>1728480</v>
      </c>
      <c r="M8" s="87">
        <f>L8-K8</f>
        <v>12563</v>
      </c>
      <c r="N8" s="87"/>
      <c r="O8" s="71"/>
      <c r="Q8" s="523"/>
    </row>
    <row r="9" spans="1:17" ht="33" customHeight="1">
      <c r="A9" s="194" t="s">
        <v>134</v>
      </c>
      <c r="B9" s="200"/>
      <c r="C9" s="200"/>
      <c r="D9" s="151" t="s">
        <v>130</v>
      </c>
      <c r="E9" s="95"/>
      <c r="F9" s="117"/>
      <c r="G9" s="112">
        <f>F9-E9</f>
        <v>0</v>
      </c>
      <c r="H9" s="99">
        <f>G9+'30'!H9</f>
        <v>286428.79999999981</v>
      </c>
      <c r="I9" s="124"/>
      <c r="J9" s="175">
        <f>H9/DAY(B2)</f>
        <v>9239.6387096774142</v>
      </c>
      <c r="K9" s="79">
        <f>K8-100</f>
        <v>1715817</v>
      </c>
      <c r="L9" s="66"/>
      <c r="N9" s="87"/>
      <c r="O9" s="71"/>
      <c r="Q9" s="524"/>
    </row>
    <row r="10" spans="1:17" ht="33" customHeight="1">
      <c r="A10" s="194" t="s">
        <v>135</v>
      </c>
      <c r="B10" s="195"/>
      <c r="C10" s="195"/>
      <c r="D10" s="151" t="s">
        <v>130</v>
      </c>
      <c r="E10" s="95"/>
      <c r="F10" s="117"/>
      <c r="G10" s="112"/>
      <c r="H10" s="99">
        <f>G10+'30'!H10</f>
        <v>375135.89999999991</v>
      </c>
      <c r="I10" s="282"/>
      <c r="J10" s="175"/>
      <c r="K10" s="79"/>
      <c r="L10" s="66"/>
      <c r="N10" s="87"/>
      <c r="O10" s="71"/>
      <c r="Q10" s="66"/>
    </row>
    <row r="11" spans="1:17" ht="33" customHeight="1">
      <c r="A11" s="201" t="s">
        <v>136</v>
      </c>
      <c r="B11" s="202"/>
      <c r="C11" s="202"/>
      <c r="D11" s="151" t="s">
        <v>130</v>
      </c>
      <c r="E11" s="95"/>
      <c r="F11" s="95"/>
      <c r="G11" s="112">
        <f>G7+G9+G10</f>
        <v>0</v>
      </c>
      <c r="H11" s="99">
        <f>G11+'30'!H11</f>
        <v>580</v>
      </c>
      <c r="I11" s="282"/>
      <c r="J11" s="175"/>
      <c r="K11" s="79"/>
      <c r="L11" s="66"/>
      <c r="N11" s="87"/>
      <c r="O11" s="71"/>
    </row>
    <row r="12" spans="1:17" ht="33" customHeight="1">
      <c r="A12" s="199" t="s">
        <v>132</v>
      </c>
      <c r="B12" s="195"/>
      <c r="C12" s="195"/>
      <c r="D12" s="151" t="s">
        <v>130</v>
      </c>
      <c r="E12" s="95"/>
      <c r="F12" s="117"/>
      <c r="G12" s="112"/>
      <c r="H12" s="99">
        <f>G12+'30'!H12</f>
        <v>160</v>
      </c>
      <c r="I12" s="282"/>
      <c r="J12" s="175"/>
      <c r="K12" s="79"/>
      <c r="L12" s="66"/>
      <c r="N12" s="87"/>
      <c r="O12" s="71"/>
    </row>
    <row r="13" spans="1:17" ht="33" customHeight="1">
      <c r="A13" s="194" t="s">
        <v>133</v>
      </c>
      <c r="B13" s="195"/>
      <c r="C13" s="195"/>
      <c r="D13" s="151"/>
      <c r="E13" s="95"/>
      <c r="F13" s="117"/>
      <c r="G13" s="112"/>
      <c r="H13" s="99"/>
      <c r="I13" s="282"/>
      <c r="J13" s="175"/>
      <c r="K13" s="79"/>
      <c r="L13" s="66"/>
      <c r="N13" s="87"/>
      <c r="O13" s="71"/>
    </row>
    <row r="14" spans="1:17" ht="33" customHeight="1">
      <c r="A14" s="201" t="s">
        <v>136</v>
      </c>
      <c r="B14" s="522"/>
      <c r="C14" s="522"/>
      <c r="D14" s="151"/>
      <c r="E14" s="95"/>
      <c r="F14" s="95"/>
      <c r="G14" s="119">
        <f>G9+G10+G11+G12</f>
        <v>0</v>
      </c>
      <c r="H14" s="99">
        <f>G14+'30'!H13</f>
        <v>666533.39999999944</v>
      </c>
      <c r="I14" s="120">
        <f>G7-G14</f>
        <v>0</v>
      </c>
      <c r="J14" s="175">
        <f>H14/DAY(B2)</f>
        <v>21501.07741935482</v>
      </c>
      <c r="K14" s="79"/>
      <c r="L14" s="66"/>
      <c r="N14" s="87"/>
      <c r="O14" s="71"/>
    </row>
    <row r="15" spans="1:17" ht="33" customHeight="1">
      <c r="A15" s="873" t="s">
        <v>137</v>
      </c>
      <c r="B15" s="874"/>
      <c r="C15" s="875"/>
      <c r="D15" s="111"/>
      <c r="E15" s="111"/>
      <c r="F15" s="111"/>
      <c r="G15" s="121"/>
      <c r="H15" s="111"/>
      <c r="I15" s="111"/>
      <c r="J15" s="174"/>
      <c r="K15" s="80"/>
      <c r="L15" s="66"/>
      <c r="N15" s="87"/>
      <c r="O15" s="71"/>
    </row>
    <row r="16" spans="1:17" ht="33" customHeight="1">
      <c r="A16" s="322" t="s">
        <v>138</v>
      </c>
      <c r="B16" s="205"/>
      <c r="C16" s="205"/>
      <c r="D16" s="151" t="s">
        <v>139</v>
      </c>
      <c r="E16" s="123">
        <v>1755781</v>
      </c>
      <c r="F16" s="123">
        <v>1756530</v>
      </c>
      <c r="G16" s="112">
        <f>(F16-E16)</f>
        <v>749</v>
      </c>
      <c r="H16" s="99">
        <f>G16+'30'!H15</f>
        <v>34019</v>
      </c>
      <c r="I16" s="113">
        <f>'1'!I15</f>
        <v>800</v>
      </c>
      <c r="J16" s="175">
        <f>H16/DAY(B2)</f>
        <v>1097.3870967741937</v>
      </c>
      <c r="K16" s="79"/>
      <c r="L16" s="66"/>
      <c r="N16" s="87"/>
      <c r="O16" s="71"/>
    </row>
    <row r="17" spans="1:15" ht="33" customHeight="1">
      <c r="A17" s="203"/>
      <c r="B17" s="204"/>
      <c r="C17" s="204"/>
      <c r="D17" s="152"/>
      <c r="E17" s="123"/>
      <c r="F17" s="123"/>
      <c r="G17" s="112"/>
      <c r="H17" s="124"/>
      <c r="I17" s="120">
        <f>I16-J16</f>
        <v>-297.38709677419365</v>
      </c>
      <c r="J17" s="176"/>
      <c r="K17" s="79"/>
      <c r="L17" s="66"/>
      <c r="N17" s="87"/>
      <c r="O17" s="71"/>
    </row>
    <row r="18" spans="1:15" ht="33" customHeight="1">
      <c r="A18" s="873" t="s">
        <v>140</v>
      </c>
      <c r="B18" s="874"/>
      <c r="C18" s="875"/>
      <c r="D18" s="111"/>
      <c r="E18" s="111"/>
      <c r="F18" s="111"/>
      <c r="G18" s="125"/>
      <c r="H18" s="111"/>
      <c r="I18" s="111"/>
      <c r="J18" s="174"/>
      <c r="K18" s="79"/>
      <c r="L18" s="66"/>
      <c r="N18" s="87"/>
      <c r="O18" s="71"/>
    </row>
    <row r="19" spans="1:15" ht="33" customHeight="1">
      <c r="A19" s="864" t="s">
        <v>141</v>
      </c>
      <c r="B19" s="865"/>
      <c r="C19" s="866"/>
      <c r="D19" s="151" t="s">
        <v>142</v>
      </c>
      <c r="E19" s="95">
        <f>'30'!F18</f>
        <v>31</v>
      </c>
      <c r="F19" s="122">
        <v>14</v>
      </c>
      <c r="G19" s="119">
        <f>F19*10</f>
        <v>140</v>
      </c>
      <c r="H19" s="99">
        <f>G19+'30'!H18</f>
        <v>8140</v>
      </c>
      <c r="I19" s="113">
        <f>'1'!I18</f>
        <v>65</v>
      </c>
      <c r="J19" s="175">
        <f>H19/DAY(B2)</f>
        <v>262.58064516129031</v>
      </c>
      <c r="K19" s="79"/>
      <c r="L19" s="66"/>
      <c r="N19" s="87"/>
      <c r="O19" s="71"/>
    </row>
    <row r="20" spans="1:15" ht="33" customHeight="1">
      <c r="A20" s="864" t="s">
        <v>69</v>
      </c>
      <c r="B20" s="865"/>
      <c r="C20" s="866"/>
      <c r="D20" s="151" t="s">
        <v>142</v>
      </c>
      <c r="E20" s="95">
        <f>'30'!F19</f>
        <v>169512</v>
      </c>
      <c r="F20" s="122">
        <v>145338</v>
      </c>
      <c r="G20" s="112">
        <f t="shared" ref="G20" si="0">F20-E20</f>
        <v>-24174</v>
      </c>
      <c r="H20" s="99">
        <f>G20+'30'!H19</f>
        <v>-22538</v>
      </c>
      <c r="I20" s="335"/>
      <c r="J20" s="175">
        <f>H20/DAY(B2)</f>
        <v>-727.0322580645161</v>
      </c>
      <c r="K20" s="79"/>
      <c r="L20" s="66"/>
      <c r="N20" s="87"/>
      <c r="O20" s="71"/>
    </row>
    <row r="21" spans="1:15" ht="33" customHeight="1">
      <c r="A21" s="201" t="s">
        <v>143</v>
      </c>
      <c r="B21" s="202"/>
      <c r="C21" s="202"/>
      <c r="D21" s="126"/>
      <c r="E21" s="126"/>
      <c r="F21" s="126"/>
      <c r="G21" s="127">
        <f>G19+G20</f>
        <v>-24034</v>
      </c>
      <c r="H21" s="99">
        <f>G21+'30'!H20</f>
        <v>-14398</v>
      </c>
      <c r="I21" s="336">
        <f>I19-J21</f>
        <v>529.45161290322585</v>
      </c>
      <c r="J21" s="175">
        <f>H21/DAY(B2)</f>
        <v>-464.45161290322579</v>
      </c>
      <c r="K21" s="79"/>
      <c r="L21" s="66"/>
      <c r="N21" s="87"/>
      <c r="O21" s="71"/>
    </row>
    <row r="22" spans="1:15" ht="33" customHeight="1">
      <c r="A22" s="873" t="s">
        <v>144</v>
      </c>
      <c r="B22" s="874"/>
      <c r="C22" s="875"/>
      <c r="D22" s="111"/>
      <c r="E22" s="111"/>
      <c r="F22" s="111"/>
      <c r="G22" s="121"/>
      <c r="H22" s="111"/>
      <c r="I22" s="111"/>
      <c r="J22" s="174"/>
      <c r="K22" s="79"/>
      <c r="L22" s="66"/>
      <c r="N22" s="87"/>
      <c r="O22" s="71"/>
    </row>
    <row r="23" spans="1:15" ht="33" customHeight="1">
      <c r="A23" s="322" t="s">
        <v>145</v>
      </c>
      <c r="B23" s="205"/>
      <c r="C23" s="205"/>
      <c r="D23" s="151" t="s">
        <v>146</v>
      </c>
      <c r="E23" s="122">
        <f>'30'!F22</f>
        <v>2970</v>
      </c>
      <c r="F23" s="122">
        <v>2970</v>
      </c>
      <c r="G23" s="119">
        <f t="shared" ref="G23" si="1">(F23-E23)</f>
        <v>0</v>
      </c>
      <c r="H23" s="99">
        <f>'30'!H22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3" customHeight="1">
      <c r="A24" s="322" t="s">
        <v>147</v>
      </c>
      <c r="B24" s="205"/>
      <c r="C24" s="205"/>
      <c r="D24" s="151" t="s">
        <v>146</v>
      </c>
      <c r="E24" s="122">
        <f>'30'!F23</f>
        <v>2000</v>
      </c>
      <c r="F24" s="122">
        <v>2000</v>
      </c>
      <c r="G24" s="119">
        <v>0</v>
      </c>
      <c r="H24" s="99">
        <f>'30'!H23</f>
        <v>-100</v>
      </c>
      <c r="I24" s="118"/>
      <c r="J24" s="175">
        <f>H24/DAY(B2)</f>
        <v>-3.225806451612903</v>
      </c>
      <c r="K24" s="79"/>
      <c r="L24" s="66"/>
      <c r="N24" s="87"/>
      <c r="O24" s="71"/>
    </row>
    <row r="25" spans="1:15" ht="33" customHeight="1">
      <c r="A25" s="206" t="s">
        <v>148</v>
      </c>
      <c r="B25" s="207"/>
      <c r="C25" s="207"/>
      <c r="D25" s="146" t="s">
        <v>146</v>
      </c>
      <c r="E25" s="122">
        <f>'30'!F24</f>
        <v>4970</v>
      </c>
      <c r="F25" s="128">
        <v>4970</v>
      </c>
      <c r="G25" s="119">
        <v>0</v>
      </c>
      <c r="H25" s="99">
        <f>'30'!H24</f>
        <v>0</v>
      </c>
      <c r="I25" s="118"/>
      <c r="J25" s="175">
        <f>H25/DAY(B2)</f>
        <v>0</v>
      </c>
      <c r="K25" s="79"/>
      <c r="L25" s="66"/>
      <c r="N25" s="87"/>
      <c r="O25" s="71"/>
    </row>
    <row r="26" spans="1:15" s="88" customFormat="1" ht="33" customHeight="1">
      <c r="A26" s="878" t="s">
        <v>149</v>
      </c>
      <c r="B26" s="879"/>
      <c r="C26" s="880"/>
      <c r="D26" s="110"/>
      <c r="E26" s="110"/>
      <c r="F26" s="110"/>
      <c r="G26" s="129"/>
      <c r="H26" s="130"/>
      <c r="I26" s="131"/>
      <c r="J26" s="177"/>
      <c r="K26" s="63"/>
      <c r="L26" s="89"/>
      <c r="N26" s="87"/>
      <c r="O26" s="71"/>
    </row>
    <row r="27" spans="1:15" s="88" customFormat="1" ht="33" customHeight="1">
      <c r="A27" s="208" t="s">
        <v>150</v>
      </c>
      <c r="B27" s="209"/>
      <c r="C27" s="210"/>
      <c r="D27" s="225" t="s">
        <v>151</v>
      </c>
      <c r="E27" s="132"/>
      <c r="F27" s="132"/>
      <c r="G27" s="133"/>
      <c r="H27" s="99"/>
      <c r="I27" s="134"/>
      <c r="J27" s="175"/>
      <c r="K27" s="64"/>
      <c r="L27" s="89"/>
      <c r="N27" s="87"/>
      <c r="O27" s="71"/>
    </row>
    <row r="28" spans="1:15" s="88" customFormat="1" ht="33" customHeight="1">
      <c r="A28" s="208" t="s">
        <v>5</v>
      </c>
      <c r="B28" s="209"/>
      <c r="C28" s="210"/>
      <c r="D28" s="226" t="s">
        <v>24</v>
      </c>
      <c r="E28" s="135">
        <f>G8</f>
        <v>0</v>
      </c>
      <c r="F28" s="136">
        <v>9</v>
      </c>
      <c r="G28" s="137">
        <f>E28*F28</f>
        <v>0</v>
      </c>
      <c r="H28" s="99">
        <f>G28+'30'!H27</f>
        <v>6180878.3300000001</v>
      </c>
      <c r="I28" s="138"/>
      <c r="J28" s="175">
        <f>H28/DAY(B2)</f>
        <v>199383.17193548387</v>
      </c>
      <c r="K28" s="63"/>
      <c r="L28" s="89"/>
      <c r="N28" s="87"/>
      <c r="O28" s="71"/>
    </row>
    <row r="29" spans="1:15" s="88" customFormat="1" ht="33" customHeight="1">
      <c r="A29" s="208" t="s">
        <v>152</v>
      </c>
      <c r="B29" s="209"/>
      <c r="C29" s="210"/>
      <c r="D29" s="226" t="s">
        <v>153</v>
      </c>
      <c r="E29" s="139">
        <f>G16</f>
        <v>749</v>
      </c>
      <c r="F29" s="136">
        <v>52</v>
      </c>
      <c r="G29" s="137">
        <f>E29*F29</f>
        <v>38948</v>
      </c>
      <c r="H29" s="99">
        <f>G29+'30'!H28</f>
        <v>2378359.7500000005</v>
      </c>
      <c r="I29" s="140"/>
      <c r="J29" s="175">
        <f>H29/DAY(B2)</f>
        <v>76721.28225806453</v>
      </c>
      <c r="K29" s="63"/>
      <c r="L29" s="89"/>
      <c r="N29" s="87"/>
      <c r="O29" s="71"/>
    </row>
    <row r="30" spans="1:15" s="88" customFormat="1" ht="33" customHeight="1">
      <c r="A30" s="208" t="s">
        <v>154</v>
      </c>
      <c r="B30" s="209"/>
      <c r="C30" s="210"/>
      <c r="D30" s="226" t="s">
        <v>155</v>
      </c>
      <c r="E30" s="141">
        <f>G25</f>
        <v>0</v>
      </c>
      <c r="F30" s="136">
        <v>69</v>
      </c>
      <c r="G30" s="137">
        <f>E30*F30</f>
        <v>0</v>
      </c>
      <c r="H30" s="99">
        <f>G30+'30'!H29</f>
        <v>20700</v>
      </c>
      <c r="I30" s="140"/>
      <c r="J30" s="175">
        <f>H30/DAY(B2)</f>
        <v>667.74193548387098</v>
      </c>
      <c r="K30" s="63"/>
      <c r="L30" s="89"/>
      <c r="N30" s="87"/>
      <c r="O30" s="71"/>
    </row>
    <row r="31" spans="1:15" s="88" customFormat="1" ht="33" customHeight="1">
      <c r="A31" s="208" t="s">
        <v>156</v>
      </c>
      <c r="B31" s="209"/>
      <c r="C31" s="210"/>
      <c r="D31" s="226" t="s">
        <v>157</v>
      </c>
      <c r="E31" s="141">
        <f>G20</f>
        <v>-24174</v>
      </c>
      <c r="F31" s="136">
        <v>146</v>
      </c>
      <c r="G31" s="137">
        <f>E31*F31</f>
        <v>-3529404</v>
      </c>
      <c r="H31" s="99">
        <f>G31+'30'!H30</f>
        <v>-3282368</v>
      </c>
      <c r="I31" s="140"/>
      <c r="J31" s="175">
        <f>H31/DAY(B2)</f>
        <v>-105882.83870967742</v>
      </c>
      <c r="K31" s="63"/>
      <c r="L31" s="89"/>
      <c r="N31" s="87"/>
      <c r="O31" s="71"/>
    </row>
    <row r="32" spans="1:15" s="88" customFormat="1" ht="33" customHeight="1">
      <c r="A32" s="208" t="s">
        <v>158</v>
      </c>
      <c r="B32" s="209"/>
      <c r="C32" s="210"/>
      <c r="D32" s="226" t="s">
        <v>142</v>
      </c>
      <c r="E32" s="141">
        <f>G19</f>
        <v>140</v>
      </c>
      <c r="F32" s="136">
        <v>80</v>
      </c>
      <c r="G32" s="137">
        <f>E32*F32</f>
        <v>11200</v>
      </c>
      <c r="H32" s="99">
        <f>G32+'30'!H31</f>
        <v>651200</v>
      </c>
      <c r="I32" s="140"/>
      <c r="J32" s="175">
        <f>H32/DAY(B2)</f>
        <v>21006.451612903227</v>
      </c>
      <c r="K32" s="63"/>
      <c r="L32" s="89"/>
      <c r="N32" s="87"/>
      <c r="O32" s="71"/>
    </row>
    <row r="33" spans="1:15" s="88" customFormat="1" ht="33" customHeight="1">
      <c r="A33" s="211" t="s">
        <v>159</v>
      </c>
      <c r="B33" s="212"/>
      <c r="C33" s="213"/>
      <c r="D33" s="142"/>
      <c r="E33" s="142"/>
      <c r="F33" s="142"/>
      <c r="G33" s="143">
        <f>G28+G29+G30+G31+G32</f>
        <v>-3479256</v>
      </c>
      <c r="H33" s="99">
        <f>G33+'30'!H32</f>
        <v>5948770.0800000001</v>
      </c>
      <c r="I33" s="144"/>
      <c r="J33" s="175">
        <f>H33/DAY(B2)</f>
        <v>191895.80903225805</v>
      </c>
      <c r="K33" s="63"/>
      <c r="L33" s="89"/>
      <c r="N33" s="87"/>
      <c r="O33" s="71"/>
    </row>
    <row r="34" spans="1:15" ht="33" customHeight="1">
      <c r="A34" s="881" t="s">
        <v>331</v>
      </c>
      <c r="B34" s="882"/>
      <c r="C34" s="882"/>
      <c r="D34" s="337"/>
      <c r="E34" s="337"/>
      <c r="F34" s="337"/>
      <c r="G34" s="337"/>
      <c r="H34" s="337"/>
      <c r="I34" s="337"/>
      <c r="J34" s="338"/>
      <c r="K34" s="79"/>
      <c r="L34" s="66"/>
      <c r="N34" s="87"/>
      <c r="O34" s="71"/>
    </row>
    <row r="35" spans="1:15" ht="33" customHeight="1">
      <c r="A35" s="214" t="s">
        <v>160</v>
      </c>
      <c r="B35" s="326"/>
      <c r="C35" s="326"/>
      <c r="D35" s="111"/>
      <c r="E35" s="110"/>
      <c r="F35" s="110"/>
      <c r="G35" s="111"/>
      <c r="H35" s="111"/>
      <c r="I35" s="111"/>
      <c r="J35" s="174"/>
      <c r="K35" s="79"/>
      <c r="L35" s="66"/>
      <c r="N35" s="87"/>
      <c r="O35" s="71"/>
    </row>
    <row r="36" spans="1:15" ht="33" customHeight="1">
      <c r="A36" s="194" t="s">
        <v>161</v>
      </c>
      <c r="B36" s="195"/>
      <c r="C36" s="195"/>
      <c r="D36" s="151" t="s">
        <v>130</v>
      </c>
      <c r="E36" s="145">
        <v>1058597</v>
      </c>
      <c r="F36" s="145">
        <v>1058597</v>
      </c>
      <c r="G36" s="112">
        <f t="shared" ref="G36:G47" si="2">F36-E36</f>
        <v>0</v>
      </c>
      <c r="H36" s="99">
        <f>G36+'30'!H35</f>
        <v>82594.090000000026</v>
      </c>
      <c r="I36" s="95"/>
      <c r="J36" s="175">
        <f>H36/DAY(B2)</f>
        <v>2664.3254838709686</v>
      </c>
      <c r="K36" s="79"/>
      <c r="L36" s="66"/>
      <c r="N36" s="87"/>
      <c r="O36" s="71"/>
    </row>
    <row r="37" spans="1:15" ht="33" customHeight="1">
      <c r="A37" s="194" t="s">
        <v>162</v>
      </c>
      <c r="B37" s="195"/>
      <c r="C37" s="195"/>
      <c r="D37" s="151" t="s">
        <v>130</v>
      </c>
      <c r="E37" s="145">
        <v>1165</v>
      </c>
      <c r="F37" s="145">
        <v>1833</v>
      </c>
      <c r="G37" s="112">
        <f t="shared" si="2"/>
        <v>668</v>
      </c>
      <c r="H37" s="99">
        <f>G37+'30'!H36</f>
        <v>31528.890000000014</v>
      </c>
      <c r="I37" s="95"/>
      <c r="J37" s="175">
        <f>H37/DAY(B2)</f>
        <v>1017.0609677419359</v>
      </c>
      <c r="K37" s="79"/>
      <c r="L37" s="66"/>
      <c r="N37" s="87"/>
      <c r="O37" s="344"/>
    </row>
    <row r="38" spans="1:15" ht="33" customHeight="1">
      <c r="A38" s="194" t="s">
        <v>163</v>
      </c>
      <c r="B38" s="195"/>
      <c r="C38" s="195"/>
      <c r="D38" s="151" t="s">
        <v>130</v>
      </c>
      <c r="E38" s="145">
        <v>1612</v>
      </c>
      <c r="F38" s="145">
        <v>2775</v>
      </c>
      <c r="G38" s="112">
        <f t="shared" si="2"/>
        <v>1163</v>
      </c>
      <c r="H38" s="99">
        <f>G38+'30'!H37</f>
        <v>15054.309999999998</v>
      </c>
      <c r="I38" s="95"/>
      <c r="J38" s="175">
        <f>H38/DAY(B2)</f>
        <v>485.6229032258064</v>
      </c>
      <c r="K38" s="79"/>
      <c r="L38" s="66"/>
      <c r="N38" s="87"/>
      <c r="O38" s="234"/>
    </row>
    <row r="39" spans="1:15" ht="33" customHeight="1">
      <c r="A39" s="194" t="s">
        <v>164</v>
      </c>
      <c r="B39" s="195"/>
      <c r="C39" s="195"/>
      <c r="D39" s="151" t="s">
        <v>130</v>
      </c>
      <c r="E39" s="108">
        <v>3155</v>
      </c>
      <c r="F39" s="108">
        <v>4823</v>
      </c>
      <c r="G39" s="112">
        <f t="shared" si="2"/>
        <v>1668</v>
      </c>
      <c r="H39" s="99">
        <f>G39+'30'!H38</f>
        <v>65315.609999999986</v>
      </c>
      <c r="I39" s="95"/>
      <c r="J39" s="175">
        <f>H39/DAY(B2)</f>
        <v>2106.9551612903219</v>
      </c>
      <c r="K39" s="79"/>
      <c r="L39" s="66"/>
      <c r="N39" s="87"/>
      <c r="O39" s="71"/>
    </row>
    <row r="40" spans="1:15" ht="33" customHeight="1">
      <c r="A40" s="194" t="s">
        <v>165</v>
      </c>
      <c r="B40" s="195"/>
      <c r="C40" s="195"/>
      <c r="D40" s="151" t="s">
        <v>130</v>
      </c>
      <c r="E40" s="145">
        <v>634029</v>
      </c>
      <c r="F40" s="145">
        <v>637915</v>
      </c>
      <c r="G40" s="112">
        <f t="shared" si="2"/>
        <v>3886</v>
      </c>
      <c r="H40" s="99">
        <f>G40+'30'!H39</f>
        <v>29754</v>
      </c>
      <c r="I40" s="95"/>
      <c r="J40" s="175">
        <f>H40/DAY(B2)</f>
        <v>959.80645161290317</v>
      </c>
      <c r="K40" s="79"/>
      <c r="L40" s="66"/>
      <c r="N40" s="87"/>
      <c r="O40" s="71"/>
    </row>
    <row r="41" spans="1:15" ht="33" customHeight="1">
      <c r="A41" s="215" t="s">
        <v>166</v>
      </c>
      <c r="B41" s="216"/>
      <c r="C41" s="216"/>
      <c r="D41" s="151" t="s">
        <v>130</v>
      </c>
      <c r="E41" s="145">
        <v>34221</v>
      </c>
      <c r="F41" s="145">
        <v>34599</v>
      </c>
      <c r="G41" s="112">
        <f t="shared" si="2"/>
        <v>378</v>
      </c>
      <c r="H41" s="99">
        <f>G41+'30'!H40</f>
        <v>12876.029999999999</v>
      </c>
      <c r="I41" s="95"/>
      <c r="J41" s="175">
        <f>H41/DAY(B2)</f>
        <v>415.35580645161286</v>
      </c>
      <c r="K41" s="80"/>
      <c r="L41" s="66"/>
      <c r="N41" s="87"/>
      <c r="O41" s="71"/>
    </row>
    <row r="42" spans="1:15" ht="33" customHeight="1">
      <c r="A42" s="194" t="s">
        <v>167</v>
      </c>
      <c r="B42" s="195"/>
      <c r="C42" s="195"/>
      <c r="D42" s="151" t="s">
        <v>130</v>
      </c>
      <c r="E42" s="145">
        <v>433281.79</v>
      </c>
      <c r="F42" s="145">
        <v>433281.79</v>
      </c>
      <c r="G42" s="112">
        <f t="shared" si="2"/>
        <v>0</v>
      </c>
      <c r="H42" s="99">
        <f>G42+'30'!H41</f>
        <v>1044.9099999999744</v>
      </c>
      <c r="I42" s="95"/>
      <c r="J42" s="175">
        <f>H42/DAY(B2)</f>
        <v>33.70677419354756</v>
      </c>
      <c r="K42" s="79"/>
      <c r="L42" s="66"/>
      <c r="N42" s="87"/>
      <c r="O42" s="71"/>
    </row>
    <row r="43" spans="1:15" ht="33" customHeight="1">
      <c r="A43" s="194" t="s">
        <v>168</v>
      </c>
      <c r="B43" s="195"/>
      <c r="C43" s="195"/>
      <c r="D43" s="151" t="s">
        <v>130</v>
      </c>
      <c r="E43" s="145">
        <v>170507</v>
      </c>
      <c r="F43" s="145">
        <v>175112</v>
      </c>
      <c r="G43" s="112">
        <f t="shared" si="2"/>
        <v>4605</v>
      </c>
      <c r="H43" s="99">
        <f>G43+'30'!H42</f>
        <v>49572.920000000042</v>
      </c>
      <c r="I43" s="95"/>
      <c r="J43" s="175">
        <f>H43/DAY(B2)</f>
        <v>1599.1264516129045</v>
      </c>
      <c r="K43" s="79"/>
      <c r="L43" s="66"/>
      <c r="N43" s="87"/>
      <c r="O43" s="71"/>
    </row>
    <row r="44" spans="1:15" ht="33" customHeight="1">
      <c r="A44" s="194" t="s">
        <v>169</v>
      </c>
      <c r="B44" s="195"/>
      <c r="C44" s="195"/>
      <c r="D44" s="151" t="s">
        <v>130</v>
      </c>
      <c r="E44" s="145">
        <v>1287250</v>
      </c>
      <c r="F44" s="145">
        <v>1289745</v>
      </c>
      <c r="G44" s="112">
        <f t="shared" si="2"/>
        <v>2495</v>
      </c>
      <c r="H44" s="99">
        <f>G44+'30'!H43</f>
        <v>17911</v>
      </c>
      <c r="I44" s="95"/>
      <c r="J44" s="175">
        <f>H44/DAY(B2)</f>
        <v>577.77419354838707</v>
      </c>
      <c r="K44" s="79"/>
      <c r="L44" s="66"/>
      <c r="N44" s="87"/>
      <c r="O44" s="71"/>
    </row>
    <row r="45" spans="1:15" ht="33" customHeight="1">
      <c r="A45" s="194" t="s">
        <v>170</v>
      </c>
      <c r="B45" s="195"/>
      <c r="C45" s="195"/>
      <c r="D45" s="151" t="s">
        <v>130</v>
      </c>
      <c r="E45" s="145">
        <v>0</v>
      </c>
      <c r="F45" s="145">
        <v>0</v>
      </c>
      <c r="G45" s="112">
        <f t="shared" si="2"/>
        <v>0</v>
      </c>
      <c r="H45" s="99">
        <f>G45+'30'!H44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3" customHeight="1">
      <c r="A46" s="194" t="s">
        <v>171</v>
      </c>
      <c r="B46" s="195"/>
      <c r="C46" s="195"/>
      <c r="D46" s="151" t="s">
        <v>130</v>
      </c>
      <c r="E46" s="145">
        <v>614</v>
      </c>
      <c r="F46" s="145">
        <v>614</v>
      </c>
      <c r="G46" s="112">
        <f t="shared" si="2"/>
        <v>0</v>
      </c>
      <c r="H46" s="99">
        <f>G46+'30'!H45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3" customHeight="1">
      <c r="A47" s="194" t="s">
        <v>172</v>
      </c>
      <c r="B47" s="195"/>
      <c r="C47" s="195"/>
      <c r="D47" s="151" t="s">
        <v>130</v>
      </c>
      <c r="E47" s="145">
        <v>187</v>
      </c>
      <c r="F47" s="145">
        <v>187</v>
      </c>
      <c r="G47" s="112">
        <f t="shared" si="2"/>
        <v>0</v>
      </c>
      <c r="H47" s="99">
        <f>G47+'30'!H46</f>
        <v>0</v>
      </c>
      <c r="I47" s="95"/>
      <c r="J47" s="175">
        <f>H47/DAY(B2)</f>
        <v>0</v>
      </c>
      <c r="K47" s="79"/>
      <c r="L47" s="66"/>
      <c r="N47" s="87"/>
      <c r="O47" s="71"/>
    </row>
    <row r="48" spans="1:15" ht="33" customHeight="1">
      <c r="A48" s="201" t="s">
        <v>173</v>
      </c>
      <c r="B48" s="202"/>
      <c r="C48" s="202"/>
      <c r="D48" s="109"/>
      <c r="E48" s="146"/>
      <c r="F48" s="146"/>
      <c r="G48" s="119">
        <f>G36+G37+G38+G39+G40+G41+G42+G43+G44+G45+G46+G47</f>
        <v>14863</v>
      </c>
      <c r="H48" s="99">
        <f>G48+'30'!H47</f>
        <v>305651.76</v>
      </c>
      <c r="I48" s="95"/>
      <c r="J48" s="175">
        <f>H48/DAY(B2)</f>
        <v>9859.7341935483873</v>
      </c>
      <c r="K48" s="79"/>
      <c r="L48" s="66"/>
      <c r="N48" s="87"/>
      <c r="O48" s="71"/>
    </row>
    <row r="49" spans="1:15" ht="33" customHeight="1">
      <c r="A49" s="214" t="s">
        <v>174</v>
      </c>
      <c r="B49" s="326"/>
      <c r="C49" s="326"/>
      <c r="D49" s="111"/>
      <c r="E49" s="110"/>
      <c r="F49" s="110"/>
      <c r="G49" s="111"/>
      <c r="H49" s="111"/>
      <c r="I49" s="111"/>
      <c r="J49" s="174"/>
      <c r="K49" s="79"/>
      <c r="L49" s="66"/>
      <c r="N49" s="87"/>
      <c r="O49" s="71"/>
    </row>
    <row r="50" spans="1:15" ht="33" customHeight="1">
      <c r="A50" s="194" t="s">
        <v>161</v>
      </c>
      <c r="B50" s="217"/>
      <c r="C50" s="217"/>
      <c r="D50" s="151" t="s">
        <v>130</v>
      </c>
      <c r="E50" s="95">
        <f>'30'!F49</f>
        <v>806004</v>
      </c>
      <c r="F50" s="145">
        <v>419822</v>
      </c>
      <c r="G50" s="112">
        <f t="shared" ref="G50:G59" si="3">F50-E50</f>
        <v>-386182</v>
      </c>
      <c r="H50" s="99">
        <f>G50+'30'!H49</f>
        <v>-373800.94999999995</v>
      </c>
      <c r="I50" s="95"/>
      <c r="J50" s="175">
        <f>H50/DAY(B2)</f>
        <v>-12058.095161290321</v>
      </c>
      <c r="K50" s="79"/>
      <c r="L50" s="66"/>
      <c r="N50" s="87"/>
      <c r="O50" s="71"/>
    </row>
    <row r="51" spans="1:15" ht="33" customHeight="1">
      <c r="A51" s="194" t="s">
        <v>175</v>
      </c>
      <c r="B51" s="217"/>
      <c r="C51" s="217"/>
      <c r="D51" s="151" t="s">
        <v>130</v>
      </c>
      <c r="E51" s="95">
        <f>'30'!F50</f>
        <v>499714</v>
      </c>
      <c r="F51" s="145">
        <v>607298</v>
      </c>
      <c r="G51" s="112">
        <f t="shared" si="3"/>
        <v>107584</v>
      </c>
      <c r="H51" s="99">
        <f>G51+'30'!H50</f>
        <v>150628.93</v>
      </c>
      <c r="I51" s="95"/>
      <c r="J51" s="175">
        <f>H51/DAY(B2)</f>
        <v>4858.9977419354836</v>
      </c>
      <c r="K51" s="79"/>
      <c r="L51" s="66"/>
      <c r="N51" s="87"/>
      <c r="O51" s="71"/>
    </row>
    <row r="52" spans="1:15" ht="33" customHeight="1">
      <c r="A52" s="194" t="s">
        <v>163</v>
      </c>
      <c r="B52" s="217"/>
      <c r="C52" s="217"/>
      <c r="D52" s="151" t="s">
        <v>130</v>
      </c>
      <c r="E52" s="95">
        <f>'30'!F51</f>
        <v>156958</v>
      </c>
      <c r="F52" s="145">
        <v>144640</v>
      </c>
      <c r="G52" s="112">
        <f t="shared" si="3"/>
        <v>-12318</v>
      </c>
      <c r="H52" s="99">
        <f>G52+'30'!H51</f>
        <v>9395.4500000000116</v>
      </c>
      <c r="I52" s="95"/>
      <c r="J52" s="175">
        <f>H52/DAY(B2)</f>
        <v>303.0790322580649</v>
      </c>
      <c r="K52" s="79"/>
      <c r="L52" s="66"/>
      <c r="N52" s="87"/>
      <c r="O52" s="71"/>
    </row>
    <row r="53" spans="1:15" ht="33" customHeight="1">
      <c r="A53" s="194" t="s">
        <v>176</v>
      </c>
      <c r="B53" s="217"/>
      <c r="C53" s="217"/>
      <c r="D53" s="151" t="s">
        <v>130</v>
      </c>
      <c r="E53" s="95">
        <f>'30'!F52</f>
        <v>10</v>
      </c>
      <c r="F53" s="145">
        <v>539606</v>
      </c>
      <c r="G53" s="112">
        <f t="shared" si="3"/>
        <v>539596</v>
      </c>
      <c r="H53" s="99">
        <f>G53+'30'!H52</f>
        <v>539596</v>
      </c>
      <c r="I53" s="95"/>
      <c r="J53" s="175">
        <f>H53/DAY(B2)</f>
        <v>17406.322580645163</v>
      </c>
      <c r="K53" s="79"/>
      <c r="L53" s="66"/>
      <c r="N53" s="87"/>
      <c r="O53" s="71"/>
    </row>
    <row r="54" spans="1:15" ht="33" customHeight="1">
      <c r="A54" s="194" t="s">
        <v>165</v>
      </c>
      <c r="B54" s="217"/>
      <c r="C54" s="217"/>
      <c r="D54" s="151" t="s">
        <v>130</v>
      </c>
      <c r="E54" s="95">
        <f>'30'!F53</f>
        <v>630355</v>
      </c>
      <c r="F54" s="145">
        <v>434232</v>
      </c>
      <c r="G54" s="112">
        <f t="shared" si="3"/>
        <v>-196123</v>
      </c>
      <c r="H54" s="99">
        <f>G54+'30'!H53</f>
        <v>-112309.27000000002</v>
      </c>
      <c r="I54" s="95"/>
      <c r="J54" s="175">
        <f>H54/DAY(B2)</f>
        <v>-3622.8796774193556</v>
      </c>
      <c r="K54" s="79"/>
      <c r="L54" s="66"/>
      <c r="N54" s="87"/>
      <c r="O54" s="71"/>
    </row>
    <row r="55" spans="1:15" ht="33" customHeight="1">
      <c r="A55" s="194" t="s">
        <v>177</v>
      </c>
      <c r="B55" s="217"/>
      <c r="C55" s="217"/>
      <c r="D55" s="151" t="s">
        <v>130</v>
      </c>
      <c r="E55" s="95">
        <f>'30'!F54</f>
        <v>114236</v>
      </c>
      <c r="F55" s="145">
        <v>14967</v>
      </c>
      <c r="G55" s="112">
        <f t="shared" si="3"/>
        <v>-99269</v>
      </c>
      <c r="H55" s="99">
        <f>G55+'30'!H54</f>
        <v>-92696.16</v>
      </c>
      <c r="I55" s="95"/>
      <c r="J55" s="175">
        <f>H55/DAY(B2)</f>
        <v>-2990.1987096774196</v>
      </c>
      <c r="K55" s="79"/>
      <c r="L55" s="66"/>
      <c r="N55" s="87"/>
      <c r="O55" s="71"/>
    </row>
    <row r="56" spans="1:15" ht="33" customHeight="1">
      <c r="A56" s="194" t="s">
        <v>178</v>
      </c>
      <c r="B56" s="217"/>
      <c r="C56" s="217"/>
      <c r="D56" s="151" t="s">
        <v>130</v>
      </c>
      <c r="E56" s="95">
        <f>'30'!F55</f>
        <v>576335.63</v>
      </c>
      <c r="F56" s="145">
        <v>306268.99</v>
      </c>
      <c r="G56" s="112">
        <f t="shared" si="3"/>
        <v>-270066.64</v>
      </c>
      <c r="H56" s="99">
        <f>G56+'30'!H55</f>
        <v>-255215.68000000005</v>
      </c>
      <c r="I56" s="95"/>
      <c r="J56" s="175">
        <f>H56/DAY(B2)</f>
        <v>-8232.7638709677431</v>
      </c>
      <c r="K56" s="79"/>
      <c r="L56" s="66"/>
      <c r="N56" s="87"/>
      <c r="O56" s="71"/>
    </row>
    <row r="57" spans="1:15" ht="33" customHeight="1">
      <c r="A57" s="194" t="s">
        <v>179</v>
      </c>
      <c r="B57" s="217"/>
      <c r="C57" s="217"/>
      <c r="D57" s="151" t="s">
        <v>180</v>
      </c>
      <c r="E57" s="95">
        <f>'30'!F56</f>
        <v>334767</v>
      </c>
      <c r="F57" s="145">
        <v>661019</v>
      </c>
      <c r="G57" s="112">
        <f t="shared" si="3"/>
        <v>326252</v>
      </c>
      <c r="H57" s="99">
        <f>G57+'30'!H56</f>
        <v>392903.99</v>
      </c>
      <c r="I57" s="95"/>
      <c r="J57" s="175">
        <f>H57/DAY(B2)</f>
        <v>12674.322258064516</v>
      </c>
      <c r="K57" s="78"/>
      <c r="L57" s="66"/>
      <c r="N57" s="87"/>
      <c r="O57" s="71"/>
    </row>
    <row r="58" spans="1:15" ht="33" customHeight="1">
      <c r="A58" s="194" t="s">
        <v>169</v>
      </c>
      <c r="B58" s="217"/>
      <c r="C58" s="217"/>
      <c r="D58" s="151" t="s">
        <v>130</v>
      </c>
      <c r="E58" s="95">
        <f>'30'!F57</f>
        <v>628226</v>
      </c>
      <c r="F58" s="145">
        <v>7711</v>
      </c>
      <c r="G58" s="112">
        <f t="shared" si="3"/>
        <v>-620515</v>
      </c>
      <c r="H58" s="99">
        <f>G58+'30'!H57</f>
        <v>-555848.47</v>
      </c>
      <c r="I58" s="95"/>
      <c r="J58" s="175">
        <f>H58/DAY(B2)</f>
        <v>-17930.595806451613</v>
      </c>
      <c r="K58" s="79"/>
      <c r="L58" s="66"/>
      <c r="N58" s="87"/>
      <c r="O58" s="71"/>
    </row>
    <row r="59" spans="1:15" ht="33" customHeight="1">
      <c r="A59" s="194" t="s">
        <v>181</v>
      </c>
      <c r="B59" s="217"/>
      <c r="C59" s="217"/>
      <c r="D59" s="151" t="s">
        <v>130</v>
      </c>
      <c r="E59" s="95">
        <f>'30'!F58</f>
        <v>86281.5</v>
      </c>
      <c r="F59" s="145">
        <v>66014</v>
      </c>
      <c r="G59" s="112">
        <f t="shared" si="3"/>
        <v>-20267.5</v>
      </c>
      <c r="H59" s="99">
        <f>G59+'30'!H58</f>
        <v>-12701.690000000002</v>
      </c>
      <c r="I59" s="95"/>
      <c r="J59" s="175">
        <f>H59/DAY(B2)</f>
        <v>-409.73193548387104</v>
      </c>
      <c r="K59" s="79"/>
      <c r="L59" s="66"/>
      <c r="N59" s="87"/>
      <c r="O59" s="71"/>
    </row>
    <row r="60" spans="1:15" ht="33" customHeight="1">
      <c r="A60" s="201" t="s">
        <v>173</v>
      </c>
      <c r="B60" s="202"/>
      <c r="C60" s="202"/>
      <c r="D60" s="146"/>
      <c r="E60" s="146"/>
      <c r="F60" s="146"/>
      <c r="G60" s="119">
        <f>G50+G51+G52+G53+G54+G55+G56+G57+G58+G59</f>
        <v>-631309.14</v>
      </c>
      <c r="H60" s="99">
        <f>G60+'30'!H59</f>
        <v>-310047.84999999998</v>
      </c>
      <c r="I60" s="95">
        <f>G7-G61</f>
        <v>616446.14</v>
      </c>
      <c r="J60" s="175">
        <f>H60/DAY(B2)</f>
        <v>-10001.543548387095</v>
      </c>
      <c r="K60" s="79"/>
      <c r="L60" s="66"/>
      <c r="N60" s="87"/>
      <c r="O60" s="71"/>
    </row>
    <row r="61" spans="1:15" ht="33" customHeight="1">
      <c r="A61" s="194"/>
      <c r="B61" s="195"/>
      <c r="C61" s="195"/>
      <c r="D61" s="146" t="s">
        <v>182</v>
      </c>
      <c r="E61" s="146"/>
      <c r="F61" s="146"/>
      <c r="G61" s="119">
        <f>G48+G60</f>
        <v>-616446.14</v>
      </c>
      <c r="H61" s="99">
        <f>G61+'30'!H60</f>
        <v>-4396.089999999851</v>
      </c>
      <c r="I61" s="95">
        <f>G14-G61</f>
        <v>616446.14</v>
      </c>
      <c r="J61" s="175">
        <f>H61/DAY(B2)</f>
        <v>-141.80935483870488</v>
      </c>
      <c r="K61" s="79"/>
      <c r="L61" s="66"/>
      <c r="N61" s="87"/>
      <c r="O61" s="71"/>
    </row>
    <row r="62" spans="1:15" s="68" customFormat="1" ht="33" customHeight="1">
      <c r="A62" s="883" t="s">
        <v>332</v>
      </c>
      <c r="B62" s="884"/>
      <c r="C62" s="885"/>
      <c r="D62" s="339"/>
      <c r="E62" s="339"/>
      <c r="F62" s="339"/>
      <c r="G62" s="340"/>
      <c r="H62" s="339"/>
      <c r="I62" s="339"/>
      <c r="J62" s="341"/>
      <c r="K62" s="69"/>
      <c r="L62" s="67"/>
      <c r="N62" s="87"/>
      <c r="O62" s="71"/>
    </row>
    <row r="63" spans="1:15" ht="33" customHeight="1">
      <c r="A63" s="864" t="s">
        <v>198</v>
      </c>
      <c r="B63" s="865"/>
      <c r="C63" s="866"/>
      <c r="D63" s="151" t="s">
        <v>142</v>
      </c>
      <c r="E63" s="95">
        <f>'30'!F93</f>
        <v>0</v>
      </c>
      <c r="F63" s="122">
        <v>253452</v>
      </c>
      <c r="G63" s="112">
        <f t="shared" ref="G63:G64" si="4">F63-E63</f>
        <v>253452</v>
      </c>
      <c r="H63" s="99">
        <f>G63+'30'!H93</f>
        <v>253452</v>
      </c>
      <c r="I63" s="118"/>
      <c r="J63" s="175">
        <f>H63/DAY(B2)</f>
        <v>8175.8709677419356</v>
      </c>
      <c r="K63" s="80"/>
      <c r="L63" s="66"/>
      <c r="N63" s="87"/>
      <c r="O63" s="71"/>
    </row>
    <row r="64" spans="1:15" ht="33" customHeight="1">
      <c r="A64" s="864" t="s">
        <v>199</v>
      </c>
      <c r="B64" s="865"/>
      <c r="C64" s="866"/>
      <c r="D64" s="151" t="s">
        <v>142</v>
      </c>
      <c r="E64" s="95">
        <f>'30'!F94</f>
        <v>0</v>
      </c>
      <c r="F64" s="122">
        <v>197659</v>
      </c>
      <c r="G64" s="112">
        <f t="shared" si="4"/>
        <v>197659</v>
      </c>
      <c r="H64" s="99">
        <f>G64+'30'!H94</f>
        <v>372716.6700000001</v>
      </c>
      <c r="I64" s="118"/>
      <c r="J64" s="175">
        <f>H64/DAY(B2)</f>
        <v>12023.118387096778</v>
      </c>
      <c r="K64" s="69"/>
      <c r="L64" s="66"/>
      <c r="N64" s="87"/>
      <c r="O64" s="71"/>
    </row>
    <row r="65" spans="1:15" ht="33" customHeight="1">
      <c r="A65" s="861" t="s">
        <v>200</v>
      </c>
      <c r="B65" s="862"/>
      <c r="C65" s="863"/>
      <c r="D65" s="151"/>
      <c r="E65" s="122"/>
      <c r="F65" s="122"/>
      <c r="G65" s="112">
        <f>G63+G64</f>
        <v>451111</v>
      </c>
      <c r="H65" s="99">
        <f>G65+'30'!H95</f>
        <v>451118.72465964104</v>
      </c>
      <c r="I65" s="118"/>
      <c r="J65" s="175">
        <f>H65/DAY(B2)</f>
        <v>14552.21692450455</v>
      </c>
      <c r="K65" s="69"/>
      <c r="L65" s="66"/>
      <c r="N65" s="87"/>
      <c r="O65" s="71"/>
    </row>
    <row r="66" spans="1:15" ht="33" customHeight="1">
      <c r="A66" s="864" t="s">
        <v>201</v>
      </c>
      <c r="B66" s="865"/>
      <c r="C66" s="866"/>
      <c r="D66" s="151" t="s">
        <v>142</v>
      </c>
      <c r="E66" s="95">
        <f>'30'!F96</f>
        <v>0</v>
      </c>
      <c r="F66" s="122">
        <v>421019</v>
      </c>
      <c r="G66" s="112">
        <f t="shared" ref="G66:G71" si="5">F66-E66</f>
        <v>421019</v>
      </c>
      <c r="H66" s="99">
        <f>G66+'30'!H96</f>
        <v>548534.78</v>
      </c>
      <c r="I66" s="118"/>
      <c r="J66" s="175">
        <f>H66/DAY(B2)</f>
        <v>17694.670322580645</v>
      </c>
      <c r="K66" s="69"/>
      <c r="L66" s="66"/>
      <c r="N66" s="87"/>
      <c r="O66" s="71"/>
    </row>
    <row r="67" spans="1:15" ht="33" customHeight="1">
      <c r="A67" s="322" t="s">
        <v>202</v>
      </c>
      <c r="B67" s="323"/>
      <c r="C67" s="323"/>
      <c r="D67" s="151" t="s">
        <v>142</v>
      </c>
      <c r="E67" s="95">
        <f>'30'!F97</f>
        <v>0</v>
      </c>
      <c r="F67" s="122">
        <v>104636</v>
      </c>
      <c r="G67" s="112">
        <f t="shared" si="5"/>
        <v>104636</v>
      </c>
      <c r="H67" s="99">
        <f>G67+'30'!H97</f>
        <v>104641.59110216268</v>
      </c>
      <c r="I67" s="118"/>
      <c r="J67" s="175">
        <f>H67/DAY(B2)</f>
        <v>3375.5351968439577</v>
      </c>
      <c r="K67" s="78"/>
      <c r="L67" s="66"/>
      <c r="N67" s="87"/>
      <c r="O67" s="71"/>
    </row>
    <row r="68" spans="1:15" ht="33" customHeight="1">
      <c r="A68" s="322" t="s">
        <v>203</v>
      </c>
      <c r="B68" s="323"/>
      <c r="C68" s="323"/>
      <c r="D68" s="151" t="s">
        <v>142</v>
      </c>
      <c r="E68" s="95">
        <f>'30'!F98</f>
        <v>0</v>
      </c>
      <c r="F68" s="122">
        <v>100370</v>
      </c>
      <c r="G68" s="112">
        <f t="shared" si="5"/>
        <v>100370</v>
      </c>
      <c r="H68" s="99">
        <f>G68+'30'!H98</f>
        <v>210051.72999999998</v>
      </c>
      <c r="I68" s="118"/>
      <c r="J68" s="175">
        <f>H68/DAY(B2)</f>
        <v>6775.8622580645151</v>
      </c>
      <c r="K68" s="81"/>
      <c r="L68" s="66"/>
      <c r="N68" s="87"/>
      <c r="O68" s="71"/>
    </row>
    <row r="69" spans="1:15" ht="33" customHeight="1">
      <c r="A69" s="322" t="s">
        <v>204</v>
      </c>
      <c r="B69" s="323"/>
      <c r="C69" s="323"/>
      <c r="D69" s="151" t="s">
        <v>142</v>
      </c>
      <c r="E69" s="95">
        <f>'30'!F99</f>
        <v>0</v>
      </c>
      <c r="F69" s="122">
        <v>152135</v>
      </c>
      <c r="G69" s="112">
        <f t="shared" si="5"/>
        <v>152135</v>
      </c>
      <c r="H69" s="99">
        <f>G69+'30'!H99</f>
        <v>152139.82155938845</v>
      </c>
      <c r="I69" s="118"/>
      <c r="J69" s="175">
        <f>H69/DAY(B2)</f>
        <v>4907.736179335111</v>
      </c>
      <c r="K69" s="69"/>
      <c r="L69" s="66"/>
      <c r="N69" s="87"/>
      <c r="O69" s="71"/>
    </row>
    <row r="70" spans="1:15" ht="33" customHeight="1">
      <c r="A70" s="322" t="s">
        <v>205</v>
      </c>
      <c r="B70" s="323"/>
      <c r="C70" s="323"/>
      <c r="D70" s="151" t="s">
        <v>142</v>
      </c>
      <c r="E70" s="95">
        <f>'30'!F100</f>
        <v>0</v>
      </c>
      <c r="F70" s="122">
        <v>8645</v>
      </c>
      <c r="G70" s="112">
        <f t="shared" si="5"/>
        <v>8645</v>
      </c>
      <c r="H70" s="99">
        <f>G70+'30'!H100</f>
        <v>72292.609999999986</v>
      </c>
      <c r="I70" s="118"/>
      <c r="J70" s="175">
        <f>H70/DAY(B2)</f>
        <v>2332.0196774193546</v>
      </c>
      <c r="K70" s="69"/>
      <c r="L70" s="66"/>
      <c r="N70" s="87"/>
      <c r="O70" s="71"/>
    </row>
    <row r="71" spans="1:15" ht="33" customHeight="1">
      <c r="A71" s="322" t="s">
        <v>206</v>
      </c>
      <c r="B71" s="323"/>
      <c r="C71" s="323"/>
      <c r="D71" s="151" t="s">
        <v>142</v>
      </c>
      <c r="E71" s="95">
        <f>'30'!F101</f>
        <v>0</v>
      </c>
      <c r="F71" s="122">
        <v>6373</v>
      </c>
      <c r="G71" s="112">
        <f t="shared" si="5"/>
        <v>6373</v>
      </c>
      <c r="H71" s="99">
        <f>G71+'30'!H101</f>
        <v>6375.8614721105014</v>
      </c>
      <c r="I71" s="118"/>
      <c r="J71" s="175">
        <f>H71/DAY(B2)</f>
        <v>205.67295071324199</v>
      </c>
      <c r="K71" s="69"/>
      <c r="L71" s="66"/>
      <c r="N71" s="87"/>
      <c r="O71" s="71"/>
    </row>
    <row r="72" spans="1:15" ht="33" customHeight="1">
      <c r="A72" s="861" t="s">
        <v>208</v>
      </c>
      <c r="B72" s="862"/>
      <c r="C72" s="863"/>
      <c r="D72" s="152"/>
      <c r="E72" s="152"/>
      <c r="F72" s="152"/>
      <c r="G72" s="153">
        <f>SUM(G66:G71)</f>
        <v>793178</v>
      </c>
      <c r="H72" s="99">
        <f>G72+'30'!H102</f>
        <v>867083.82000000007</v>
      </c>
      <c r="I72" s="154"/>
      <c r="J72" s="175">
        <f>H72/DAY(B2)</f>
        <v>27970.445806451615</v>
      </c>
      <c r="K72" s="69"/>
      <c r="L72" s="66"/>
      <c r="N72" s="87"/>
      <c r="O72" s="71"/>
    </row>
    <row r="73" spans="1:15" s="88" customFormat="1" ht="33" customHeight="1">
      <c r="A73" s="904"/>
      <c r="B73" s="896"/>
      <c r="C73" s="321"/>
      <c r="D73" s="180"/>
      <c r="E73" s="180" t="s">
        <v>207</v>
      </c>
      <c r="F73" s="180"/>
      <c r="G73" s="180"/>
      <c r="H73" s="181"/>
      <c r="I73" s="180"/>
      <c r="J73" s="182"/>
      <c r="N73" s="87"/>
      <c r="O73" s="71"/>
    </row>
    <row r="74" spans="1:15" ht="33" customHeight="1">
      <c r="A74" s="909" t="s">
        <v>333</v>
      </c>
      <c r="B74" s="910"/>
      <c r="C74" s="911"/>
      <c r="D74" s="339"/>
      <c r="E74" s="339"/>
      <c r="F74" s="339"/>
      <c r="G74" s="342"/>
      <c r="H74" s="342"/>
      <c r="I74" s="342"/>
      <c r="J74" s="343"/>
      <c r="K74" s="69"/>
      <c r="L74" s="66"/>
      <c r="N74" s="87"/>
      <c r="O74" s="71"/>
    </row>
    <row r="75" spans="1:15" ht="33" customHeight="1">
      <c r="A75" s="864" t="s">
        <v>220</v>
      </c>
      <c r="B75" s="865"/>
      <c r="C75" s="866"/>
      <c r="D75" s="151" t="s">
        <v>139</v>
      </c>
      <c r="E75" s="95">
        <f>'30'!F124</f>
        <v>0</v>
      </c>
      <c r="F75" s="117">
        <v>856352</v>
      </c>
      <c r="G75" s="112">
        <f t="shared" ref="G75:G79" si="6">F75-E75</f>
        <v>856352</v>
      </c>
      <c r="H75" s="99">
        <f>G75+'30'!H124</f>
        <v>856352</v>
      </c>
      <c r="I75" s="154"/>
      <c r="J75" s="175">
        <f>H75/DAY(B2)</f>
        <v>27624.258064516129</v>
      </c>
      <c r="K75" s="69"/>
      <c r="L75" s="66"/>
      <c r="N75" s="87"/>
      <c r="O75" s="71"/>
    </row>
    <row r="76" spans="1:15" ht="33" customHeight="1">
      <c r="A76" s="864" t="s">
        <v>221</v>
      </c>
      <c r="B76" s="865"/>
      <c r="C76" s="866"/>
      <c r="D76" s="151" t="s">
        <v>139</v>
      </c>
      <c r="E76" s="95">
        <f>'30'!F125</f>
        <v>0</v>
      </c>
      <c r="F76" s="232">
        <v>73583.399999999994</v>
      </c>
      <c r="G76" s="112">
        <f t="shared" si="6"/>
        <v>73583.399999999994</v>
      </c>
      <c r="H76" s="99">
        <f>G76+'30'!H125</f>
        <v>73583.399999999994</v>
      </c>
      <c r="I76" s="154"/>
      <c r="J76" s="175">
        <f>H76/DAY(B2)</f>
        <v>2373.6580645161289</v>
      </c>
      <c r="K76" s="69"/>
      <c r="L76" s="66"/>
      <c r="N76" s="87"/>
      <c r="O76" s="71"/>
    </row>
    <row r="77" spans="1:15" ht="33" customHeight="1">
      <c r="A77" s="905" t="s">
        <v>222</v>
      </c>
      <c r="B77" s="891"/>
      <c r="C77" s="892"/>
      <c r="D77" s="151" t="s">
        <v>139</v>
      </c>
      <c r="E77" s="95">
        <f>'30'!F126</f>
        <v>0</v>
      </c>
      <c r="F77" s="117">
        <v>154077</v>
      </c>
      <c r="G77" s="112">
        <f t="shared" si="6"/>
        <v>154077</v>
      </c>
      <c r="H77" s="99">
        <f>G77+'30'!H126</f>
        <v>154077</v>
      </c>
      <c r="I77" s="154"/>
      <c r="J77" s="175">
        <f>H77/DAY(B2)</f>
        <v>4970.2258064516127</v>
      </c>
      <c r="K77" s="69"/>
      <c r="L77" s="66"/>
      <c r="N77" s="87"/>
      <c r="O77" s="71"/>
    </row>
    <row r="78" spans="1:15" ht="33" customHeight="1">
      <c r="A78" s="905" t="s">
        <v>223</v>
      </c>
      <c r="B78" s="891"/>
      <c r="C78" s="892"/>
      <c r="D78" s="151" t="s">
        <v>139</v>
      </c>
      <c r="E78" s="95">
        <f>'30'!F127</f>
        <v>0</v>
      </c>
      <c r="F78" s="232">
        <v>34629</v>
      </c>
      <c r="G78" s="112">
        <f t="shared" si="6"/>
        <v>34629</v>
      </c>
      <c r="H78" s="99">
        <f>G78+'30'!H127</f>
        <v>34629</v>
      </c>
      <c r="I78" s="154"/>
      <c r="J78" s="175">
        <f>H78/DAY(B2)</f>
        <v>1117.0645161290322</v>
      </c>
      <c r="K78" s="69"/>
      <c r="L78" s="66"/>
      <c r="N78" s="87"/>
      <c r="O78" s="71"/>
    </row>
    <row r="79" spans="1:15" ht="33" customHeight="1">
      <c r="A79" s="905" t="s">
        <v>224</v>
      </c>
      <c r="B79" s="891"/>
      <c r="C79" s="892"/>
      <c r="D79" s="151" t="s">
        <v>139</v>
      </c>
      <c r="E79" s="95">
        <f>'30'!F128</f>
        <v>191394</v>
      </c>
      <c r="F79" s="232">
        <v>9180</v>
      </c>
      <c r="G79" s="112">
        <f t="shared" si="6"/>
        <v>-182214</v>
      </c>
      <c r="H79" s="99">
        <f>G79+'30'!H128</f>
        <v>-170231.85</v>
      </c>
      <c r="I79" s="118"/>
      <c r="J79" s="175">
        <f>H79/DAY(B2)</f>
        <v>-5491.35</v>
      </c>
      <c r="K79" s="69"/>
      <c r="L79" s="66"/>
      <c r="N79" s="87"/>
      <c r="O79" s="71"/>
    </row>
    <row r="80" spans="1:15" s="57" customFormat="1" ht="33" customHeight="1">
      <c r="A80" s="905" t="s">
        <v>225</v>
      </c>
      <c r="B80" s="891"/>
      <c r="C80" s="892"/>
      <c r="D80" s="151"/>
      <c r="E80" s="117"/>
      <c r="F80" s="117"/>
      <c r="G80" s="112">
        <f>G16-SUM(G75:G79)</f>
        <v>-935678.39999999991</v>
      </c>
      <c r="H80" s="99">
        <f>G80+'30'!H129</f>
        <v>-930600.89999999991</v>
      </c>
      <c r="I80" s="118"/>
      <c r="J80" s="175"/>
      <c r="K80" s="59"/>
      <c r="L80" s="58"/>
      <c r="N80" s="87"/>
      <c r="O80" s="71"/>
    </row>
    <row r="81" spans="1:15" s="57" customFormat="1" ht="33" customHeight="1">
      <c r="A81" s="861" t="s">
        <v>329</v>
      </c>
      <c r="B81" s="862"/>
      <c r="C81" s="863"/>
      <c r="D81" s="151"/>
      <c r="E81" s="117"/>
      <c r="F81" s="117"/>
      <c r="G81" s="112">
        <f>SUM(G75:G80)</f>
        <v>749</v>
      </c>
      <c r="H81" s="99"/>
      <c r="I81" s="118"/>
      <c r="J81" s="175"/>
      <c r="K81" s="59"/>
      <c r="L81" s="58"/>
      <c r="N81" s="87"/>
      <c r="O81" s="71"/>
    </row>
    <row r="82" spans="1:15" ht="33" customHeight="1">
      <c r="A82" s="897" t="s">
        <v>226</v>
      </c>
      <c r="B82" s="898"/>
      <c r="C82" s="899"/>
      <c r="D82" s="110"/>
      <c r="E82" s="110"/>
      <c r="F82" s="110"/>
      <c r="G82" s="163"/>
      <c r="H82" s="163"/>
      <c r="I82" s="163"/>
      <c r="J82" s="184"/>
      <c r="O82" s="71"/>
    </row>
    <row r="83" spans="1:15" ht="33" customHeight="1">
      <c r="A83" s="322" t="s">
        <v>227</v>
      </c>
      <c r="B83" s="323"/>
      <c r="C83" s="323"/>
      <c r="D83" s="151" t="s">
        <v>228</v>
      </c>
      <c r="E83" s="95">
        <f>'30'!F131</f>
        <v>79388</v>
      </c>
      <c r="F83" s="122"/>
      <c r="G83" s="112">
        <f t="shared" ref="G83:G93" si="7">F83-E83</f>
        <v>-79388</v>
      </c>
      <c r="H83" s="99">
        <f>G83+'30'!H131</f>
        <v>-73510.600000000006</v>
      </c>
      <c r="I83" s="118"/>
      <c r="J83" s="175">
        <f>H83/DAY(B2)</f>
        <v>-2371.309677419355</v>
      </c>
      <c r="O83" s="71"/>
    </row>
    <row r="84" spans="1:15" ht="33" customHeight="1">
      <c r="A84" s="322" t="s">
        <v>229</v>
      </c>
      <c r="B84" s="323"/>
      <c r="C84" s="323"/>
      <c r="D84" s="151" t="s">
        <v>228</v>
      </c>
      <c r="E84" s="95">
        <f>'30'!F132</f>
        <v>148274</v>
      </c>
      <c r="F84" s="122"/>
      <c r="G84" s="112">
        <f t="shared" si="7"/>
        <v>-148274</v>
      </c>
      <c r="H84" s="99">
        <f>G84+'30'!H132</f>
        <v>-146985</v>
      </c>
      <c r="I84" s="118"/>
      <c r="J84" s="175">
        <f>H84/DAY(B2)</f>
        <v>-4741.4516129032254</v>
      </c>
      <c r="O84" s="71"/>
    </row>
    <row r="85" spans="1:15" ht="33" customHeight="1">
      <c r="A85" s="322" t="s">
        <v>230</v>
      </c>
      <c r="B85" s="323"/>
      <c r="C85" s="323"/>
      <c r="D85" s="151" t="s">
        <v>228</v>
      </c>
      <c r="E85" s="95">
        <f>'30'!F133</f>
        <v>932255</v>
      </c>
      <c r="F85" s="164">
        <v>40922</v>
      </c>
      <c r="G85" s="112">
        <f t="shared" si="7"/>
        <v>-891333</v>
      </c>
      <c r="H85" s="99">
        <f>G85+'30'!H133</f>
        <v>-869322</v>
      </c>
      <c r="I85" s="118"/>
      <c r="J85" s="175">
        <f>H85/DAY(B2)</f>
        <v>-28042.645161290322</v>
      </c>
      <c r="O85" s="71"/>
    </row>
    <row r="86" spans="1:15" ht="33" customHeight="1">
      <c r="A86" s="322" t="s">
        <v>231</v>
      </c>
      <c r="B86" s="323"/>
      <c r="C86" s="323"/>
      <c r="D86" s="151" t="s">
        <v>228</v>
      </c>
      <c r="E86" s="95">
        <f>'30'!F134</f>
        <v>85688</v>
      </c>
      <c r="F86" s="164">
        <v>856</v>
      </c>
      <c r="G86" s="112">
        <f t="shared" si="7"/>
        <v>-84832</v>
      </c>
      <c r="H86" s="99">
        <f>G86+'30'!H134</f>
        <v>-77903.600000000006</v>
      </c>
      <c r="I86" s="118">
        <f>G83+G84+G85+G86</f>
        <v>-1203827</v>
      </c>
      <c r="J86" s="175">
        <f>H86/DAY(B2)</f>
        <v>-2513.0193548387097</v>
      </c>
      <c r="O86" s="71"/>
    </row>
    <row r="87" spans="1:15" ht="33" customHeight="1">
      <c r="A87" s="322" t="s">
        <v>232</v>
      </c>
      <c r="B87" s="323"/>
      <c r="C87" s="323"/>
      <c r="D87" s="151" t="s">
        <v>228</v>
      </c>
      <c r="E87" s="95">
        <f>'30'!F135</f>
        <v>0</v>
      </c>
      <c r="F87" s="164">
        <v>42822</v>
      </c>
      <c r="G87" s="112">
        <f t="shared" si="7"/>
        <v>42822</v>
      </c>
      <c r="H87" s="99">
        <f>G87+'30'!H135</f>
        <v>71580.575000000012</v>
      </c>
      <c r="I87" s="118"/>
      <c r="J87" s="175">
        <f>H87/DAY(B2)</f>
        <v>2309.0508064516134</v>
      </c>
      <c r="O87" s="71"/>
    </row>
    <row r="88" spans="1:15" ht="33" customHeight="1">
      <c r="A88" s="322" t="s">
        <v>233</v>
      </c>
      <c r="B88" s="323"/>
      <c r="C88" s="323"/>
      <c r="D88" s="151" t="s">
        <v>228</v>
      </c>
      <c r="E88" s="95">
        <f>'30'!F136</f>
        <v>0</v>
      </c>
      <c r="F88" s="164">
        <v>32928</v>
      </c>
      <c r="G88" s="112">
        <f t="shared" si="7"/>
        <v>32928</v>
      </c>
      <c r="H88" s="99">
        <f>G88+'30'!H136</f>
        <v>32928</v>
      </c>
      <c r="I88" s="118"/>
      <c r="J88" s="175">
        <f>H88/DAY(B2)</f>
        <v>1062.1935483870968</v>
      </c>
      <c r="O88" s="71"/>
    </row>
    <row r="89" spans="1:15" ht="33" customHeight="1">
      <c r="A89" s="322" t="s">
        <v>234</v>
      </c>
      <c r="B89" s="323"/>
      <c r="C89" s="323"/>
      <c r="D89" s="151" t="s">
        <v>228</v>
      </c>
      <c r="E89" s="95">
        <f>'30'!F137</f>
        <v>0</v>
      </c>
      <c r="F89" s="164">
        <v>23356.43</v>
      </c>
      <c r="G89" s="112">
        <f t="shared" si="7"/>
        <v>23356.43</v>
      </c>
      <c r="H89" s="99">
        <f>G89+'30'!H137</f>
        <v>23356.43</v>
      </c>
      <c r="I89" s="118">
        <f>G87+G88+G89</f>
        <v>99106.43</v>
      </c>
      <c r="J89" s="175">
        <f>H89/DAY(B2)</f>
        <v>753.43322580645167</v>
      </c>
      <c r="O89" s="71"/>
    </row>
    <row r="90" spans="1:15" ht="33" customHeight="1">
      <c r="A90" s="322" t="s">
        <v>235</v>
      </c>
      <c r="B90" s="323"/>
      <c r="C90" s="323"/>
      <c r="D90" s="151" t="s">
        <v>228</v>
      </c>
      <c r="E90" s="95">
        <f>'30'!F138</f>
        <v>909347</v>
      </c>
      <c r="F90" s="164">
        <v>25132.959999999999</v>
      </c>
      <c r="G90" s="112">
        <f t="shared" si="7"/>
        <v>-884214.04</v>
      </c>
      <c r="H90" s="99">
        <f>G90+'30'!H138</f>
        <v>-880494.04</v>
      </c>
      <c r="I90" s="118"/>
      <c r="J90" s="175">
        <f>H90/DAY(B2)</f>
        <v>-28403.033548387099</v>
      </c>
      <c r="O90" s="71"/>
    </row>
    <row r="91" spans="1:15" ht="33" customHeight="1">
      <c r="A91" s="322" t="s">
        <v>236</v>
      </c>
      <c r="B91" s="323"/>
      <c r="C91" s="323"/>
      <c r="D91" s="151" t="s">
        <v>228</v>
      </c>
      <c r="E91" s="95">
        <f>'30'!F139</f>
        <v>932201</v>
      </c>
      <c r="F91" s="164">
        <v>70524.55</v>
      </c>
      <c r="G91" s="112">
        <f t="shared" si="7"/>
        <v>-861676.45</v>
      </c>
      <c r="H91" s="99">
        <f>G91+'30'!H139</f>
        <v>-856756.45</v>
      </c>
      <c r="I91" s="118">
        <f>G90+G91</f>
        <v>-1745890.49</v>
      </c>
      <c r="J91" s="175">
        <f>H91/DAY(B2)</f>
        <v>-27637.304838709675</v>
      </c>
      <c r="O91" s="71"/>
    </row>
    <row r="92" spans="1:15" ht="33" customHeight="1">
      <c r="A92" s="322" t="s">
        <v>237</v>
      </c>
      <c r="B92" s="323"/>
      <c r="C92" s="323"/>
      <c r="D92" s="151" t="s">
        <v>228</v>
      </c>
      <c r="E92" s="95">
        <f>'30'!F140</f>
        <v>4016.51</v>
      </c>
      <c r="F92" s="122">
        <v>2627.98</v>
      </c>
      <c r="G92" s="112">
        <f t="shared" si="7"/>
        <v>-1388.5300000000002</v>
      </c>
      <c r="H92" s="99">
        <f>G92+'30'!H140</f>
        <v>-702.59999999999991</v>
      </c>
      <c r="I92" s="165"/>
      <c r="J92" s="175">
        <f>H92/DAY(B2)</f>
        <v>-22.664516129032254</v>
      </c>
      <c r="O92" s="71"/>
    </row>
    <row r="93" spans="1:15" ht="33" customHeight="1">
      <c r="A93" s="322" t="s">
        <v>238</v>
      </c>
      <c r="B93" s="323"/>
      <c r="C93" s="323"/>
      <c r="D93" s="151" t="s">
        <v>228</v>
      </c>
      <c r="E93" s="95">
        <f>'30'!F141</f>
        <v>124371</v>
      </c>
      <c r="F93" s="122">
        <v>4754</v>
      </c>
      <c r="G93" s="112">
        <f t="shared" si="7"/>
        <v>-119617</v>
      </c>
      <c r="H93" s="99">
        <f>G93+'30'!H141</f>
        <v>-112803.98</v>
      </c>
      <c r="I93" s="165"/>
      <c r="J93" s="175">
        <f>H93/DAY(B2)</f>
        <v>-3638.8380645161287</v>
      </c>
      <c r="O93" s="71"/>
    </row>
    <row r="94" spans="1:15" ht="33" customHeight="1">
      <c r="A94" s="906" t="s">
        <v>239</v>
      </c>
      <c r="B94" s="907"/>
      <c r="C94" s="908"/>
      <c r="D94" s="111"/>
      <c r="E94" s="111"/>
      <c r="F94" s="111"/>
      <c r="G94" s="121"/>
      <c r="H94" s="121"/>
      <c r="I94" s="121"/>
      <c r="J94" s="183"/>
      <c r="K94" s="69"/>
      <c r="L94" s="66"/>
      <c r="O94" s="71"/>
    </row>
    <row r="95" spans="1:15" ht="33" customHeight="1">
      <c r="A95" s="864" t="s">
        <v>240</v>
      </c>
      <c r="B95" s="865"/>
      <c r="C95" s="866"/>
      <c r="D95" s="151" t="s">
        <v>130</v>
      </c>
      <c r="E95" s="151"/>
      <c r="F95" s="151"/>
      <c r="G95" s="99">
        <f>G36+G44+G50+G58</f>
        <v>-1004202</v>
      </c>
      <c r="H95" s="99">
        <f>G95+'30'!H143</f>
        <v>-1003257.87</v>
      </c>
      <c r="I95" s="118"/>
      <c r="J95" s="175">
        <f>H95/DAY(B2)</f>
        <v>-32363.157096774194</v>
      </c>
      <c r="K95" s="69"/>
      <c r="L95" s="66"/>
      <c r="O95" s="71"/>
    </row>
    <row r="96" spans="1:15" ht="33" customHeight="1">
      <c r="A96" s="864" t="s">
        <v>241</v>
      </c>
      <c r="B96" s="865"/>
      <c r="C96" s="866"/>
      <c r="D96" s="151" t="s">
        <v>23</v>
      </c>
      <c r="E96" s="146"/>
      <c r="F96" s="146"/>
      <c r="G96" s="166" t="e">
        <f>G95/G7</f>
        <v>#DIV/0!</v>
      </c>
      <c r="H96" s="99" t="e">
        <f>G96+'30'!H144</f>
        <v>#DIV/0!</v>
      </c>
      <c r="I96" s="167"/>
      <c r="J96" s="175" t="e">
        <f>H96/DAY(B2)</f>
        <v>#DIV/0!</v>
      </c>
      <c r="K96" s="69"/>
      <c r="L96" s="66"/>
      <c r="O96" s="71"/>
    </row>
    <row r="97" spans="1:15" ht="33" customHeight="1">
      <c r="A97" s="864" t="s">
        <v>242</v>
      </c>
      <c r="B97" s="865"/>
      <c r="C97" s="866"/>
      <c r="D97" s="151" t="s">
        <v>130</v>
      </c>
      <c r="E97" s="95"/>
      <c r="F97" s="95"/>
      <c r="G97" s="99">
        <f>G42+G43+G56+G57</f>
        <v>60790.359999999986</v>
      </c>
      <c r="H97" s="99">
        <f>G97+'30'!H145</f>
        <v>65145.259999999987</v>
      </c>
      <c r="I97" s="118"/>
      <c r="J97" s="175">
        <f>H97/DAY(B2)</f>
        <v>2101.4599999999996</v>
      </c>
      <c r="K97" s="69"/>
      <c r="L97" s="66"/>
      <c r="O97" s="71"/>
    </row>
    <row r="98" spans="1:15" ht="33" customHeight="1">
      <c r="A98" s="864" t="s">
        <v>243</v>
      </c>
      <c r="B98" s="865"/>
      <c r="C98" s="866"/>
      <c r="D98" s="151" t="s">
        <v>23</v>
      </c>
      <c r="E98" s="95"/>
      <c r="F98" s="95"/>
      <c r="G98" s="166" t="e">
        <f>G97/G7</f>
        <v>#DIV/0!</v>
      </c>
      <c r="H98" s="99" t="e">
        <f>G98+'30'!H146</f>
        <v>#DIV/0!</v>
      </c>
      <c r="I98" s="167"/>
      <c r="J98" s="175" t="e">
        <f>H98/DAY(B2)</f>
        <v>#DIV/0!</v>
      </c>
      <c r="K98" s="69"/>
      <c r="L98" s="66"/>
      <c r="O98" s="71"/>
    </row>
    <row r="99" spans="1:15" ht="33" customHeight="1">
      <c r="A99" s="864" t="s">
        <v>244</v>
      </c>
      <c r="B99" s="865"/>
      <c r="C99" s="866"/>
      <c r="D99" s="151" t="s">
        <v>130</v>
      </c>
      <c r="E99" s="95"/>
      <c r="F99" s="95"/>
      <c r="G99" s="99">
        <f>G40+G54</f>
        <v>-192237</v>
      </c>
      <c r="H99" s="99">
        <f>G99+'30'!H147</f>
        <v>-180074.84000000008</v>
      </c>
      <c r="I99" s="168"/>
      <c r="J99" s="175">
        <f>H99/DAY(B2)</f>
        <v>-5808.8658064516158</v>
      </c>
      <c r="K99" s="69"/>
      <c r="L99" s="66"/>
      <c r="O99" s="71"/>
    </row>
    <row r="100" spans="1:15" ht="33" customHeight="1">
      <c r="A100" s="864" t="s">
        <v>245</v>
      </c>
      <c r="B100" s="865"/>
      <c r="C100" s="866"/>
      <c r="D100" s="151" t="s">
        <v>23</v>
      </c>
      <c r="E100" s="95"/>
      <c r="F100" s="95"/>
      <c r="G100" s="166" t="e">
        <f>G99/G7</f>
        <v>#DIV/0!</v>
      </c>
      <c r="H100" s="99" t="e">
        <f>G100+'30'!H148</f>
        <v>#DIV/0!</v>
      </c>
      <c r="I100" s="168"/>
      <c r="J100" s="175" t="e">
        <f>H100/DAY(B2)</f>
        <v>#DIV/0!</v>
      </c>
      <c r="O100" s="71"/>
    </row>
    <row r="101" spans="1:15" ht="33" customHeight="1">
      <c r="A101" s="864" t="s">
        <v>246</v>
      </c>
      <c r="B101" s="865"/>
      <c r="C101" s="866"/>
      <c r="D101" s="151" t="s">
        <v>180</v>
      </c>
      <c r="E101" s="95"/>
      <c r="F101" s="95"/>
      <c r="G101" s="99">
        <f>G39+G53</f>
        <v>541264</v>
      </c>
      <c r="H101" s="99">
        <f>G101+'30'!H149</f>
        <v>556199.13</v>
      </c>
      <c r="I101" s="118"/>
      <c r="J101" s="175">
        <f>H101/DAY(B2)</f>
        <v>17941.90741935484</v>
      </c>
      <c r="K101" s="70"/>
      <c r="O101" s="71"/>
    </row>
    <row r="102" spans="1:15" ht="33" customHeight="1">
      <c r="A102" s="864" t="s">
        <v>247</v>
      </c>
      <c r="B102" s="865"/>
      <c r="C102" s="866"/>
      <c r="D102" s="151" t="s">
        <v>23</v>
      </c>
      <c r="E102" s="95"/>
      <c r="F102" s="95"/>
      <c r="G102" s="166" t="e">
        <f>G101/G7</f>
        <v>#DIV/0!</v>
      </c>
      <c r="H102" s="99" t="e">
        <f>G102+'30'!H150</f>
        <v>#DIV/0!</v>
      </c>
      <c r="I102" s="168"/>
      <c r="J102" s="175" t="e">
        <f>H102/DAY(B2)</f>
        <v>#DIV/0!</v>
      </c>
      <c r="O102" s="71"/>
    </row>
    <row r="103" spans="1:15" ht="33" customHeight="1">
      <c r="A103" s="864" t="s">
        <v>248</v>
      </c>
      <c r="B103" s="865"/>
      <c r="C103" s="866"/>
      <c r="D103" s="151" t="s">
        <v>180</v>
      </c>
      <c r="E103" s="95"/>
      <c r="F103" s="95"/>
      <c r="G103" s="99">
        <f>G37+G51</f>
        <v>108252</v>
      </c>
      <c r="H103" s="99">
        <f>G103+'30'!H156</f>
        <v>111194.15</v>
      </c>
      <c r="I103" s="168"/>
      <c r="J103" s="175">
        <f>H103/DAY(B2)</f>
        <v>3586.9080645161289</v>
      </c>
      <c r="O103" s="71"/>
    </row>
    <row r="104" spans="1:15" ht="33" customHeight="1">
      <c r="A104" s="864" t="s">
        <v>249</v>
      </c>
      <c r="B104" s="865"/>
      <c r="C104" s="866"/>
      <c r="D104" s="151" t="s">
        <v>23</v>
      </c>
      <c r="E104" s="95"/>
      <c r="F104" s="95"/>
      <c r="G104" s="166" t="e">
        <f>G103/G7</f>
        <v>#DIV/0!</v>
      </c>
      <c r="H104" s="99" t="e">
        <f>G104+'30'!H160</f>
        <v>#DIV/0!</v>
      </c>
      <c r="I104" s="118"/>
      <c r="J104" s="175" t="e">
        <f>H104/DAY(B2)</f>
        <v>#DIV/0!</v>
      </c>
      <c r="O104" s="71"/>
    </row>
    <row r="105" spans="1:15" ht="33" customHeight="1">
      <c r="A105" s="864" t="s">
        <v>250</v>
      </c>
      <c r="B105" s="865"/>
      <c r="C105" s="866"/>
      <c r="D105" s="151" t="s">
        <v>180</v>
      </c>
      <c r="E105" s="95"/>
      <c r="F105" s="95"/>
      <c r="G105" s="99">
        <f>G38+G52</f>
        <v>-11155</v>
      </c>
      <c r="H105" s="99">
        <f>G105+'30'!H161</f>
        <v>-6284.5199999999604</v>
      </c>
      <c r="I105" s="118"/>
      <c r="J105" s="175">
        <f>H105/DAY(B2)</f>
        <v>-202.72645161290194</v>
      </c>
      <c r="O105" s="71"/>
    </row>
    <row r="106" spans="1:15" ht="33" customHeight="1" thickBot="1">
      <c r="A106" s="901" t="s">
        <v>251</v>
      </c>
      <c r="B106" s="902"/>
      <c r="C106" s="903"/>
      <c r="D106" s="231" t="s">
        <v>23</v>
      </c>
      <c r="E106" s="185"/>
      <c r="F106" s="185"/>
      <c r="G106" s="186" t="e">
        <f>G105/G7</f>
        <v>#DIV/0!</v>
      </c>
      <c r="H106" s="99" t="e">
        <f>G106+'30'!H162</f>
        <v>#DIV/0!</v>
      </c>
      <c r="I106" s="187"/>
      <c r="J106" s="188" t="e">
        <f>H106/DAY(B2)</f>
        <v>#DIV/0!</v>
      </c>
      <c r="O106" s="71"/>
    </row>
    <row r="107" spans="1:15" ht="33" customHeight="1">
      <c r="A107" s="105"/>
      <c r="B107" s="96"/>
      <c r="C107" s="96"/>
      <c r="D107" s="169"/>
      <c r="E107" s="169"/>
      <c r="F107" s="169"/>
      <c r="G107" s="169"/>
      <c r="H107" s="170"/>
      <c r="I107" s="169"/>
      <c r="J107" s="171"/>
      <c r="O107" s="71"/>
    </row>
    <row r="109" spans="1:15" ht="33" customHeight="1">
      <c r="A109" s="915" t="s">
        <v>324</v>
      </c>
      <c r="B109" s="915"/>
      <c r="C109" s="915"/>
      <c r="D109" s="915"/>
      <c r="E109" s="915"/>
      <c r="F109" s="915"/>
      <c r="G109" s="915"/>
      <c r="H109" s="915"/>
      <c r="I109" s="915"/>
      <c r="J109" s="915"/>
    </row>
    <row r="110" spans="1:15" ht="33" customHeight="1">
      <c r="A110" s="900"/>
      <c r="B110" s="900"/>
    </row>
    <row r="111" spans="1:15" ht="33" customHeight="1">
      <c r="A111" s="916" t="s">
        <v>165</v>
      </c>
      <c r="B111" s="917"/>
      <c r="C111" s="917"/>
      <c r="D111" s="917"/>
      <c r="E111" s="917"/>
      <c r="F111" s="917"/>
      <c r="G111" s="917"/>
      <c r="H111" s="917"/>
      <c r="I111" s="917"/>
      <c r="J111" s="918"/>
    </row>
    <row r="112" spans="1:15" ht="33" customHeight="1">
      <c r="A112" s="919"/>
      <c r="B112" s="920"/>
      <c r="C112" s="921"/>
      <c r="D112" s="165"/>
      <c r="E112" s="165"/>
      <c r="F112" s="165"/>
      <c r="G112" s="165"/>
      <c r="H112" s="156"/>
      <c r="I112" s="165"/>
      <c r="J112" s="327"/>
    </row>
    <row r="113" spans="1:18" ht="33" customHeight="1">
      <c r="A113" s="894" t="s">
        <v>252</v>
      </c>
      <c r="B113" s="895"/>
      <c r="C113" s="896"/>
      <c r="D113" s="146" t="s">
        <v>183</v>
      </c>
      <c r="E113" s="237">
        <v>0</v>
      </c>
      <c r="F113" s="237">
        <v>38434</v>
      </c>
      <c r="G113" s="112">
        <f t="shared" ref="G113:G124" si="8">F113-E113</f>
        <v>38434</v>
      </c>
      <c r="H113" s="99">
        <f>G113+'30'!H169</f>
        <v>38434</v>
      </c>
      <c r="I113" s="165"/>
      <c r="J113" s="328" t="e">
        <f t="shared" ref="J113:J124" si="9">H113/DAY(B32)</f>
        <v>#DIV/0!</v>
      </c>
    </row>
    <row r="114" spans="1:18" ht="33" customHeight="1">
      <c r="A114" s="894" t="s">
        <v>253</v>
      </c>
      <c r="B114" s="895"/>
      <c r="C114" s="896"/>
      <c r="D114" s="146" t="s">
        <v>183</v>
      </c>
      <c r="E114" s="237">
        <v>0</v>
      </c>
      <c r="F114" s="237">
        <v>94790</v>
      </c>
      <c r="G114" s="112">
        <f t="shared" si="8"/>
        <v>94790</v>
      </c>
      <c r="H114" s="99">
        <f>G114+'30'!H170</f>
        <v>94790</v>
      </c>
      <c r="I114" s="165"/>
      <c r="J114" s="328" t="e">
        <f t="shared" si="9"/>
        <v>#DIV/0!</v>
      </c>
    </row>
    <row r="115" spans="1:18" ht="33" customHeight="1">
      <c r="A115" s="894" t="s">
        <v>254</v>
      </c>
      <c r="B115" s="895"/>
      <c r="C115" s="896"/>
      <c r="D115" s="146" t="s">
        <v>183</v>
      </c>
      <c r="E115" s="237">
        <v>0</v>
      </c>
      <c r="F115" s="237">
        <v>44933</v>
      </c>
      <c r="G115" s="112">
        <f t="shared" si="8"/>
        <v>44933</v>
      </c>
      <c r="H115" s="99">
        <f>G115+'30'!H171</f>
        <v>44933</v>
      </c>
      <c r="I115" s="165"/>
      <c r="J115" s="328" t="e">
        <f t="shared" si="9"/>
        <v>#DIV/0!</v>
      </c>
    </row>
    <row r="116" spans="1:18" ht="33" customHeight="1">
      <c r="A116" s="894" t="s">
        <v>255</v>
      </c>
      <c r="B116" s="895"/>
      <c r="C116" s="896"/>
      <c r="D116" s="146" t="s">
        <v>183</v>
      </c>
      <c r="E116" s="237">
        <v>0</v>
      </c>
      <c r="F116" s="237">
        <v>6560</v>
      </c>
      <c r="G116" s="112">
        <f t="shared" si="8"/>
        <v>6560</v>
      </c>
      <c r="H116" s="99">
        <f>G116+'30'!H172</f>
        <v>6560</v>
      </c>
      <c r="I116" s="165"/>
      <c r="J116" s="328" t="e">
        <f t="shared" si="9"/>
        <v>#DIV/0!</v>
      </c>
    </row>
    <row r="117" spans="1:18" ht="33" customHeight="1">
      <c r="A117" s="912" t="s">
        <v>96</v>
      </c>
      <c r="B117" s="913"/>
      <c r="C117" s="914"/>
      <c r="D117" s="146" t="s">
        <v>183</v>
      </c>
      <c r="E117" s="237">
        <v>0</v>
      </c>
      <c r="F117" s="237">
        <v>44933</v>
      </c>
      <c r="G117" s="112">
        <f t="shared" si="8"/>
        <v>44933</v>
      </c>
      <c r="H117" s="99">
        <f>G117+'30'!H173</f>
        <v>44961</v>
      </c>
      <c r="I117" s="165"/>
      <c r="J117" s="328" t="e">
        <f t="shared" si="9"/>
        <v>#DIV/0!</v>
      </c>
      <c r="Q117" s="894"/>
      <c r="R117" s="896"/>
    </row>
    <row r="118" spans="1:18" ht="33" customHeight="1">
      <c r="A118" s="912" t="s">
        <v>184</v>
      </c>
      <c r="B118" s="913"/>
      <c r="C118" s="914"/>
      <c r="D118" s="146" t="s">
        <v>183</v>
      </c>
      <c r="E118" s="237">
        <v>0</v>
      </c>
      <c r="F118" s="237">
        <v>44933</v>
      </c>
      <c r="G118" s="112">
        <f t="shared" si="8"/>
        <v>44933</v>
      </c>
      <c r="H118" s="99">
        <f>G118+'30'!H174</f>
        <v>45314</v>
      </c>
      <c r="I118" s="165"/>
      <c r="J118" s="328" t="e">
        <f t="shared" si="9"/>
        <v>#DIV/0!</v>
      </c>
      <c r="Q118" s="894"/>
      <c r="R118" s="896"/>
    </row>
    <row r="119" spans="1:18" ht="33" customHeight="1">
      <c r="A119" s="889" t="s">
        <v>97</v>
      </c>
      <c r="B119" s="889"/>
      <c r="C119" s="889"/>
      <c r="D119" s="151" t="s">
        <v>183</v>
      </c>
      <c r="E119" s="237">
        <v>0</v>
      </c>
      <c r="F119" s="237">
        <v>44933</v>
      </c>
      <c r="G119" s="112">
        <f t="shared" si="8"/>
        <v>44933</v>
      </c>
      <c r="H119" s="99">
        <f>G119+'30'!H175</f>
        <v>45345</v>
      </c>
      <c r="I119" s="165"/>
      <c r="J119" s="328" t="e">
        <f t="shared" si="9"/>
        <v>#DIV/0!</v>
      </c>
      <c r="Q119" s="894"/>
      <c r="R119" s="896"/>
    </row>
    <row r="120" spans="1:18" ht="33" customHeight="1">
      <c r="A120" s="889" t="s">
        <v>98</v>
      </c>
      <c r="B120" s="889"/>
      <c r="C120" s="889"/>
      <c r="D120" s="151" t="s">
        <v>183</v>
      </c>
      <c r="E120" s="237">
        <v>0</v>
      </c>
      <c r="F120" s="237">
        <v>44933</v>
      </c>
      <c r="G120" s="112">
        <f t="shared" si="8"/>
        <v>44933</v>
      </c>
      <c r="H120" s="99">
        <f>G120+'30'!H176</f>
        <v>45754</v>
      </c>
      <c r="I120" s="165"/>
      <c r="J120" s="328" t="e">
        <f t="shared" si="9"/>
        <v>#DIV/0!</v>
      </c>
    </row>
    <row r="121" spans="1:18" ht="33" customHeight="1">
      <c r="A121" s="889" t="s">
        <v>99</v>
      </c>
      <c r="B121" s="889"/>
      <c r="C121" s="889"/>
      <c r="D121" s="151" t="s">
        <v>183</v>
      </c>
      <c r="E121" s="237">
        <v>0</v>
      </c>
      <c r="F121" s="237">
        <v>44933</v>
      </c>
      <c r="G121" s="112">
        <f t="shared" si="8"/>
        <v>44933</v>
      </c>
      <c r="H121" s="99">
        <f>G121+'30'!H177</f>
        <v>44933</v>
      </c>
      <c r="I121" s="165"/>
      <c r="J121" s="328" t="e">
        <f t="shared" si="9"/>
        <v>#DIV/0!</v>
      </c>
    </row>
    <row r="122" spans="1:18" ht="33" customHeight="1">
      <c r="A122" s="889" t="s">
        <v>100</v>
      </c>
      <c r="B122" s="889"/>
      <c r="C122" s="889"/>
      <c r="D122" s="151" t="s">
        <v>183</v>
      </c>
      <c r="E122" s="237">
        <v>0</v>
      </c>
      <c r="F122" s="237">
        <v>44933</v>
      </c>
      <c r="G122" s="112">
        <f t="shared" si="8"/>
        <v>44933</v>
      </c>
      <c r="H122" s="99">
        <f>G122+'30'!H178</f>
        <v>48184</v>
      </c>
      <c r="I122" s="165"/>
      <c r="J122" s="328" t="e">
        <f t="shared" si="9"/>
        <v>#DIV/0!</v>
      </c>
    </row>
    <row r="123" spans="1:18" ht="33" customHeight="1">
      <c r="A123" s="889" t="s">
        <v>101</v>
      </c>
      <c r="B123" s="889"/>
      <c r="C123" s="889"/>
      <c r="D123" s="151" t="s">
        <v>183</v>
      </c>
      <c r="E123" s="237">
        <v>0</v>
      </c>
      <c r="F123" s="237">
        <v>44933</v>
      </c>
      <c r="G123" s="112">
        <f t="shared" si="8"/>
        <v>44933</v>
      </c>
      <c r="H123" s="99">
        <f>G123+'30'!H179</f>
        <v>44933</v>
      </c>
      <c r="I123" s="165"/>
      <c r="J123" s="328" t="e">
        <f t="shared" si="9"/>
        <v>#DIV/0!</v>
      </c>
    </row>
    <row r="124" spans="1:18" ht="33" customHeight="1">
      <c r="A124" s="889" t="s">
        <v>102</v>
      </c>
      <c r="B124" s="889"/>
      <c r="C124" s="889"/>
      <c r="D124" s="151" t="s">
        <v>183</v>
      </c>
      <c r="E124" s="237">
        <v>0</v>
      </c>
      <c r="F124" s="237">
        <v>44933</v>
      </c>
      <c r="G124" s="112">
        <f t="shared" si="8"/>
        <v>44933</v>
      </c>
      <c r="H124" s="99">
        <f>G124+'30'!H180</f>
        <v>45067</v>
      </c>
      <c r="I124" s="165"/>
      <c r="J124" s="328" t="e">
        <f t="shared" si="9"/>
        <v>#DIV/0!</v>
      </c>
    </row>
    <row r="125" spans="1:18" ht="33" customHeight="1">
      <c r="A125" s="919"/>
      <c r="B125" s="920"/>
      <c r="C125" s="921"/>
      <c r="D125" s="165"/>
      <c r="E125" s="165"/>
      <c r="F125" s="165"/>
      <c r="G125" s="327"/>
      <c r="H125" s="156"/>
      <c r="I125" s="165"/>
      <c r="J125" s="327"/>
    </row>
    <row r="126" spans="1:18" ht="33" customHeight="1">
      <c r="A126" s="923"/>
      <c r="B126" s="923"/>
      <c r="C126" s="245"/>
      <c r="D126" s="307"/>
      <c r="E126" s="308"/>
      <c r="F126" s="308"/>
      <c r="G126" s="309"/>
      <c r="H126" s="156"/>
      <c r="I126" s="165"/>
      <c r="J126" s="327"/>
    </row>
    <row r="127" spans="1:18" ht="33" customHeight="1">
      <c r="A127" s="922" t="s">
        <v>317</v>
      </c>
      <c r="B127" s="922"/>
      <c r="C127" s="922"/>
      <c r="D127" s="922"/>
      <c r="E127" s="922"/>
      <c r="F127" s="922"/>
      <c r="G127" s="922"/>
      <c r="H127" s="922"/>
      <c r="I127" s="922"/>
      <c r="J127" s="922"/>
    </row>
    <row r="128" spans="1:18" ht="33" customHeight="1">
      <c r="A128" s="923"/>
      <c r="B128" s="923"/>
      <c r="C128" s="245"/>
      <c r="D128" s="307"/>
      <c r="E128" s="308"/>
      <c r="F128" s="308"/>
      <c r="G128" s="309"/>
      <c r="H128" s="99">
        <f>G128+'30'!H184</f>
        <v>242</v>
      </c>
      <c r="I128" s="165"/>
      <c r="J128" s="328" t="e">
        <f t="shared" ref="J128:J136" si="10">H128/DAY(B47)</f>
        <v>#DIV/0!</v>
      </c>
    </row>
    <row r="129" spans="1:15" ht="33" customHeight="1">
      <c r="A129" s="894" t="s">
        <v>318</v>
      </c>
      <c r="B129" s="895"/>
      <c r="C129" s="896"/>
      <c r="D129" s="151" t="s">
        <v>183</v>
      </c>
      <c r="E129" s="95">
        <f>'30'!F185</f>
        <v>0</v>
      </c>
      <c r="F129" s="165"/>
      <c r="G129" s="112">
        <f t="shared" ref="G129:G134" si="11">F129-E129</f>
        <v>0</v>
      </c>
      <c r="H129" s="99">
        <f>G129+'30'!H185</f>
        <v>0</v>
      </c>
      <c r="I129" s="165"/>
      <c r="J129" s="328" t="e">
        <f t="shared" si="10"/>
        <v>#DIV/0!</v>
      </c>
    </row>
    <row r="130" spans="1:15" ht="33" customHeight="1">
      <c r="A130" s="329" t="s">
        <v>319</v>
      </c>
      <c r="B130" s="330"/>
      <c r="C130" s="331"/>
      <c r="D130" s="151" t="s">
        <v>183</v>
      </c>
      <c r="E130" s="95">
        <f>'30'!F186</f>
        <v>0</v>
      </c>
      <c r="F130" s="165"/>
      <c r="G130" s="112">
        <f t="shared" si="11"/>
        <v>0</v>
      </c>
      <c r="H130" s="99">
        <f>G130+'30'!H186</f>
        <v>447</v>
      </c>
      <c r="I130" s="165"/>
      <c r="J130" s="328" t="e">
        <f t="shared" si="10"/>
        <v>#DIV/0!</v>
      </c>
      <c r="N130" s="240"/>
      <c r="O130" s="241"/>
    </row>
    <row r="131" spans="1:15" ht="33" customHeight="1">
      <c r="A131" s="329" t="s">
        <v>320</v>
      </c>
      <c r="B131" s="330"/>
      <c r="C131" s="331"/>
      <c r="D131" s="151" t="s">
        <v>183</v>
      </c>
      <c r="E131" s="95">
        <f>'30'!F187</f>
        <v>0</v>
      </c>
      <c r="F131" s="165"/>
      <c r="G131" s="112">
        <f t="shared" si="11"/>
        <v>0</v>
      </c>
      <c r="H131" s="99">
        <f>G131+'30'!H187</f>
        <v>5232</v>
      </c>
      <c r="I131" s="165"/>
      <c r="J131" s="328" t="e">
        <f t="shared" si="10"/>
        <v>#DIV/0!</v>
      </c>
      <c r="N131" s="240"/>
      <c r="O131" s="241"/>
    </row>
    <row r="132" spans="1:15" ht="33" customHeight="1">
      <c r="A132" s="894" t="s">
        <v>321</v>
      </c>
      <c r="B132" s="895"/>
      <c r="C132" s="896"/>
      <c r="D132" s="151" t="s">
        <v>183</v>
      </c>
      <c r="E132" s="95">
        <f>'30'!F188</f>
        <v>0</v>
      </c>
      <c r="F132" s="165"/>
      <c r="G132" s="112">
        <f t="shared" si="11"/>
        <v>0</v>
      </c>
      <c r="H132" s="99">
        <f>G132+'30'!H188</f>
        <v>2982</v>
      </c>
      <c r="I132" s="165"/>
      <c r="J132" s="328" t="e">
        <f t="shared" si="10"/>
        <v>#DIV/0!</v>
      </c>
      <c r="N132" s="240"/>
      <c r="O132" s="241"/>
    </row>
    <row r="133" spans="1:15" ht="33" customHeight="1">
      <c r="A133" s="894" t="s">
        <v>322</v>
      </c>
      <c r="B133" s="895"/>
      <c r="C133" s="896"/>
      <c r="D133" s="151" t="s">
        <v>183</v>
      </c>
      <c r="E133" s="95">
        <f>'30'!F189</f>
        <v>0</v>
      </c>
      <c r="F133" s="165"/>
      <c r="G133" s="112">
        <f t="shared" si="11"/>
        <v>0</v>
      </c>
      <c r="H133" s="99">
        <f>G133+'30'!H189</f>
        <v>1525</v>
      </c>
      <c r="I133" s="165"/>
      <c r="J133" s="328" t="e">
        <f t="shared" si="10"/>
        <v>#DIV/0!</v>
      </c>
    </row>
    <row r="134" spans="1:15" ht="33" customHeight="1">
      <c r="A134" s="894" t="s">
        <v>323</v>
      </c>
      <c r="B134" s="895"/>
      <c r="C134" s="896"/>
      <c r="D134" s="151" t="s">
        <v>183</v>
      </c>
      <c r="E134" s="95">
        <f>'30'!F190</f>
        <v>0</v>
      </c>
      <c r="F134" s="165"/>
      <c r="G134" s="112">
        <f t="shared" si="11"/>
        <v>0</v>
      </c>
      <c r="H134" s="99">
        <f>G134+'30'!H190</f>
        <v>0</v>
      </c>
      <c r="I134" s="165"/>
      <c r="J134" s="328" t="e">
        <f t="shared" si="10"/>
        <v>#DIV/0!</v>
      </c>
    </row>
    <row r="135" spans="1:15" ht="33" customHeight="1">
      <c r="A135" s="919"/>
      <c r="B135" s="920"/>
      <c r="C135" s="921"/>
      <c r="D135" s="151"/>
      <c r="E135" s="95"/>
      <c r="F135" s="165"/>
      <c r="G135" s="112"/>
      <c r="H135" s="99">
        <f>G135+'30'!H191</f>
        <v>0</v>
      </c>
      <c r="I135" s="165"/>
      <c r="J135" s="328" t="e">
        <f t="shared" si="10"/>
        <v>#DIV/0!</v>
      </c>
    </row>
    <row r="136" spans="1:15" ht="33" customHeight="1">
      <c r="A136" s="919"/>
      <c r="B136" s="920"/>
      <c r="C136" s="921"/>
      <c r="D136" s="151"/>
      <c r="E136" s="95"/>
      <c r="F136" s="165"/>
      <c r="G136" s="112"/>
      <c r="H136" s="99">
        <f>G136+'30'!H192</f>
        <v>0</v>
      </c>
      <c r="I136" s="165"/>
      <c r="J136" s="328" t="e">
        <f t="shared" si="10"/>
        <v>#DIV/0!</v>
      </c>
    </row>
    <row r="137" spans="1:15" ht="33" customHeight="1">
      <c r="A137" s="924" t="s">
        <v>325</v>
      </c>
      <c r="B137" s="924"/>
      <c r="C137" s="924"/>
      <c r="D137" s="924"/>
      <c r="E137" s="924"/>
      <c r="F137" s="924"/>
      <c r="G137" s="924"/>
      <c r="H137" s="924"/>
      <c r="I137" s="924"/>
      <c r="J137" s="924"/>
    </row>
    <row r="138" spans="1:15" ht="33" customHeight="1">
      <c r="A138" s="245"/>
      <c r="B138" s="246"/>
      <c r="C138" s="246"/>
      <c r="D138" s="165"/>
      <c r="E138" s="165"/>
      <c r="F138" s="165"/>
      <c r="G138" s="165"/>
      <c r="H138" s="156"/>
      <c r="I138" s="165"/>
      <c r="J138" s="327"/>
    </row>
    <row r="139" spans="1:15" ht="33" customHeight="1">
      <c r="A139" s="889" t="s">
        <v>185</v>
      </c>
      <c r="B139" s="889"/>
      <c r="C139" s="889"/>
      <c r="D139" s="151" t="s">
        <v>183</v>
      </c>
      <c r="E139" s="95">
        <f>'30'!F195</f>
        <v>0</v>
      </c>
      <c r="F139" s="147">
        <v>857022</v>
      </c>
      <c r="G139" s="112">
        <f t="shared" ref="G139:G151" si="12">F139-E139</f>
        <v>857022</v>
      </c>
      <c r="H139" s="99">
        <f>G139+'30'!H195</f>
        <v>857022</v>
      </c>
      <c r="I139" s="118"/>
      <c r="J139" s="328" t="e">
        <f>H139/DAY(B78)</f>
        <v>#DIV/0!</v>
      </c>
    </row>
    <row r="140" spans="1:15" ht="33" customHeight="1">
      <c r="A140" s="889" t="s">
        <v>186</v>
      </c>
      <c r="B140" s="889"/>
      <c r="C140" s="889"/>
      <c r="D140" s="151" t="s">
        <v>183</v>
      </c>
      <c r="E140" s="95">
        <f>'30'!F196</f>
        <v>0</v>
      </c>
      <c r="F140" s="148">
        <v>886051</v>
      </c>
      <c r="G140" s="112">
        <f t="shared" si="12"/>
        <v>886051</v>
      </c>
      <c r="H140" s="99">
        <f>G140+'30'!H196</f>
        <v>886051</v>
      </c>
      <c r="I140" s="118"/>
      <c r="J140" s="328" t="e">
        <f>H140/DAY(B78)</f>
        <v>#DIV/0!</v>
      </c>
    </row>
    <row r="141" spans="1:15" ht="33" customHeight="1">
      <c r="A141" s="889" t="s">
        <v>187</v>
      </c>
      <c r="B141" s="889"/>
      <c r="C141" s="889"/>
      <c r="D141" s="151" t="s">
        <v>183</v>
      </c>
      <c r="E141" s="95">
        <f>'30'!F197</f>
        <v>0</v>
      </c>
      <c r="F141" s="149">
        <v>88776</v>
      </c>
      <c r="G141" s="112">
        <f t="shared" si="12"/>
        <v>88776</v>
      </c>
      <c r="H141" s="99">
        <f>G141+'30'!H197</f>
        <v>88776</v>
      </c>
      <c r="I141" s="118"/>
      <c r="J141" s="328" t="e">
        <f>H141/DAY(B78)</f>
        <v>#DIV/0!</v>
      </c>
    </row>
    <row r="142" spans="1:15" ht="33" customHeight="1">
      <c r="A142" s="893" t="s">
        <v>188</v>
      </c>
      <c r="B142" s="893"/>
      <c r="C142" s="893"/>
      <c r="D142" s="151" t="s">
        <v>183</v>
      </c>
      <c r="E142" s="95">
        <f>'30'!F198</f>
        <v>0</v>
      </c>
      <c r="F142" s="149">
        <v>26308</v>
      </c>
      <c r="G142" s="112">
        <f t="shared" si="12"/>
        <v>26308</v>
      </c>
      <c r="H142" s="99">
        <f>G142+'30'!H198</f>
        <v>26308</v>
      </c>
      <c r="I142" s="118"/>
      <c r="J142" s="328" t="e">
        <f>H142/DAY(B78)</f>
        <v>#DIV/0!</v>
      </c>
    </row>
    <row r="143" spans="1:15" ht="33" customHeight="1">
      <c r="A143" s="893" t="s">
        <v>189</v>
      </c>
      <c r="B143" s="893"/>
      <c r="C143" s="893"/>
      <c r="D143" s="151" t="s">
        <v>183</v>
      </c>
      <c r="E143" s="95">
        <f>'30'!F199</f>
        <v>0</v>
      </c>
      <c r="F143" s="148">
        <v>13277</v>
      </c>
      <c r="G143" s="112">
        <f t="shared" si="12"/>
        <v>13277</v>
      </c>
      <c r="H143" s="99">
        <f>G143+'30'!H199</f>
        <v>13277</v>
      </c>
      <c r="I143" s="140"/>
      <c r="J143" s="328" t="e">
        <f>H143/DAY(B78)</f>
        <v>#DIV/0!</v>
      </c>
    </row>
    <row r="144" spans="1:15" ht="33" customHeight="1">
      <c r="A144" s="889" t="s">
        <v>190</v>
      </c>
      <c r="B144" s="889"/>
      <c r="C144" s="889"/>
      <c r="D144" s="151" t="s">
        <v>183</v>
      </c>
      <c r="E144" s="95">
        <f>'30'!F200</f>
        <v>0</v>
      </c>
      <c r="F144" s="149">
        <v>708289</v>
      </c>
      <c r="G144" s="112">
        <f t="shared" si="12"/>
        <v>708289</v>
      </c>
      <c r="H144" s="99">
        <f>G144+'30'!H200</f>
        <v>708289</v>
      </c>
      <c r="I144" s="140"/>
      <c r="J144" s="328" t="e">
        <f>H144/DAY(B78)</f>
        <v>#DIV/0!</v>
      </c>
    </row>
    <row r="145" spans="1:10" ht="33" customHeight="1">
      <c r="A145" s="890" t="s">
        <v>191</v>
      </c>
      <c r="B145" s="891"/>
      <c r="C145" s="892"/>
      <c r="D145" s="151" t="s">
        <v>183</v>
      </c>
      <c r="E145" s="95">
        <f>'30'!F201</f>
        <v>0</v>
      </c>
      <c r="F145" s="149">
        <v>682413</v>
      </c>
      <c r="G145" s="112">
        <f t="shared" si="12"/>
        <v>682413</v>
      </c>
      <c r="H145" s="99">
        <f>G145+'30'!H201</f>
        <v>682413</v>
      </c>
      <c r="I145" s="140"/>
      <c r="J145" s="328" t="e">
        <f>H145/DAY(B78)</f>
        <v>#DIV/0!</v>
      </c>
    </row>
    <row r="146" spans="1:10" ht="33" customHeight="1">
      <c r="A146" s="893" t="s">
        <v>90</v>
      </c>
      <c r="B146" s="893"/>
      <c r="C146" s="893"/>
      <c r="D146" s="152" t="s">
        <v>183</v>
      </c>
      <c r="E146" s="95">
        <f>'30'!F202</f>
        <v>0</v>
      </c>
      <c r="F146" s="149">
        <v>845049</v>
      </c>
      <c r="G146" s="112">
        <f t="shared" si="12"/>
        <v>845049</v>
      </c>
      <c r="H146" s="99">
        <f>G146+'30'!H202</f>
        <v>845049</v>
      </c>
      <c r="I146" s="140"/>
      <c r="J146" s="328" t="e">
        <f>H146/DAY(B78)</f>
        <v>#DIV/0!</v>
      </c>
    </row>
    <row r="147" spans="1:10" ht="33" customHeight="1">
      <c r="A147" s="893" t="s">
        <v>192</v>
      </c>
      <c r="B147" s="893"/>
      <c r="C147" s="893"/>
      <c r="D147" s="152" t="s">
        <v>183</v>
      </c>
      <c r="E147" s="95">
        <f>'30'!F203</f>
        <v>0</v>
      </c>
      <c r="F147" s="148">
        <v>564298</v>
      </c>
      <c r="G147" s="112">
        <f t="shared" si="12"/>
        <v>564298</v>
      </c>
      <c r="H147" s="99">
        <f>G147+'30'!H203</f>
        <v>564298</v>
      </c>
      <c r="I147" s="140"/>
      <c r="J147" s="328" t="e">
        <f>H147/DAY(B78)</f>
        <v>#DIV/0!</v>
      </c>
    </row>
    <row r="148" spans="1:10" ht="33" customHeight="1">
      <c r="A148" s="893" t="s">
        <v>193</v>
      </c>
      <c r="B148" s="893"/>
      <c r="C148" s="893"/>
      <c r="D148" s="152" t="s">
        <v>183</v>
      </c>
      <c r="E148" s="95">
        <f>'30'!F204</f>
        <v>0</v>
      </c>
      <c r="F148" s="148">
        <v>654178</v>
      </c>
      <c r="G148" s="112">
        <f t="shared" si="12"/>
        <v>654178</v>
      </c>
      <c r="H148" s="99">
        <f>G148+'30'!H204</f>
        <v>654178</v>
      </c>
      <c r="I148" s="140"/>
      <c r="J148" s="328" t="e">
        <f>H148/DAY(B78)</f>
        <v>#DIV/0!</v>
      </c>
    </row>
    <row r="149" spans="1:10" ht="33" customHeight="1">
      <c r="A149" s="893" t="s">
        <v>91</v>
      </c>
      <c r="B149" s="893"/>
      <c r="C149" s="893"/>
      <c r="D149" s="123" t="s">
        <v>130</v>
      </c>
      <c r="E149" s="95">
        <f>'30'!F205</f>
        <v>0</v>
      </c>
      <c r="F149" s="150">
        <v>109925</v>
      </c>
      <c r="G149" s="112">
        <f t="shared" si="12"/>
        <v>109925</v>
      </c>
      <c r="H149" s="99">
        <f>G149+'30'!H205</f>
        <v>109925</v>
      </c>
      <c r="I149" s="124"/>
      <c r="J149" s="328" t="e">
        <f>H149/DAY(B78)</f>
        <v>#DIV/0!</v>
      </c>
    </row>
    <row r="150" spans="1:10" ht="33" customHeight="1">
      <c r="A150" s="893" t="s">
        <v>194</v>
      </c>
      <c r="B150" s="893"/>
      <c r="C150" s="893"/>
      <c r="D150" s="227" t="s">
        <v>130</v>
      </c>
      <c r="E150" s="95">
        <f>'30'!F206</f>
        <v>0</v>
      </c>
      <c r="F150" s="146">
        <v>44323</v>
      </c>
      <c r="G150" s="112">
        <f t="shared" si="12"/>
        <v>44323</v>
      </c>
      <c r="H150" s="99">
        <f>G150+'30'!H206</f>
        <v>44323</v>
      </c>
      <c r="I150" s="119"/>
      <c r="J150" s="328" t="e">
        <f>H150/DAY(B78)</f>
        <v>#DIV/0!</v>
      </c>
    </row>
    <row r="151" spans="1:10" ht="33" customHeight="1">
      <c r="A151" s="325" t="s">
        <v>195</v>
      </c>
      <c r="B151" s="190"/>
      <c r="C151" s="190"/>
      <c r="D151" s="117" t="s">
        <v>130</v>
      </c>
      <c r="E151" s="95">
        <f>'30'!F207</f>
        <v>0</v>
      </c>
      <c r="F151" s="233">
        <v>570379</v>
      </c>
      <c r="G151" s="112">
        <f t="shared" si="12"/>
        <v>570379</v>
      </c>
      <c r="H151" s="99">
        <f>G151+'30'!H207</f>
        <v>570379</v>
      </c>
      <c r="I151" s="119"/>
      <c r="J151" s="328" t="e">
        <f>H151/DAY(B78)</f>
        <v>#DIV/0!</v>
      </c>
    </row>
    <row r="153" spans="1:10" ht="33" customHeight="1">
      <c r="A153" s="924" t="s">
        <v>326</v>
      </c>
      <c r="B153" s="924"/>
      <c r="C153" s="924"/>
      <c r="D153" s="924"/>
      <c r="E153" s="924"/>
      <c r="F153" s="924"/>
      <c r="G153" s="924"/>
      <c r="H153" s="924"/>
      <c r="I153" s="924"/>
      <c r="J153" s="924"/>
    </row>
    <row r="154" spans="1:10" ht="33" customHeight="1">
      <c r="A154" s="242" t="s">
        <v>92</v>
      </c>
      <c r="B154" s="243"/>
      <c r="C154" s="243"/>
      <c r="D154" s="244" t="s">
        <v>180</v>
      </c>
      <c r="E154" s="95">
        <f>'30'!F210</f>
        <v>0</v>
      </c>
      <c r="F154" s="235">
        <v>463315</v>
      </c>
      <c r="G154" s="238">
        <f t="shared" ref="G154:G158" si="13">F154-E154</f>
        <v>463315</v>
      </c>
      <c r="H154" s="99">
        <f>G154+'30'!H210</f>
        <v>463315</v>
      </c>
      <c r="I154" s="236"/>
      <c r="J154" s="239" t="e">
        <f>H154/DAY(B93)</f>
        <v>#DIV/0!</v>
      </c>
    </row>
    <row r="155" spans="1:10" ht="33" customHeight="1">
      <c r="A155" s="242" t="s">
        <v>93</v>
      </c>
      <c r="B155" s="243"/>
      <c r="C155" s="243"/>
      <c r="D155" s="244" t="s">
        <v>180</v>
      </c>
      <c r="E155" s="95">
        <f>'30'!F211</f>
        <v>0</v>
      </c>
      <c r="F155" s="235">
        <v>83899</v>
      </c>
      <c r="G155" s="238">
        <f t="shared" si="13"/>
        <v>83899</v>
      </c>
      <c r="H155" s="99">
        <f>G155+'30'!H211</f>
        <v>83899</v>
      </c>
      <c r="I155" s="236"/>
      <c r="J155" s="239" t="e">
        <f>H155/DAY(B93)</f>
        <v>#DIV/0!</v>
      </c>
    </row>
    <row r="156" spans="1:10" ht="33" customHeight="1">
      <c r="A156" s="242" t="s">
        <v>197</v>
      </c>
      <c r="B156" s="243"/>
      <c r="C156" s="243"/>
      <c r="D156" s="244" t="s">
        <v>180</v>
      </c>
      <c r="E156" s="95">
        <f>'30'!F213</f>
        <v>0</v>
      </c>
      <c r="F156" s="235">
        <v>69089</v>
      </c>
      <c r="G156" s="238">
        <f t="shared" si="13"/>
        <v>69089</v>
      </c>
      <c r="H156" s="99">
        <f>G156+'30'!H213</f>
        <v>69089</v>
      </c>
      <c r="I156" s="236"/>
      <c r="J156" s="239" t="e">
        <f>H156/DAY(B93)</f>
        <v>#DIV/0!</v>
      </c>
    </row>
    <row r="157" spans="1:10" ht="33" customHeight="1">
      <c r="A157" s="242" t="s">
        <v>197</v>
      </c>
      <c r="B157" s="243"/>
      <c r="C157" s="243"/>
      <c r="D157" s="244" t="s">
        <v>180</v>
      </c>
      <c r="E157" s="95">
        <f>'30'!F214</f>
        <v>0</v>
      </c>
      <c r="F157" s="235">
        <v>3611</v>
      </c>
      <c r="G157" s="238">
        <f t="shared" si="13"/>
        <v>3611</v>
      </c>
      <c r="H157" s="99">
        <f>G157+'30'!H214</f>
        <v>3611</v>
      </c>
      <c r="I157" s="236"/>
      <c r="J157" s="239" t="e">
        <f>H157/DAY(B93)</f>
        <v>#DIV/0!</v>
      </c>
    </row>
    <row r="158" spans="1:10" ht="33" customHeight="1">
      <c r="A158" s="242" t="s">
        <v>309</v>
      </c>
      <c r="B158" s="243"/>
      <c r="C158" s="243"/>
      <c r="D158" s="244" t="s">
        <v>180</v>
      </c>
      <c r="E158" s="95">
        <f>'30'!F215</f>
        <v>0</v>
      </c>
      <c r="F158" s="235">
        <v>28746</v>
      </c>
      <c r="G158" s="238">
        <f t="shared" si="13"/>
        <v>28746</v>
      </c>
      <c r="H158" s="99">
        <f>G158+'30'!H215</f>
        <v>28746</v>
      </c>
      <c r="I158" s="236"/>
      <c r="J158" s="239" t="e">
        <f>H158/DAY(B93)</f>
        <v>#DIV/0!</v>
      </c>
    </row>
    <row r="159" spans="1:10" ht="33" customHeight="1">
      <c r="A159" s="923" t="s">
        <v>328</v>
      </c>
      <c r="B159" s="923"/>
      <c r="C159" s="246"/>
      <c r="D159" s="244" t="s">
        <v>180</v>
      </c>
      <c r="E159" s="165"/>
      <c r="F159" s="165"/>
      <c r="G159" s="165"/>
      <c r="H159" s="156"/>
      <c r="I159" s="165"/>
      <c r="J159" s="327"/>
    </row>
    <row r="160" spans="1:10" ht="33" customHeight="1">
      <c r="A160" s="923" t="s">
        <v>327</v>
      </c>
      <c r="B160" s="923"/>
      <c r="C160" s="246"/>
      <c r="D160" s="244" t="s">
        <v>180</v>
      </c>
      <c r="E160" s="165"/>
      <c r="F160" s="165"/>
      <c r="G160" s="165"/>
      <c r="H160" s="156"/>
      <c r="I160" s="165"/>
      <c r="J160" s="327"/>
    </row>
    <row r="161" spans="1:10" ht="33" customHeight="1">
      <c r="A161" s="923" t="s">
        <v>328</v>
      </c>
      <c r="B161" s="923"/>
      <c r="C161" s="246"/>
      <c r="D161" s="244" t="s">
        <v>180</v>
      </c>
      <c r="E161" s="165"/>
      <c r="F161" s="165"/>
      <c r="G161" s="165"/>
      <c r="H161" s="156"/>
      <c r="I161" s="165"/>
      <c r="J161" s="327"/>
    </row>
    <row r="164" spans="1:10" ht="33" customHeight="1">
      <c r="A164" s="933" t="s">
        <v>330</v>
      </c>
      <c r="B164" s="934"/>
      <c r="C164" s="934"/>
      <c r="D164" s="934"/>
      <c r="E164" s="934"/>
      <c r="F164" s="934"/>
      <c r="G164" s="934"/>
      <c r="H164" s="934"/>
      <c r="I164" s="934"/>
      <c r="J164" s="935"/>
    </row>
    <row r="165" spans="1:10" ht="33" customHeight="1">
      <c r="A165" s="929"/>
      <c r="B165" s="930"/>
      <c r="C165" s="332"/>
      <c r="D165" s="228"/>
      <c r="E165" s="155"/>
      <c r="F165" s="155"/>
      <c r="G165" s="155"/>
      <c r="H165" s="156"/>
      <c r="I165" s="155"/>
      <c r="J165" s="178"/>
    </row>
    <row r="166" spans="1:10" ht="33" customHeight="1">
      <c r="A166" s="841" t="s">
        <v>209</v>
      </c>
      <c r="B166" s="843"/>
      <c r="C166" s="333"/>
      <c r="D166" s="228" t="s">
        <v>142</v>
      </c>
      <c r="E166" s="155">
        <f>'30'!F222</f>
        <v>0</v>
      </c>
      <c r="F166" s="155">
        <v>7961</v>
      </c>
      <c r="G166" s="155">
        <f>F166-E166</f>
        <v>7961</v>
      </c>
      <c r="H166" s="99">
        <f>G166+'30'!H222</f>
        <v>7961</v>
      </c>
      <c r="I166" s="155"/>
      <c r="J166" s="178" t="e">
        <f>H166/DAY(B94)</f>
        <v>#DIV/0!</v>
      </c>
    </row>
    <row r="167" spans="1:10" ht="33" customHeight="1">
      <c r="A167" s="841" t="s">
        <v>75</v>
      </c>
      <c r="B167" s="843"/>
      <c r="C167" s="333"/>
      <c r="D167" s="228" t="s">
        <v>142</v>
      </c>
      <c r="E167" s="155">
        <f>'30'!F223</f>
        <v>0</v>
      </c>
      <c r="F167" s="157">
        <v>36765</v>
      </c>
      <c r="G167" s="155">
        <f t="shared" ref="G167:G168" si="14">F167-E167</f>
        <v>36765</v>
      </c>
      <c r="H167" s="99">
        <f>G167+'30'!H223</f>
        <v>36765</v>
      </c>
      <c r="I167" s="155"/>
      <c r="J167" s="178" t="e">
        <f>H167/DAY(B94)</f>
        <v>#DIV/0!</v>
      </c>
    </row>
    <row r="168" spans="1:10" ht="33" customHeight="1">
      <c r="A168" s="841" t="s">
        <v>76</v>
      </c>
      <c r="B168" s="842"/>
      <c r="C168" s="843"/>
      <c r="D168" s="228" t="s">
        <v>142</v>
      </c>
      <c r="E168" s="155">
        <f>'30'!F224</f>
        <v>0</v>
      </c>
      <c r="F168" s="155">
        <v>20214</v>
      </c>
      <c r="G168" s="155">
        <f t="shared" si="14"/>
        <v>20214</v>
      </c>
      <c r="H168" s="99">
        <f>G168+'30'!H224</f>
        <v>20214</v>
      </c>
      <c r="I168" s="155"/>
      <c r="J168" s="178" t="e">
        <f>H168/DAY(B94)</f>
        <v>#DIV/0!</v>
      </c>
    </row>
    <row r="169" spans="1:10" ht="33" customHeight="1">
      <c r="A169" s="841" t="s">
        <v>196</v>
      </c>
      <c r="B169" s="843"/>
      <c r="C169" s="333"/>
      <c r="D169" s="228"/>
      <c r="E169" s="155"/>
      <c r="F169" s="155"/>
      <c r="G169" s="155">
        <f>SUM(G166:G168)</f>
        <v>64940</v>
      </c>
      <c r="H169" s="99">
        <f>G169+'30'!H225</f>
        <v>64940</v>
      </c>
      <c r="I169" s="155"/>
      <c r="J169" s="178" t="e">
        <f>H169/DAY(B94)</f>
        <v>#DIV/0!</v>
      </c>
    </row>
    <row r="170" spans="1:10" ht="33" customHeight="1">
      <c r="A170" s="841" t="s">
        <v>77</v>
      </c>
      <c r="B170" s="843"/>
      <c r="C170" s="333"/>
      <c r="D170" s="228" t="s">
        <v>142</v>
      </c>
      <c r="E170" s="155"/>
      <c r="F170" s="155"/>
      <c r="G170" s="155"/>
      <c r="H170" s="99">
        <f>G170+'30'!H226</f>
        <v>0</v>
      </c>
      <c r="I170" s="155"/>
      <c r="J170" s="178"/>
    </row>
    <row r="171" spans="1:10" ht="33" customHeight="1">
      <c r="A171" s="841" t="s">
        <v>210</v>
      </c>
      <c r="B171" s="843"/>
      <c r="C171" s="333"/>
      <c r="D171" s="228" t="s">
        <v>142</v>
      </c>
      <c r="E171" s="155">
        <f>'30'!F227</f>
        <v>0</v>
      </c>
      <c r="F171" s="155">
        <v>69524</v>
      </c>
      <c r="G171" s="155">
        <f>F171-E171</f>
        <v>69524</v>
      </c>
      <c r="H171" s="99">
        <f>G171+'30'!H227</f>
        <v>69524</v>
      </c>
      <c r="I171" s="155"/>
      <c r="J171" s="178" t="e">
        <f>H171/DAY(B94)</f>
        <v>#DIV/0!</v>
      </c>
    </row>
    <row r="172" spans="1:10" ht="33" customHeight="1">
      <c r="A172" s="841" t="s">
        <v>211</v>
      </c>
      <c r="B172" s="843"/>
      <c r="C172" s="333"/>
      <c r="D172" s="228" t="s">
        <v>142</v>
      </c>
      <c r="E172" s="155">
        <f>'30'!F228</f>
        <v>0</v>
      </c>
      <c r="F172" s="155">
        <v>33886</v>
      </c>
      <c r="G172" s="155">
        <f t="shared" ref="G172:G173" si="15">F172-E172</f>
        <v>33886</v>
      </c>
      <c r="H172" s="99">
        <f>G172+'30'!H228</f>
        <v>33886</v>
      </c>
      <c r="I172" s="155"/>
      <c r="J172" s="178" t="e">
        <f>H172/DAY(B94)</f>
        <v>#DIV/0!</v>
      </c>
    </row>
    <row r="173" spans="1:10" ht="33" customHeight="1">
      <c r="A173" s="841" t="s">
        <v>212</v>
      </c>
      <c r="B173" s="843"/>
      <c r="C173" s="333"/>
      <c r="D173" s="228" t="s">
        <v>142</v>
      </c>
      <c r="E173" s="155">
        <f>'30'!F229</f>
        <v>0</v>
      </c>
      <c r="F173" s="155">
        <v>4788</v>
      </c>
      <c r="G173" s="155">
        <f t="shared" si="15"/>
        <v>4788</v>
      </c>
      <c r="H173" s="99">
        <f>G173+'30'!H229</f>
        <v>4788</v>
      </c>
      <c r="I173" s="155"/>
      <c r="J173" s="178" t="e">
        <f>H173/DAY(B94)</f>
        <v>#DIV/0!</v>
      </c>
    </row>
    <row r="174" spans="1:10" ht="33" customHeight="1">
      <c r="A174" s="931" t="s">
        <v>108</v>
      </c>
      <c r="B174" s="932"/>
      <c r="C174" s="333"/>
      <c r="D174" s="228"/>
      <c r="E174" s="155"/>
      <c r="F174" s="155"/>
      <c r="G174" s="155">
        <f>SUM(G171:G173)</f>
        <v>108198</v>
      </c>
      <c r="H174" s="99">
        <f>G174+'30'!H230</f>
        <v>108198</v>
      </c>
      <c r="I174" s="155"/>
      <c r="J174" s="178" t="e">
        <f>H174/DAY(B94)</f>
        <v>#DIV/0!</v>
      </c>
    </row>
    <row r="175" spans="1:10" ht="33" customHeight="1">
      <c r="A175" s="841" t="s">
        <v>213</v>
      </c>
      <c r="B175" s="843"/>
      <c r="C175" s="333"/>
      <c r="D175" s="228"/>
      <c r="E175" s="155"/>
      <c r="F175" s="155"/>
      <c r="G175" s="155"/>
      <c r="H175" s="99">
        <f>G175+'30'!H231</f>
        <v>0</v>
      </c>
      <c r="I175" s="155"/>
      <c r="J175" s="178" t="e">
        <f>H175/DAY(B94)</f>
        <v>#DIV/0!</v>
      </c>
    </row>
    <row r="176" spans="1:10" ht="33" customHeight="1">
      <c r="A176" s="841" t="s">
        <v>214</v>
      </c>
      <c r="B176" s="843"/>
      <c r="C176" s="334"/>
      <c r="D176" s="228" t="s">
        <v>142</v>
      </c>
      <c r="E176" s="155">
        <f>'30'!F232</f>
        <v>0</v>
      </c>
      <c r="F176" s="157">
        <v>13038</v>
      </c>
      <c r="G176" s="157">
        <f>F176-E176</f>
        <v>13038</v>
      </c>
      <c r="H176" s="99">
        <f>G176+'30'!H232</f>
        <v>13038</v>
      </c>
      <c r="I176" s="155"/>
      <c r="J176" s="178" t="e">
        <f>H176/DAY(B94)</f>
        <v>#DIV/0!</v>
      </c>
    </row>
    <row r="177" spans="1:10" ht="33" customHeight="1">
      <c r="A177" s="841" t="s">
        <v>215</v>
      </c>
      <c r="B177" s="843"/>
      <c r="C177" s="334"/>
      <c r="D177" s="228" t="s">
        <v>142</v>
      </c>
      <c r="E177" s="155">
        <f>'30'!F233</f>
        <v>0</v>
      </c>
      <c r="F177" s="157">
        <v>9126</v>
      </c>
      <c r="G177" s="157">
        <f t="shared" ref="G177:G178" si="16">F177-E177</f>
        <v>9126</v>
      </c>
      <c r="H177" s="99">
        <f>G177+'30'!H233</f>
        <v>9126</v>
      </c>
      <c r="I177" s="155"/>
      <c r="J177" s="178" t="e">
        <f>H177/DAY(B94)</f>
        <v>#DIV/0!</v>
      </c>
    </row>
    <row r="178" spans="1:10" ht="33" customHeight="1">
      <c r="A178" s="841" t="s">
        <v>216</v>
      </c>
      <c r="B178" s="843"/>
      <c r="C178" s="334"/>
      <c r="D178" s="228" t="s">
        <v>142</v>
      </c>
      <c r="E178" s="157"/>
      <c r="F178" s="157"/>
      <c r="G178" s="157">
        <f t="shared" si="16"/>
        <v>0</v>
      </c>
      <c r="H178" s="99">
        <f>G178+'30'!H234</f>
        <v>0</v>
      </c>
      <c r="I178" s="155"/>
      <c r="J178" s="178" t="e">
        <f>H178/DAY(B94)</f>
        <v>#DIV/0!</v>
      </c>
    </row>
    <row r="179" spans="1:10" ht="33" customHeight="1">
      <c r="A179" s="841" t="s">
        <v>196</v>
      </c>
      <c r="B179" s="843"/>
      <c r="C179" s="334"/>
      <c r="D179" s="229"/>
      <c r="E179" s="157"/>
      <c r="F179" s="157"/>
      <c r="G179" s="157">
        <f>SUM(G176:G178)</f>
        <v>22164</v>
      </c>
      <c r="H179" s="99">
        <f>G179+'30'!H235</f>
        <v>22164</v>
      </c>
      <c r="I179" s="157"/>
      <c r="J179" s="178" t="e">
        <f>H179/DAY(B94)</f>
        <v>#DIV/0!</v>
      </c>
    </row>
    <row r="180" spans="1:10" ht="33" customHeight="1">
      <c r="A180" s="931" t="s">
        <v>217</v>
      </c>
      <c r="B180" s="932"/>
      <c r="C180" s="333"/>
      <c r="D180" s="230" t="s">
        <v>142</v>
      </c>
      <c r="E180" s="159"/>
      <c r="F180" s="159"/>
      <c r="G180" s="159">
        <f>SUM(G111+G154)</f>
        <v>463315</v>
      </c>
      <c r="H180" s="99">
        <f>G180+'30'!H236</f>
        <v>463315</v>
      </c>
      <c r="I180" s="158"/>
      <c r="J180" s="179" t="e">
        <f>H180/DAY(B94)</f>
        <v>#DIV/0!</v>
      </c>
    </row>
    <row r="181" spans="1:10" ht="33" customHeight="1">
      <c r="A181" s="931" t="s">
        <v>218</v>
      </c>
      <c r="B181" s="932"/>
      <c r="C181" s="333"/>
      <c r="D181" s="230" t="s">
        <v>142</v>
      </c>
      <c r="E181" s="159"/>
      <c r="F181" s="159"/>
      <c r="G181" s="159">
        <f>SUM(G157,G158,G159,G161,G162)</f>
        <v>32357</v>
      </c>
      <c r="H181" s="99">
        <f>G181+'30'!H237</f>
        <v>32357</v>
      </c>
      <c r="I181" s="158"/>
      <c r="J181" s="179" t="e">
        <f>H181/DAY(B94)</f>
        <v>#DIV/0!</v>
      </c>
    </row>
    <row r="182" spans="1:10" ht="33" customHeight="1">
      <c r="A182" s="931" t="s">
        <v>219</v>
      </c>
      <c r="B182" s="932"/>
      <c r="C182" s="333"/>
      <c r="D182" s="230" t="s">
        <v>142</v>
      </c>
      <c r="E182" s="157"/>
      <c r="F182" s="157"/>
      <c r="G182" s="157">
        <f>SUM(G174)</f>
        <v>108198</v>
      </c>
      <c r="H182" s="99">
        <f>G182+'30'!H238</f>
        <v>108198</v>
      </c>
      <c r="I182" s="158"/>
      <c r="J182" s="179" t="e">
        <f>H182/DAY(B94)</f>
        <v>#DIV/0!</v>
      </c>
    </row>
    <row r="183" spans="1:10" ht="33" customHeight="1">
      <c r="A183" s="931"/>
      <c r="B183" s="932"/>
      <c r="C183" s="333"/>
      <c r="D183" s="180"/>
      <c r="E183" s="180" t="s">
        <v>207</v>
      </c>
      <c r="F183" s="180"/>
      <c r="G183" s="180"/>
      <c r="H183" s="181"/>
      <c r="I183" s="180"/>
      <c r="J183" s="182"/>
    </row>
  </sheetData>
  <mergeCells count="105">
    <mergeCell ref="A183:B183"/>
    <mergeCell ref="A164:J164"/>
    <mergeCell ref="A81:C81"/>
    <mergeCell ref="A125:C125"/>
    <mergeCell ref="A135:C135"/>
    <mergeCell ref="A136:C136"/>
    <mergeCell ref="A112:C112"/>
    <mergeCell ref="A94:C94"/>
    <mergeCell ref="A111:J111"/>
    <mergeCell ref="A82:C82"/>
    <mergeCell ref="A177:B177"/>
    <mergeCell ref="A178:B178"/>
    <mergeCell ref="A179:B179"/>
    <mergeCell ref="A180:B180"/>
    <mergeCell ref="A181:B181"/>
    <mergeCell ref="A182:B182"/>
    <mergeCell ref="A171:B171"/>
    <mergeCell ref="A172:B172"/>
    <mergeCell ref="A173:B173"/>
    <mergeCell ref="A174:B174"/>
    <mergeCell ref="A175:B175"/>
    <mergeCell ref="A176:B176"/>
    <mergeCell ref="A165:B165"/>
    <mergeCell ref="A166:B166"/>
    <mergeCell ref="A167:B167"/>
    <mergeCell ref="A168:C168"/>
    <mergeCell ref="A169:B169"/>
    <mergeCell ref="A170:B170"/>
    <mergeCell ref="A160:B160"/>
    <mergeCell ref="A161:B161"/>
    <mergeCell ref="A75:C75"/>
    <mergeCell ref="A76:C76"/>
    <mergeCell ref="A78:C78"/>
    <mergeCell ref="A79:C79"/>
    <mergeCell ref="A80:C80"/>
    <mergeCell ref="A115:C115"/>
    <mergeCell ref="A116:C116"/>
    <mergeCell ref="A117:C117"/>
    <mergeCell ref="A118:C118"/>
    <mergeCell ref="A153:J153"/>
    <mergeCell ref="A159:B159"/>
    <mergeCell ref="A146:C146"/>
    <mergeCell ref="A147:C147"/>
    <mergeCell ref="A148:C148"/>
    <mergeCell ref="A149:C149"/>
    <mergeCell ref="A150:C150"/>
    <mergeCell ref="A127:J127"/>
    <mergeCell ref="A137:J137"/>
    <mergeCell ref="A145:C145"/>
    <mergeCell ref="A134:C134"/>
    <mergeCell ref="A133:C133"/>
    <mergeCell ref="A139:C139"/>
    <mergeCell ref="A140:C140"/>
    <mergeCell ref="A141:C141"/>
    <mergeCell ref="A142:C142"/>
    <mergeCell ref="A143:C143"/>
    <mergeCell ref="A144:C144"/>
    <mergeCell ref="Q117:R117"/>
    <mergeCell ref="Q118:R118"/>
    <mergeCell ref="Q119:R119"/>
    <mergeCell ref="A132:C132"/>
    <mergeCell ref="A129:C129"/>
    <mergeCell ref="A123:C123"/>
    <mergeCell ref="A124:C124"/>
    <mergeCell ref="A126:B126"/>
    <mergeCell ref="A128:B128"/>
    <mergeCell ref="A105:C105"/>
    <mergeCell ref="A106:C106"/>
    <mergeCell ref="A119:C119"/>
    <mergeCell ref="A120:C120"/>
    <mergeCell ref="A121:C121"/>
    <mergeCell ref="A122:C122"/>
    <mergeCell ref="A109:J109"/>
    <mergeCell ref="A110:B110"/>
    <mergeCell ref="A113:C113"/>
    <mergeCell ref="A114:C114"/>
    <mergeCell ref="A99:C99"/>
    <mergeCell ref="A100:C100"/>
    <mergeCell ref="A101:C101"/>
    <mergeCell ref="A102:C102"/>
    <mergeCell ref="A103:C103"/>
    <mergeCell ref="A104:C104"/>
    <mergeCell ref="A77:C77"/>
    <mergeCell ref="A95:C95"/>
    <mergeCell ref="A96:C96"/>
    <mergeCell ref="A97:C97"/>
    <mergeCell ref="A98:C98"/>
    <mergeCell ref="A1:J1"/>
    <mergeCell ref="E3:F3"/>
    <mergeCell ref="A6:C6"/>
    <mergeCell ref="A15:C15"/>
    <mergeCell ref="A18:C18"/>
    <mergeCell ref="A19:C19"/>
    <mergeCell ref="A73:B73"/>
    <mergeCell ref="A74:C74"/>
    <mergeCell ref="A64:C64"/>
    <mergeCell ref="A65:C65"/>
    <mergeCell ref="A66:C66"/>
    <mergeCell ref="A72:C72"/>
    <mergeCell ref="A63:C63"/>
    <mergeCell ref="A62:C62"/>
    <mergeCell ref="A20:C20"/>
    <mergeCell ref="A22:C22"/>
    <mergeCell ref="A26:C26"/>
    <mergeCell ref="A34:C34"/>
  </mergeCells>
  <pageMargins left="0.7" right="0.7" top="0.75" bottom="0.75" header="0.3" footer="0.3"/>
  <pageSetup orientation="portrait" horizontalDpi="4294967295" verticalDpi="4294967295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"/>
  <sheetViews>
    <sheetView workbookViewId="0"/>
  </sheetViews>
  <sheetFormatPr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43</vt:i4>
      </vt:variant>
      <vt:variant>
        <vt:lpstr>Named Ranges</vt:lpstr>
      </vt:variant>
      <vt:variant>
        <vt:i4>28</vt:i4>
      </vt:variant>
    </vt:vector>
  </HeadingPairs>
  <TitlesOfParts>
    <vt:vector size="71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Sheet5</vt:lpstr>
      <vt:lpstr>16</vt:lpstr>
      <vt:lpstr>17</vt:lpstr>
      <vt:lpstr>18 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Sheet4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 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 Appa</cp:lastModifiedBy>
  <cp:revision/>
  <cp:lastPrinted>2022-12-19T01:31:51Z</cp:lastPrinted>
  <dcterms:created xsi:type="dcterms:W3CDTF">2013-11-14T06:06:34Z</dcterms:created>
  <dcterms:modified xsi:type="dcterms:W3CDTF">2023-01-13T10:36:31Z</dcterms:modified>
</cp:coreProperties>
</file>