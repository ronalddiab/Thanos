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2. FS Macao_HEP_Daily\2022\"/>
    </mc:Choice>
  </mc:AlternateContent>
  <bookViews>
    <workbookView xWindow="0" yWindow="0" windowWidth="19035" windowHeight="10935" tabRatio="620"/>
  </bookViews>
  <sheets>
    <sheet name="TOTAL" sheetId="117" r:id="rId1"/>
    <sheet name="Macao Daily" sheetId="119" r:id="rId2"/>
  </sheets>
  <calcPr calcId="162913"/>
</workbook>
</file>

<file path=xl/calcChain.xml><?xml version="1.0" encoding="utf-8"?>
<calcChain xmlns="http://schemas.openxmlformats.org/spreadsheetml/2006/main">
  <c r="H5" i="119" l="1"/>
  <c r="J5" i="119"/>
  <c r="F5" i="119" l="1"/>
  <c r="D5" i="119" l="1"/>
  <c r="H20" i="119" l="1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 s="1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 s="1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 s="1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 s="1"/>
  <c r="D29" i="119"/>
  <c r="E26" i="117" s="1"/>
  <c r="J28" i="119"/>
  <c r="K25" i="117" s="1"/>
  <c r="F28" i="119"/>
  <c r="G25" i="117" s="1"/>
  <c r="D28" i="119"/>
  <c r="E25" i="117" s="1"/>
  <c r="J27" i="119"/>
  <c r="K24" i="117" s="1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 s="1"/>
  <c r="F19" i="119"/>
  <c r="G16" i="117" s="1"/>
  <c r="D19" i="119"/>
  <c r="E16" i="117" s="1"/>
  <c r="J18" i="119"/>
  <c r="K15" i="117" s="1"/>
  <c r="F18" i="119"/>
  <c r="G15" i="117" s="1"/>
  <c r="D18" i="119"/>
  <c r="E15" i="117" s="1"/>
  <c r="J17" i="119"/>
  <c r="K14" i="117" s="1"/>
  <c r="F17" i="119"/>
  <c r="G14" i="117" s="1"/>
  <c r="D17" i="119"/>
  <c r="E14" i="117" s="1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 s="1"/>
  <c r="J14" i="119"/>
  <c r="K11" i="117" s="1"/>
  <c r="F14" i="119"/>
  <c r="G11" i="117" s="1"/>
  <c r="D14" i="119"/>
  <c r="E11" i="117" s="1"/>
  <c r="J13" i="119"/>
  <c r="K10" i="117" s="1"/>
  <c r="F13" i="119"/>
  <c r="G10" i="117" s="1"/>
  <c r="D13" i="119"/>
  <c r="E10" i="117" s="1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 s="1"/>
  <c r="J9" i="119"/>
  <c r="K6" i="117" s="1"/>
  <c r="F9" i="119"/>
  <c r="G6" i="117" s="1"/>
  <c r="D9" i="119"/>
  <c r="E6" i="117" s="1"/>
  <c r="J8" i="119"/>
  <c r="K5" i="117" s="1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</calcChain>
</file>

<file path=xl/sharedStrings.xml><?xml version="1.0" encoding="utf-8"?>
<sst xmlns="http://schemas.openxmlformats.org/spreadsheetml/2006/main" count="58" uniqueCount="29">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</sst>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10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0"/>
        <bgColor theme="4" tint="0.7999816888943144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164" fontId="7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9" fillId="0" borderId="0" applyFont="0" applyFill="0" applyBorder="0" applyAlignment="0" applyProtection="0"/>
    <xf numFmtId="44" fontId="7" fillId="0" borderId="0" applyFont="0" applyFill="0" applyBorder="0" applyAlignment="0" applyProtection="0"/>
    <xf numFmtId="44" fontId="6" fillId="0" borderId="0" applyFont="0" applyFill="0" applyBorder="0" applyAlignment="0" applyProtection="0"/>
    <xf numFmtId="0" fontId="9" fillId="0" borderId="0"/>
    <xf numFmtId="0" fontId="6" fillId="0" borderId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9" fillId="0" borderId="0" applyFont="0" applyFill="0" applyBorder="0" applyAlignment="0" applyProtection="0"/>
    <xf numFmtId="0" fontId="5" fillId="0" borderId="0"/>
    <xf numFmtId="0" fontId="4" fillId="0" borderId="0"/>
    <xf numFmtId="0" fontId="6" fillId="0" borderId="0"/>
    <xf numFmtId="0" fontId="2" fillId="0" borderId="0"/>
  </cellStyleXfs>
  <cellXfs count="48">
    <xf numFmtId="0" fontId="0" fillId="0" borderId="0" xfId="0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3" fillId="2" borderId="0" xfId="11" applyFont="1" applyFill="1" applyAlignment="1">
      <alignment horizontal="center"/>
    </xf>
    <xf numFmtId="1" fontId="14" fillId="2" borderId="0" xfId="11" applyNumberFormat="1" applyFont="1" applyFill="1" applyAlignment="1">
      <alignment horizontal="center"/>
    </xf>
    <xf numFmtId="1" fontId="5" fillId="0" borderId="1" xfId="11" applyNumberFormat="1" applyBorder="1" applyAlignment="1">
      <alignment horizontal="center"/>
    </xf>
    <xf numFmtId="0" fontId="5" fillId="0" borderId="0" xfId="11"/>
    <xf numFmtId="0" fontId="15" fillId="3" borderId="3" xfId="11" applyFont="1" applyFill="1" applyBorder="1" applyAlignment="1">
      <alignment horizontal="center" vertical="center" wrapText="1"/>
    </xf>
    <xf numFmtId="1" fontId="5" fillId="0" borderId="0" xfId="11" applyNumberFormat="1"/>
    <xf numFmtId="0" fontId="10" fillId="6" borderId="2" xfId="11" applyFont="1" applyFill="1" applyBorder="1" applyAlignment="1">
      <alignment horizontal="center" vertical="center"/>
    </xf>
    <xf numFmtId="0" fontId="10" fillId="7" borderId="9" xfId="11" applyFont="1" applyFill="1" applyBorder="1" applyAlignment="1">
      <alignment horizontal="center" vertical="center" wrapText="1"/>
    </xf>
    <xf numFmtId="1" fontId="10" fillId="7" borderId="2" xfId="11" applyNumberFormat="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vertical="center" wrapText="1"/>
    </xf>
    <xf numFmtId="0" fontId="10" fillId="7" borderId="2" xfId="11" applyFont="1" applyFill="1" applyBorder="1" applyAlignment="1">
      <alignment horizontal="center" wrapText="1"/>
    </xf>
    <xf numFmtId="1" fontId="10" fillId="8" borderId="1" xfId="11" applyNumberFormat="1" applyFont="1" applyFill="1" applyBorder="1" applyAlignment="1">
      <alignment horizontal="center" wrapText="1"/>
    </xf>
    <xf numFmtId="15" fontId="12" fillId="6" borderId="2" xfId="11" applyNumberFormat="1" applyFont="1" applyFill="1" applyBorder="1" applyAlignment="1">
      <alignment horizontal="center" vertical="center"/>
    </xf>
    <xf numFmtId="0" fontId="11" fillId="0" borderId="0" xfId="11" applyFont="1"/>
    <xf numFmtId="15" fontId="10" fillId="6" borderId="2" xfId="11" applyNumberFormat="1" applyFont="1" applyFill="1" applyBorder="1" applyAlignment="1">
      <alignment horizontal="center" vertical="center"/>
    </xf>
    <xf numFmtId="0" fontId="5" fillId="0" borderId="1" xfId="11" applyBorder="1" applyAlignment="1">
      <alignment horizontal="center"/>
    </xf>
    <xf numFmtId="1" fontId="17" fillId="0" borderId="1" xfId="11" applyNumberFormat="1" applyFont="1" applyBorder="1" applyAlignment="1">
      <alignment horizontal="center" vertical="center"/>
    </xf>
    <xf numFmtId="0" fontId="5" fillId="0" borderId="0" xfId="11" applyAlignment="1">
      <alignment horizontal="center"/>
    </xf>
    <xf numFmtId="1" fontId="10" fillId="0" borderId="0" xfId="11" applyNumberFormat="1" applyFont="1" applyAlignment="1">
      <alignment horizontal="center"/>
    </xf>
    <xf numFmtId="1" fontId="5" fillId="0" borderId="0" xfId="11" applyNumberFormat="1" applyAlignment="1">
      <alignment horizontal="center"/>
    </xf>
    <xf numFmtId="1" fontId="10" fillId="0" borderId="1" xfId="12" applyNumberFormat="1" applyFont="1" applyBorder="1" applyAlignment="1">
      <alignment horizontal="center" wrapText="1"/>
    </xf>
    <xf numFmtId="0" fontId="12" fillId="0" borderId="1" xfId="12" applyFont="1" applyBorder="1" applyAlignment="1">
      <alignment horizontal="center" wrapText="1"/>
    </xf>
    <xf numFmtId="2" fontId="11" fillId="0" borderId="1" xfId="0" applyNumberFormat="1" applyFont="1" applyBorder="1" applyAlignment="1">
      <alignment horizontal="center"/>
    </xf>
    <xf numFmtId="0" fontId="3" fillId="0" borderId="0" xfId="11" applyFont="1" applyAlignment="1">
      <alignment horizontal="center"/>
    </xf>
    <xf numFmtId="1" fontId="17" fillId="0" borderId="14" xfId="11" applyNumberFormat="1" applyFont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 vertical="center"/>
    </xf>
    <xf numFmtId="0" fontId="2" fillId="9" borderId="1" xfId="0" applyNumberFormat="1" applyFont="1" applyFill="1" applyBorder="1" applyAlignment="1">
      <alignment horizontal="center"/>
    </xf>
    <xf numFmtId="0" fontId="13" fillId="2" borderId="12" xfId="11" applyFont="1" applyFill="1" applyBorder="1" applyAlignment="1">
      <alignment horizontal="center"/>
    </xf>
    <xf numFmtId="0" fontId="13" fillId="2" borderId="13" xfId="11" applyFont="1" applyFill="1" applyBorder="1" applyAlignment="1">
      <alignment horizontal="center"/>
    </xf>
    <xf numFmtId="0" fontId="14" fillId="2" borderId="2" xfId="11" applyFont="1" applyFill="1" applyBorder="1" applyAlignment="1">
      <alignment horizontal="center"/>
    </xf>
    <xf numFmtId="0" fontId="16" fillId="4" borderId="4" xfId="11" applyFont="1" applyFill="1" applyBorder="1" applyAlignment="1">
      <alignment horizontal="center" vertical="center"/>
    </xf>
    <xf numFmtId="0" fontId="16" fillId="4" borderId="5" xfId="11" applyFont="1" applyFill="1" applyBorder="1" applyAlignment="1">
      <alignment horizontal="center" vertical="center"/>
    </xf>
    <xf numFmtId="0" fontId="16" fillId="4" borderId="6" xfId="11" applyFont="1" applyFill="1" applyBorder="1" applyAlignment="1">
      <alignment horizontal="center" vertical="center"/>
    </xf>
    <xf numFmtId="0" fontId="10" fillId="5" borderId="7" xfId="11" applyFont="1" applyFill="1" applyBorder="1" applyAlignment="1">
      <alignment horizontal="center" vertical="center" wrapText="1"/>
    </xf>
    <xf numFmtId="0" fontId="10" fillId="5" borderId="8" xfId="11" applyFont="1" applyFill="1" applyBorder="1" applyAlignment="1">
      <alignment horizontal="center" vertical="center" wrapText="1"/>
    </xf>
    <xf numFmtId="0" fontId="16" fillId="4" borderId="10" xfId="11" applyFont="1" applyFill="1" applyBorder="1" applyAlignment="1">
      <alignment horizontal="center" vertical="center"/>
    </xf>
    <xf numFmtId="0" fontId="16" fillId="4" borderId="11" xfId="11" applyFont="1" applyFill="1" applyBorder="1" applyAlignment="1">
      <alignment horizontal="center" vertical="center"/>
    </xf>
    <xf numFmtId="0" fontId="1" fillId="9" borderId="1" xfId="0" applyNumberFormat="1" applyFont="1" applyFill="1" applyBorder="1"/>
  </cellXfs>
  <cellStyles count="15">
    <cellStyle name="Comma 2" xfId="1"/>
    <cellStyle name="Comma 3" xfId="2"/>
    <cellStyle name="Comma 4" xfId="3"/>
    <cellStyle name="Currency 2" xfId="4"/>
    <cellStyle name="Currency 3" xfId="5"/>
    <cellStyle name="Normal" xfId="0" builtinId="0"/>
    <cellStyle name="Normal 2" xfId="6"/>
    <cellStyle name="Normal 2 2" xfId="13"/>
    <cellStyle name="Normal 3" xfId="7"/>
    <cellStyle name="Normal 4" xfId="11"/>
    <cellStyle name="Normal 5" xfId="12"/>
    <cellStyle name="Normal 6" xfId="14"/>
    <cellStyle name="Percent 2" xfId="8"/>
    <cellStyle name="Percent 3" xfId="9"/>
    <cellStyle name="Percent 4" xf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"/>
  <sheetViews>
    <sheetView tabSelected="1" zoomScale="85" zoomScaleNormal="85" workbookViewId="0">
      <selection activeCell="E2" sqref="E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2</v>
      </c>
      <c r="D2" s="7">
        <v>2022</v>
      </c>
      <c r="E2" s="9">
        <f>'Macao Daily'!D5</f>
        <v>33462</v>
      </c>
      <c r="F2" s="32">
        <v>1.2013</v>
      </c>
      <c r="G2" s="9">
        <f>'Macao Daily'!F5</f>
        <v>85</v>
      </c>
      <c r="H2" s="32">
        <v>10.7</v>
      </c>
      <c r="I2" s="9">
        <f>'Macao Daily'!H5</f>
        <v>13172</v>
      </c>
      <c r="J2" s="32">
        <v>0.19</v>
      </c>
      <c r="K2" s="9">
        <f>'Macao Daily'!J5</f>
        <v>632</v>
      </c>
      <c r="L2" s="32">
        <v>7.7584</v>
      </c>
      <c r="M2" s="9">
        <f>'Macao Daily'!K5</f>
        <v>182</v>
      </c>
      <c r="N2" s="9">
        <f>'Macao Daily'!L5</f>
        <v>674</v>
      </c>
    </row>
    <row r="3" spans="1:14" ht="15" x14ac:dyDescent="0.25">
      <c r="A3" s="6" t="s">
        <v>13</v>
      </c>
      <c r="B3" s="7">
        <f>B2+1</f>
        <v>2</v>
      </c>
      <c r="C3" s="8">
        <v>2</v>
      </c>
      <c r="D3" s="7">
        <v>2022</v>
      </c>
      <c r="E3" s="9">
        <f>'Macao Daily'!D6</f>
        <v>32316</v>
      </c>
      <c r="F3" s="32">
        <v>1.2013</v>
      </c>
      <c r="G3" s="9">
        <f>'Macao Daily'!F6</f>
        <v>89</v>
      </c>
      <c r="H3" s="32">
        <v>10.7</v>
      </c>
      <c r="I3" s="9">
        <f>'Macao Daily'!H6</f>
        <v>13375</v>
      </c>
      <c r="J3" s="32">
        <v>0.19</v>
      </c>
      <c r="K3" s="9">
        <f>'Macao Daily'!J6</f>
        <v>613</v>
      </c>
      <c r="L3" s="32">
        <v>7.7584</v>
      </c>
      <c r="M3" s="9">
        <f>'Macao Daily'!K6</f>
        <v>220</v>
      </c>
      <c r="N3" s="9">
        <f>'Macao Daily'!L6</f>
        <v>750</v>
      </c>
    </row>
    <row r="4" spans="1:14" ht="15" x14ac:dyDescent="0.25">
      <c r="A4" s="6" t="s">
        <v>13</v>
      </c>
      <c r="B4" s="7">
        <f t="shared" ref="B4:B29" si="0">B3+1</f>
        <v>3</v>
      </c>
      <c r="C4" s="8">
        <v>2</v>
      </c>
      <c r="D4" s="7">
        <v>2022</v>
      </c>
      <c r="E4" s="9">
        <f>'Macao Daily'!D7</f>
        <v>32442</v>
      </c>
      <c r="F4" s="32">
        <v>1.2013</v>
      </c>
      <c r="G4" s="9">
        <f>'Macao Daily'!F7</f>
        <v>85</v>
      </c>
      <c r="H4" s="32">
        <v>10.7</v>
      </c>
      <c r="I4" s="9">
        <f>'Macao Daily'!H7</f>
        <v>12102</v>
      </c>
      <c r="J4" s="32">
        <v>0.19</v>
      </c>
      <c r="K4" s="9">
        <f>'Macao Daily'!J7</f>
        <v>652</v>
      </c>
      <c r="L4" s="32">
        <v>7.7584</v>
      </c>
      <c r="M4" s="9">
        <f>'Macao Daily'!K7</f>
        <v>348</v>
      </c>
      <c r="N4" s="9">
        <f>'Macao Daily'!L7</f>
        <v>888</v>
      </c>
    </row>
    <row r="5" spans="1:14" ht="15" x14ac:dyDescent="0.25">
      <c r="A5" s="6" t="s">
        <v>13</v>
      </c>
      <c r="B5" s="7">
        <f t="shared" si="0"/>
        <v>4</v>
      </c>
      <c r="C5" s="8">
        <v>2</v>
      </c>
      <c r="D5" s="7">
        <v>2022</v>
      </c>
      <c r="E5" s="9">
        <f>'Macao Daily'!D8</f>
        <v>32604</v>
      </c>
      <c r="F5" s="32">
        <v>1.2013</v>
      </c>
      <c r="G5" s="9">
        <f>'Macao Daily'!F8</f>
        <v>87</v>
      </c>
      <c r="H5" s="32">
        <v>10.7</v>
      </c>
      <c r="I5" s="9">
        <f>'Macao Daily'!H8</f>
        <v>13718</v>
      </c>
      <c r="J5" s="32">
        <v>0.19</v>
      </c>
      <c r="K5" s="9">
        <f>'Macao Daily'!J8</f>
        <v>693</v>
      </c>
      <c r="L5" s="32">
        <v>7.7584</v>
      </c>
      <c r="M5" s="9">
        <f>'Macao Daily'!K8</f>
        <v>342</v>
      </c>
      <c r="N5" s="9">
        <f>'Macao Daily'!L8</f>
        <v>940</v>
      </c>
    </row>
    <row r="6" spans="1:14" ht="15" x14ac:dyDescent="0.25">
      <c r="A6" s="6" t="s">
        <v>13</v>
      </c>
      <c r="B6" s="7">
        <f t="shared" si="0"/>
        <v>5</v>
      </c>
      <c r="C6" s="8">
        <v>2</v>
      </c>
      <c r="D6" s="7">
        <v>2022</v>
      </c>
      <c r="E6" s="9">
        <f>'Macao Daily'!D9</f>
        <v>33838</v>
      </c>
      <c r="F6" s="32">
        <v>1.2013</v>
      </c>
      <c r="G6" s="9">
        <f>'Macao Daily'!F9</f>
        <v>89</v>
      </c>
      <c r="H6" s="32">
        <v>10.7</v>
      </c>
      <c r="I6" s="9">
        <f>'Macao Daily'!H9</f>
        <v>14821</v>
      </c>
      <c r="J6" s="32">
        <v>0.19</v>
      </c>
      <c r="K6" s="9">
        <f>'Macao Daily'!J9</f>
        <v>725</v>
      </c>
      <c r="L6" s="32">
        <v>7.7584</v>
      </c>
      <c r="M6" s="9">
        <f>'Macao Daily'!K9</f>
        <v>295</v>
      </c>
      <c r="N6" s="9">
        <f>'Macao Daily'!L9</f>
        <v>932</v>
      </c>
    </row>
    <row r="7" spans="1:14" ht="15" x14ac:dyDescent="0.25">
      <c r="A7" s="6" t="s">
        <v>13</v>
      </c>
      <c r="B7" s="7">
        <f t="shared" si="0"/>
        <v>6</v>
      </c>
      <c r="C7" s="8">
        <v>2</v>
      </c>
      <c r="D7" s="7">
        <v>2022</v>
      </c>
      <c r="E7" s="9">
        <f>'Macao Daily'!D10</f>
        <v>32252</v>
      </c>
      <c r="F7" s="32">
        <v>1.2013</v>
      </c>
      <c r="G7" s="9">
        <f>'Macao Daily'!F10</f>
        <v>74</v>
      </c>
      <c r="H7" s="32">
        <v>10.7</v>
      </c>
      <c r="I7" s="9">
        <f>'Macao Daily'!H10</f>
        <v>16484</v>
      </c>
      <c r="J7" s="32">
        <v>0.19</v>
      </c>
      <c r="K7" s="9">
        <f>'Macao Daily'!J10</f>
        <v>653</v>
      </c>
      <c r="L7" s="32">
        <v>7.7584</v>
      </c>
      <c r="M7" s="9">
        <f>'Macao Daily'!K10</f>
        <v>244</v>
      </c>
      <c r="N7" s="9">
        <f>'Macao Daily'!L10</f>
        <v>822</v>
      </c>
    </row>
    <row r="8" spans="1:14" ht="15" x14ac:dyDescent="0.25">
      <c r="A8" s="6" t="s">
        <v>13</v>
      </c>
      <c r="B8" s="7">
        <f t="shared" si="0"/>
        <v>7</v>
      </c>
      <c r="C8" s="8">
        <v>2</v>
      </c>
      <c r="D8" s="7">
        <v>2022</v>
      </c>
      <c r="E8" s="9">
        <f>'Macao Daily'!D11</f>
        <v>31288</v>
      </c>
      <c r="F8" s="32">
        <v>1.2013</v>
      </c>
      <c r="G8" s="9">
        <f>'Macao Daily'!F11</f>
        <v>84</v>
      </c>
      <c r="H8" s="32">
        <v>10.7</v>
      </c>
      <c r="I8" s="9">
        <f>'Macao Daily'!H11</f>
        <v>18508</v>
      </c>
      <c r="J8" s="32">
        <v>0.19</v>
      </c>
      <c r="K8" s="9">
        <f>'Macao Daily'!J11</f>
        <v>633</v>
      </c>
      <c r="L8" s="32">
        <v>7.7584</v>
      </c>
      <c r="M8" s="9">
        <f>'Macao Daily'!K11</f>
        <v>252</v>
      </c>
      <c r="N8" s="9">
        <f>'Macao Daily'!L11</f>
        <v>482</v>
      </c>
    </row>
    <row r="9" spans="1:14" ht="15" x14ac:dyDescent="0.25">
      <c r="A9" s="6" t="s">
        <v>13</v>
      </c>
      <c r="B9" s="7">
        <f t="shared" si="0"/>
        <v>8</v>
      </c>
      <c r="C9" s="8">
        <v>2</v>
      </c>
      <c r="D9" s="7">
        <v>2022</v>
      </c>
      <c r="E9" s="9">
        <f>'Macao Daily'!D12</f>
        <v>31975</v>
      </c>
      <c r="F9" s="32">
        <v>1.2013</v>
      </c>
      <c r="G9" s="9">
        <f>'Macao Daily'!F12</f>
        <v>53</v>
      </c>
      <c r="H9" s="32">
        <v>10.7</v>
      </c>
      <c r="I9" s="9">
        <f>'Macao Daily'!H12</f>
        <v>17336</v>
      </c>
      <c r="J9" s="32">
        <v>0.19</v>
      </c>
      <c r="K9" s="9">
        <f>'Macao Daily'!J12</f>
        <v>613</v>
      </c>
      <c r="L9" s="32">
        <v>7.7584</v>
      </c>
      <c r="M9" s="9">
        <f>'Macao Daily'!K12</f>
        <v>210</v>
      </c>
      <c r="N9" s="9">
        <f>'Macao Daily'!L12</f>
        <v>372</v>
      </c>
    </row>
    <row r="10" spans="1:14" ht="15" x14ac:dyDescent="0.25">
      <c r="A10" s="6" t="s">
        <v>13</v>
      </c>
      <c r="B10" s="7">
        <f t="shared" si="0"/>
        <v>9</v>
      </c>
      <c r="C10" s="8">
        <v>2</v>
      </c>
      <c r="D10" s="7">
        <v>2022</v>
      </c>
      <c r="E10" s="9">
        <f>'Macao Daily'!D13</f>
        <v>33063</v>
      </c>
      <c r="F10" s="32">
        <v>1.2013</v>
      </c>
      <c r="G10" s="9">
        <f>'Macao Daily'!F13</f>
        <v>62</v>
      </c>
      <c r="H10" s="32">
        <v>10.7</v>
      </c>
      <c r="I10" s="9">
        <f>'Macao Daily'!H13</f>
        <v>16680</v>
      </c>
      <c r="J10" s="32">
        <v>0.19</v>
      </c>
      <c r="K10" s="9">
        <f>'Macao Daily'!J13</f>
        <v>586</v>
      </c>
      <c r="L10" s="32">
        <v>7.7584</v>
      </c>
      <c r="M10" s="9">
        <f>'Macao Daily'!K13</f>
        <v>196</v>
      </c>
      <c r="N10" s="9">
        <f>'Macao Daily'!L13</f>
        <v>357</v>
      </c>
    </row>
    <row r="11" spans="1:14" ht="15" x14ac:dyDescent="0.25">
      <c r="A11" s="6" t="s">
        <v>13</v>
      </c>
      <c r="B11" s="7">
        <f t="shared" si="0"/>
        <v>10</v>
      </c>
      <c r="C11" s="8">
        <v>2</v>
      </c>
      <c r="D11" s="7">
        <v>2022</v>
      </c>
      <c r="E11" s="9">
        <f>'Macao Daily'!D14</f>
        <v>31755</v>
      </c>
      <c r="F11" s="32">
        <v>1.2013</v>
      </c>
      <c r="G11" s="9">
        <f>'Macao Daily'!F14</f>
        <v>67</v>
      </c>
      <c r="H11" s="32">
        <v>10.7</v>
      </c>
      <c r="I11" s="9">
        <f>'Macao Daily'!H14</f>
        <v>16765</v>
      </c>
      <c r="J11" s="32">
        <v>0.19</v>
      </c>
      <c r="K11" s="9">
        <f>'Macao Daily'!J14</f>
        <v>589</v>
      </c>
      <c r="L11" s="32">
        <v>7.7584</v>
      </c>
      <c r="M11" s="9">
        <f>'Macao Daily'!K14</f>
        <v>183</v>
      </c>
      <c r="N11" s="9">
        <f>'Macao Daily'!L14</f>
        <v>339</v>
      </c>
    </row>
    <row r="12" spans="1:14" ht="15" x14ac:dyDescent="0.25">
      <c r="A12" s="6" t="s">
        <v>13</v>
      </c>
      <c r="B12" s="7">
        <f t="shared" si="0"/>
        <v>11</v>
      </c>
      <c r="C12" s="8">
        <v>2</v>
      </c>
      <c r="D12" s="7">
        <v>2022</v>
      </c>
      <c r="E12" s="9">
        <f>'Macao Daily'!D15</f>
        <v>32581</v>
      </c>
      <c r="F12" s="32">
        <v>1.2013</v>
      </c>
      <c r="G12" s="9">
        <f>'Macao Daily'!F15</f>
        <v>77</v>
      </c>
      <c r="H12" s="32">
        <v>10.7</v>
      </c>
      <c r="I12" s="9">
        <f>'Macao Daily'!H15</f>
        <v>21000</v>
      </c>
      <c r="J12" s="32">
        <v>0.19</v>
      </c>
      <c r="K12" s="9">
        <f>'Macao Daily'!J15</f>
        <v>606</v>
      </c>
      <c r="L12" s="32">
        <v>7.7584</v>
      </c>
      <c r="M12" s="9">
        <f>'Macao Daily'!K15</f>
        <v>162</v>
      </c>
      <c r="N12" s="9">
        <f>'Macao Daily'!L15</f>
        <v>403</v>
      </c>
    </row>
    <row r="13" spans="1:14" ht="15" x14ac:dyDescent="0.25">
      <c r="A13" s="6" t="s">
        <v>13</v>
      </c>
      <c r="B13" s="7">
        <f t="shared" si="0"/>
        <v>12</v>
      </c>
      <c r="C13" s="8">
        <v>2</v>
      </c>
      <c r="D13" s="7">
        <v>2022</v>
      </c>
      <c r="E13" s="9">
        <f>'Macao Daily'!D16</f>
        <v>32607</v>
      </c>
      <c r="F13" s="32">
        <v>1.2013</v>
      </c>
      <c r="G13" s="9">
        <f>'Macao Daily'!F16</f>
        <v>69</v>
      </c>
      <c r="H13" s="32">
        <v>10.7</v>
      </c>
      <c r="I13" s="9">
        <f>'Macao Daily'!H16</f>
        <v>22899</v>
      </c>
      <c r="J13" s="32">
        <v>0.19</v>
      </c>
      <c r="K13" s="9">
        <f>'Macao Daily'!J16</f>
        <v>600</v>
      </c>
      <c r="L13" s="32">
        <v>7.7584</v>
      </c>
      <c r="M13" s="9">
        <f>'Macao Daily'!K16</f>
        <v>161</v>
      </c>
      <c r="N13" s="9">
        <f>'Macao Daily'!L16</f>
        <v>483</v>
      </c>
    </row>
    <row r="14" spans="1:14" ht="15" x14ac:dyDescent="0.25">
      <c r="A14" s="6" t="s">
        <v>13</v>
      </c>
      <c r="B14" s="7">
        <f t="shared" si="0"/>
        <v>13</v>
      </c>
      <c r="C14" s="8">
        <v>2</v>
      </c>
      <c r="D14" s="7">
        <v>2022</v>
      </c>
      <c r="E14" s="9">
        <f>'Macao Daily'!D17</f>
        <v>34607</v>
      </c>
      <c r="F14" s="32">
        <v>1.2013</v>
      </c>
      <c r="G14" s="9">
        <f>'Macao Daily'!F17</f>
        <v>95</v>
      </c>
      <c r="H14" s="32">
        <v>10.7</v>
      </c>
      <c r="I14" s="9">
        <f>'Macao Daily'!H17</f>
        <v>21000</v>
      </c>
      <c r="J14" s="32">
        <v>0.19</v>
      </c>
      <c r="K14" s="9">
        <f>'Macao Daily'!J17</f>
        <v>608</v>
      </c>
      <c r="L14" s="32">
        <v>7.7584</v>
      </c>
      <c r="M14" s="9">
        <f>'Macao Daily'!K17</f>
        <v>151</v>
      </c>
      <c r="N14" s="9">
        <f>'Macao Daily'!L17</f>
        <v>691</v>
      </c>
    </row>
    <row r="15" spans="1:14" ht="15" x14ac:dyDescent="0.25">
      <c r="A15" s="6" t="s">
        <v>13</v>
      </c>
      <c r="B15" s="7">
        <f t="shared" si="0"/>
        <v>14</v>
      </c>
      <c r="C15" s="8">
        <v>2</v>
      </c>
      <c r="D15" s="7">
        <v>2022</v>
      </c>
      <c r="E15" s="9">
        <f>'Macao Daily'!D18</f>
        <v>32993</v>
      </c>
      <c r="F15" s="32">
        <v>1.2013</v>
      </c>
      <c r="G15" s="9">
        <f>'Macao Daily'!F18</f>
        <v>61</v>
      </c>
      <c r="H15" s="32">
        <v>10.7</v>
      </c>
      <c r="I15" s="9">
        <f>'Macao Daily'!H18</f>
        <v>19265</v>
      </c>
      <c r="J15" s="32">
        <v>0.19</v>
      </c>
      <c r="K15" s="9">
        <f>'Macao Daily'!J18</f>
        <v>621</v>
      </c>
      <c r="L15" s="32">
        <v>7.7584</v>
      </c>
      <c r="M15" s="9">
        <f>'Macao Daily'!K18</f>
        <v>159</v>
      </c>
      <c r="N15" s="9">
        <f>'Macao Daily'!L18</f>
        <v>325</v>
      </c>
    </row>
    <row r="16" spans="1:14" ht="15" x14ac:dyDescent="0.25">
      <c r="A16" s="6" t="s">
        <v>13</v>
      </c>
      <c r="B16" s="7">
        <f t="shared" si="0"/>
        <v>15</v>
      </c>
      <c r="C16" s="8">
        <v>2</v>
      </c>
      <c r="D16" s="7">
        <v>2022</v>
      </c>
      <c r="E16" s="9">
        <f>'Macao Daily'!D19</f>
        <v>31526</v>
      </c>
      <c r="F16" s="32">
        <v>1.2013</v>
      </c>
      <c r="G16" s="9">
        <f>'Macao Daily'!F19</f>
        <v>73</v>
      </c>
      <c r="H16" s="32">
        <v>10.7</v>
      </c>
      <c r="I16" s="9">
        <f>'Macao Daily'!H19</f>
        <v>20016</v>
      </c>
      <c r="J16" s="32">
        <v>0.19</v>
      </c>
      <c r="K16" s="9">
        <f>'Macao Daily'!J19</f>
        <v>600</v>
      </c>
      <c r="L16" s="32">
        <v>7.7584</v>
      </c>
      <c r="M16" s="9">
        <f>'Macao Daily'!K19</f>
        <v>109</v>
      </c>
      <c r="N16" s="9">
        <f>'Macao Daily'!L19</f>
        <v>248</v>
      </c>
    </row>
    <row r="17" spans="1:14" ht="15" x14ac:dyDescent="0.25">
      <c r="A17" s="6" t="s">
        <v>13</v>
      </c>
      <c r="B17" s="7">
        <f t="shared" si="0"/>
        <v>16</v>
      </c>
      <c r="C17" s="8">
        <v>2</v>
      </c>
      <c r="D17" s="7">
        <v>2022</v>
      </c>
      <c r="E17" s="9">
        <f>'Macao Daily'!D20</f>
        <v>31759</v>
      </c>
      <c r="F17" s="32">
        <v>1.2013</v>
      </c>
      <c r="G17" s="9">
        <f>'Macao Daily'!F20</f>
        <v>49</v>
      </c>
      <c r="H17" s="32">
        <v>10.7</v>
      </c>
      <c r="I17" s="9">
        <f>'Macao Daily'!H20</f>
        <v>21055</v>
      </c>
      <c r="J17" s="32">
        <v>0.19</v>
      </c>
      <c r="K17" s="9">
        <f>'Macao Daily'!J20</f>
        <v>528</v>
      </c>
      <c r="L17" s="32">
        <v>7.7584</v>
      </c>
      <c r="M17" s="9">
        <f>'Macao Daily'!K20</f>
        <v>111</v>
      </c>
      <c r="N17" s="9">
        <f>'Macao Daily'!L20</f>
        <v>282</v>
      </c>
    </row>
    <row r="18" spans="1:14" ht="15" x14ac:dyDescent="0.25">
      <c r="A18" s="6" t="s">
        <v>13</v>
      </c>
      <c r="B18" s="7">
        <f t="shared" si="0"/>
        <v>17</v>
      </c>
      <c r="C18" s="8">
        <v>2</v>
      </c>
      <c r="D18" s="7">
        <v>2022</v>
      </c>
      <c r="E18" s="9">
        <f>'Macao Daily'!D21</f>
        <v>33336</v>
      </c>
      <c r="F18" s="32">
        <v>1.2013</v>
      </c>
      <c r="G18" s="9">
        <f>'Macao Daily'!F21</f>
        <v>68</v>
      </c>
      <c r="H18" s="32">
        <v>10.7</v>
      </c>
      <c r="I18" s="9">
        <f>'Macao Daily'!H21</f>
        <v>19273</v>
      </c>
      <c r="J18" s="32">
        <v>0.19</v>
      </c>
      <c r="K18" s="9">
        <f>'Macao Daily'!J21</f>
        <v>535</v>
      </c>
      <c r="L18" s="32">
        <v>7.7584</v>
      </c>
      <c r="M18" s="9">
        <f>'Macao Daily'!K21</f>
        <v>108</v>
      </c>
      <c r="N18" s="9">
        <f>'Macao Daily'!L21</f>
        <v>255</v>
      </c>
    </row>
    <row r="19" spans="1:14" ht="15" x14ac:dyDescent="0.25">
      <c r="A19" s="6" t="s">
        <v>13</v>
      </c>
      <c r="B19" s="7">
        <f t="shared" si="0"/>
        <v>18</v>
      </c>
      <c r="C19" s="8">
        <v>2</v>
      </c>
      <c r="D19" s="7">
        <v>2022</v>
      </c>
      <c r="E19" s="9">
        <f>'Macao Daily'!D22</f>
        <v>33041</v>
      </c>
      <c r="F19" s="32">
        <v>1.2013</v>
      </c>
      <c r="G19" s="9">
        <f>'Macao Daily'!F22</f>
        <v>73</v>
      </c>
      <c r="H19" s="32">
        <v>10.7</v>
      </c>
      <c r="I19" s="9">
        <f>'Macao Daily'!H22</f>
        <v>20359</v>
      </c>
      <c r="J19" s="32">
        <v>0.19</v>
      </c>
      <c r="K19" s="9">
        <f>'Macao Daily'!J22</f>
        <v>568</v>
      </c>
      <c r="L19" s="32">
        <v>7.7584</v>
      </c>
      <c r="M19" s="9">
        <f>'Macao Daily'!K22</f>
        <v>130</v>
      </c>
      <c r="N19" s="9">
        <f>'Macao Daily'!L22</f>
        <v>287</v>
      </c>
    </row>
    <row r="20" spans="1:14" ht="15" x14ac:dyDescent="0.25">
      <c r="A20" s="6" t="s">
        <v>13</v>
      </c>
      <c r="B20" s="7">
        <f t="shared" si="0"/>
        <v>19</v>
      </c>
      <c r="C20" s="8">
        <v>2</v>
      </c>
      <c r="D20" s="7">
        <v>2022</v>
      </c>
      <c r="E20" s="9">
        <f>'Macao Daily'!D23</f>
        <v>34989</v>
      </c>
      <c r="F20" s="32">
        <v>1.2013</v>
      </c>
      <c r="G20" s="9">
        <f>'Macao Daily'!F23</f>
        <v>94</v>
      </c>
      <c r="H20" s="32">
        <v>10.7</v>
      </c>
      <c r="I20" s="9">
        <f>'Macao Daily'!H23</f>
        <v>18453</v>
      </c>
      <c r="J20" s="32">
        <v>0.19</v>
      </c>
      <c r="K20" s="9">
        <f>'Macao Daily'!J23</f>
        <v>608</v>
      </c>
      <c r="L20" s="32">
        <v>7.7584</v>
      </c>
      <c r="M20" s="9">
        <f>'Macao Daily'!K23</f>
        <v>138</v>
      </c>
      <c r="N20" s="9">
        <f>'Macao Daily'!L23</f>
        <v>527</v>
      </c>
    </row>
    <row r="21" spans="1:14" ht="15" x14ac:dyDescent="0.25">
      <c r="A21" s="6" t="s">
        <v>13</v>
      </c>
      <c r="B21" s="7">
        <f t="shared" si="0"/>
        <v>20</v>
      </c>
      <c r="C21" s="8">
        <v>2</v>
      </c>
      <c r="D21" s="7">
        <v>2022</v>
      </c>
      <c r="E21" s="9">
        <f>'Macao Daily'!D24</f>
        <v>32284</v>
      </c>
      <c r="F21" s="32">
        <v>1.2013</v>
      </c>
      <c r="G21" s="9">
        <f>'Macao Daily'!F24</f>
        <v>77</v>
      </c>
      <c r="H21" s="32">
        <v>10.7</v>
      </c>
      <c r="I21" s="9">
        <f>'Macao Daily'!H24</f>
        <v>12579</v>
      </c>
      <c r="J21" s="32">
        <v>0.19</v>
      </c>
      <c r="K21" s="9">
        <f>'Macao Daily'!J24</f>
        <v>593</v>
      </c>
      <c r="L21" s="32">
        <v>7.7584</v>
      </c>
      <c r="M21" s="9">
        <f>'Macao Daily'!K24</f>
        <v>100</v>
      </c>
      <c r="N21" s="9">
        <f>'Macao Daily'!L24</f>
        <v>555</v>
      </c>
    </row>
    <row r="22" spans="1:14" ht="15" x14ac:dyDescent="0.25">
      <c r="A22" s="6" t="s">
        <v>13</v>
      </c>
      <c r="B22" s="7">
        <f t="shared" si="0"/>
        <v>21</v>
      </c>
      <c r="C22" s="8">
        <v>2</v>
      </c>
      <c r="D22" s="7">
        <v>2022</v>
      </c>
      <c r="E22" s="9">
        <f>'Macao Daily'!D25</f>
        <v>30930</v>
      </c>
      <c r="F22" s="32">
        <v>1.2013</v>
      </c>
      <c r="G22" s="9">
        <f>'Macao Daily'!F25</f>
        <v>61</v>
      </c>
      <c r="H22" s="32">
        <v>10.7</v>
      </c>
      <c r="I22" s="9">
        <f>'Macao Daily'!H25</f>
        <v>10250</v>
      </c>
      <c r="J22" s="32">
        <v>0.19</v>
      </c>
      <c r="K22" s="9">
        <f>'Macao Daily'!J25</f>
        <v>531</v>
      </c>
      <c r="L22" s="32">
        <v>7.7584</v>
      </c>
      <c r="M22" s="9">
        <f>'Macao Daily'!K25</f>
        <v>92</v>
      </c>
      <c r="N22" s="9">
        <f>'Macao Daily'!L25</f>
        <v>173</v>
      </c>
    </row>
    <row r="23" spans="1:14" ht="15" x14ac:dyDescent="0.25">
      <c r="A23" s="6" t="s">
        <v>13</v>
      </c>
      <c r="B23" s="7">
        <f t="shared" si="0"/>
        <v>22</v>
      </c>
      <c r="C23" s="8">
        <v>2</v>
      </c>
      <c r="D23" s="7">
        <v>2022</v>
      </c>
      <c r="E23" s="9">
        <f>'Macao Daily'!D26</f>
        <v>30998</v>
      </c>
      <c r="F23" s="32">
        <v>1.2013</v>
      </c>
      <c r="G23" s="9">
        <f>'Macao Daily'!F26</f>
        <v>47</v>
      </c>
      <c r="H23" s="32">
        <v>10.7</v>
      </c>
      <c r="I23" s="9">
        <f>'Macao Daily'!H26</f>
        <v>9961</v>
      </c>
      <c r="J23" s="32">
        <v>0.19</v>
      </c>
      <c r="K23" s="9">
        <f>'Macao Daily'!J26</f>
        <v>519</v>
      </c>
      <c r="L23" s="32">
        <v>7.7584</v>
      </c>
      <c r="M23" s="9">
        <f>'Macao Daily'!K26</f>
        <v>92</v>
      </c>
      <c r="N23" s="9">
        <f>'Macao Daily'!L26</f>
        <v>160</v>
      </c>
    </row>
    <row r="24" spans="1:14" ht="15" x14ac:dyDescent="0.25">
      <c r="A24" s="6" t="s">
        <v>13</v>
      </c>
      <c r="B24" s="7">
        <f t="shared" si="0"/>
        <v>23</v>
      </c>
      <c r="C24" s="8">
        <v>2</v>
      </c>
      <c r="D24" s="7">
        <v>2022</v>
      </c>
      <c r="E24" s="9">
        <f>'Macao Daily'!D27</f>
        <v>31771</v>
      </c>
      <c r="F24" s="32">
        <v>1.2013</v>
      </c>
      <c r="G24" s="9">
        <f>'Macao Daily'!F27</f>
        <v>62</v>
      </c>
      <c r="H24" s="32">
        <v>10.7</v>
      </c>
      <c r="I24" s="9">
        <f>'Macao Daily'!H27</f>
        <v>11304</v>
      </c>
      <c r="J24" s="32">
        <v>0.19</v>
      </c>
      <c r="K24" s="9">
        <f>'Macao Daily'!J27</f>
        <v>542</v>
      </c>
      <c r="L24" s="32">
        <v>7.7584</v>
      </c>
      <c r="M24" s="9">
        <f>'Macao Daily'!K27</f>
        <v>105</v>
      </c>
      <c r="N24" s="9">
        <f>'Macao Daily'!L27</f>
        <v>152</v>
      </c>
    </row>
    <row r="25" spans="1:14" ht="15" x14ac:dyDescent="0.25">
      <c r="A25" s="6" t="s">
        <v>13</v>
      </c>
      <c r="B25" s="7">
        <f t="shared" si="0"/>
        <v>24</v>
      </c>
      <c r="C25" s="8">
        <v>2</v>
      </c>
      <c r="D25" s="7">
        <v>2022</v>
      </c>
      <c r="E25" s="9">
        <f>'Macao Daily'!D28</f>
        <v>32291</v>
      </c>
      <c r="F25" s="32">
        <v>1.2013</v>
      </c>
      <c r="G25" s="9">
        <f>'Macao Daily'!F28</f>
        <v>73</v>
      </c>
      <c r="H25" s="32">
        <v>10.7</v>
      </c>
      <c r="I25" s="9">
        <f>'Macao Daily'!H28</f>
        <v>12281</v>
      </c>
      <c r="J25" s="32">
        <v>0.19</v>
      </c>
      <c r="K25" s="9">
        <f>'Macao Daily'!J28</f>
        <v>547</v>
      </c>
      <c r="L25" s="32">
        <v>7.7584</v>
      </c>
      <c r="M25" s="9">
        <f>'Macao Daily'!K28</f>
        <v>120</v>
      </c>
      <c r="N25" s="9">
        <f>'Macao Daily'!L28</f>
        <v>186</v>
      </c>
    </row>
    <row r="26" spans="1:14" ht="15" x14ac:dyDescent="0.25">
      <c r="A26" s="6" t="s">
        <v>13</v>
      </c>
      <c r="B26" s="7">
        <f>B25+1</f>
        <v>25</v>
      </c>
      <c r="C26" s="8">
        <v>2</v>
      </c>
      <c r="D26" s="7">
        <v>2022</v>
      </c>
      <c r="E26" s="9">
        <f>'Macao Daily'!D29</f>
        <v>31619</v>
      </c>
      <c r="F26" s="32">
        <v>1.2013</v>
      </c>
      <c r="G26" s="9">
        <f>'Macao Daily'!F29</f>
        <v>64</v>
      </c>
      <c r="H26" s="32">
        <v>10.7</v>
      </c>
      <c r="I26" s="9">
        <f>'Macao Daily'!H29</f>
        <v>13446</v>
      </c>
      <c r="J26" s="32">
        <v>0.19</v>
      </c>
      <c r="K26" s="9">
        <f>'Macao Daily'!J29</f>
        <v>577</v>
      </c>
      <c r="L26" s="32">
        <v>7.7584</v>
      </c>
      <c r="M26" s="9">
        <f>'Macao Daily'!K29</f>
        <v>167</v>
      </c>
      <c r="N26" s="9">
        <f>'Macao Daily'!L29</f>
        <v>254</v>
      </c>
    </row>
    <row r="27" spans="1:14" ht="15" x14ac:dyDescent="0.25">
      <c r="A27" s="6" t="s">
        <v>13</v>
      </c>
      <c r="B27" s="7">
        <f t="shared" si="0"/>
        <v>26</v>
      </c>
      <c r="C27" s="8">
        <v>2</v>
      </c>
      <c r="D27" s="7">
        <v>2022</v>
      </c>
      <c r="E27" s="9">
        <f>'Macao Daily'!D30</f>
        <v>31060</v>
      </c>
      <c r="F27" s="32">
        <v>1.2013</v>
      </c>
      <c r="G27" s="9">
        <f>'Macao Daily'!F30</f>
        <v>71</v>
      </c>
      <c r="H27" s="32">
        <v>10.7</v>
      </c>
      <c r="I27" s="9">
        <f>'Macao Daily'!H30</f>
        <v>15508</v>
      </c>
      <c r="J27" s="32">
        <v>0.19</v>
      </c>
      <c r="K27" s="9">
        <f>'Macao Daily'!J30</f>
        <v>573</v>
      </c>
      <c r="L27" s="32">
        <v>7.7584</v>
      </c>
      <c r="M27" s="9">
        <f>'Macao Daily'!K30</f>
        <v>181</v>
      </c>
      <c r="N27" s="9">
        <f>'Macao Daily'!L30</f>
        <v>288</v>
      </c>
    </row>
    <row r="28" spans="1:14" ht="15" x14ac:dyDescent="0.25">
      <c r="A28" s="6" t="s">
        <v>13</v>
      </c>
      <c r="B28" s="7">
        <f t="shared" si="0"/>
        <v>27</v>
      </c>
      <c r="C28" s="8">
        <v>2</v>
      </c>
      <c r="D28" s="7">
        <v>2022</v>
      </c>
      <c r="E28" s="9">
        <f>'Macao Daily'!D31</f>
        <v>32624</v>
      </c>
      <c r="F28" s="32">
        <v>1.2013</v>
      </c>
      <c r="G28" s="9">
        <f>'Macao Daily'!F31</f>
        <v>82</v>
      </c>
      <c r="H28" s="32">
        <v>10.7</v>
      </c>
      <c r="I28" s="9">
        <f>'Macao Daily'!H31</f>
        <v>19086</v>
      </c>
      <c r="J28" s="32">
        <v>0.19</v>
      </c>
      <c r="K28" s="9">
        <f>'Macao Daily'!J31</f>
        <v>616</v>
      </c>
      <c r="L28" s="32">
        <v>7.7584</v>
      </c>
      <c r="M28" s="9">
        <f>'Macao Daily'!K31</f>
        <v>132</v>
      </c>
      <c r="N28" s="9">
        <f>'Macao Daily'!L31</f>
        <v>469</v>
      </c>
    </row>
    <row r="29" spans="1:14" ht="15" x14ac:dyDescent="0.25">
      <c r="A29" s="6" t="s">
        <v>13</v>
      </c>
      <c r="B29" s="7">
        <f t="shared" si="0"/>
        <v>28</v>
      </c>
      <c r="C29" s="8">
        <v>2</v>
      </c>
      <c r="D29" s="7">
        <v>2022</v>
      </c>
      <c r="E29" s="9">
        <f>'Macao Daily'!D32</f>
        <v>31400</v>
      </c>
      <c r="F29" s="32">
        <v>1.2013</v>
      </c>
      <c r="G29" s="9">
        <f>'Macao Daily'!F32</f>
        <v>71</v>
      </c>
      <c r="H29" s="32">
        <v>10.7</v>
      </c>
      <c r="I29" s="9">
        <f>'Macao Daily'!H32</f>
        <v>21765</v>
      </c>
      <c r="J29" s="32">
        <v>0.19</v>
      </c>
      <c r="K29" s="9">
        <f>'Macao Daily'!J32</f>
        <v>542</v>
      </c>
      <c r="L29" s="32">
        <v>7.7584</v>
      </c>
      <c r="M29" s="9">
        <f>'Macao Daily'!K32</f>
        <v>86</v>
      </c>
      <c r="N29" s="9">
        <f>'Macao Daily'!L32</f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L41"/>
  <sheetViews>
    <sheetView zoomScale="85" zoomScaleNormal="85" workbookViewId="0">
      <pane xSplit="1" topLeftCell="B1" activePane="topRight" state="frozen"/>
      <selection pane="topRight" activeCell="N7" sqref="N7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7"/>
      <c r="C1" s="10"/>
      <c r="D1" s="11"/>
      <c r="E1" s="10"/>
      <c r="F1" s="10"/>
      <c r="G1" s="10"/>
      <c r="H1" s="10"/>
      <c r="I1" s="39"/>
      <c r="J1" s="39"/>
      <c r="K1" s="12"/>
      <c r="L1" s="12"/>
    </row>
    <row r="2" spans="1:12" ht="35.25" customHeight="1" thickBot="1" x14ac:dyDescent="0.3">
      <c r="A2" s="14" t="s">
        <v>14</v>
      </c>
      <c r="B2" s="38"/>
      <c r="C2" s="40" t="s">
        <v>15</v>
      </c>
      <c r="D2" s="41"/>
      <c r="E2" s="42" t="s">
        <v>16</v>
      </c>
      <c r="F2" s="42"/>
      <c r="G2" s="45" t="s">
        <v>17</v>
      </c>
      <c r="H2" s="46"/>
      <c r="I2" s="43" t="s">
        <v>18</v>
      </c>
      <c r="J2" s="44"/>
      <c r="K2" s="15"/>
      <c r="L2" s="15"/>
    </row>
    <row r="3" spans="1:12" ht="44.25" customHeight="1" x14ac:dyDescent="0.25">
      <c r="A3" s="16" t="s">
        <v>19</v>
      </c>
      <c r="B3" s="38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44562</v>
      </c>
      <c r="B4" s="38"/>
      <c r="C4" s="36">
        <v>35103594</v>
      </c>
      <c r="D4" s="26"/>
      <c r="E4" s="36">
        <v>545337</v>
      </c>
      <c r="F4" s="26"/>
      <c r="G4" s="36">
        <v>112620596</v>
      </c>
      <c r="H4" s="26"/>
      <c r="I4" s="47">
        <v>1708987</v>
      </c>
      <c r="J4" s="34">
        <v>0</v>
      </c>
      <c r="K4" s="35">
        <v>341</v>
      </c>
      <c r="L4" s="35">
        <v>762</v>
      </c>
    </row>
    <row r="5" spans="1:12" ht="33" customHeight="1" x14ac:dyDescent="0.25">
      <c r="A5" s="24">
        <v>44593</v>
      </c>
      <c r="B5" s="38"/>
      <c r="C5" s="36">
        <v>35137056</v>
      </c>
      <c r="D5" s="26">
        <f t="shared" ref="D5:D19" si="0">IF((C5-C4&lt;0), "0",C5-C4)</f>
        <v>33462</v>
      </c>
      <c r="E5" s="36">
        <v>545422</v>
      </c>
      <c r="F5" s="26">
        <f>IF((E5-E4&lt;0), "0",E5-E4)</f>
        <v>85</v>
      </c>
      <c r="G5" s="36">
        <v>112633768</v>
      </c>
      <c r="H5" s="26">
        <f>IF((G5-G4&lt;0), "0",G5-G4)</f>
        <v>13172</v>
      </c>
      <c r="I5" s="25">
        <v>1709619</v>
      </c>
      <c r="J5" s="34">
        <f>IF((I5-I4&lt;0), "0",I5-I4)</f>
        <v>632</v>
      </c>
      <c r="K5" s="35">
        <v>182</v>
      </c>
      <c r="L5" s="35">
        <v>674</v>
      </c>
    </row>
    <row r="6" spans="1:12" ht="45" customHeight="1" x14ac:dyDescent="0.25">
      <c r="A6" s="24">
        <v>44594</v>
      </c>
      <c r="B6" s="38"/>
      <c r="C6" s="36">
        <v>35169372</v>
      </c>
      <c r="D6" s="26">
        <f t="shared" si="0"/>
        <v>32316</v>
      </c>
      <c r="E6" s="36">
        <v>545511</v>
      </c>
      <c r="F6" s="26">
        <f t="shared" ref="F6:F19" si="1">IF((E6-E5&lt;0), "0",E6-E5)</f>
        <v>89</v>
      </c>
      <c r="G6" s="36">
        <v>112647143</v>
      </c>
      <c r="H6" s="26">
        <f t="shared" ref="H6:H32" si="2">IF((G6-G5&lt;0), "0",G6-G5)</f>
        <v>13375</v>
      </c>
      <c r="I6" s="25">
        <v>1710232</v>
      </c>
      <c r="J6" s="34">
        <f t="shared" ref="J6:J32" si="3">IF((I6-I5&lt;0), "0",I6-I5)</f>
        <v>613</v>
      </c>
      <c r="K6" s="35">
        <v>220</v>
      </c>
      <c r="L6" s="35">
        <v>750</v>
      </c>
    </row>
    <row r="7" spans="1:12" ht="45" customHeight="1" x14ac:dyDescent="0.25">
      <c r="A7" s="24">
        <v>44595</v>
      </c>
      <c r="B7" s="38"/>
      <c r="C7" s="36">
        <v>35201814</v>
      </c>
      <c r="D7" s="26">
        <f t="shared" si="0"/>
        <v>32442</v>
      </c>
      <c r="E7" s="36">
        <v>545596</v>
      </c>
      <c r="F7" s="26">
        <f t="shared" si="1"/>
        <v>85</v>
      </c>
      <c r="G7" s="36">
        <v>112659245</v>
      </c>
      <c r="H7" s="26">
        <f t="shared" si="2"/>
        <v>12102</v>
      </c>
      <c r="I7" s="25">
        <v>1710884</v>
      </c>
      <c r="J7" s="34">
        <f t="shared" si="3"/>
        <v>652</v>
      </c>
      <c r="K7" s="35">
        <v>348</v>
      </c>
      <c r="L7" s="35">
        <v>888</v>
      </c>
    </row>
    <row r="8" spans="1:12" ht="45" customHeight="1" x14ac:dyDescent="0.25">
      <c r="A8" s="24">
        <v>44596</v>
      </c>
      <c r="B8" s="38"/>
      <c r="C8" s="36">
        <v>35234418</v>
      </c>
      <c r="D8" s="26">
        <f t="shared" si="0"/>
        <v>32604</v>
      </c>
      <c r="E8" s="36">
        <v>545683</v>
      </c>
      <c r="F8" s="26">
        <f t="shared" si="1"/>
        <v>87</v>
      </c>
      <c r="G8" s="36">
        <v>112672963</v>
      </c>
      <c r="H8" s="26">
        <f t="shared" si="2"/>
        <v>13718</v>
      </c>
      <c r="I8" s="25">
        <v>1711577</v>
      </c>
      <c r="J8" s="34">
        <f t="shared" si="3"/>
        <v>693</v>
      </c>
      <c r="K8" s="35">
        <v>342</v>
      </c>
      <c r="L8" s="35">
        <v>940</v>
      </c>
    </row>
    <row r="9" spans="1:12" ht="45" customHeight="1" x14ac:dyDescent="0.25">
      <c r="A9" s="24">
        <v>44597</v>
      </c>
      <c r="B9" s="38"/>
      <c r="C9" s="36">
        <v>35268256</v>
      </c>
      <c r="D9" s="26">
        <f t="shared" si="0"/>
        <v>33838</v>
      </c>
      <c r="E9" s="36">
        <v>545772</v>
      </c>
      <c r="F9" s="26">
        <f t="shared" si="1"/>
        <v>89</v>
      </c>
      <c r="G9" s="36">
        <v>112687784</v>
      </c>
      <c r="H9" s="26">
        <f t="shared" si="2"/>
        <v>14821</v>
      </c>
      <c r="I9" s="25">
        <v>1712302</v>
      </c>
      <c r="J9" s="34">
        <f t="shared" si="3"/>
        <v>725</v>
      </c>
      <c r="K9" s="35">
        <v>295</v>
      </c>
      <c r="L9" s="35">
        <v>932</v>
      </c>
    </row>
    <row r="10" spans="1:12" ht="45" customHeight="1" x14ac:dyDescent="0.25">
      <c r="A10" s="24">
        <v>44598</v>
      </c>
      <c r="B10" s="38"/>
      <c r="C10" s="36">
        <v>35300508</v>
      </c>
      <c r="D10" s="26">
        <f t="shared" si="0"/>
        <v>32252</v>
      </c>
      <c r="E10" s="36">
        <v>545846</v>
      </c>
      <c r="F10" s="26">
        <f t="shared" si="1"/>
        <v>74</v>
      </c>
      <c r="G10" s="36">
        <v>112704268</v>
      </c>
      <c r="H10" s="26">
        <f t="shared" si="2"/>
        <v>16484</v>
      </c>
      <c r="I10" s="25">
        <v>1712955</v>
      </c>
      <c r="J10" s="34">
        <f t="shared" si="3"/>
        <v>653</v>
      </c>
      <c r="K10" s="35">
        <v>244</v>
      </c>
      <c r="L10" s="35">
        <v>822</v>
      </c>
    </row>
    <row r="11" spans="1:12" ht="45" customHeight="1" x14ac:dyDescent="0.25">
      <c r="A11" s="24">
        <v>44599</v>
      </c>
      <c r="B11" s="38"/>
      <c r="C11" s="36">
        <v>35331796</v>
      </c>
      <c r="D11" s="26">
        <f t="shared" si="0"/>
        <v>31288</v>
      </c>
      <c r="E11" s="36">
        <v>545930</v>
      </c>
      <c r="F11" s="26">
        <f t="shared" si="1"/>
        <v>84</v>
      </c>
      <c r="G11" s="36">
        <v>112722776</v>
      </c>
      <c r="H11" s="26">
        <f t="shared" si="2"/>
        <v>18508</v>
      </c>
      <c r="I11" s="25">
        <v>1713588</v>
      </c>
      <c r="J11" s="34">
        <f t="shared" si="3"/>
        <v>633</v>
      </c>
      <c r="K11" s="35">
        <v>252</v>
      </c>
      <c r="L11" s="35">
        <v>482</v>
      </c>
    </row>
    <row r="12" spans="1:12" ht="45" customHeight="1" x14ac:dyDescent="0.25">
      <c r="A12" s="24">
        <v>44600</v>
      </c>
      <c r="B12" s="38"/>
      <c r="C12" s="36">
        <v>35363771</v>
      </c>
      <c r="D12" s="26">
        <f t="shared" si="0"/>
        <v>31975</v>
      </c>
      <c r="E12" s="36">
        <v>545983</v>
      </c>
      <c r="F12" s="26">
        <f t="shared" si="1"/>
        <v>53</v>
      </c>
      <c r="G12" s="36">
        <v>112740112</v>
      </c>
      <c r="H12" s="26">
        <f t="shared" si="2"/>
        <v>17336</v>
      </c>
      <c r="I12" s="25">
        <v>1714201</v>
      </c>
      <c r="J12" s="34">
        <f t="shared" si="3"/>
        <v>613</v>
      </c>
      <c r="K12" s="35">
        <v>210</v>
      </c>
      <c r="L12" s="35">
        <v>372</v>
      </c>
    </row>
    <row r="13" spans="1:12" ht="45" customHeight="1" x14ac:dyDescent="0.25">
      <c r="A13" s="24">
        <v>44601</v>
      </c>
      <c r="B13" s="38"/>
      <c r="C13" s="36">
        <v>35396834</v>
      </c>
      <c r="D13" s="26">
        <f t="shared" si="0"/>
        <v>33063</v>
      </c>
      <c r="E13" s="36">
        <v>546045</v>
      </c>
      <c r="F13" s="26">
        <f t="shared" si="1"/>
        <v>62</v>
      </c>
      <c r="G13" s="36">
        <v>112756792</v>
      </c>
      <c r="H13" s="26">
        <f t="shared" si="2"/>
        <v>16680</v>
      </c>
      <c r="I13" s="25">
        <v>1714787</v>
      </c>
      <c r="J13" s="34">
        <f t="shared" si="3"/>
        <v>586</v>
      </c>
      <c r="K13" s="35">
        <v>196</v>
      </c>
      <c r="L13" s="35">
        <v>357</v>
      </c>
    </row>
    <row r="14" spans="1:12" ht="45" customHeight="1" x14ac:dyDescent="0.25">
      <c r="A14" s="24">
        <v>44602</v>
      </c>
      <c r="B14" s="38"/>
      <c r="C14" s="36">
        <v>35428589</v>
      </c>
      <c r="D14" s="26">
        <f t="shared" si="0"/>
        <v>31755</v>
      </c>
      <c r="E14" s="36">
        <v>546112</v>
      </c>
      <c r="F14" s="26">
        <f t="shared" si="1"/>
        <v>67</v>
      </c>
      <c r="G14" s="36">
        <v>112773557</v>
      </c>
      <c r="H14" s="26">
        <f t="shared" si="2"/>
        <v>16765</v>
      </c>
      <c r="I14" s="25">
        <v>1715376</v>
      </c>
      <c r="J14" s="34">
        <f t="shared" si="3"/>
        <v>589</v>
      </c>
      <c r="K14" s="35">
        <v>183</v>
      </c>
      <c r="L14" s="35">
        <v>339</v>
      </c>
    </row>
    <row r="15" spans="1:12" ht="45" customHeight="1" x14ac:dyDescent="0.25">
      <c r="A15" s="24">
        <v>44603</v>
      </c>
      <c r="B15" s="38"/>
      <c r="C15" s="36">
        <v>35461170</v>
      </c>
      <c r="D15" s="26">
        <f t="shared" si="0"/>
        <v>32581</v>
      </c>
      <c r="E15" s="36">
        <v>546189</v>
      </c>
      <c r="F15" s="26">
        <f t="shared" si="1"/>
        <v>77</v>
      </c>
      <c r="G15" s="36">
        <v>112794557</v>
      </c>
      <c r="H15" s="26">
        <f t="shared" si="2"/>
        <v>21000</v>
      </c>
      <c r="I15" s="25">
        <v>1715982</v>
      </c>
      <c r="J15" s="34">
        <f t="shared" si="3"/>
        <v>606</v>
      </c>
      <c r="K15" s="35">
        <v>162</v>
      </c>
      <c r="L15" s="35">
        <v>403</v>
      </c>
    </row>
    <row r="16" spans="1:12" ht="45" customHeight="1" x14ac:dyDescent="0.25">
      <c r="A16" s="24">
        <v>44604</v>
      </c>
      <c r="B16" s="38"/>
      <c r="C16" s="36">
        <v>35493777</v>
      </c>
      <c r="D16" s="26">
        <f t="shared" si="0"/>
        <v>32607</v>
      </c>
      <c r="E16" s="36">
        <v>546258</v>
      </c>
      <c r="F16" s="26">
        <f t="shared" si="1"/>
        <v>69</v>
      </c>
      <c r="G16" s="36">
        <v>112817456</v>
      </c>
      <c r="H16" s="26">
        <f t="shared" si="2"/>
        <v>22899</v>
      </c>
      <c r="I16" s="25">
        <v>1716582</v>
      </c>
      <c r="J16" s="34">
        <f t="shared" si="3"/>
        <v>600</v>
      </c>
      <c r="K16" s="35">
        <v>161</v>
      </c>
      <c r="L16" s="35">
        <v>483</v>
      </c>
    </row>
    <row r="17" spans="1:12" ht="45" customHeight="1" x14ac:dyDescent="0.25">
      <c r="A17" s="24">
        <v>44605</v>
      </c>
      <c r="B17" s="38"/>
      <c r="C17" s="36">
        <v>35528384</v>
      </c>
      <c r="D17" s="26">
        <f t="shared" si="0"/>
        <v>34607</v>
      </c>
      <c r="E17" s="36">
        <v>546353</v>
      </c>
      <c r="F17" s="26">
        <f t="shared" si="1"/>
        <v>95</v>
      </c>
      <c r="G17" s="36">
        <v>112838456</v>
      </c>
      <c r="H17" s="26">
        <f t="shared" si="2"/>
        <v>21000</v>
      </c>
      <c r="I17" s="25">
        <v>1717190</v>
      </c>
      <c r="J17" s="34">
        <f t="shared" si="3"/>
        <v>608</v>
      </c>
      <c r="K17" s="35">
        <v>151</v>
      </c>
      <c r="L17" s="35">
        <v>691</v>
      </c>
    </row>
    <row r="18" spans="1:12" ht="45" customHeight="1" x14ac:dyDescent="0.25">
      <c r="A18" s="24">
        <v>44606</v>
      </c>
      <c r="B18" s="38"/>
      <c r="C18" s="36">
        <v>35561377</v>
      </c>
      <c r="D18" s="26">
        <f t="shared" si="0"/>
        <v>32993</v>
      </c>
      <c r="E18" s="36">
        <v>546414</v>
      </c>
      <c r="F18" s="26">
        <f t="shared" si="1"/>
        <v>61</v>
      </c>
      <c r="G18" s="36">
        <v>112857721</v>
      </c>
      <c r="H18" s="26">
        <f t="shared" si="2"/>
        <v>19265</v>
      </c>
      <c r="I18" s="25">
        <v>1717811</v>
      </c>
      <c r="J18" s="34">
        <f t="shared" si="3"/>
        <v>621</v>
      </c>
      <c r="K18" s="35">
        <v>159</v>
      </c>
      <c r="L18" s="35">
        <v>325</v>
      </c>
    </row>
    <row r="19" spans="1:12" ht="45" customHeight="1" x14ac:dyDescent="0.25">
      <c r="A19" s="24">
        <v>44607</v>
      </c>
      <c r="B19" s="38"/>
      <c r="C19" s="36">
        <v>35592903</v>
      </c>
      <c r="D19" s="26">
        <f t="shared" si="0"/>
        <v>31526</v>
      </c>
      <c r="E19" s="36">
        <v>546487</v>
      </c>
      <c r="F19" s="26">
        <f t="shared" si="1"/>
        <v>73</v>
      </c>
      <c r="G19" s="36">
        <v>112877737</v>
      </c>
      <c r="H19" s="26">
        <f t="shared" si="2"/>
        <v>20016</v>
      </c>
      <c r="I19" s="25">
        <v>1718411</v>
      </c>
      <c r="J19" s="34">
        <f t="shared" si="3"/>
        <v>600</v>
      </c>
      <c r="K19" s="35">
        <v>109</v>
      </c>
      <c r="L19" s="35">
        <v>248</v>
      </c>
    </row>
    <row r="20" spans="1:12" ht="45" customHeight="1" x14ac:dyDescent="0.25">
      <c r="A20" s="24">
        <v>44608</v>
      </c>
      <c r="B20" s="38"/>
      <c r="C20" s="36">
        <v>35624662</v>
      </c>
      <c r="D20" s="26">
        <f t="shared" ref="D20:D32" si="4">IF((C20-C19&lt;0), "0",C20-C19)</f>
        <v>31759</v>
      </c>
      <c r="E20" s="36">
        <v>546536</v>
      </c>
      <c r="F20" s="26">
        <f t="shared" ref="F20:F32" si="5">IF((E20-E19&lt;0), "0",E20-E19)</f>
        <v>49</v>
      </c>
      <c r="G20" s="36">
        <v>112898792</v>
      </c>
      <c r="H20" s="26">
        <f t="shared" si="2"/>
        <v>21055</v>
      </c>
      <c r="I20" s="25">
        <v>1718939</v>
      </c>
      <c r="J20" s="34">
        <f t="shared" si="3"/>
        <v>528</v>
      </c>
      <c r="K20" s="35">
        <v>111</v>
      </c>
      <c r="L20" s="35">
        <v>282</v>
      </c>
    </row>
    <row r="21" spans="1:12" ht="45" customHeight="1" x14ac:dyDescent="0.25">
      <c r="A21" s="24">
        <v>44609</v>
      </c>
      <c r="B21" s="38"/>
      <c r="C21" s="36">
        <v>35657998</v>
      </c>
      <c r="D21" s="26">
        <f t="shared" si="4"/>
        <v>33336</v>
      </c>
      <c r="E21" s="36">
        <v>546604</v>
      </c>
      <c r="F21" s="26">
        <f t="shared" si="5"/>
        <v>68</v>
      </c>
      <c r="G21" s="36">
        <v>112918065</v>
      </c>
      <c r="H21" s="26">
        <f t="shared" si="2"/>
        <v>19273</v>
      </c>
      <c r="I21" s="25">
        <v>1719474</v>
      </c>
      <c r="J21" s="34">
        <f t="shared" si="3"/>
        <v>535</v>
      </c>
      <c r="K21" s="35">
        <v>108</v>
      </c>
      <c r="L21" s="35">
        <v>255</v>
      </c>
    </row>
    <row r="22" spans="1:12" ht="45" customHeight="1" x14ac:dyDescent="0.25">
      <c r="A22" s="24">
        <v>44610</v>
      </c>
      <c r="B22" s="38"/>
      <c r="C22" s="36">
        <v>35691039</v>
      </c>
      <c r="D22" s="26">
        <f t="shared" si="4"/>
        <v>33041</v>
      </c>
      <c r="E22" s="36">
        <v>546677</v>
      </c>
      <c r="F22" s="26">
        <f t="shared" si="5"/>
        <v>73</v>
      </c>
      <c r="G22" s="36">
        <v>112938424</v>
      </c>
      <c r="H22" s="26">
        <f t="shared" si="2"/>
        <v>20359</v>
      </c>
      <c r="I22" s="25">
        <v>1720042</v>
      </c>
      <c r="J22" s="34">
        <f t="shared" si="3"/>
        <v>568</v>
      </c>
      <c r="K22" s="35">
        <v>130</v>
      </c>
      <c r="L22" s="35">
        <v>287</v>
      </c>
    </row>
    <row r="23" spans="1:12" ht="45" customHeight="1" x14ac:dyDescent="0.25">
      <c r="A23" s="24">
        <v>44611</v>
      </c>
      <c r="B23" s="38"/>
      <c r="C23" s="36">
        <v>35726028</v>
      </c>
      <c r="D23" s="26">
        <f t="shared" si="4"/>
        <v>34989</v>
      </c>
      <c r="E23" s="36">
        <v>546771</v>
      </c>
      <c r="F23" s="26">
        <f t="shared" si="5"/>
        <v>94</v>
      </c>
      <c r="G23" s="36">
        <v>112956877</v>
      </c>
      <c r="H23" s="26">
        <f t="shared" si="2"/>
        <v>18453</v>
      </c>
      <c r="I23" s="25">
        <v>1720650</v>
      </c>
      <c r="J23" s="34">
        <f t="shared" si="3"/>
        <v>608</v>
      </c>
      <c r="K23" s="35">
        <v>138</v>
      </c>
      <c r="L23" s="35">
        <v>527</v>
      </c>
    </row>
    <row r="24" spans="1:12" ht="45" customHeight="1" x14ac:dyDescent="0.25">
      <c r="A24" s="24">
        <v>44612</v>
      </c>
      <c r="B24" s="38"/>
      <c r="C24" s="36">
        <v>35758312</v>
      </c>
      <c r="D24" s="26">
        <f t="shared" si="4"/>
        <v>32284</v>
      </c>
      <c r="E24" s="36">
        <v>546848</v>
      </c>
      <c r="F24" s="26">
        <f t="shared" si="5"/>
        <v>77</v>
      </c>
      <c r="G24" s="36">
        <v>112969456</v>
      </c>
      <c r="H24" s="26">
        <f t="shared" si="2"/>
        <v>12579</v>
      </c>
      <c r="I24" s="25">
        <v>1721243</v>
      </c>
      <c r="J24" s="34">
        <f t="shared" si="3"/>
        <v>593</v>
      </c>
      <c r="K24" s="35">
        <v>100</v>
      </c>
      <c r="L24" s="35">
        <v>555</v>
      </c>
    </row>
    <row r="25" spans="1:12" ht="45" customHeight="1" x14ac:dyDescent="0.25">
      <c r="A25" s="24">
        <v>44613</v>
      </c>
      <c r="B25" s="38"/>
      <c r="C25" s="36">
        <v>35789242</v>
      </c>
      <c r="D25" s="26">
        <f t="shared" si="4"/>
        <v>30930</v>
      </c>
      <c r="E25" s="36">
        <v>546909</v>
      </c>
      <c r="F25" s="26">
        <f t="shared" si="5"/>
        <v>61</v>
      </c>
      <c r="G25" s="36">
        <v>112979706</v>
      </c>
      <c r="H25" s="26">
        <f t="shared" si="2"/>
        <v>10250</v>
      </c>
      <c r="I25" s="25">
        <v>1721774</v>
      </c>
      <c r="J25" s="34">
        <f t="shared" si="3"/>
        <v>531</v>
      </c>
      <c r="K25" s="35">
        <v>92</v>
      </c>
      <c r="L25" s="35">
        <v>173</v>
      </c>
    </row>
    <row r="26" spans="1:12" ht="45" customHeight="1" x14ac:dyDescent="0.25">
      <c r="A26" s="24">
        <v>44614</v>
      </c>
      <c r="B26" s="38"/>
      <c r="C26" s="36">
        <v>35820240</v>
      </c>
      <c r="D26" s="26">
        <f t="shared" si="4"/>
        <v>30998</v>
      </c>
      <c r="E26" s="36">
        <v>546956</v>
      </c>
      <c r="F26" s="26">
        <f t="shared" si="5"/>
        <v>47</v>
      </c>
      <c r="G26" s="36">
        <v>112989667</v>
      </c>
      <c r="H26" s="26">
        <f t="shared" si="2"/>
        <v>9961</v>
      </c>
      <c r="I26" s="25">
        <v>1722293</v>
      </c>
      <c r="J26" s="34">
        <f t="shared" si="3"/>
        <v>519</v>
      </c>
      <c r="K26" s="35">
        <v>92</v>
      </c>
      <c r="L26" s="35">
        <v>160</v>
      </c>
    </row>
    <row r="27" spans="1:12" ht="45" customHeight="1" x14ac:dyDescent="0.25">
      <c r="A27" s="24">
        <v>44615</v>
      </c>
      <c r="B27" s="38"/>
      <c r="C27" s="36">
        <v>35852011</v>
      </c>
      <c r="D27" s="26">
        <f t="shared" si="4"/>
        <v>31771</v>
      </c>
      <c r="E27" s="36">
        <v>547018</v>
      </c>
      <c r="F27" s="26">
        <f t="shared" si="5"/>
        <v>62</v>
      </c>
      <c r="G27" s="36">
        <v>113000971</v>
      </c>
      <c r="H27" s="26">
        <f t="shared" si="2"/>
        <v>11304</v>
      </c>
      <c r="I27" s="25">
        <v>1722835</v>
      </c>
      <c r="J27" s="34">
        <f t="shared" si="3"/>
        <v>542</v>
      </c>
      <c r="K27" s="35">
        <v>105</v>
      </c>
      <c r="L27" s="35">
        <v>152</v>
      </c>
    </row>
    <row r="28" spans="1:12" ht="45" customHeight="1" x14ac:dyDescent="0.25">
      <c r="A28" s="24">
        <v>44616</v>
      </c>
      <c r="B28" s="38"/>
      <c r="C28" s="36">
        <v>35884302</v>
      </c>
      <c r="D28" s="26">
        <f t="shared" si="4"/>
        <v>32291</v>
      </c>
      <c r="E28" s="36">
        <v>547091</v>
      </c>
      <c r="F28" s="26">
        <f t="shared" si="5"/>
        <v>73</v>
      </c>
      <c r="G28" s="36">
        <v>113013252</v>
      </c>
      <c r="H28" s="26">
        <f t="shared" si="2"/>
        <v>12281</v>
      </c>
      <c r="I28" s="25">
        <v>1723382</v>
      </c>
      <c r="J28" s="34">
        <f t="shared" si="3"/>
        <v>547</v>
      </c>
      <c r="K28" s="35">
        <v>120</v>
      </c>
      <c r="L28" s="35">
        <v>186</v>
      </c>
    </row>
    <row r="29" spans="1:12" ht="45" customHeight="1" x14ac:dyDescent="0.25">
      <c r="A29" s="24">
        <v>44617</v>
      </c>
      <c r="B29" s="38"/>
      <c r="C29" s="36">
        <v>35915921</v>
      </c>
      <c r="D29" s="26">
        <f t="shared" si="4"/>
        <v>31619</v>
      </c>
      <c r="E29" s="36">
        <v>547155</v>
      </c>
      <c r="F29" s="26">
        <f t="shared" si="5"/>
        <v>64</v>
      </c>
      <c r="G29" s="36">
        <v>113026698</v>
      </c>
      <c r="H29" s="26">
        <f t="shared" si="2"/>
        <v>13446</v>
      </c>
      <c r="I29" s="25">
        <v>1723959</v>
      </c>
      <c r="J29" s="34">
        <f t="shared" si="3"/>
        <v>577</v>
      </c>
      <c r="K29" s="35">
        <v>167</v>
      </c>
      <c r="L29" s="35">
        <v>254</v>
      </c>
    </row>
    <row r="30" spans="1:12" ht="45" customHeight="1" x14ac:dyDescent="0.25">
      <c r="A30" s="24">
        <v>44618</v>
      </c>
      <c r="B30" s="38"/>
      <c r="C30" s="36">
        <v>35946981</v>
      </c>
      <c r="D30" s="26">
        <f t="shared" si="4"/>
        <v>31060</v>
      </c>
      <c r="E30" s="36">
        <v>547226</v>
      </c>
      <c r="F30" s="26">
        <f t="shared" si="5"/>
        <v>71</v>
      </c>
      <c r="G30" s="36">
        <v>113042206</v>
      </c>
      <c r="H30" s="26">
        <f t="shared" si="2"/>
        <v>15508</v>
      </c>
      <c r="I30" s="25">
        <v>1724532</v>
      </c>
      <c r="J30" s="34">
        <f t="shared" si="3"/>
        <v>573</v>
      </c>
      <c r="K30" s="35">
        <v>181</v>
      </c>
      <c r="L30" s="35">
        <v>288</v>
      </c>
    </row>
    <row r="31" spans="1:12" ht="45" customHeight="1" x14ac:dyDescent="0.25">
      <c r="A31" s="24">
        <v>44619</v>
      </c>
      <c r="B31" s="38"/>
      <c r="C31" s="36">
        <v>35979605</v>
      </c>
      <c r="D31" s="26">
        <f t="shared" si="4"/>
        <v>32624</v>
      </c>
      <c r="E31" s="36">
        <v>547308</v>
      </c>
      <c r="F31" s="26">
        <f t="shared" si="5"/>
        <v>82</v>
      </c>
      <c r="G31" s="36">
        <v>113061292</v>
      </c>
      <c r="H31" s="26">
        <f t="shared" si="2"/>
        <v>19086</v>
      </c>
      <c r="I31" s="25">
        <v>1725148</v>
      </c>
      <c r="J31" s="34">
        <f t="shared" si="3"/>
        <v>616</v>
      </c>
      <c r="K31" s="35">
        <v>132</v>
      </c>
      <c r="L31" s="35">
        <v>469</v>
      </c>
    </row>
    <row r="32" spans="1:12" ht="45" customHeight="1" x14ac:dyDescent="0.25">
      <c r="A32" s="24">
        <v>44620</v>
      </c>
      <c r="B32" s="38"/>
      <c r="C32" s="36">
        <v>36011005</v>
      </c>
      <c r="D32" s="26">
        <f t="shared" si="4"/>
        <v>31400</v>
      </c>
      <c r="E32" s="36">
        <v>547379</v>
      </c>
      <c r="F32" s="26">
        <f t="shared" si="5"/>
        <v>71</v>
      </c>
      <c r="G32" s="36">
        <v>113083057</v>
      </c>
      <c r="H32" s="26">
        <f t="shared" si="2"/>
        <v>21765</v>
      </c>
      <c r="I32" s="25">
        <v>1725690</v>
      </c>
      <c r="J32" s="34">
        <f t="shared" si="3"/>
        <v>542</v>
      </c>
      <c r="K32" s="35">
        <v>86</v>
      </c>
      <c r="L32" s="35">
        <v>159</v>
      </c>
    </row>
    <row r="41" spans="3:3" ht="15.75" customHeight="1" x14ac:dyDescent="0.25">
      <c r="C41" s="33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2023-02-16T02:50:04Z</dcterms:modified>
  <cp:category/>
  <cp:contentStatus/>
</cp:coreProperties>
</file>