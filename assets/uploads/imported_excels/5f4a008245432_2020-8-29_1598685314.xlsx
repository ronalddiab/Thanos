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AV19" i="7" l="1"/>
  <c r="R31" i="9" l="1"/>
  <c r="R32" i="9"/>
  <c r="Q31" i="9"/>
  <c r="Q32" i="9"/>
  <c r="P29" i="9"/>
  <c r="P30" i="9"/>
  <c r="P31" i="9"/>
  <c r="P32" i="9"/>
  <c r="O31" i="9"/>
  <c r="O32" i="9"/>
  <c r="N31" i="9"/>
  <c r="M31" i="9"/>
  <c r="M32" i="9"/>
  <c r="L31" i="9"/>
  <c r="L32" i="9"/>
  <c r="K31" i="9"/>
  <c r="K32" i="9"/>
  <c r="J31" i="9"/>
  <c r="J32" i="9"/>
  <c r="I31" i="9"/>
  <c r="I32" i="9"/>
  <c r="H31" i="9"/>
  <c r="H32" i="9"/>
  <c r="G31" i="9"/>
  <c r="G32" i="9"/>
  <c r="F31" i="9"/>
  <c r="F32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AC37" i="7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4" i="7" l="1"/>
  <c r="R29" i="9"/>
  <c r="AW35" i="7"/>
  <c r="R30" i="9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AW31" i="7"/>
  <c r="R26" i="9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W28" i="7"/>
  <c r="R23" i="9"/>
  <c r="AW27" i="7"/>
  <c r="R22" i="9"/>
  <c r="G22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R28" i="7"/>
  <c r="Q23" i="9"/>
  <c r="AO28" i="7"/>
  <c r="N23" i="9"/>
  <c r="AN28" i="7"/>
  <c r="M23" i="9"/>
  <c r="AL28" i="7"/>
  <c r="K23" i="9"/>
  <c r="AJ28" i="7"/>
  <c r="I23" i="9"/>
  <c r="AF28" i="7"/>
  <c r="E23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<sst xmlns="http://schemas.openxmlformats.org/spreadsheetml/2006/main" count="128" uniqueCount="49">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</sst>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56670</v>
      </c>
      <c r="F2" s="11">
        <v>5.0000000000000001E-3</v>
      </c>
      <c r="G2" s="12">
        <f>Submetering!R2</f>
        <v>956.57310700000005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53950</v>
      </c>
      <c r="F3" s="11">
        <v>5.0000000000000001E-3</v>
      </c>
      <c r="G3" s="12">
        <f>Submetering!R3</f>
        <v>883.51469399999996</v>
      </c>
      <c r="H3" s="11">
        <v>0.52800000000000002</v>
      </c>
      <c r="I3" s="12">
        <f>Hotel!B8</f>
        <v>118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51890</v>
      </c>
      <c r="F4" s="11">
        <v>5.0000000000000001E-3</v>
      </c>
      <c r="G4" s="12">
        <f>Submetering!R4</f>
        <v>1064.078751</v>
      </c>
      <c r="H4" s="11">
        <v>0.52800000000000002</v>
      </c>
      <c r="I4" s="12">
        <f>Hotel!B9</f>
        <v>59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50424</v>
      </c>
      <c r="F5" s="11">
        <v>5.0000000000000001E-3</v>
      </c>
      <c r="G5" s="12">
        <f>Submetering!R5</f>
        <v>1132.5946719999999</v>
      </c>
      <c r="H5" s="11">
        <v>0.52800000000000002</v>
      </c>
      <c r="I5" s="12">
        <f>Hotel!B10</f>
        <v>59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52426</v>
      </c>
      <c r="F6" s="11">
        <v>5.0000000000000001E-3</v>
      </c>
      <c r="G6" s="12">
        <f>Submetering!R6</f>
        <v>783.95841099999996</v>
      </c>
      <c r="H6" s="11">
        <v>0.52800000000000002</v>
      </c>
      <c r="I6" s="12">
        <f>Hotel!B11</f>
        <v>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51600</v>
      </c>
      <c r="F7" s="11">
        <v>5.0000000000000001E-3</v>
      </c>
      <c r="G7" s="12">
        <f>Submetering!R7</f>
        <v>776.38759099999993</v>
      </c>
      <c r="H7" s="11">
        <v>0.52800000000000002</v>
      </c>
      <c r="I7" s="12">
        <f>Hotel!B12</f>
        <v>108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52530</v>
      </c>
      <c r="F8" s="11">
        <v>5.0000000000000001E-3</v>
      </c>
      <c r="G8" s="12">
        <f>Submetering!R8</f>
        <v>1000.8624039999999</v>
      </c>
      <c r="H8" s="11">
        <v>0.52800000000000002</v>
      </c>
      <c r="I8" s="12">
        <f>Hotel!B13</f>
        <v>138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53560</v>
      </c>
      <c r="F9" s="11">
        <v>5.0000000000000001E-3</v>
      </c>
      <c r="G9" s="12">
        <f>Submetering!R9</f>
        <v>858.90952899999991</v>
      </c>
      <c r="H9" s="11">
        <v>0.52800000000000002</v>
      </c>
      <c r="I9" s="12">
        <f>Hotel!B14</f>
        <v>73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51010</v>
      </c>
      <c r="F10" s="11">
        <v>5.0000000000000001E-3</v>
      </c>
      <c r="G10" s="12">
        <f>Submetering!R10</f>
        <v>845.66059399999995</v>
      </c>
      <c r="H10" s="11">
        <v>0.52800000000000002</v>
      </c>
      <c r="I10" s="12">
        <f>Hotel!B15</f>
        <v>68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49010</v>
      </c>
      <c r="F11" s="11">
        <v>5.0000000000000001E-3</v>
      </c>
      <c r="G11" s="12">
        <f>Submetering!R11</f>
        <v>1100.7972279999999</v>
      </c>
      <c r="H11" s="11">
        <v>0.52800000000000002</v>
      </c>
      <c r="I11" s="12">
        <f>Hotel!B16</f>
        <v>62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51850</v>
      </c>
      <c r="F12" s="11">
        <v>5.0000000000000001E-3</v>
      </c>
      <c r="G12" s="12">
        <f>Submetering!R12</f>
        <v>855.88120100000003</v>
      </c>
      <c r="H12" s="11">
        <v>0.52800000000000002</v>
      </c>
      <c r="I12" s="12">
        <f>Hotel!B17</f>
        <v>62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52320</v>
      </c>
      <c r="F13" s="11">
        <v>5.0000000000000001E-3</v>
      </c>
      <c r="G13" s="12">
        <f>Submetering!R13</f>
        <v>723.01330999999993</v>
      </c>
      <c r="H13" s="11">
        <v>0.52800000000000002</v>
      </c>
      <c r="I13" s="12">
        <f>Hotel!B18</f>
        <v>44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55110</v>
      </c>
      <c r="F14" s="11">
        <v>5.0000000000000001E-3</v>
      </c>
      <c r="G14" s="12">
        <f>Submetering!R14</f>
        <v>1183.697707</v>
      </c>
      <c r="H14" s="11">
        <v>0.52800000000000002</v>
      </c>
      <c r="I14" s="12">
        <f>Hotel!B19</f>
        <v>93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53160</v>
      </c>
      <c r="F15" s="11">
        <v>5.0000000000000001E-3</v>
      </c>
      <c r="G15" s="12">
        <f>Submetering!R15</f>
        <v>877.07949699999995</v>
      </c>
      <c r="H15" s="11">
        <v>0.52800000000000002</v>
      </c>
      <c r="I15" s="12">
        <f>Hotel!B20</f>
        <v>117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52820</v>
      </c>
      <c r="F16" s="11">
        <v>5.0000000000000001E-3</v>
      </c>
      <c r="G16" s="12">
        <f>Submetering!R16</f>
        <v>770.33093499999995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54970</v>
      </c>
      <c r="F17" s="11">
        <v>5.0000000000000001E-3</v>
      </c>
      <c r="G17" s="12">
        <f>Submetering!R17</f>
        <v>872.91554599999995</v>
      </c>
      <c r="H17" s="11">
        <v>0.52800000000000002</v>
      </c>
      <c r="I17" s="12">
        <f>Hotel!B22</f>
        <v>59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54630</v>
      </c>
      <c r="F18" s="11">
        <v>5.0000000000000001E-3</v>
      </c>
      <c r="G18" s="12">
        <f>Submetering!R18</f>
        <v>959.60143499999992</v>
      </c>
      <c r="H18" s="11">
        <v>0.52800000000000002</v>
      </c>
      <c r="I18" s="12">
        <f>Hotel!B23</f>
        <v>62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53740</v>
      </c>
      <c r="F19" s="11">
        <v>5.0000000000000001E-3</v>
      </c>
      <c r="G19" s="12">
        <f>Submetering!R19</f>
        <v>1140.5440329999999</v>
      </c>
      <c r="H19" s="11">
        <v>0.52800000000000002</v>
      </c>
      <c r="I19" s="12">
        <f>Hotel!B24</f>
        <v>68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58090</v>
      </c>
      <c r="F20" s="11">
        <v>5.0000000000000001E-3</v>
      </c>
      <c r="G20" s="12">
        <f>Submetering!R20</f>
        <v>861.18077500000004</v>
      </c>
      <c r="H20" s="11">
        <v>0.52800000000000002</v>
      </c>
      <c r="I20" s="12">
        <f>Hotel!B25</f>
        <v>105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65740</v>
      </c>
      <c r="F21" s="11">
        <v>5.0000000000000001E-3</v>
      </c>
      <c r="G21" s="12">
        <f>Submetering!R21</f>
        <v>990.26325599999984</v>
      </c>
      <c r="H21" s="11">
        <v>0.52800000000000002</v>
      </c>
      <c r="I21" s="12">
        <f>Hotel!B26</f>
        <v>129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53070</v>
      </c>
      <c r="F22" s="11">
        <v>5.0000000000000001E-3</v>
      </c>
      <c r="G22" s="12">
        <f>Submetering!R22</f>
        <v>889.57134999999994</v>
      </c>
      <c r="H22" s="11">
        <v>0.52800000000000002</v>
      </c>
      <c r="I22" s="12">
        <f>Hotel!B27</f>
        <v>128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60060</v>
      </c>
      <c r="F23" s="11">
        <v>5.0000000000000001E-3</v>
      </c>
      <c r="G23" s="12">
        <f>Submetering!R23</f>
        <v>755.56783599999994</v>
      </c>
      <c r="H23" s="11">
        <v>0.52800000000000002</v>
      </c>
      <c r="I23" s="12">
        <f>Hotel!B28</f>
        <v>79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54470</v>
      </c>
      <c r="F24" s="11">
        <v>5.0000000000000001E-3</v>
      </c>
      <c r="G24" s="12">
        <f>Submetering!R24</f>
        <v>924.01858100000004</v>
      </c>
      <c r="H24" s="11">
        <v>0.52800000000000002</v>
      </c>
      <c r="I24" s="12">
        <f>Hotel!B29</f>
        <v>79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56130</v>
      </c>
      <c r="F25" s="11">
        <v>5.0000000000000001E-3</v>
      </c>
      <c r="G25" s="12">
        <f>Submetering!R25</f>
        <v>1159.4710830000001</v>
      </c>
      <c r="H25" s="11">
        <v>0.52800000000000002</v>
      </c>
      <c r="I25" s="12">
        <f>Hotel!B30</f>
        <v>74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61160</v>
      </c>
      <c r="F26" s="11">
        <v>5.0000000000000001E-3</v>
      </c>
      <c r="G26" s="12">
        <f>Submetering!R26</f>
        <v>1124.645311</v>
      </c>
      <c r="H26" s="11">
        <v>0.52800000000000002</v>
      </c>
      <c r="I26" s="12">
        <f>Hotel!B31</f>
        <v>96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58676</v>
      </c>
      <c r="F27" s="11">
        <v>5.0000000000000001E-3</v>
      </c>
      <c r="G27" s="12">
        <f>Submetering!R27</f>
        <v>979.66410800000006</v>
      </c>
      <c r="H27" s="11">
        <v>0.52800000000000002</v>
      </c>
      <c r="I27" s="12">
        <f>Hotel!B32</f>
        <v>93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64584</v>
      </c>
      <c r="F28" s="11">
        <v>5.0000000000000001E-3</v>
      </c>
      <c r="G28" s="12">
        <f>Submetering!R28</f>
        <v>833.16874099999984</v>
      </c>
      <c r="H28" s="11">
        <v>0.52800000000000002</v>
      </c>
      <c r="I28" s="12">
        <f>Hotel!B33</f>
        <v>150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51470</v>
      </c>
      <c r="F29" s="11">
        <v>5.0000000000000001E-3</v>
      </c>
      <c r="G29" s="12">
        <f>Submetering!R29</f>
        <v>846.41767599999991</v>
      </c>
      <c r="H29" s="11">
        <v>0.52800000000000002</v>
      </c>
      <c r="I29" s="12">
        <f>Hotel!B34</f>
        <v>172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L15" sqref="L15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8</v>
      </c>
      <c r="D2" s="2">
        <v>2020</v>
      </c>
      <c r="E2" s="4">
        <f>Hotel!Q7</f>
        <v>1070</v>
      </c>
      <c r="F2" s="4">
        <f>Hotel!R7</f>
        <v>14780</v>
      </c>
      <c r="G2" s="4">
        <f>Hotel!S7</f>
        <v>3920</v>
      </c>
      <c r="H2" s="4">
        <f>Hotel!T7</f>
        <v>1720</v>
      </c>
      <c r="I2" s="4">
        <f>Hotel!U7</f>
        <v>4310</v>
      </c>
      <c r="J2" s="4">
        <f>Hotel!V7</f>
        <v>3020</v>
      </c>
      <c r="K2" s="4">
        <f>Hotel!W7</f>
        <v>2390</v>
      </c>
      <c r="L2" s="4">
        <f>Hotel!X7</f>
        <v>1790</v>
      </c>
      <c r="M2" s="4">
        <f>Hotel!Y7</f>
        <v>3860</v>
      </c>
      <c r="N2" s="4">
        <f>Hotel!Z7</f>
        <v>2890</v>
      </c>
      <c r="O2" s="4">
        <f>Hotel!AA7</f>
        <v>3330</v>
      </c>
      <c r="P2" s="4">
        <f>Hotel!AB7</f>
        <v>6890</v>
      </c>
      <c r="Q2" s="4">
        <f>Hotel!AC7</f>
        <v>6700</v>
      </c>
      <c r="R2" s="4">
        <f>Hotel!AV7*0.00378541*100</f>
        <v>956.57310700000005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8</v>
      </c>
      <c r="D3" s="2">
        <v>2020</v>
      </c>
      <c r="E3" s="4">
        <f>Hotel!Q8</f>
        <v>940</v>
      </c>
      <c r="F3" s="4">
        <f>Hotel!R8</f>
        <v>15240</v>
      </c>
      <c r="G3" s="4">
        <f>Hotel!S8</f>
        <v>4250</v>
      </c>
      <c r="H3" s="4">
        <f>Hotel!T8</f>
        <v>1530</v>
      </c>
      <c r="I3" s="4">
        <f>Hotel!U8</f>
        <v>4030</v>
      </c>
      <c r="J3" s="4">
        <f>Hotel!V8</f>
        <v>2700</v>
      </c>
      <c r="K3" s="4">
        <f>Hotel!W8</f>
        <v>2160</v>
      </c>
      <c r="L3" s="4">
        <f>Hotel!X8</f>
        <v>1600</v>
      </c>
      <c r="M3" s="4">
        <f>Hotel!Y8</f>
        <v>3730</v>
      </c>
      <c r="N3" s="4">
        <f>Hotel!Z8</f>
        <v>2640</v>
      </c>
      <c r="O3" s="4">
        <f>Hotel!AA8</f>
        <v>3050</v>
      </c>
      <c r="P3" s="4">
        <f>Hotel!AB8</f>
        <v>6290</v>
      </c>
      <c r="Q3" s="4">
        <f>Hotel!AC8</f>
        <v>5790</v>
      </c>
      <c r="R3" s="4">
        <f>Hotel!AV8*0.00378541*100</f>
        <v>883.51469399999996</v>
      </c>
      <c r="S3" s="4">
        <f>Hotel!B8</f>
        <v>118</v>
      </c>
    </row>
    <row r="4" spans="1:19" x14ac:dyDescent="0.25">
      <c r="A4" s="21" t="s">
        <v>31</v>
      </c>
      <c r="B4" s="2">
        <f t="shared" ref="B4:B29" si="0">B3+1</f>
        <v>3</v>
      </c>
      <c r="C4" s="10">
        <v>8</v>
      </c>
      <c r="D4" s="2">
        <v>2020</v>
      </c>
      <c r="E4" s="4">
        <f>Hotel!Q9</f>
        <v>990</v>
      </c>
      <c r="F4" s="4">
        <f>Hotel!R9</f>
        <v>13360</v>
      </c>
      <c r="G4" s="4">
        <f>Hotel!S9</f>
        <v>3420</v>
      </c>
      <c r="H4" s="4">
        <f>Hotel!T9</f>
        <v>1600</v>
      </c>
      <c r="I4" s="4">
        <f>Hotel!U9</f>
        <v>3980</v>
      </c>
      <c r="J4" s="4">
        <f>Hotel!V9</f>
        <v>2930</v>
      </c>
      <c r="K4" s="4">
        <f>Hotel!W9</f>
        <v>2260</v>
      </c>
      <c r="L4" s="4">
        <f>Hotel!X9</f>
        <v>1560</v>
      </c>
      <c r="M4" s="4">
        <f>Hotel!Y9</f>
        <v>3890</v>
      </c>
      <c r="N4" s="4">
        <f>Hotel!Z9</f>
        <v>2620</v>
      </c>
      <c r="O4" s="4">
        <f>Hotel!AA9</f>
        <v>3000</v>
      </c>
      <c r="P4" s="4">
        <f>Hotel!AB9</f>
        <v>6500</v>
      </c>
      <c r="Q4" s="4">
        <f>Hotel!AC9</f>
        <v>5780</v>
      </c>
      <c r="R4" s="4">
        <f>Hotel!AV9*0.00378541*100</f>
        <v>1064.078751</v>
      </c>
      <c r="S4" s="4">
        <f>Hotel!B9</f>
        <v>59</v>
      </c>
    </row>
    <row r="5" spans="1:19" x14ac:dyDescent="0.25">
      <c r="A5" s="21" t="s">
        <v>31</v>
      </c>
      <c r="B5" s="2">
        <f t="shared" si="0"/>
        <v>4</v>
      </c>
      <c r="C5" s="10">
        <v>8</v>
      </c>
      <c r="D5" s="2">
        <v>2020</v>
      </c>
      <c r="E5" s="4">
        <f>Hotel!Q10</f>
        <v>970</v>
      </c>
      <c r="F5" s="4">
        <f>Hotel!R10</f>
        <v>12770</v>
      </c>
      <c r="G5" s="4">
        <f>Hotel!S10</f>
        <v>3230</v>
      </c>
      <c r="H5" s="4">
        <f>Hotel!T10</f>
        <v>1550</v>
      </c>
      <c r="I5" s="4">
        <f>Hotel!U10</f>
        <v>3990</v>
      </c>
      <c r="J5" s="4">
        <f>Hotel!V10</f>
        <v>2660</v>
      </c>
      <c r="K5" s="4">
        <f>Hotel!W10</f>
        <v>2170</v>
      </c>
      <c r="L5" s="4">
        <f>Hotel!X10</f>
        <v>1820</v>
      </c>
      <c r="M5" s="4">
        <f>Hotel!Y10</f>
        <v>3774</v>
      </c>
      <c r="N5" s="4">
        <f>Hotel!Z10</f>
        <v>2370</v>
      </c>
      <c r="O5" s="4">
        <f>Hotel!AA10</f>
        <v>2840</v>
      </c>
      <c r="P5" s="4">
        <f>Hotel!AB10</f>
        <v>6270</v>
      </c>
      <c r="Q5" s="4">
        <f>Hotel!AC10</f>
        <v>6010</v>
      </c>
      <c r="R5" s="4">
        <f>Hotel!AV10*0.00378541*100</f>
        <v>1132.5946719999999</v>
      </c>
      <c r="S5" s="4">
        <f>Hotel!B10</f>
        <v>59</v>
      </c>
    </row>
    <row r="6" spans="1:19" x14ac:dyDescent="0.25">
      <c r="A6" s="21" t="s">
        <v>31</v>
      </c>
      <c r="B6" s="2">
        <f t="shared" si="0"/>
        <v>5</v>
      </c>
      <c r="C6" s="10">
        <v>8</v>
      </c>
      <c r="D6" s="2">
        <v>2020</v>
      </c>
      <c r="E6" s="4">
        <f>Hotel!Q11</f>
        <v>1030</v>
      </c>
      <c r="F6" s="4">
        <f>Hotel!R11</f>
        <v>13080</v>
      </c>
      <c r="G6" s="4">
        <f>Hotel!S11</f>
        <v>3280</v>
      </c>
      <c r="H6" s="4">
        <f>Hotel!T11</f>
        <v>1640</v>
      </c>
      <c r="I6" s="4">
        <f>Hotel!U11</f>
        <v>4310</v>
      </c>
      <c r="J6" s="4">
        <f>Hotel!V11</f>
        <v>2850</v>
      </c>
      <c r="K6" s="4">
        <f>Hotel!W11</f>
        <v>2310</v>
      </c>
      <c r="L6" s="4">
        <f>Hotel!X11</f>
        <v>1740</v>
      </c>
      <c r="M6" s="4">
        <f>Hotel!Y11</f>
        <v>3916</v>
      </c>
      <c r="N6" s="4">
        <f>Hotel!Z11</f>
        <v>2700</v>
      </c>
      <c r="O6" s="4">
        <f>Hotel!AA11</f>
        <v>2930</v>
      </c>
      <c r="P6" s="4">
        <f>Hotel!AB11</f>
        <v>6240</v>
      </c>
      <c r="Q6" s="4">
        <f>Hotel!AC11</f>
        <v>6400</v>
      </c>
      <c r="R6" s="4">
        <f>Hotel!AV11*0.00378541*100</f>
        <v>783.95841099999996</v>
      </c>
      <c r="S6" s="4">
        <f>Hotel!B11</f>
        <v>80</v>
      </c>
    </row>
    <row r="7" spans="1:19" x14ac:dyDescent="0.25">
      <c r="A7" s="21" t="s">
        <v>31</v>
      </c>
      <c r="B7" s="2">
        <f t="shared" si="0"/>
        <v>6</v>
      </c>
      <c r="C7" s="10">
        <v>8</v>
      </c>
      <c r="D7" s="2">
        <v>2020</v>
      </c>
      <c r="E7" s="4">
        <f>Hotel!Q12</f>
        <v>990</v>
      </c>
      <c r="F7" s="4">
        <f>Hotel!R12</f>
        <v>12930</v>
      </c>
      <c r="G7" s="4">
        <f>Hotel!S12</f>
        <v>3280</v>
      </c>
      <c r="H7" s="4">
        <f>Hotel!T12</f>
        <v>1580</v>
      </c>
      <c r="I7" s="4">
        <f>Hotel!U12</f>
        <v>4320</v>
      </c>
      <c r="J7" s="4">
        <f>Hotel!V12</f>
        <v>2720</v>
      </c>
      <c r="K7" s="4">
        <f>Hotel!W12</f>
        <v>2250</v>
      </c>
      <c r="L7" s="4">
        <f>Hotel!X12</f>
        <v>1950</v>
      </c>
      <c r="M7" s="4">
        <f>Hotel!Y12</f>
        <v>3870</v>
      </c>
      <c r="N7" s="4">
        <f>Hotel!Z12</f>
        <v>2810</v>
      </c>
      <c r="O7" s="4">
        <f>Hotel!AA12</f>
        <v>3020</v>
      </c>
      <c r="P7" s="4">
        <f>Hotel!AB12</f>
        <v>6140</v>
      </c>
      <c r="Q7" s="4">
        <f>Hotel!AC12</f>
        <v>5740</v>
      </c>
      <c r="R7" s="4">
        <f>Hotel!AV12*0.00378541*100</f>
        <v>776.38759099999993</v>
      </c>
      <c r="S7" s="4">
        <f>Hotel!B12</f>
        <v>108</v>
      </c>
    </row>
    <row r="8" spans="1:19" x14ac:dyDescent="0.25">
      <c r="A8" s="21" t="s">
        <v>31</v>
      </c>
      <c r="B8" s="2">
        <f t="shared" si="0"/>
        <v>7</v>
      </c>
      <c r="C8" s="10">
        <v>8</v>
      </c>
      <c r="D8" s="2">
        <v>2020</v>
      </c>
      <c r="E8" s="4">
        <f>Hotel!Q13</f>
        <v>1000</v>
      </c>
      <c r="F8" s="4">
        <f>Hotel!R13</f>
        <v>12800</v>
      </c>
      <c r="G8" s="4">
        <f>Hotel!S13</f>
        <v>3250</v>
      </c>
      <c r="H8" s="4">
        <f>Hotel!T13</f>
        <v>1580</v>
      </c>
      <c r="I8" s="4">
        <f>Hotel!U13</f>
        <v>4300</v>
      </c>
      <c r="J8" s="4">
        <f>Hotel!V13</f>
        <v>2800</v>
      </c>
      <c r="K8" s="4">
        <f>Hotel!W13</f>
        <v>2230</v>
      </c>
      <c r="L8" s="4">
        <f>Hotel!X13</f>
        <v>1720</v>
      </c>
      <c r="M8" s="4">
        <f>Hotel!Y13</f>
        <v>3980</v>
      </c>
      <c r="N8" s="4">
        <f>Hotel!Z13</f>
        <v>2710</v>
      </c>
      <c r="O8" s="4">
        <f>Hotel!AA13</f>
        <v>3490</v>
      </c>
      <c r="P8" s="4">
        <f>Hotel!AB13</f>
        <v>6120</v>
      </c>
      <c r="Q8" s="4">
        <f>Hotel!AC13</f>
        <v>6550</v>
      </c>
      <c r="R8" s="4">
        <f>Hotel!AV13*0.00378541*100</f>
        <v>1000.8624039999999</v>
      </c>
      <c r="S8" s="4">
        <f>Hotel!B13</f>
        <v>138</v>
      </c>
    </row>
    <row r="9" spans="1:19" x14ac:dyDescent="0.25">
      <c r="A9" s="21" t="s">
        <v>31</v>
      </c>
      <c r="B9" s="2">
        <f t="shared" si="0"/>
        <v>8</v>
      </c>
      <c r="C9" s="10">
        <v>8</v>
      </c>
      <c r="D9" s="2">
        <v>2020</v>
      </c>
      <c r="E9" s="4">
        <f>Hotel!Q14</f>
        <v>1030</v>
      </c>
      <c r="F9" s="4">
        <f>Hotel!R14</f>
        <v>13190</v>
      </c>
      <c r="G9" s="4">
        <f>Hotel!S14</f>
        <v>3340</v>
      </c>
      <c r="H9" s="4">
        <f>Hotel!T14</f>
        <v>1630</v>
      </c>
      <c r="I9" s="4">
        <f>Hotel!U14</f>
        <v>4370</v>
      </c>
      <c r="J9" s="4">
        <f>Hotel!V14</f>
        <v>2820</v>
      </c>
      <c r="K9" s="4">
        <f>Hotel!W14</f>
        <v>2280</v>
      </c>
      <c r="L9" s="4">
        <f>Hotel!X14</f>
        <v>1730</v>
      </c>
      <c r="M9" s="4">
        <f>Hotel!Y14</f>
        <v>3930</v>
      </c>
      <c r="N9" s="4">
        <f>Hotel!Z14</f>
        <v>2660</v>
      </c>
      <c r="O9" s="4">
        <f>Hotel!AA14</f>
        <v>3330</v>
      </c>
      <c r="P9" s="4">
        <f>Hotel!AB14</f>
        <v>6320</v>
      </c>
      <c r="Q9" s="4">
        <f>Hotel!AC14</f>
        <v>6930</v>
      </c>
      <c r="R9" s="4">
        <f>Hotel!AV14*0.00378541*100</f>
        <v>858.90952899999991</v>
      </c>
      <c r="S9" s="4">
        <f>Hotel!B14</f>
        <v>73</v>
      </c>
    </row>
    <row r="10" spans="1:19" x14ac:dyDescent="0.25">
      <c r="A10" s="21" t="s">
        <v>31</v>
      </c>
      <c r="B10" s="2">
        <f t="shared" si="0"/>
        <v>9</v>
      </c>
      <c r="C10" s="10">
        <v>8</v>
      </c>
      <c r="D10" s="2">
        <v>2020</v>
      </c>
      <c r="E10" s="4">
        <f>Hotel!Q15</f>
        <v>980</v>
      </c>
      <c r="F10" s="4">
        <f>Hotel!R15</f>
        <v>12500</v>
      </c>
      <c r="G10" s="4">
        <f>Hotel!S15</f>
        <v>3140</v>
      </c>
      <c r="H10" s="4">
        <f>Hotel!T15</f>
        <v>1560</v>
      </c>
      <c r="I10" s="4">
        <f>Hotel!U15</f>
        <v>3860</v>
      </c>
      <c r="J10" s="4">
        <f>Hotel!V15</f>
        <v>2620</v>
      </c>
      <c r="K10" s="4">
        <f>Hotel!W15</f>
        <v>2210</v>
      </c>
      <c r="L10" s="4">
        <f>Hotel!X15</f>
        <v>1530</v>
      </c>
      <c r="M10" s="4">
        <f>Hotel!Y15</f>
        <v>3550</v>
      </c>
      <c r="N10" s="4">
        <f>Hotel!Z15</f>
        <v>2400</v>
      </c>
      <c r="O10" s="4">
        <f>Hotel!AA15</f>
        <v>3250</v>
      </c>
      <c r="P10" s="4">
        <f>Hotel!AB15</f>
        <v>5890</v>
      </c>
      <c r="Q10" s="4">
        <f>Hotel!AC15</f>
        <v>7520</v>
      </c>
      <c r="R10" s="4">
        <f>Hotel!AV15*0.00378541*100</f>
        <v>845.66059399999995</v>
      </c>
      <c r="S10" s="4">
        <f>Hotel!B15</f>
        <v>68</v>
      </c>
    </row>
    <row r="11" spans="1:19" x14ac:dyDescent="0.25">
      <c r="A11" s="21" t="s">
        <v>31</v>
      </c>
      <c r="B11" s="2">
        <f t="shared" si="0"/>
        <v>10</v>
      </c>
      <c r="C11" s="10">
        <v>8</v>
      </c>
      <c r="D11" s="2">
        <v>2020</v>
      </c>
      <c r="E11" s="4">
        <f>Hotel!Q16</f>
        <v>2020</v>
      </c>
      <c r="F11" s="4">
        <f>Hotel!R16</f>
        <v>11240</v>
      </c>
      <c r="G11" s="4">
        <f>Hotel!S16</f>
        <v>3110</v>
      </c>
      <c r="H11" s="4">
        <f>Hotel!T16</f>
        <v>1500</v>
      </c>
      <c r="I11" s="4">
        <f>Hotel!U16</f>
        <v>3860</v>
      </c>
      <c r="J11" s="4">
        <f>Hotel!V16</f>
        <v>2570</v>
      </c>
      <c r="K11" s="4">
        <f>Hotel!W16</f>
        <v>2220</v>
      </c>
      <c r="L11" s="4">
        <f>Hotel!X16</f>
        <v>1690</v>
      </c>
      <c r="M11" s="4">
        <f>Hotel!Y16</f>
        <v>3040</v>
      </c>
      <c r="N11" s="4">
        <f>Hotel!Z16</f>
        <v>2470</v>
      </c>
      <c r="O11" s="4">
        <f>Hotel!AA16</f>
        <v>2800</v>
      </c>
      <c r="P11" s="4">
        <f>Hotel!AB16</f>
        <v>5770</v>
      </c>
      <c r="Q11" s="4">
        <f>Hotel!AC16</f>
        <v>6720</v>
      </c>
      <c r="R11" s="4">
        <f>Hotel!AV16*0.00378541*100</f>
        <v>1100.7972279999999</v>
      </c>
      <c r="S11" s="4">
        <f>Hotel!B16</f>
        <v>62</v>
      </c>
    </row>
    <row r="12" spans="1:19" x14ac:dyDescent="0.25">
      <c r="A12" s="21" t="s">
        <v>31</v>
      </c>
      <c r="B12" s="2">
        <f t="shared" si="0"/>
        <v>11</v>
      </c>
      <c r="C12" s="10">
        <v>8</v>
      </c>
      <c r="D12" s="2">
        <v>2020</v>
      </c>
      <c r="E12" s="4">
        <f>Hotel!Q17</f>
        <v>1010</v>
      </c>
      <c r="F12" s="4">
        <f>Hotel!R17</f>
        <v>13190</v>
      </c>
      <c r="G12" s="4">
        <f>Hotel!S17</f>
        <v>3380</v>
      </c>
      <c r="H12" s="4">
        <f>Hotel!T17</f>
        <v>1590</v>
      </c>
      <c r="I12" s="4">
        <f>Hotel!U17</f>
        <v>4160</v>
      </c>
      <c r="J12" s="4">
        <f>Hotel!V17</f>
        <v>2500</v>
      </c>
      <c r="K12" s="4">
        <f>Hotel!W17</f>
        <v>2250</v>
      </c>
      <c r="L12" s="4">
        <f>Hotel!X17</f>
        <v>2040</v>
      </c>
      <c r="M12" s="4">
        <f>Hotel!Y17</f>
        <v>3230</v>
      </c>
      <c r="N12" s="4">
        <f>Hotel!Z17</f>
        <v>2550</v>
      </c>
      <c r="O12" s="4">
        <f>Hotel!AA17</f>
        <v>2820</v>
      </c>
      <c r="P12" s="4">
        <f>Hotel!AB17</f>
        <v>5970</v>
      </c>
      <c r="Q12" s="4">
        <f>Hotel!AC17</f>
        <v>7160</v>
      </c>
      <c r="R12" s="4">
        <f>Hotel!AV17*0.00378541*100</f>
        <v>855.88120100000003</v>
      </c>
      <c r="S12" s="4">
        <f>Hotel!B17</f>
        <v>62</v>
      </c>
    </row>
    <row r="13" spans="1:19" x14ac:dyDescent="0.25">
      <c r="A13" s="21" t="s">
        <v>31</v>
      </c>
      <c r="B13" s="2">
        <f t="shared" si="0"/>
        <v>12</v>
      </c>
      <c r="C13" s="10">
        <v>8</v>
      </c>
      <c r="D13" s="2">
        <v>2020</v>
      </c>
      <c r="E13" s="4">
        <f>Hotel!Q18</f>
        <v>1000</v>
      </c>
      <c r="F13" s="4">
        <f>Hotel!R18</f>
        <v>13060</v>
      </c>
      <c r="G13" s="4">
        <f>Hotel!S18</f>
        <v>3340</v>
      </c>
      <c r="H13" s="4">
        <f>Hotel!T18</f>
        <v>1590</v>
      </c>
      <c r="I13" s="4">
        <f>Hotel!U18</f>
        <v>4160</v>
      </c>
      <c r="J13" s="4">
        <f>Hotel!V18</f>
        <v>2390</v>
      </c>
      <c r="K13" s="4">
        <f>Hotel!W18</f>
        <v>2240</v>
      </c>
      <c r="L13" s="4">
        <f>Hotel!X18</f>
        <v>2140</v>
      </c>
      <c r="M13" s="4">
        <f>Hotel!Y18</f>
        <v>3450</v>
      </c>
      <c r="N13" s="4">
        <f>Hotel!Z18</f>
        <v>2730</v>
      </c>
      <c r="O13" s="4">
        <f>Hotel!AA18</f>
        <v>2730</v>
      </c>
      <c r="P13" s="4">
        <f>Hotel!AB18</f>
        <v>6250</v>
      </c>
      <c r="Q13" s="4">
        <f>Hotel!AC18</f>
        <v>7240</v>
      </c>
      <c r="R13" s="4">
        <f>Hotel!AV18*0.00378541*100</f>
        <v>723.01330999999993</v>
      </c>
      <c r="S13" s="4">
        <f>Hotel!B18</f>
        <v>44</v>
      </c>
    </row>
    <row r="14" spans="1:19" x14ac:dyDescent="0.25">
      <c r="A14" s="21" t="s">
        <v>31</v>
      </c>
      <c r="B14" s="2">
        <f t="shared" si="0"/>
        <v>13</v>
      </c>
      <c r="C14" s="10">
        <v>8</v>
      </c>
      <c r="D14" s="2">
        <v>2020</v>
      </c>
      <c r="E14" s="4">
        <f>Hotel!Q19</f>
        <v>1040</v>
      </c>
      <c r="F14" s="4">
        <f>Hotel!R19</f>
        <v>13780</v>
      </c>
      <c r="G14" s="4">
        <f>Hotel!S19</f>
        <v>3540</v>
      </c>
      <c r="H14" s="4">
        <f>Hotel!T19</f>
        <v>1670</v>
      </c>
      <c r="I14" s="4">
        <f>Hotel!U19</f>
        <v>4550</v>
      </c>
      <c r="J14" s="4">
        <f>Hotel!V19</f>
        <v>2660</v>
      </c>
      <c r="K14" s="4">
        <f>Hotel!W19</f>
        <v>2340</v>
      </c>
      <c r="L14" s="4">
        <f>Hotel!X19</f>
        <v>2230</v>
      </c>
      <c r="M14" s="4">
        <f>Hotel!Y19</f>
        <v>3670</v>
      </c>
      <c r="N14" s="4">
        <f>Hotel!Z19</f>
        <v>2880</v>
      </c>
      <c r="O14" s="4">
        <f>Hotel!AA19</f>
        <v>3230</v>
      </c>
      <c r="P14" s="4">
        <f>Hotel!AB19</f>
        <v>6430</v>
      </c>
      <c r="Q14" s="4">
        <f>Hotel!AC19</f>
        <v>7090</v>
      </c>
      <c r="R14" s="4">
        <f>Hotel!AV19*0.00378541*100</f>
        <v>1183.697707</v>
      </c>
      <c r="S14" s="4">
        <f>Hotel!B19</f>
        <v>93</v>
      </c>
    </row>
    <row r="15" spans="1:19" x14ac:dyDescent="0.25">
      <c r="A15" s="21" t="s">
        <v>31</v>
      </c>
      <c r="B15" s="2">
        <f t="shared" si="0"/>
        <v>14</v>
      </c>
      <c r="C15" s="10">
        <v>8</v>
      </c>
      <c r="D15" s="2">
        <v>2020</v>
      </c>
      <c r="E15" s="4">
        <f>Hotel!Q20</f>
        <v>980</v>
      </c>
      <c r="F15" s="4">
        <f>Hotel!R20</f>
        <v>13120</v>
      </c>
      <c r="G15" s="4">
        <f>Hotel!S20</f>
        <v>3390</v>
      </c>
      <c r="H15" s="4">
        <f>Hotel!T20</f>
        <v>1560</v>
      </c>
      <c r="I15" s="4">
        <f>Hotel!U20</f>
        <v>4170</v>
      </c>
      <c r="J15" s="4">
        <f>Hotel!V20</f>
        <v>2530</v>
      </c>
      <c r="K15" s="4">
        <f>Hotel!W20</f>
        <v>2130</v>
      </c>
      <c r="L15" s="4">
        <f>Hotel!X20</f>
        <v>2150</v>
      </c>
      <c r="M15" s="4">
        <f>Hotel!Y20</f>
        <v>3740</v>
      </c>
      <c r="N15" s="4">
        <f>Hotel!Z20</f>
        <v>2870</v>
      </c>
      <c r="O15" s="4">
        <f>Hotel!AA20</f>
        <v>3110</v>
      </c>
      <c r="P15" s="4">
        <f>Hotel!AB20</f>
        <v>6110</v>
      </c>
      <c r="Q15" s="4">
        <f>Hotel!AC20</f>
        <v>7300</v>
      </c>
      <c r="R15" s="4">
        <f>Hotel!AV20*0.00378541*100</f>
        <v>877.07949699999995</v>
      </c>
      <c r="S15" s="4">
        <f>Hotel!B20</f>
        <v>117</v>
      </c>
    </row>
    <row r="16" spans="1:19" x14ac:dyDescent="0.25">
      <c r="A16" s="21" t="s">
        <v>31</v>
      </c>
      <c r="B16" s="2">
        <f t="shared" si="0"/>
        <v>15</v>
      </c>
      <c r="C16" s="10">
        <v>8</v>
      </c>
      <c r="D16" s="2">
        <v>2020</v>
      </c>
      <c r="E16" s="4">
        <f>Hotel!Q21</f>
        <v>950</v>
      </c>
      <c r="F16" s="4">
        <f>Hotel!R21</f>
        <v>12710</v>
      </c>
      <c r="G16" s="4">
        <f>Hotel!S21</f>
        <v>3250</v>
      </c>
      <c r="H16" s="4">
        <f>Hotel!T21</f>
        <v>1520</v>
      </c>
      <c r="I16" s="4">
        <f>Hotel!U21</f>
        <v>4290</v>
      </c>
      <c r="J16" s="4">
        <f>Hotel!V21</f>
        <v>2710</v>
      </c>
      <c r="K16" s="4">
        <f>Hotel!W21</f>
        <v>2070</v>
      </c>
      <c r="L16" s="4">
        <f>Hotel!X21</f>
        <v>2340</v>
      </c>
      <c r="M16" s="4">
        <f>Hotel!Y21</f>
        <v>3730</v>
      </c>
      <c r="N16" s="4">
        <f>Hotel!Z21</f>
        <v>2570</v>
      </c>
      <c r="O16" s="4">
        <f>Hotel!AA21</f>
        <v>2910</v>
      </c>
      <c r="P16" s="4">
        <f>Hotel!AB21</f>
        <v>6010</v>
      </c>
      <c r="Q16" s="4">
        <f>Hotel!AC21</f>
        <v>7760</v>
      </c>
      <c r="R16" s="4">
        <f>Hotel!AV21*0.00378541*100</f>
        <v>770.33093499999995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8</v>
      </c>
      <c r="D17" s="2">
        <v>2020</v>
      </c>
      <c r="E17" s="4">
        <f>Hotel!Q22</f>
        <v>1000</v>
      </c>
      <c r="F17" s="4">
        <f>Hotel!R22</f>
        <v>13100</v>
      </c>
      <c r="G17" s="4">
        <f>Hotel!S22</f>
        <v>3340</v>
      </c>
      <c r="H17" s="4">
        <f>Hotel!T22</f>
        <v>1610</v>
      </c>
      <c r="I17" s="4">
        <f>Hotel!U22</f>
        <v>4420</v>
      </c>
      <c r="J17" s="4">
        <f>Hotel!V22</f>
        <v>2840</v>
      </c>
      <c r="K17" s="4">
        <f>Hotel!W22</f>
        <v>2200</v>
      </c>
      <c r="L17" s="4">
        <f>Hotel!X22</f>
        <v>2800</v>
      </c>
      <c r="M17" s="4">
        <f>Hotel!Y22</f>
        <v>3880</v>
      </c>
      <c r="N17" s="4">
        <f>Hotel!Z22</f>
        <v>2570</v>
      </c>
      <c r="O17" s="4">
        <f>Hotel!AA22</f>
        <v>2850</v>
      </c>
      <c r="P17" s="4">
        <f>Hotel!AB22</f>
        <v>6320</v>
      </c>
      <c r="Q17" s="4">
        <f>Hotel!AC22</f>
        <v>8040</v>
      </c>
      <c r="R17" s="4">
        <f>Hotel!AV22*0.00378541*100</f>
        <v>872.91554599999995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8</v>
      </c>
      <c r="D18" s="2">
        <v>2020</v>
      </c>
      <c r="E18" s="4">
        <f>Hotel!Q23</f>
        <v>1020</v>
      </c>
      <c r="F18" s="4">
        <f>Hotel!R23</f>
        <v>13270</v>
      </c>
      <c r="G18" s="4">
        <f>Hotel!S23</f>
        <v>3380</v>
      </c>
      <c r="H18" s="4">
        <f>Hotel!T23</f>
        <v>1610</v>
      </c>
      <c r="I18" s="4">
        <f>Hotel!U23</f>
        <v>4360</v>
      </c>
      <c r="J18" s="4">
        <f>Hotel!V23</f>
        <v>2810</v>
      </c>
      <c r="K18" s="4">
        <f>Hotel!W23</f>
        <v>2250</v>
      </c>
      <c r="L18" s="4">
        <f>Hotel!X23</f>
        <v>2970</v>
      </c>
      <c r="M18" s="4">
        <f>Hotel!Y23</f>
        <v>3820</v>
      </c>
      <c r="N18" s="4">
        <f>Hotel!Z23</f>
        <v>2650</v>
      </c>
      <c r="O18" s="4">
        <f>Hotel!AA23</f>
        <v>2690</v>
      </c>
      <c r="P18" s="4">
        <f>Hotel!AB23</f>
        <v>6250</v>
      </c>
      <c r="Q18" s="4">
        <f>Hotel!AC23</f>
        <v>7550</v>
      </c>
      <c r="R18" s="4">
        <f>Hotel!AV23*0.00378541*100</f>
        <v>959.60143499999992</v>
      </c>
      <c r="S18" s="4">
        <f>Hotel!B23</f>
        <v>62</v>
      </c>
    </row>
    <row r="19" spans="1:19" x14ac:dyDescent="0.25">
      <c r="A19" s="21" t="s">
        <v>31</v>
      </c>
      <c r="B19" s="2">
        <f t="shared" si="0"/>
        <v>18</v>
      </c>
      <c r="C19" s="10">
        <v>8</v>
      </c>
      <c r="D19" s="2">
        <v>2020</v>
      </c>
      <c r="E19" s="4">
        <f>Hotel!Q24</f>
        <v>980</v>
      </c>
      <c r="F19" s="4">
        <f>Hotel!R24</f>
        <v>13100</v>
      </c>
      <c r="G19" s="4">
        <f>Hotel!S24</f>
        <v>3350</v>
      </c>
      <c r="H19" s="4">
        <f>Hotel!T24</f>
        <v>1580</v>
      </c>
      <c r="I19" s="4">
        <f>Hotel!U24</f>
        <v>4250</v>
      </c>
      <c r="J19" s="4">
        <f>Hotel!V24</f>
        <v>2950</v>
      </c>
      <c r="K19" s="4">
        <f>Hotel!W24</f>
        <v>2200</v>
      </c>
      <c r="L19" s="4">
        <f>Hotel!X24</f>
        <v>2660</v>
      </c>
      <c r="M19" s="4">
        <f>Hotel!Y24</f>
        <v>3960</v>
      </c>
      <c r="N19" s="4">
        <f>Hotel!Z24</f>
        <v>2570</v>
      </c>
      <c r="O19" s="4">
        <f>Hotel!AA24</f>
        <v>2850</v>
      </c>
      <c r="P19" s="4">
        <f>Hotel!AB24</f>
        <v>6320</v>
      </c>
      <c r="Q19" s="4">
        <f>Hotel!AC24</f>
        <v>6970</v>
      </c>
      <c r="R19" s="4">
        <f>Hotel!AV24*0.00378541*100</f>
        <v>1140.5440329999999</v>
      </c>
      <c r="S19" s="4">
        <f>Hotel!B24</f>
        <v>68</v>
      </c>
    </row>
    <row r="20" spans="1:19" x14ac:dyDescent="0.25">
      <c r="A20" s="21" t="s">
        <v>31</v>
      </c>
      <c r="B20" s="2">
        <f t="shared" si="0"/>
        <v>19</v>
      </c>
      <c r="C20" s="10">
        <v>8</v>
      </c>
      <c r="D20" s="2">
        <v>2020</v>
      </c>
      <c r="E20" s="4">
        <f>Hotel!Q25</f>
        <v>1010</v>
      </c>
      <c r="F20" s="4">
        <f>Hotel!R25</f>
        <v>13470</v>
      </c>
      <c r="G20" s="4">
        <f>Hotel!S25</f>
        <v>3430</v>
      </c>
      <c r="H20" s="4">
        <f>Hotel!T25</f>
        <v>1620</v>
      </c>
      <c r="I20" s="4">
        <f>Hotel!U25</f>
        <v>4480</v>
      </c>
      <c r="J20" s="4">
        <f>Hotel!V25</f>
        <v>2940</v>
      </c>
      <c r="K20" s="4">
        <f>Hotel!W25</f>
        <v>2280</v>
      </c>
      <c r="L20" s="4">
        <f>Hotel!X25</f>
        <v>2770</v>
      </c>
      <c r="M20" s="4">
        <f>Hotel!Y25</f>
        <v>4330</v>
      </c>
      <c r="N20" s="4">
        <f>Hotel!Z25</f>
        <v>2740</v>
      </c>
      <c r="O20" s="4">
        <f>Hotel!AA25</f>
        <v>2980</v>
      </c>
      <c r="P20" s="4">
        <f>Hotel!AB25</f>
        <v>6220</v>
      </c>
      <c r="Q20" s="4">
        <f>Hotel!AC25</f>
        <v>9820</v>
      </c>
      <c r="R20" s="4">
        <f>Hotel!AV25*0.00378541*100</f>
        <v>861.18077500000004</v>
      </c>
      <c r="S20" s="4">
        <f>Hotel!B25</f>
        <v>105</v>
      </c>
    </row>
    <row r="21" spans="1:19" x14ac:dyDescent="0.25">
      <c r="A21" s="21" t="s">
        <v>31</v>
      </c>
      <c r="B21" s="2">
        <f t="shared" si="0"/>
        <v>20</v>
      </c>
      <c r="C21" s="10">
        <v>8</v>
      </c>
      <c r="D21" s="2">
        <v>2020</v>
      </c>
      <c r="E21" s="4">
        <f>Hotel!Q26</f>
        <v>1080</v>
      </c>
      <c r="F21" s="4">
        <f>Hotel!R26</f>
        <v>14760</v>
      </c>
      <c r="G21" s="4">
        <f>Hotel!S26</f>
        <v>3770</v>
      </c>
      <c r="H21" s="4">
        <f>Hotel!T26</f>
        <v>1750</v>
      </c>
      <c r="I21" s="4">
        <f>Hotel!U26</f>
        <v>4710</v>
      </c>
      <c r="J21" s="4">
        <f>Hotel!V26</f>
        <v>3220</v>
      </c>
      <c r="K21" s="4">
        <f>Hotel!W26</f>
        <v>2470</v>
      </c>
      <c r="L21" s="4">
        <f>Hotel!X26</f>
        <v>2980</v>
      </c>
      <c r="M21" s="4">
        <f>Hotel!Y26</f>
        <v>5070</v>
      </c>
      <c r="N21" s="4">
        <f>Hotel!Z26</f>
        <v>3090</v>
      </c>
      <c r="O21" s="4">
        <f>Hotel!AA26</f>
        <v>3450</v>
      </c>
      <c r="P21" s="4">
        <f>Hotel!AB26</f>
        <v>6970</v>
      </c>
      <c r="Q21" s="4">
        <f>Hotel!AC26</f>
        <v>12420</v>
      </c>
      <c r="R21" s="4">
        <f>Hotel!AV26*0.00378541*100</f>
        <v>990.26325599999984</v>
      </c>
      <c r="S21" s="4">
        <f>Hotel!B26</f>
        <v>129</v>
      </c>
    </row>
    <row r="22" spans="1:19" x14ac:dyDescent="0.25">
      <c r="A22" s="21" t="s">
        <v>31</v>
      </c>
      <c r="B22" s="2">
        <f t="shared" si="0"/>
        <v>21</v>
      </c>
      <c r="C22" s="10">
        <v>8</v>
      </c>
      <c r="D22" s="2">
        <v>2020</v>
      </c>
      <c r="E22" s="4">
        <f>Hotel!Q27</f>
        <v>900</v>
      </c>
      <c r="F22" s="4">
        <f>Hotel!R27</f>
        <v>12130</v>
      </c>
      <c r="G22" s="4">
        <f>Hotel!S27</f>
        <v>3100</v>
      </c>
      <c r="H22" s="4">
        <f>Hotel!T27</f>
        <v>1430</v>
      </c>
      <c r="I22" s="4">
        <f>Hotel!U27</f>
        <v>4180</v>
      </c>
      <c r="J22" s="4">
        <f>Hotel!V27</f>
        <v>2630</v>
      </c>
      <c r="K22" s="4">
        <f>Hotel!W27</f>
        <v>2000</v>
      </c>
      <c r="L22" s="4">
        <f>Hotel!X27</f>
        <v>2580</v>
      </c>
      <c r="M22" s="4">
        <f>Hotel!Y27</f>
        <v>4140</v>
      </c>
      <c r="N22" s="4">
        <f>Hotel!Z27</f>
        <v>2500</v>
      </c>
      <c r="O22" s="4">
        <f>Hotel!AA27</f>
        <v>3080</v>
      </c>
      <c r="P22" s="4">
        <f>Hotel!AB27</f>
        <v>5720</v>
      </c>
      <c r="Q22" s="4">
        <f>Hotel!AC27</f>
        <v>8680</v>
      </c>
      <c r="R22" s="4">
        <f>Hotel!AV27*0.00378541*100</f>
        <v>889.57134999999994</v>
      </c>
      <c r="S22" s="4">
        <f>Hotel!B27</f>
        <v>128</v>
      </c>
    </row>
    <row r="23" spans="1:19" x14ac:dyDescent="0.25">
      <c r="A23" s="21" t="s">
        <v>31</v>
      </c>
      <c r="B23" s="2">
        <f t="shared" si="0"/>
        <v>22</v>
      </c>
      <c r="C23" s="10">
        <v>8</v>
      </c>
      <c r="D23" s="2">
        <v>2020</v>
      </c>
      <c r="E23" s="4">
        <f>Hotel!Q28</f>
        <v>1050</v>
      </c>
      <c r="F23" s="4">
        <f>Hotel!R28</f>
        <v>14070</v>
      </c>
      <c r="G23" s="4">
        <f>Hotel!S28</f>
        <v>3620</v>
      </c>
      <c r="H23" s="4">
        <f>Hotel!T28</f>
        <v>1680</v>
      </c>
      <c r="I23" s="4">
        <f>Hotel!U28</f>
        <v>4720</v>
      </c>
      <c r="J23" s="4">
        <f>Hotel!V28</f>
        <v>3010</v>
      </c>
      <c r="K23" s="4">
        <f>Hotel!W28</f>
        <v>2350</v>
      </c>
      <c r="L23" s="4">
        <f>Hotel!X28</f>
        <v>2840</v>
      </c>
      <c r="M23" s="4">
        <f>Hotel!Y28</f>
        <v>4670</v>
      </c>
      <c r="N23" s="4">
        <f>Hotel!Z28</f>
        <v>2800</v>
      </c>
      <c r="O23" s="4">
        <f>Hotel!AA28</f>
        <v>3200</v>
      </c>
      <c r="P23" s="4">
        <f>Hotel!AB28</f>
        <v>6800</v>
      </c>
      <c r="Q23" s="4">
        <f>Hotel!AC28</f>
        <v>9250</v>
      </c>
      <c r="R23" s="4">
        <f>Hotel!AV28*0.00378541*100</f>
        <v>755.56783599999994</v>
      </c>
      <c r="S23" s="4">
        <f>Hotel!B28</f>
        <v>79</v>
      </c>
    </row>
    <row r="24" spans="1:19" x14ac:dyDescent="0.25">
      <c r="A24" s="21" t="s">
        <v>31</v>
      </c>
      <c r="B24" s="2">
        <f t="shared" si="0"/>
        <v>23</v>
      </c>
      <c r="C24" s="10">
        <v>8</v>
      </c>
      <c r="D24" s="2">
        <v>2020</v>
      </c>
      <c r="E24" s="4">
        <f>Hotel!Q29</f>
        <v>930</v>
      </c>
      <c r="F24" s="4">
        <f>Hotel!R29</f>
        <v>13780</v>
      </c>
      <c r="G24" s="4">
        <f>Hotel!S29</f>
        <v>3560</v>
      </c>
      <c r="H24" s="4">
        <f>Hotel!T29</f>
        <v>1500</v>
      </c>
      <c r="I24" s="4">
        <f>Hotel!U29</f>
        <v>4230</v>
      </c>
      <c r="J24" s="4">
        <f>Hotel!V29</f>
        <v>2790</v>
      </c>
      <c r="K24" s="4">
        <f>Hotel!W29</f>
        <v>2110</v>
      </c>
      <c r="L24" s="4">
        <f>Hotel!X29</f>
        <v>2550</v>
      </c>
      <c r="M24" s="4">
        <f>Hotel!Y29</f>
        <v>3800</v>
      </c>
      <c r="N24" s="4">
        <f>Hotel!Z29</f>
        <v>2470</v>
      </c>
      <c r="O24" s="4">
        <f>Hotel!AA29</f>
        <v>2810</v>
      </c>
      <c r="P24" s="4">
        <f>Hotel!AB29</f>
        <v>6060</v>
      </c>
      <c r="Q24" s="4">
        <f>Hotel!AC29</f>
        <v>7880</v>
      </c>
      <c r="R24" s="4">
        <f>Hotel!AV29*0.00378541*100</f>
        <v>924.01858100000004</v>
      </c>
      <c r="S24" s="4">
        <f>Hotel!B29</f>
        <v>79</v>
      </c>
    </row>
    <row r="25" spans="1:19" x14ac:dyDescent="0.25">
      <c r="A25" s="21" t="s">
        <v>31</v>
      </c>
      <c r="B25" s="2">
        <f t="shared" si="0"/>
        <v>24</v>
      </c>
      <c r="C25" s="10">
        <v>8</v>
      </c>
      <c r="D25" s="2">
        <v>2020</v>
      </c>
      <c r="E25" s="4">
        <f>Hotel!Q30</f>
        <v>990</v>
      </c>
      <c r="F25" s="4">
        <f>Hotel!R30</f>
        <v>13840</v>
      </c>
      <c r="G25" s="4">
        <f>Hotel!S30</f>
        <v>3530</v>
      </c>
      <c r="H25" s="4">
        <f>Hotel!T30</f>
        <v>1600</v>
      </c>
      <c r="I25" s="4">
        <f>Hotel!U30</f>
        <v>4460</v>
      </c>
      <c r="J25" s="4">
        <f>Hotel!V30</f>
        <v>3240</v>
      </c>
      <c r="K25" s="4">
        <f>Hotel!W30</f>
        <v>2260</v>
      </c>
      <c r="L25" s="4">
        <f>Hotel!X30</f>
        <v>2830</v>
      </c>
      <c r="M25" s="4">
        <f>Hotel!Y30</f>
        <v>4120</v>
      </c>
      <c r="N25" s="4">
        <f>Hotel!Z30</f>
        <v>2590</v>
      </c>
      <c r="O25" s="4">
        <f>Hotel!AA30</f>
        <v>3030</v>
      </c>
      <c r="P25" s="4">
        <f>Hotel!AB30</f>
        <v>6380</v>
      </c>
      <c r="Q25" s="4">
        <f>Hotel!AC30</f>
        <v>7260</v>
      </c>
      <c r="R25" s="4">
        <f>Hotel!AV30*0.00378541*100</f>
        <v>1159.4710830000001</v>
      </c>
      <c r="S25" s="4">
        <f>Hotel!B30</f>
        <v>74</v>
      </c>
    </row>
    <row r="26" spans="1:19" x14ac:dyDescent="0.25">
      <c r="A26" s="21" t="s">
        <v>31</v>
      </c>
      <c r="B26" s="2">
        <f>B25+1</f>
        <v>25</v>
      </c>
      <c r="C26" s="10">
        <v>8</v>
      </c>
      <c r="D26" s="2">
        <v>2020</v>
      </c>
      <c r="E26" s="4">
        <f>Hotel!Q31</f>
        <v>1050</v>
      </c>
      <c r="F26" s="4">
        <f>Hotel!R31</f>
        <v>14380</v>
      </c>
      <c r="G26" s="4">
        <f>Hotel!S31</f>
        <v>3610</v>
      </c>
      <c r="H26" s="4">
        <f>Hotel!T31</f>
        <v>1690</v>
      </c>
      <c r="I26" s="4">
        <f>Hotel!U31</f>
        <v>4700</v>
      </c>
      <c r="J26" s="4">
        <f>Hotel!V31</f>
        <v>3320</v>
      </c>
      <c r="K26" s="4">
        <f>Hotel!W31</f>
        <v>2360</v>
      </c>
      <c r="L26" s="4">
        <f>Hotel!X31</f>
        <v>2820</v>
      </c>
      <c r="M26" s="4">
        <f>Hotel!Y31</f>
        <v>4410</v>
      </c>
      <c r="N26" s="4">
        <f>Hotel!Z31</f>
        <v>2890</v>
      </c>
      <c r="O26" s="4">
        <f>Hotel!AA31</f>
        <v>3190</v>
      </c>
      <c r="P26" s="4">
        <f>Hotel!AB31</f>
        <v>6640</v>
      </c>
      <c r="Q26" s="4">
        <f>Hotel!AC31</f>
        <v>10100</v>
      </c>
      <c r="R26" s="4">
        <f>Hotel!AV31*0.00378541*100</f>
        <v>1124.645311</v>
      </c>
      <c r="S26" s="4">
        <f>Hotel!B31</f>
        <v>96</v>
      </c>
    </row>
    <row r="27" spans="1:19" x14ac:dyDescent="0.25">
      <c r="A27" s="21" t="s">
        <v>31</v>
      </c>
      <c r="B27" s="2">
        <f t="shared" si="0"/>
        <v>26</v>
      </c>
      <c r="C27" s="10">
        <v>8</v>
      </c>
      <c r="D27" s="2">
        <v>2020</v>
      </c>
      <c r="E27" s="4">
        <f>Hotel!Q32</f>
        <v>960</v>
      </c>
      <c r="F27" s="4">
        <f>Hotel!R32</f>
        <v>13160</v>
      </c>
      <c r="G27" s="4">
        <f>Hotel!S32</f>
        <v>3330</v>
      </c>
      <c r="H27" s="4">
        <f>Hotel!T32</f>
        <v>1540</v>
      </c>
      <c r="I27" s="4">
        <f>Hotel!U32</f>
        <v>4580</v>
      </c>
      <c r="J27" s="4">
        <f>Hotel!V32</f>
        <v>2990</v>
      </c>
      <c r="K27" s="4">
        <f>Hotel!W32</f>
        <v>2176</v>
      </c>
      <c r="L27" s="4">
        <f>Hotel!X32</f>
        <v>2730</v>
      </c>
      <c r="M27" s="4">
        <f>Hotel!Y32</f>
        <v>3960</v>
      </c>
      <c r="N27" s="4">
        <f>Hotel!Z32</f>
        <v>2770</v>
      </c>
      <c r="O27" s="4">
        <f>Hotel!AA32</f>
        <v>3050</v>
      </c>
      <c r="P27" s="4">
        <f>Hotel!AB32</f>
        <v>6470</v>
      </c>
      <c r="Q27" s="4">
        <f>Hotel!AC32</f>
        <v>10960</v>
      </c>
      <c r="R27" s="4">
        <f>Hotel!AV32*0.00378541*100</f>
        <v>979.66410800000006</v>
      </c>
      <c r="S27" s="4">
        <f>Hotel!B32</f>
        <v>93</v>
      </c>
    </row>
    <row r="28" spans="1:19" x14ac:dyDescent="0.25">
      <c r="A28" s="21" t="s">
        <v>31</v>
      </c>
      <c r="B28" s="2">
        <f t="shared" si="0"/>
        <v>27</v>
      </c>
      <c r="C28" s="10">
        <v>8</v>
      </c>
      <c r="D28" s="2">
        <v>2020</v>
      </c>
      <c r="E28" s="4">
        <f>Hotel!Q33</f>
        <v>1040</v>
      </c>
      <c r="F28" s="4">
        <f>Hotel!R33</f>
        <v>14140</v>
      </c>
      <c r="G28" s="4">
        <f>Hotel!S33</f>
        <v>5560</v>
      </c>
      <c r="H28" s="4">
        <f>Hotel!T33</f>
        <v>1670</v>
      </c>
      <c r="I28" s="4">
        <f>Hotel!U33</f>
        <v>4980</v>
      </c>
      <c r="J28" s="4">
        <f>Hotel!V33</f>
        <v>3250</v>
      </c>
      <c r="K28" s="4">
        <f>Hotel!W33</f>
        <v>2354</v>
      </c>
      <c r="L28" s="4">
        <f>Hotel!X33</f>
        <v>3110</v>
      </c>
      <c r="M28" s="4">
        <f>Hotel!Y33</f>
        <v>4480</v>
      </c>
      <c r="N28" s="4">
        <f>Hotel!Z33</f>
        <v>3020</v>
      </c>
      <c r="O28" s="4">
        <f>Hotel!AA33</f>
        <v>3520</v>
      </c>
      <c r="P28" s="4">
        <f>Hotel!AB33</f>
        <v>7030</v>
      </c>
      <c r="Q28" s="4">
        <f>Hotel!AC33</f>
        <v>10430</v>
      </c>
      <c r="R28" s="4">
        <f>Hotel!AV33*0.00378541*100</f>
        <v>833.16874099999984</v>
      </c>
      <c r="S28" s="4">
        <f>Hotel!B33</f>
        <v>150</v>
      </c>
    </row>
    <row r="29" spans="1:19" x14ac:dyDescent="0.25">
      <c r="A29" s="21" t="s">
        <v>31</v>
      </c>
      <c r="B29" s="2">
        <f t="shared" si="0"/>
        <v>28</v>
      </c>
      <c r="C29" s="10">
        <v>8</v>
      </c>
      <c r="D29" s="2">
        <v>2020</v>
      </c>
      <c r="E29" s="4">
        <f>Hotel!Q34</f>
        <v>920</v>
      </c>
      <c r="F29" s="4">
        <f>Hotel!R34</f>
        <v>12640</v>
      </c>
      <c r="G29" s="4">
        <f>Hotel!S34</f>
        <v>1200</v>
      </c>
      <c r="H29" s="4">
        <f>Hotel!T34</f>
        <v>1470</v>
      </c>
      <c r="I29" s="4">
        <f>Hotel!U34</f>
        <v>4860</v>
      </c>
      <c r="J29" s="4" t="str">
        <f>Hotel!V34</f>
        <v>0</v>
      </c>
      <c r="K29" s="4">
        <f>Hotel!W34</f>
        <v>2070</v>
      </c>
      <c r="L29" s="4">
        <f>Hotel!X34</f>
        <v>2620</v>
      </c>
      <c r="M29" s="4">
        <f>Hotel!Y34</f>
        <v>4250</v>
      </c>
      <c r="N29" s="4">
        <f>Hotel!Z34</f>
        <v>2730</v>
      </c>
      <c r="O29" s="4">
        <f>Hotel!AA34</f>
        <v>3360</v>
      </c>
      <c r="P29" s="4">
        <f>Hotel!AB34</f>
        <v>6290</v>
      </c>
      <c r="Q29" s="4">
        <f>Hotel!AC34</f>
        <v>9060</v>
      </c>
      <c r="R29" s="4">
        <f>Hotel!AV34*0.00378541*100</f>
        <v>846.41767599999991</v>
      </c>
      <c r="S29" s="4">
        <f>Hotel!B34</f>
        <v>172</v>
      </c>
    </row>
    <row r="30" spans="1:19" x14ac:dyDescent="0.25">
      <c r="A30" s="21" t="s">
        <v>31</v>
      </c>
      <c r="B30" s="2">
        <f>B29+1</f>
        <v>29</v>
      </c>
      <c r="C30" s="10">
        <v>8</v>
      </c>
      <c r="D30" s="2">
        <v>2020</v>
      </c>
      <c r="E30" s="4" t="str">
        <f>Hotel!Q35</f>
        <v>0</v>
      </c>
      <c r="F30" s="4" t="str">
        <f>Hotel!R35</f>
        <v>0</v>
      </c>
      <c r="G30" s="4" t="str">
        <f>Hotel!S35</f>
        <v>0</v>
      </c>
      <c r="H30" s="4" t="str">
        <f>Hotel!T35</f>
        <v>0</v>
      </c>
      <c r="I30" s="4" t="str">
        <f>Hotel!U35</f>
        <v>0</v>
      </c>
      <c r="J30" s="4" t="str">
        <f>Hotel!V35</f>
        <v>0</v>
      </c>
      <c r="K30" s="4" t="str">
        <f>Hotel!W35</f>
        <v>0</v>
      </c>
      <c r="L30" s="4" t="str">
        <f>Hotel!X35</f>
        <v>0</v>
      </c>
      <c r="M30" s="4" t="str">
        <f>Hotel!Y35</f>
        <v>0</v>
      </c>
      <c r="N30" s="4" t="str">
        <f>Hotel!Z35</f>
        <v>0</v>
      </c>
      <c r="O30" s="4" t="str">
        <f>Hotel!AA35</f>
        <v>0</v>
      </c>
      <c r="P30" s="4" t="str">
        <f>Hotel!AB35</f>
        <v>0</v>
      </c>
      <c r="Q30" s="4" t="str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8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8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Q1" zoomScale="93" zoomScaleNormal="93" workbookViewId="0">
      <selection activeCell="AR33" sqref="AR3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44043</v>
      </c>
      <c r="B2" s="40">
        <v>79</v>
      </c>
      <c r="C2" s="24">
        <v>6311090</v>
      </c>
      <c r="D2" s="24">
        <v>13494550</v>
      </c>
      <c r="E2" s="24">
        <v>1864110</v>
      </c>
      <c r="F2" s="24">
        <v>2950210</v>
      </c>
      <c r="G2" s="24">
        <v>8965460</v>
      </c>
      <c r="H2" s="24">
        <v>4519650</v>
      </c>
      <c r="I2" s="24">
        <v>4348480</v>
      </c>
      <c r="J2" s="24">
        <v>4861160</v>
      </c>
      <c r="K2" s="24">
        <v>7645680</v>
      </c>
      <c r="L2" s="24">
        <v>3033290</v>
      </c>
      <c r="M2" s="24">
        <v>6878190</v>
      </c>
      <c r="N2" s="24">
        <v>9916180</v>
      </c>
      <c r="O2" s="24">
        <v>13426050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59614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59614</v>
      </c>
    </row>
    <row r="7" spans="1:49" x14ac:dyDescent="0.25">
      <c r="A7" s="23">
        <v>44044</v>
      </c>
      <c r="B7" s="40">
        <v>94</v>
      </c>
      <c r="C7" s="24">
        <v>6312160</v>
      </c>
      <c r="D7" s="24">
        <v>13509330</v>
      </c>
      <c r="E7" s="24">
        <v>1868030</v>
      </c>
      <c r="F7" s="24">
        <v>2951930</v>
      </c>
      <c r="G7" s="24">
        <v>8969770</v>
      </c>
      <c r="H7" s="24">
        <v>4522670</v>
      </c>
      <c r="I7" s="24">
        <v>4350870</v>
      </c>
      <c r="J7" s="24">
        <v>4862950</v>
      </c>
      <c r="K7" s="24">
        <v>7649540</v>
      </c>
      <c r="L7" s="24">
        <v>3036180</v>
      </c>
      <c r="M7" s="24">
        <v>6881520</v>
      </c>
      <c r="N7" s="24">
        <v>9923070</v>
      </c>
      <c r="O7" s="24">
        <v>13432750</v>
      </c>
      <c r="Q7" s="37">
        <f>IF((C7-C2&lt;0), "0",C7-C2)</f>
        <v>1070</v>
      </c>
      <c r="R7" s="37">
        <f t="shared" ref="R7:AC7" si="0">IF((D7-D2&lt;0), "0",D7-D2)</f>
        <v>14780</v>
      </c>
      <c r="S7" s="37">
        <f>IF((E7-E2&lt;0), "0",E7-E2)</f>
        <v>3920</v>
      </c>
      <c r="T7" s="37">
        <f t="shared" si="0"/>
        <v>1720</v>
      </c>
      <c r="U7" s="37">
        <f t="shared" si="0"/>
        <v>4310</v>
      </c>
      <c r="V7" s="37">
        <f t="shared" si="0"/>
        <v>3020</v>
      </c>
      <c r="W7" s="37">
        <f t="shared" si="0"/>
        <v>2390</v>
      </c>
      <c r="X7" s="37">
        <f t="shared" si="0"/>
        <v>1790</v>
      </c>
      <c r="Y7" s="37">
        <f t="shared" si="0"/>
        <v>3860</v>
      </c>
      <c r="Z7" s="37">
        <f t="shared" si="0"/>
        <v>2890</v>
      </c>
      <c r="AA7" s="37">
        <f t="shared" si="0"/>
        <v>3330</v>
      </c>
      <c r="AB7" s="37">
        <f t="shared" si="0"/>
        <v>6890</v>
      </c>
      <c r="AC7" s="37">
        <f t="shared" si="0"/>
        <v>6700</v>
      </c>
      <c r="AD7" s="34">
        <f>SUM(Q7:AC7)</f>
        <v>56670</v>
      </c>
      <c r="AF7" s="20">
        <f t="shared" ref="AF7:AF36" si="1">Q7*$D$39</f>
        <v>5.3500000000000005</v>
      </c>
      <c r="AG7" s="20">
        <f t="shared" ref="AG7:AG36" si="2">R7*$D$39</f>
        <v>73.900000000000006</v>
      </c>
      <c r="AH7" s="20">
        <f t="shared" ref="AH7:AH36" si="3">S7*$D$39</f>
        <v>19.600000000000001</v>
      </c>
      <c r="AI7" s="20">
        <f t="shared" ref="AI7:AI36" si="4">T7*$D$39</f>
        <v>8.6</v>
      </c>
      <c r="AJ7" s="20">
        <f t="shared" ref="AJ7:AJ36" si="5">U7*$D$39</f>
        <v>21.55</v>
      </c>
      <c r="AK7" s="20">
        <f t="shared" ref="AK7:AK36" si="6">V7*$D$39</f>
        <v>15.1</v>
      </c>
      <c r="AL7" s="20">
        <f t="shared" ref="AL7:AL36" si="7">W7*$D$39</f>
        <v>11.950000000000001</v>
      </c>
      <c r="AM7" s="20">
        <f t="shared" ref="AM7:AM36" si="8">X7*$D$39</f>
        <v>8.9500000000000011</v>
      </c>
      <c r="AN7" s="20">
        <f t="shared" ref="AN7:AN36" si="9">Y7*$D$39</f>
        <v>19.3</v>
      </c>
      <c r="AO7" s="20">
        <f t="shared" ref="AO7:AO36" si="10">Z7*$D$39</f>
        <v>14.450000000000001</v>
      </c>
      <c r="AP7" s="20">
        <f t="shared" ref="AP7:AP36" si="11">AA7*$D$39</f>
        <v>16.649999999999999</v>
      </c>
      <c r="AQ7" s="20">
        <f t="shared" ref="AQ7:AQ36" si="12">AB7*$D$39</f>
        <v>34.450000000000003</v>
      </c>
      <c r="AR7" s="20">
        <f t="shared" ref="AR7:AR36" si="13">AC7*$D$39</f>
        <v>33.5</v>
      </c>
      <c r="AS7" s="35">
        <f>SUM(AF7:AR7)</f>
        <v>283.34999999999997</v>
      </c>
      <c r="AU7" s="47">
        <v>62141</v>
      </c>
      <c r="AV7" s="37">
        <f>IF((AU7-AU6&lt;0),"0",AU7-AU6)</f>
        <v>2527</v>
      </c>
      <c r="AW7" s="50">
        <v>0</v>
      </c>
    </row>
    <row r="8" spans="1:49" x14ac:dyDescent="0.25">
      <c r="A8" s="23">
        <v>44045</v>
      </c>
      <c r="B8" s="40">
        <v>118</v>
      </c>
      <c r="C8" s="24">
        <v>6313100</v>
      </c>
      <c r="D8" s="24">
        <v>13524570</v>
      </c>
      <c r="E8" s="24">
        <v>1872280</v>
      </c>
      <c r="F8" s="24">
        <v>2953460</v>
      </c>
      <c r="G8" s="24">
        <v>8973800</v>
      </c>
      <c r="H8" s="24">
        <v>4525370</v>
      </c>
      <c r="I8" s="24">
        <v>4353030</v>
      </c>
      <c r="J8" s="24">
        <v>4864550</v>
      </c>
      <c r="K8" s="24">
        <v>7653270</v>
      </c>
      <c r="L8" s="24">
        <v>3038820</v>
      </c>
      <c r="M8" s="24">
        <v>6884570</v>
      </c>
      <c r="N8" s="24">
        <v>9929360</v>
      </c>
      <c r="O8" s="24">
        <v>13438540</v>
      </c>
      <c r="Q8" s="37">
        <f>IF((C8-C7&lt;0), "0",C8-C7)</f>
        <v>940</v>
      </c>
      <c r="R8" s="37">
        <f t="shared" ref="R8:AC8" si="14">IF((D8-D7&lt;0), "0",D8-D7)</f>
        <v>15240</v>
      </c>
      <c r="S8" s="37">
        <f t="shared" ref="S8:S35" si="15">IF((E8-E7&lt;0), "0",E8-E7)</f>
        <v>4250</v>
      </c>
      <c r="T8" s="37">
        <f t="shared" si="14"/>
        <v>1530</v>
      </c>
      <c r="U8" s="37">
        <f t="shared" si="14"/>
        <v>4030</v>
      </c>
      <c r="V8" s="37">
        <f t="shared" si="14"/>
        <v>2700</v>
      </c>
      <c r="W8" s="37">
        <f t="shared" si="14"/>
        <v>2160</v>
      </c>
      <c r="X8" s="37">
        <f t="shared" si="14"/>
        <v>1600</v>
      </c>
      <c r="Y8" s="37">
        <f t="shared" si="14"/>
        <v>3730</v>
      </c>
      <c r="Z8" s="37">
        <f t="shared" si="14"/>
        <v>2640</v>
      </c>
      <c r="AA8" s="37">
        <f t="shared" si="14"/>
        <v>3050</v>
      </c>
      <c r="AB8" s="37">
        <f t="shared" si="14"/>
        <v>6290</v>
      </c>
      <c r="AC8" s="37">
        <f t="shared" si="14"/>
        <v>5790</v>
      </c>
      <c r="AD8" s="35">
        <f>SUM(Q8:AC8)</f>
        <v>53950</v>
      </c>
      <c r="AF8" s="20">
        <f t="shared" si="1"/>
        <v>4.7</v>
      </c>
      <c r="AG8" s="20">
        <f t="shared" si="2"/>
        <v>76.2</v>
      </c>
      <c r="AH8" s="20">
        <f t="shared" si="3"/>
        <v>21.25</v>
      </c>
      <c r="AI8" s="20">
        <f t="shared" si="4"/>
        <v>7.65</v>
      </c>
      <c r="AJ8" s="20">
        <f t="shared" si="5"/>
        <v>20.150000000000002</v>
      </c>
      <c r="AK8" s="20">
        <f t="shared" si="6"/>
        <v>13.5</v>
      </c>
      <c r="AL8" s="20">
        <f t="shared" si="7"/>
        <v>10.8</v>
      </c>
      <c r="AM8" s="20">
        <f t="shared" si="8"/>
        <v>8</v>
      </c>
      <c r="AN8" s="20">
        <f t="shared" si="9"/>
        <v>18.650000000000002</v>
      </c>
      <c r="AO8" s="20">
        <f t="shared" si="10"/>
        <v>13.200000000000001</v>
      </c>
      <c r="AP8" s="20">
        <f t="shared" si="11"/>
        <v>15.25</v>
      </c>
      <c r="AQ8" s="20">
        <f t="shared" si="12"/>
        <v>31.45</v>
      </c>
      <c r="AR8" s="20">
        <f t="shared" si="13"/>
        <v>28.95</v>
      </c>
      <c r="AS8" s="35">
        <f>SUM(AF8:AR8)</f>
        <v>269.75</v>
      </c>
      <c r="AU8" s="47">
        <v>64475</v>
      </c>
      <c r="AV8" s="37">
        <f>IF((AU8-AU7&lt;0),"0",AU8-AU7)</f>
        <v>2334</v>
      </c>
      <c r="AW8" s="35">
        <v>0</v>
      </c>
    </row>
    <row r="9" spans="1:49" x14ac:dyDescent="0.25">
      <c r="A9" s="23">
        <v>44046</v>
      </c>
      <c r="B9" s="40">
        <v>59</v>
      </c>
      <c r="C9" s="24">
        <v>6314090</v>
      </c>
      <c r="D9" s="24">
        <v>13537930</v>
      </c>
      <c r="E9" s="24">
        <v>1875700</v>
      </c>
      <c r="F9" s="24">
        <v>2955060</v>
      </c>
      <c r="G9" s="24">
        <v>8977780</v>
      </c>
      <c r="H9" s="24">
        <v>4528300</v>
      </c>
      <c r="I9" s="24">
        <v>4355290</v>
      </c>
      <c r="J9" s="24">
        <v>4866110</v>
      </c>
      <c r="K9" s="24">
        <v>7657160</v>
      </c>
      <c r="L9" s="24">
        <v>3041440</v>
      </c>
      <c r="M9" s="24">
        <v>6887570</v>
      </c>
      <c r="N9" s="24">
        <v>9935860</v>
      </c>
      <c r="O9" s="24">
        <v>13444320</v>
      </c>
      <c r="Q9" s="37">
        <f t="shared" ref="Q9:Q30" si="16">IF((C9-C8&lt;0), "0",C9-C8)</f>
        <v>990</v>
      </c>
      <c r="R9" s="37">
        <f t="shared" ref="R9:R35" si="17">IF((D9-D8&lt;0), "0",D9-D8)</f>
        <v>13360</v>
      </c>
      <c r="S9" s="37">
        <f t="shared" si="15"/>
        <v>3420</v>
      </c>
      <c r="T9" s="37">
        <f t="shared" ref="T9:T35" si="18">IF((F9-F8&lt;0), "0",F9-F8)</f>
        <v>1600</v>
      </c>
      <c r="U9" s="37">
        <f t="shared" ref="U9:U35" si="19">IF((G9-G8&lt;0), "0",G9-G8)</f>
        <v>3980</v>
      </c>
      <c r="V9" s="37">
        <f t="shared" ref="V9:V35" si="20">IF((H9-H8&lt;0), "0",H9-H8)</f>
        <v>2930</v>
      </c>
      <c r="W9" s="37">
        <f t="shared" ref="W9:W35" si="21">IF((I9-I8&lt;0), "0",I9-I8)</f>
        <v>2260</v>
      </c>
      <c r="X9" s="37">
        <f t="shared" ref="X9:X35" si="22">IF((J9-J8&lt;0), "0",J9-J8)</f>
        <v>1560</v>
      </c>
      <c r="Y9" s="37">
        <f t="shared" ref="Y9:Y35" si="23">IF((K9-K8&lt;0), "0",K9-K8)</f>
        <v>3890</v>
      </c>
      <c r="Z9" s="37">
        <f t="shared" ref="Z9:Z35" si="24">IF((L9-L8&lt;0), "0",L9-L8)</f>
        <v>2620</v>
      </c>
      <c r="AA9" s="37">
        <f t="shared" ref="AA9:AA35" si="25">IF((M9-M8&lt;0), "0",M9-M8)</f>
        <v>3000</v>
      </c>
      <c r="AB9" s="37">
        <f t="shared" ref="AB9:AB37" si="26">IF((N9-N8&lt;0), "0",N9-N8)</f>
        <v>6500</v>
      </c>
      <c r="AC9" s="37">
        <f t="shared" ref="AC9:AC37" si="27">IF((O9-O8&lt;0), "0",O9-O8)</f>
        <v>5780</v>
      </c>
      <c r="AD9" s="35">
        <f t="shared" ref="AD9:AD37" si="28">SUM(Q9:AC9)</f>
        <v>51890</v>
      </c>
      <c r="AF9" s="20">
        <f t="shared" si="1"/>
        <v>4.95</v>
      </c>
      <c r="AG9" s="20">
        <f t="shared" si="2"/>
        <v>66.8</v>
      </c>
      <c r="AH9" s="20">
        <f t="shared" si="3"/>
        <v>17.100000000000001</v>
      </c>
      <c r="AI9" s="20">
        <f t="shared" si="4"/>
        <v>8</v>
      </c>
      <c r="AJ9" s="20">
        <f t="shared" si="5"/>
        <v>19.900000000000002</v>
      </c>
      <c r="AK9" s="20">
        <f t="shared" si="6"/>
        <v>14.65</v>
      </c>
      <c r="AL9" s="20">
        <f t="shared" si="7"/>
        <v>11.3</v>
      </c>
      <c r="AM9" s="20">
        <f t="shared" si="8"/>
        <v>7.8</v>
      </c>
      <c r="AN9" s="20">
        <f t="shared" si="9"/>
        <v>19.45</v>
      </c>
      <c r="AO9" s="20">
        <f t="shared" si="10"/>
        <v>13.1</v>
      </c>
      <c r="AP9" s="20">
        <f t="shared" si="11"/>
        <v>15</v>
      </c>
      <c r="AQ9" s="20">
        <f t="shared" si="12"/>
        <v>32.5</v>
      </c>
      <c r="AR9" s="20">
        <f t="shared" si="13"/>
        <v>28.900000000000002</v>
      </c>
      <c r="AS9" s="35">
        <f t="shared" ref="AS9:AS33" si="29">SUM(AF9:AR9)</f>
        <v>259.45</v>
      </c>
      <c r="AU9" s="47">
        <v>67286</v>
      </c>
      <c r="AV9" s="37">
        <f>IF((AU9-AU8&lt;0),"0",AU9-AU8)</f>
        <v>2811</v>
      </c>
      <c r="AW9" s="35">
        <f t="shared" ref="AW9:AW35" si="30">AV9*$D$40</f>
        <v>5.6219999999999999</v>
      </c>
    </row>
    <row r="10" spans="1:49" x14ac:dyDescent="0.25">
      <c r="A10" s="23">
        <v>44047</v>
      </c>
      <c r="B10" s="40">
        <v>59</v>
      </c>
      <c r="C10" s="24">
        <v>6315060</v>
      </c>
      <c r="D10" s="24">
        <v>13550700</v>
      </c>
      <c r="E10" s="24">
        <v>1878930</v>
      </c>
      <c r="F10" s="24">
        <v>2956610</v>
      </c>
      <c r="G10" s="24">
        <v>8981770</v>
      </c>
      <c r="H10" s="24">
        <v>4530960</v>
      </c>
      <c r="I10" s="24">
        <v>4357460</v>
      </c>
      <c r="J10" s="24">
        <v>4867930</v>
      </c>
      <c r="K10" s="24">
        <v>7660934</v>
      </c>
      <c r="L10" s="24">
        <v>3043810</v>
      </c>
      <c r="M10" s="24">
        <v>6890410</v>
      </c>
      <c r="N10" s="24">
        <v>9942130</v>
      </c>
      <c r="O10" s="24">
        <v>13450330</v>
      </c>
      <c r="Q10" s="37">
        <f t="shared" si="16"/>
        <v>970</v>
      </c>
      <c r="R10" s="37">
        <f t="shared" si="17"/>
        <v>12770</v>
      </c>
      <c r="S10" s="37">
        <f t="shared" si="15"/>
        <v>3230</v>
      </c>
      <c r="T10" s="37">
        <f t="shared" si="18"/>
        <v>1550</v>
      </c>
      <c r="U10" s="37">
        <f t="shared" si="19"/>
        <v>3990</v>
      </c>
      <c r="V10" s="37">
        <f t="shared" si="20"/>
        <v>2660</v>
      </c>
      <c r="W10" s="37">
        <f t="shared" si="21"/>
        <v>2170</v>
      </c>
      <c r="X10" s="37">
        <f t="shared" si="22"/>
        <v>1820</v>
      </c>
      <c r="Y10" s="37">
        <f t="shared" si="23"/>
        <v>3774</v>
      </c>
      <c r="Z10" s="37">
        <f t="shared" si="24"/>
        <v>2370</v>
      </c>
      <c r="AA10" s="37">
        <f t="shared" si="25"/>
        <v>2840</v>
      </c>
      <c r="AB10" s="37">
        <f t="shared" si="26"/>
        <v>6270</v>
      </c>
      <c r="AC10" s="37">
        <f t="shared" si="27"/>
        <v>6010</v>
      </c>
      <c r="AD10" s="35">
        <f t="shared" si="28"/>
        <v>50424</v>
      </c>
      <c r="AF10" s="20">
        <f t="shared" si="1"/>
        <v>4.8500000000000005</v>
      </c>
      <c r="AG10" s="20">
        <f t="shared" si="2"/>
        <v>63.85</v>
      </c>
      <c r="AH10" s="20">
        <f t="shared" si="3"/>
        <v>16.149999999999999</v>
      </c>
      <c r="AI10" s="20">
        <f t="shared" si="4"/>
        <v>7.75</v>
      </c>
      <c r="AJ10" s="20">
        <f t="shared" si="5"/>
        <v>19.95</v>
      </c>
      <c r="AK10" s="20">
        <f t="shared" si="6"/>
        <v>13.3</v>
      </c>
      <c r="AL10" s="20">
        <f t="shared" si="7"/>
        <v>10.85</v>
      </c>
      <c r="AM10" s="20">
        <f t="shared" si="8"/>
        <v>9.1</v>
      </c>
      <c r="AN10" s="20">
        <f t="shared" si="9"/>
        <v>18.87</v>
      </c>
      <c r="AO10" s="20">
        <f t="shared" si="10"/>
        <v>11.85</v>
      </c>
      <c r="AP10" s="20">
        <f t="shared" si="11"/>
        <v>14.200000000000001</v>
      </c>
      <c r="AQ10" s="20">
        <f t="shared" si="12"/>
        <v>31.35</v>
      </c>
      <c r="AR10" s="20">
        <f t="shared" si="13"/>
        <v>30.05</v>
      </c>
      <c r="AS10" s="35">
        <f t="shared" si="29"/>
        <v>252.11999999999998</v>
      </c>
      <c r="AU10" s="47">
        <v>70278</v>
      </c>
      <c r="AV10" s="37">
        <f t="shared" ref="AV10:AV26" si="31">IF((AU10-AU9&lt;0),"0",AU10-AU9)</f>
        <v>2992</v>
      </c>
      <c r="AW10" s="35">
        <f t="shared" si="30"/>
        <v>5.984</v>
      </c>
    </row>
    <row r="11" spans="1:49" x14ac:dyDescent="0.25">
      <c r="A11" s="23">
        <v>44048</v>
      </c>
      <c r="B11" s="40">
        <v>80</v>
      </c>
      <c r="C11" s="24">
        <v>6316090</v>
      </c>
      <c r="D11" s="24">
        <v>13563780</v>
      </c>
      <c r="E11" s="24">
        <v>1882210</v>
      </c>
      <c r="F11" s="24">
        <v>2958250</v>
      </c>
      <c r="G11" s="24">
        <v>8986080</v>
      </c>
      <c r="H11" s="24">
        <v>4533810</v>
      </c>
      <c r="I11" s="24">
        <v>4359770</v>
      </c>
      <c r="J11" s="24">
        <v>4869670</v>
      </c>
      <c r="K11" s="24">
        <v>7664850</v>
      </c>
      <c r="L11" s="24">
        <v>3046510</v>
      </c>
      <c r="M11" s="24">
        <v>6893340</v>
      </c>
      <c r="N11" s="24">
        <v>9948370</v>
      </c>
      <c r="O11" s="24">
        <v>13456730</v>
      </c>
      <c r="Q11" s="37">
        <f t="shared" si="16"/>
        <v>1030</v>
      </c>
      <c r="R11" s="37">
        <f t="shared" si="17"/>
        <v>13080</v>
      </c>
      <c r="S11" s="37">
        <f t="shared" si="15"/>
        <v>3280</v>
      </c>
      <c r="T11" s="37">
        <f t="shared" si="18"/>
        <v>1640</v>
      </c>
      <c r="U11" s="37">
        <f t="shared" si="19"/>
        <v>4310</v>
      </c>
      <c r="V11" s="37">
        <f t="shared" si="20"/>
        <v>2850</v>
      </c>
      <c r="W11" s="37">
        <f t="shared" si="21"/>
        <v>2310</v>
      </c>
      <c r="X11" s="37">
        <f t="shared" si="22"/>
        <v>1740</v>
      </c>
      <c r="Y11" s="37">
        <f t="shared" si="23"/>
        <v>3916</v>
      </c>
      <c r="Z11" s="37">
        <f t="shared" si="24"/>
        <v>2700</v>
      </c>
      <c r="AA11" s="37">
        <f t="shared" si="25"/>
        <v>2930</v>
      </c>
      <c r="AB11" s="37">
        <f t="shared" si="26"/>
        <v>6240</v>
      </c>
      <c r="AC11" s="37">
        <f t="shared" si="27"/>
        <v>6400</v>
      </c>
      <c r="AD11" s="35">
        <f t="shared" si="28"/>
        <v>52426</v>
      </c>
      <c r="AF11" s="20">
        <f t="shared" si="1"/>
        <v>5.15</v>
      </c>
      <c r="AG11" s="20">
        <f t="shared" si="2"/>
        <v>65.400000000000006</v>
      </c>
      <c r="AH11" s="20">
        <f t="shared" si="3"/>
        <v>16.399999999999999</v>
      </c>
      <c r="AI11" s="20">
        <f t="shared" si="4"/>
        <v>8.1999999999999993</v>
      </c>
      <c r="AJ11" s="20">
        <f t="shared" si="5"/>
        <v>21.55</v>
      </c>
      <c r="AK11" s="20">
        <f t="shared" si="6"/>
        <v>14.25</v>
      </c>
      <c r="AL11" s="20">
        <f t="shared" si="7"/>
        <v>11.55</v>
      </c>
      <c r="AM11" s="20">
        <f t="shared" si="8"/>
        <v>8.7000000000000011</v>
      </c>
      <c r="AN11" s="20">
        <f t="shared" si="9"/>
        <v>19.580000000000002</v>
      </c>
      <c r="AO11" s="20">
        <f t="shared" si="10"/>
        <v>13.5</v>
      </c>
      <c r="AP11" s="20">
        <f t="shared" si="11"/>
        <v>14.65</v>
      </c>
      <c r="AQ11" s="20">
        <f t="shared" si="12"/>
        <v>31.2</v>
      </c>
      <c r="AR11" s="20">
        <f t="shared" si="13"/>
        <v>32</v>
      </c>
      <c r="AS11" s="35">
        <f t="shared" si="29"/>
        <v>262.13</v>
      </c>
      <c r="AU11" s="47">
        <v>72349</v>
      </c>
      <c r="AV11" s="37">
        <f t="shared" si="31"/>
        <v>2071</v>
      </c>
      <c r="AW11" s="35">
        <f t="shared" si="30"/>
        <v>4.1420000000000003</v>
      </c>
    </row>
    <row r="12" spans="1:49" x14ac:dyDescent="0.25">
      <c r="A12" s="23">
        <v>44049</v>
      </c>
      <c r="B12" s="40">
        <v>108</v>
      </c>
      <c r="C12" s="49">
        <v>6317080</v>
      </c>
      <c r="D12" s="24">
        <v>13576710</v>
      </c>
      <c r="E12" s="24">
        <v>1885490</v>
      </c>
      <c r="F12" s="24">
        <v>2959830</v>
      </c>
      <c r="G12" s="24">
        <v>8990400</v>
      </c>
      <c r="H12" s="24">
        <v>4536530</v>
      </c>
      <c r="I12" s="24">
        <v>4362020</v>
      </c>
      <c r="J12" s="24">
        <v>4871620</v>
      </c>
      <c r="K12" s="24">
        <v>7668720</v>
      </c>
      <c r="L12" s="24">
        <v>3049320</v>
      </c>
      <c r="M12" s="24">
        <v>6896360</v>
      </c>
      <c r="N12" s="24">
        <v>9954510</v>
      </c>
      <c r="O12" s="24">
        <v>13462470</v>
      </c>
      <c r="Q12" s="37">
        <f t="shared" si="16"/>
        <v>990</v>
      </c>
      <c r="R12" s="37">
        <f t="shared" si="17"/>
        <v>12930</v>
      </c>
      <c r="S12" s="37">
        <f t="shared" si="15"/>
        <v>3280</v>
      </c>
      <c r="T12" s="37">
        <f t="shared" ref="T12:W14" si="32">IF((F12-F11&lt;0), "0",F12-F11)</f>
        <v>1580</v>
      </c>
      <c r="U12" s="37">
        <f t="shared" si="32"/>
        <v>4320</v>
      </c>
      <c r="V12" s="37">
        <f t="shared" si="32"/>
        <v>2720</v>
      </c>
      <c r="W12" s="37">
        <f t="shared" si="32"/>
        <v>2250</v>
      </c>
      <c r="X12" s="37">
        <f t="shared" si="22"/>
        <v>1950</v>
      </c>
      <c r="Y12" s="37">
        <f t="shared" si="23"/>
        <v>3870</v>
      </c>
      <c r="Z12" s="37">
        <f>IF((L12-L11&lt;0), "0",L12-L11)</f>
        <v>2810</v>
      </c>
      <c r="AA12" s="37">
        <f t="shared" si="25"/>
        <v>3020</v>
      </c>
      <c r="AB12" s="37">
        <f t="shared" si="26"/>
        <v>6140</v>
      </c>
      <c r="AC12" s="37">
        <f t="shared" si="27"/>
        <v>5740</v>
      </c>
      <c r="AD12" s="35">
        <f t="shared" si="28"/>
        <v>51600</v>
      </c>
      <c r="AF12" s="20">
        <f t="shared" si="1"/>
        <v>4.95</v>
      </c>
      <c r="AG12" s="20">
        <f t="shared" si="2"/>
        <v>64.650000000000006</v>
      </c>
      <c r="AH12" s="20">
        <f t="shared" si="3"/>
        <v>16.399999999999999</v>
      </c>
      <c r="AI12" s="20">
        <f t="shared" si="4"/>
        <v>7.9</v>
      </c>
      <c r="AJ12" s="20">
        <f t="shared" si="5"/>
        <v>21.6</v>
      </c>
      <c r="AK12" s="20">
        <f t="shared" si="6"/>
        <v>13.6</v>
      </c>
      <c r="AL12" s="20">
        <f t="shared" si="7"/>
        <v>11.25</v>
      </c>
      <c r="AM12" s="20">
        <f t="shared" si="8"/>
        <v>9.75</v>
      </c>
      <c r="AN12" s="20">
        <f t="shared" si="9"/>
        <v>19.350000000000001</v>
      </c>
      <c r="AO12" s="20">
        <f t="shared" si="10"/>
        <v>14.05</v>
      </c>
      <c r="AP12" s="20">
        <f t="shared" si="11"/>
        <v>15.1</v>
      </c>
      <c r="AQ12" s="20">
        <f t="shared" si="12"/>
        <v>30.7</v>
      </c>
      <c r="AR12" s="20">
        <f t="shared" si="13"/>
        <v>28.7</v>
      </c>
      <c r="AS12" s="35">
        <f t="shared" si="29"/>
        <v>258</v>
      </c>
      <c r="AU12" s="47">
        <v>74400</v>
      </c>
      <c r="AV12" s="37">
        <f t="shared" si="31"/>
        <v>2051</v>
      </c>
      <c r="AW12" s="35">
        <f t="shared" si="30"/>
        <v>4.1020000000000003</v>
      </c>
    </row>
    <row r="13" spans="1:49" x14ac:dyDescent="0.25">
      <c r="A13" s="23">
        <v>44050</v>
      </c>
      <c r="B13" s="40">
        <v>138</v>
      </c>
      <c r="C13" s="24">
        <v>6318080</v>
      </c>
      <c r="D13" s="24">
        <v>13589510</v>
      </c>
      <c r="E13" s="24">
        <v>1888740</v>
      </c>
      <c r="F13" s="24">
        <v>2961410</v>
      </c>
      <c r="G13" s="24">
        <v>8994700</v>
      </c>
      <c r="H13" s="24">
        <v>4539330</v>
      </c>
      <c r="I13" s="24">
        <v>4364250</v>
      </c>
      <c r="J13" s="24">
        <v>4873340</v>
      </c>
      <c r="K13" s="24">
        <v>7672700</v>
      </c>
      <c r="L13" s="24">
        <v>3052030</v>
      </c>
      <c r="M13" s="24">
        <v>6899850</v>
      </c>
      <c r="N13" s="24">
        <v>9960630</v>
      </c>
      <c r="O13" s="24">
        <v>13469020</v>
      </c>
      <c r="Q13" s="37">
        <f t="shared" si="16"/>
        <v>1000</v>
      </c>
      <c r="R13" s="37">
        <f t="shared" si="17"/>
        <v>12800</v>
      </c>
      <c r="S13" s="37">
        <f t="shared" si="15"/>
        <v>3250</v>
      </c>
      <c r="T13" s="37">
        <f t="shared" si="32"/>
        <v>1580</v>
      </c>
      <c r="U13" s="37">
        <f t="shared" si="32"/>
        <v>4300</v>
      </c>
      <c r="V13" s="37">
        <f t="shared" si="32"/>
        <v>2800</v>
      </c>
      <c r="W13" s="37">
        <f t="shared" si="32"/>
        <v>2230</v>
      </c>
      <c r="X13" s="37">
        <f t="shared" si="22"/>
        <v>1720</v>
      </c>
      <c r="Y13" s="37">
        <f t="shared" si="23"/>
        <v>3980</v>
      </c>
      <c r="Z13" s="37">
        <f>IF((L13-L12&lt;0), "0",L13-L12)</f>
        <v>2710</v>
      </c>
      <c r="AA13" s="37">
        <f t="shared" si="25"/>
        <v>3490</v>
      </c>
      <c r="AB13" s="37">
        <f t="shared" si="26"/>
        <v>6120</v>
      </c>
      <c r="AC13" s="37">
        <f t="shared" si="27"/>
        <v>6550</v>
      </c>
      <c r="AD13" s="35">
        <f t="shared" si="28"/>
        <v>52530</v>
      </c>
      <c r="AF13" s="20">
        <f t="shared" si="1"/>
        <v>5</v>
      </c>
      <c r="AG13" s="20">
        <f t="shared" si="2"/>
        <v>64</v>
      </c>
      <c r="AH13" s="20">
        <f t="shared" si="3"/>
        <v>16.25</v>
      </c>
      <c r="AI13" s="20">
        <f t="shared" si="4"/>
        <v>7.9</v>
      </c>
      <c r="AJ13" s="20">
        <f t="shared" si="5"/>
        <v>21.5</v>
      </c>
      <c r="AK13" s="20">
        <f t="shared" si="6"/>
        <v>14</v>
      </c>
      <c r="AL13" s="20">
        <f t="shared" si="7"/>
        <v>11.15</v>
      </c>
      <c r="AM13" s="20">
        <f t="shared" si="8"/>
        <v>8.6</v>
      </c>
      <c r="AN13" s="20">
        <f t="shared" si="9"/>
        <v>19.900000000000002</v>
      </c>
      <c r="AO13" s="20">
        <f t="shared" si="10"/>
        <v>13.55</v>
      </c>
      <c r="AP13" s="20">
        <f t="shared" si="11"/>
        <v>17.45</v>
      </c>
      <c r="AQ13" s="20">
        <f t="shared" si="12"/>
        <v>30.6</v>
      </c>
      <c r="AR13" s="20">
        <f t="shared" si="13"/>
        <v>32.75</v>
      </c>
      <c r="AS13" s="35">
        <f t="shared" si="29"/>
        <v>262.64999999999998</v>
      </c>
      <c r="AU13" s="47">
        <v>77044</v>
      </c>
      <c r="AV13" s="37">
        <f t="shared" si="31"/>
        <v>2644</v>
      </c>
      <c r="AW13" s="35">
        <f t="shared" si="30"/>
        <v>5.2880000000000003</v>
      </c>
    </row>
    <row r="14" spans="1:49" x14ac:dyDescent="0.25">
      <c r="A14" s="23">
        <v>44051</v>
      </c>
      <c r="B14" s="40">
        <v>73</v>
      </c>
      <c r="C14" s="24">
        <v>6319110</v>
      </c>
      <c r="D14" s="24">
        <v>13602700</v>
      </c>
      <c r="E14" s="24">
        <v>1892080</v>
      </c>
      <c r="F14" s="24">
        <v>2963040</v>
      </c>
      <c r="G14" s="24">
        <v>8999070</v>
      </c>
      <c r="H14" s="24">
        <v>4542150</v>
      </c>
      <c r="I14" s="24">
        <v>4366530</v>
      </c>
      <c r="J14" s="24">
        <v>4875070</v>
      </c>
      <c r="K14" s="24">
        <v>7676630</v>
      </c>
      <c r="L14" s="24">
        <v>3054690</v>
      </c>
      <c r="M14" s="24">
        <v>6903180</v>
      </c>
      <c r="N14" s="24">
        <v>9966950</v>
      </c>
      <c r="O14" s="24">
        <v>13475950</v>
      </c>
      <c r="P14" s="54"/>
      <c r="Q14" s="37">
        <f t="shared" si="16"/>
        <v>1030</v>
      </c>
      <c r="R14" s="37">
        <f t="shared" si="17"/>
        <v>13190</v>
      </c>
      <c r="S14" s="37">
        <f t="shared" si="15"/>
        <v>3340</v>
      </c>
      <c r="T14" s="37">
        <f t="shared" si="32"/>
        <v>1630</v>
      </c>
      <c r="U14" s="37">
        <f t="shared" si="32"/>
        <v>4370</v>
      </c>
      <c r="V14" s="37">
        <f t="shared" si="32"/>
        <v>2820</v>
      </c>
      <c r="W14" s="37">
        <f t="shared" si="32"/>
        <v>2280</v>
      </c>
      <c r="X14" s="37">
        <f t="shared" si="22"/>
        <v>1730</v>
      </c>
      <c r="Y14" s="37">
        <f t="shared" si="23"/>
        <v>3930</v>
      </c>
      <c r="Z14" s="37">
        <f>IF((L14-L13&lt;0), "0",L14-L13)</f>
        <v>2660</v>
      </c>
      <c r="AA14" s="37">
        <f t="shared" si="25"/>
        <v>3330</v>
      </c>
      <c r="AB14" s="37">
        <f t="shared" si="26"/>
        <v>6320</v>
      </c>
      <c r="AC14" s="37">
        <f t="shared" si="27"/>
        <v>6930</v>
      </c>
      <c r="AD14" s="35">
        <f t="shared" si="28"/>
        <v>53560</v>
      </c>
      <c r="AF14" s="20">
        <f t="shared" si="1"/>
        <v>5.15</v>
      </c>
      <c r="AG14" s="20">
        <f t="shared" si="2"/>
        <v>65.95</v>
      </c>
      <c r="AH14" s="20">
        <f t="shared" si="3"/>
        <v>16.7</v>
      </c>
      <c r="AI14" s="20">
        <f t="shared" si="4"/>
        <v>8.15</v>
      </c>
      <c r="AJ14" s="20">
        <f t="shared" si="5"/>
        <v>21.85</v>
      </c>
      <c r="AK14" s="20">
        <f t="shared" si="6"/>
        <v>14.1</v>
      </c>
      <c r="AL14" s="20">
        <f t="shared" si="7"/>
        <v>11.4</v>
      </c>
      <c r="AM14" s="20">
        <f t="shared" si="8"/>
        <v>8.65</v>
      </c>
      <c r="AN14" s="20">
        <f t="shared" si="9"/>
        <v>19.650000000000002</v>
      </c>
      <c r="AO14" s="20">
        <f t="shared" si="10"/>
        <v>13.3</v>
      </c>
      <c r="AP14" s="20">
        <f t="shared" si="11"/>
        <v>16.649999999999999</v>
      </c>
      <c r="AQ14" s="20">
        <f t="shared" si="12"/>
        <v>31.6</v>
      </c>
      <c r="AR14" s="20">
        <f t="shared" si="13"/>
        <v>34.65</v>
      </c>
      <c r="AS14" s="35">
        <f t="shared" si="29"/>
        <v>267.8</v>
      </c>
      <c r="AU14" s="47">
        <v>79313</v>
      </c>
      <c r="AV14" s="37">
        <f t="shared" si="31"/>
        <v>2269</v>
      </c>
      <c r="AW14" s="35">
        <f t="shared" si="30"/>
        <v>4.5380000000000003</v>
      </c>
    </row>
    <row r="15" spans="1:49" x14ac:dyDescent="0.25">
      <c r="A15" s="23">
        <v>44052</v>
      </c>
      <c r="B15" s="40">
        <v>68</v>
      </c>
      <c r="C15" s="24">
        <v>6320090</v>
      </c>
      <c r="D15" s="24">
        <v>13615200</v>
      </c>
      <c r="E15" s="24">
        <v>1895220</v>
      </c>
      <c r="F15" s="24">
        <v>2964600</v>
      </c>
      <c r="G15" s="24">
        <v>9002930</v>
      </c>
      <c r="H15" s="24">
        <v>4544770</v>
      </c>
      <c r="I15" s="24">
        <v>4368740</v>
      </c>
      <c r="J15" s="24">
        <v>4876600</v>
      </c>
      <c r="K15" s="24">
        <v>7680180</v>
      </c>
      <c r="L15" s="24">
        <v>3057090</v>
      </c>
      <c r="M15" s="24">
        <v>6906430</v>
      </c>
      <c r="N15" s="24">
        <v>9972840</v>
      </c>
      <c r="O15" s="24">
        <v>13483470</v>
      </c>
      <c r="Q15" s="37">
        <f t="shared" si="16"/>
        <v>980</v>
      </c>
      <c r="R15" s="37">
        <f t="shared" si="17"/>
        <v>12500</v>
      </c>
      <c r="S15" s="37">
        <f t="shared" si="15"/>
        <v>3140</v>
      </c>
      <c r="T15" s="37">
        <f t="shared" si="18"/>
        <v>1560</v>
      </c>
      <c r="U15" s="37">
        <f t="shared" si="19"/>
        <v>3860</v>
      </c>
      <c r="V15" s="37">
        <f t="shared" si="20"/>
        <v>2620</v>
      </c>
      <c r="W15" s="37">
        <f t="shared" si="21"/>
        <v>2210</v>
      </c>
      <c r="X15" s="37">
        <f t="shared" si="22"/>
        <v>1530</v>
      </c>
      <c r="Y15" s="37">
        <f t="shared" si="23"/>
        <v>3550</v>
      </c>
      <c r="Z15" s="37">
        <f t="shared" si="24"/>
        <v>2400</v>
      </c>
      <c r="AA15" s="37">
        <f t="shared" si="25"/>
        <v>3250</v>
      </c>
      <c r="AB15" s="37">
        <f t="shared" si="26"/>
        <v>5890</v>
      </c>
      <c r="AC15" s="37">
        <f t="shared" si="27"/>
        <v>7520</v>
      </c>
      <c r="AD15" s="35">
        <f t="shared" si="28"/>
        <v>51010</v>
      </c>
      <c r="AF15" s="20">
        <f t="shared" si="1"/>
        <v>4.9000000000000004</v>
      </c>
      <c r="AG15" s="20">
        <f t="shared" si="2"/>
        <v>62.5</v>
      </c>
      <c r="AH15" s="20">
        <f t="shared" si="3"/>
        <v>15.700000000000001</v>
      </c>
      <c r="AI15" s="20">
        <f t="shared" si="4"/>
        <v>7.8</v>
      </c>
      <c r="AJ15" s="20">
        <f t="shared" si="5"/>
        <v>19.3</v>
      </c>
      <c r="AK15" s="20">
        <f t="shared" si="6"/>
        <v>13.1</v>
      </c>
      <c r="AL15" s="20">
        <f t="shared" si="7"/>
        <v>11.05</v>
      </c>
      <c r="AM15" s="20">
        <f t="shared" si="8"/>
        <v>7.65</v>
      </c>
      <c r="AN15" s="20">
        <f t="shared" si="9"/>
        <v>17.75</v>
      </c>
      <c r="AO15" s="20">
        <f t="shared" si="10"/>
        <v>12</v>
      </c>
      <c r="AP15" s="20">
        <f t="shared" si="11"/>
        <v>16.25</v>
      </c>
      <c r="AQ15" s="20">
        <f t="shared" si="12"/>
        <v>29.45</v>
      </c>
      <c r="AR15" s="20">
        <f t="shared" si="13"/>
        <v>37.6</v>
      </c>
      <c r="AS15" s="35">
        <f t="shared" si="29"/>
        <v>255.04999999999998</v>
      </c>
      <c r="AU15" s="47">
        <v>81547</v>
      </c>
      <c r="AV15" s="37">
        <f t="shared" si="31"/>
        <v>2234</v>
      </c>
      <c r="AW15" s="35">
        <f t="shared" si="30"/>
        <v>4.468</v>
      </c>
    </row>
    <row r="16" spans="1:49" x14ac:dyDescent="0.25">
      <c r="A16" s="23">
        <v>44053</v>
      </c>
      <c r="B16" s="40">
        <v>62</v>
      </c>
      <c r="C16" s="24">
        <v>6322110</v>
      </c>
      <c r="D16" s="24">
        <v>13626440</v>
      </c>
      <c r="E16" s="24">
        <v>1898330</v>
      </c>
      <c r="F16" s="24">
        <v>2966100</v>
      </c>
      <c r="G16" s="24">
        <v>9006790</v>
      </c>
      <c r="H16" s="24">
        <v>4547340</v>
      </c>
      <c r="I16" s="24">
        <v>4370960</v>
      </c>
      <c r="J16" s="24">
        <v>4878290</v>
      </c>
      <c r="K16" s="24">
        <v>7683220</v>
      </c>
      <c r="L16" s="24">
        <v>3059560</v>
      </c>
      <c r="M16" s="24">
        <v>6909230</v>
      </c>
      <c r="N16" s="24">
        <v>9978610</v>
      </c>
      <c r="O16" s="24">
        <v>13490190</v>
      </c>
      <c r="Q16" s="37">
        <f t="shared" si="16"/>
        <v>2020</v>
      </c>
      <c r="R16" s="37">
        <f t="shared" si="17"/>
        <v>11240</v>
      </c>
      <c r="S16" s="37">
        <f t="shared" si="15"/>
        <v>3110</v>
      </c>
      <c r="T16" s="37">
        <f t="shared" si="18"/>
        <v>1500</v>
      </c>
      <c r="U16" s="37">
        <f t="shared" si="19"/>
        <v>3860</v>
      </c>
      <c r="V16" s="37">
        <f t="shared" si="20"/>
        <v>2570</v>
      </c>
      <c r="W16" s="37">
        <f t="shared" si="21"/>
        <v>2220</v>
      </c>
      <c r="X16" s="37">
        <f t="shared" si="22"/>
        <v>1690</v>
      </c>
      <c r="Y16" s="37">
        <f t="shared" si="23"/>
        <v>3040</v>
      </c>
      <c r="Z16" s="37">
        <f t="shared" si="24"/>
        <v>2470</v>
      </c>
      <c r="AA16" s="37">
        <f t="shared" si="25"/>
        <v>2800</v>
      </c>
      <c r="AB16" s="37">
        <f t="shared" si="26"/>
        <v>5770</v>
      </c>
      <c r="AC16" s="37">
        <f t="shared" si="27"/>
        <v>6720</v>
      </c>
      <c r="AD16" s="35">
        <f t="shared" si="28"/>
        <v>49010</v>
      </c>
      <c r="AF16" s="20">
        <f t="shared" si="1"/>
        <v>10.1</v>
      </c>
      <c r="AG16" s="20">
        <f t="shared" si="2"/>
        <v>56.2</v>
      </c>
      <c r="AH16" s="20">
        <f t="shared" si="3"/>
        <v>15.55</v>
      </c>
      <c r="AI16" s="20">
        <f t="shared" si="4"/>
        <v>7.5</v>
      </c>
      <c r="AJ16" s="20">
        <f t="shared" si="5"/>
        <v>19.3</v>
      </c>
      <c r="AK16" s="20">
        <f t="shared" si="6"/>
        <v>12.85</v>
      </c>
      <c r="AL16" s="20">
        <f t="shared" si="7"/>
        <v>11.1</v>
      </c>
      <c r="AM16" s="20">
        <f t="shared" si="8"/>
        <v>8.4499999999999993</v>
      </c>
      <c r="AN16" s="20">
        <f t="shared" si="9"/>
        <v>15.200000000000001</v>
      </c>
      <c r="AO16" s="20">
        <f t="shared" si="10"/>
        <v>12.35</v>
      </c>
      <c r="AP16" s="20">
        <f t="shared" si="11"/>
        <v>14</v>
      </c>
      <c r="AQ16" s="20">
        <f t="shared" si="12"/>
        <v>28.85</v>
      </c>
      <c r="AR16" s="20">
        <f t="shared" si="13"/>
        <v>33.6</v>
      </c>
      <c r="AS16" s="35">
        <f t="shared" si="29"/>
        <v>245.04999999999995</v>
      </c>
      <c r="AU16" s="47">
        <v>84455</v>
      </c>
      <c r="AV16" s="37">
        <f t="shared" si="31"/>
        <v>2908</v>
      </c>
      <c r="AW16" s="35">
        <f t="shared" si="30"/>
        <v>5.8159999999999998</v>
      </c>
    </row>
    <row r="17" spans="1:49" x14ac:dyDescent="0.25">
      <c r="A17" s="23">
        <v>44054</v>
      </c>
      <c r="B17" s="40">
        <v>62</v>
      </c>
      <c r="C17" s="24">
        <v>6323120</v>
      </c>
      <c r="D17" s="24">
        <v>13639630</v>
      </c>
      <c r="E17" s="24">
        <v>1901710</v>
      </c>
      <c r="F17" s="24">
        <v>2967690</v>
      </c>
      <c r="G17" s="24">
        <v>9010950</v>
      </c>
      <c r="H17" s="24">
        <v>4549840</v>
      </c>
      <c r="I17" s="24">
        <v>4373210</v>
      </c>
      <c r="J17" s="24">
        <v>4880330</v>
      </c>
      <c r="K17" s="24">
        <v>7686450</v>
      </c>
      <c r="L17" s="24">
        <v>3062110</v>
      </c>
      <c r="M17" s="24">
        <v>6912050</v>
      </c>
      <c r="N17" s="24">
        <v>9984580</v>
      </c>
      <c r="O17" s="24">
        <v>13497350</v>
      </c>
      <c r="Q17" s="37">
        <f t="shared" si="16"/>
        <v>1010</v>
      </c>
      <c r="R17" s="37">
        <f t="shared" si="17"/>
        <v>13190</v>
      </c>
      <c r="S17" s="37">
        <f t="shared" si="15"/>
        <v>3380</v>
      </c>
      <c r="T17" s="37">
        <f t="shared" si="18"/>
        <v>1590</v>
      </c>
      <c r="U17" s="37">
        <f t="shared" si="19"/>
        <v>4160</v>
      </c>
      <c r="V17" s="37">
        <f t="shared" si="20"/>
        <v>2500</v>
      </c>
      <c r="W17" s="37">
        <f t="shared" si="21"/>
        <v>2250</v>
      </c>
      <c r="X17" s="37">
        <f t="shared" si="22"/>
        <v>2040</v>
      </c>
      <c r="Y17" s="37">
        <f t="shared" si="23"/>
        <v>3230</v>
      </c>
      <c r="Z17" s="37">
        <f t="shared" si="24"/>
        <v>2550</v>
      </c>
      <c r="AA17" s="37">
        <f t="shared" si="25"/>
        <v>2820</v>
      </c>
      <c r="AB17" s="37">
        <f t="shared" si="26"/>
        <v>5970</v>
      </c>
      <c r="AC17" s="37">
        <f t="shared" si="27"/>
        <v>7160</v>
      </c>
      <c r="AD17" s="35">
        <f t="shared" si="28"/>
        <v>51850</v>
      </c>
      <c r="AF17" s="20">
        <f t="shared" si="1"/>
        <v>5.05</v>
      </c>
      <c r="AG17" s="20">
        <f t="shared" si="2"/>
        <v>65.95</v>
      </c>
      <c r="AH17" s="20">
        <f t="shared" si="3"/>
        <v>16.899999999999999</v>
      </c>
      <c r="AI17" s="20">
        <f t="shared" si="4"/>
        <v>7.95</v>
      </c>
      <c r="AJ17" s="20">
        <f t="shared" si="5"/>
        <v>20.8</v>
      </c>
      <c r="AK17" s="20">
        <f t="shared" si="6"/>
        <v>12.5</v>
      </c>
      <c r="AL17" s="20">
        <f t="shared" si="7"/>
        <v>11.25</v>
      </c>
      <c r="AM17" s="20">
        <f t="shared" si="8"/>
        <v>10.200000000000001</v>
      </c>
      <c r="AN17" s="20">
        <f t="shared" si="9"/>
        <v>16.149999999999999</v>
      </c>
      <c r="AO17" s="20">
        <f t="shared" si="10"/>
        <v>12.75</v>
      </c>
      <c r="AP17" s="20">
        <f t="shared" si="11"/>
        <v>14.1</v>
      </c>
      <c r="AQ17" s="20">
        <f t="shared" si="12"/>
        <v>29.85</v>
      </c>
      <c r="AR17" s="20">
        <f t="shared" si="13"/>
        <v>35.800000000000004</v>
      </c>
      <c r="AS17" s="35">
        <f t="shared" si="29"/>
        <v>259.25</v>
      </c>
      <c r="AU17" s="47">
        <v>86716</v>
      </c>
      <c r="AV17" s="37">
        <f t="shared" si="31"/>
        <v>2261</v>
      </c>
      <c r="AW17" s="35">
        <f t="shared" si="30"/>
        <v>4.5220000000000002</v>
      </c>
    </row>
    <row r="18" spans="1:49" x14ac:dyDescent="0.25">
      <c r="A18" s="23">
        <v>44055</v>
      </c>
      <c r="B18" s="40">
        <v>44</v>
      </c>
      <c r="C18" s="24">
        <v>6324120</v>
      </c>
      <c r="D18" s="24">
        <v>13652690</v>
      </c>
      <c r="E18" s="24">
        <v>1905050</v>
      </c>
      <c r="F18" s="24">
        <v>2969280</v>
      </c>
      <c r="G18" s="24">
        <v>9015110</v>
      </c>
      <c r="H18" s="24">
        <v>4552230</v>
      </c>
      <c r="I18" s="24">
        <v>4375450</v>
      </c>
      <c r="J18" s="24">
        <v>4882470</v>
      </c>
      <c r="K18" s="24">
        <v>7689900</v>
      </c>
      <c r="L18" s="24">
        <v>3064840</v>
      </c>
      <c r="M18" s="24">
        <v>6914780</v>
      </c>
      <c r="N18" s="24">
        <v>9990830</v>
      </c>
      <c r="O18" s="24">
        <v>13504590</v>
      </c>
      <c r="Q18" s="37">
        <f t="shared" si="16"/>
        <v>1000</v>
      </c>
      <c r="R18" s="37">
        <f t="shared" si="17"/>
        <v>13060</v>
      </c>
      <c r="S18" s="37">
        <f t="shared" si="15"/>
        <v>3340</v>
      </c>
      <c r="T18" s="37">
        <f t="shared" si="18"/>
        <v>1590</v>
      </c>
      <c r="U18" s="37">
        <f t="shared" si="19"/>
        <v>4160</v>
      </c>
      <c r="V18" s="37">
        <f t="shared" si="20"/>
        <v>2390</v>
      </c>
      <c r="W18" s="37">
        <f t="shared" si="21"/>
        <v>2240</v>
      </c>
      <c r="X18" s="37">
        <f t="shared" si="22"/>
        <v>2140</v>
      </c>
      <c r="Y18" s="37">
        <f t="shared" si="23"/>
        <v>3450</v>
      </c>
      <c r="Z18" s="37">
        <f t="shared" si="24"/>
        <v>2730</v>
      </c>
      <c r="AA18" s="37">
        <f t="shared" si="25"/>
        <v>2730</v>
      </c>
      <c r="AB18" s="37">
        <f t="shared" si="26"/>
        <v>6250</v>
      </c>
      <c r="AC18" s="37">
        <f t="shared" si="27"/>
        <v>7240</v>
      </c>
      <c r="AD18" s="35">
        <f t="shared" si="28"/>
        <v>52320</v>
      </c>
      <c r="AF18" s="20">
        <f t="shared" si="1"/>
        <v>5</v>
      </c>
      <c r="AG18" s="20">
        <f t="shared" si="2"/>
        <v>65.3</v>
      </c>
      <c r="AH18" s="20">
        <f t="shared" si="3"/>
        <v>16.7</v>
      </c>
      <c r="AI18" s="20">
        <f t="shared" si="4"/>
        <v>7.95</v>
      </c>
      <c r="AJ18" s="20">
        <f t="shared" si="5"/>
        <v>20.8</v>
      </c>
      <c r="AK18" s="20">
        <f t="shared" si="6"/>
        <v>11.950000000000001</v>
      </c>
      <c r="AL18" s="20">
        <f t="shared" si="7"/>
        <v>11.200000000000001</v>
      </c>
      <c r="AM18" s="20">
        <f t="shared" si="8"/>
        <v>10.700000000000001</v>
      </c>
      <c r="AN18" s="20">
        <f t="shared" si="9"/>
        <v>17.25</v>
      </c>
      <c r="AO18" s="20">
        <f t="shared" si="10"/>
        <v>13.65</v>
      </c>
      <c r="AP18" s="20">
        <f t="shared" si="11"/>
        <v>13.65</v>
      </c>
      <c r="AQ18" s="20">
        <f t="shared" si="12"/>
        <v>31.25</v>
      </c>
      <c r="AR18" s="20">
        <f t="shared" si="13"/>
        <v>36.200000000000003</v>
      </c>
      <c r="AS18" s="35">
        <f t="shared" si="29"/>
        <v>261.60000000000002</v>
      </c>
      <c r="AU18" s="47">
        <v>88626</v>
      </c>
      <c r="AV18" s="37">
        <f t="shared" si="31"/>
        <v>1910</v>
      </c>
      <c r="AW18" s="35">
        <f t="shared" si="30"/>
        <v>3.8200000000000003</v>
      </c>
    </row>
    <row r="19" spans="1:49" x14ac:dyDescent="0.25">
      <c r="A19" s="23">
        <v>44056</v>
      </c>
      <c r="B19" s="40">
        <v>93</v>
      </c>
      <c r="C19" s="24">
        <v>6325160</v>
      </c>
      <c r="D19" s="24">
        <v>13666470</v>
      </c>
      <c r="E19" s="24">
        <v>1908590</v>
      </c>
      <c r="F19" s="24">
        <v>2970950</v>
      </c>
      <c r="G19" s="24">
        <v>9019660</v>
      </c>
      <c r="H19" s="24">
        <v>4554890</v>
      </c>
      <c r="I19" s="24">
        <v>4377790</v>
      </c>
      <c r="J19" s="24">
        <v>4884700</v>
      </c>
      <c r="K19" s="24">
        <v>7693570</v>
      </c>
      <c r="L19" s="24">
        <v>3067720</v>
      </c>
      <c r="M19" s="24">
        <v>6918010</v>
      </c>
      <c r="N19" s="24">
        <v>9997260</v>
      </c>
      <c r="O19" s="24">
        <v>13511680</v>
      </c>
      <c r="Q19" s="37">
        <f t="shared" si="16"/>
        <v>1040</v>
      </c>
      <c r="R19" s="37">
        <f t="shared" si="17"/>
        <v>13780</v>
      </c>
      <c r="S19" s="37">
        <f t="shared" si="15"/>
        <v>3540</v>
      </c>
      <c r="T19" s="37">
        <f t="shared" si="18"/>
        <v>1670</v>
      </c>
      <c r="U19" s="37">
        <f t="shared" si="19"/>
        <v>4550</v>
      </c>
      <c r="V19" s="37">
        <f t="shared" si="20"/>
        <v>2660</v>
      </c>
      <c r="W19" s="37">
        <f t="shared" si="21"/>
        <v>2340</v>
      </c>
      <c r="X19" s="37">
        <f t="shared" si="22"/>
        <v>2230</v>
      </c>
      <c r="Y19" s="37">
        <f t="shared" si="23"/>
        <v>3670</v>
      </c>
      <c r="Z19" s="37">
        <f t="shared" si="24"/>
        <v>2880</v>
      </c>
      <c r="AA19" s="37">
        <f t="shared" si="25"/>
        <v>3230</v>
      </c>
      <c r="AB19" s="37">
        <f t="shared" si="26"/>
        <v>6430</v>
      </c>
      <c r="AC19" s="37">
        <f t="shared" si="27"/>
        <v>7090</v>
      </c>
      <c r="AD19" s="35">
        <f t="shared" si="28"/>
        <v>55110</v>
      </c>
      <c r="AF19" s="20">
        <f t="shared" si="1"/>
        <v>5.2</v>
      </c>
      <c r="AG19" s="20">
        <f t="shared" si="2"/>
        <v>68.900000000000006</v>
      </c>
      <c r="AH19" s="20">
        <f t="shared" si="3"/>
        <v>17.7</v>
      </c>
      <c r="AI19" s="20">
        <f t="shared" si="4"/>
        <v>8.35</v>
      </c>
      <c r="AJ19" s="20">
        <f t="shared" si="5"/>
        <v>22.75</v>
      </c>
      <c r="AK19" s="20">
        <f t="shared" si="6"/>
        <v>13.3</v>
      </c>
      <c r="AL19" s="20">
        <f t="shared" si="7"/>
        <v>11.700000000000001</v>
      </c>
      <c r="AM19" s="20">
        <f t="shared" si="8"/>
        <v>11.15</v>
      </c>
      <c r="AN19" s="20">
        <f t="shared" si="9"/>
        <v>18.350000000000001</v>
      </c>
      <c r="AO19" s="20">
        <f t="shared" si="10"/>
        <v>14.4</v>
      </c>
      <c r="AP19" s="20">
        <f t="shared" si="11"/>
        <v>16.149999999999999</v>
      </c>
      <c r="AQ19" s="20">
        <f t="shared" si="12"/>
        <v>32.15</v>
      </c>
      <c r="AR19" s="20">
        <f t="shared" si="13"/>
        <v>35.450000000000003</v>
      </c>
      <c r="AS19" s="35">
        <f t="shared" si="29"/>
        <v>275.55</v>
      </c>
      <c r="AU19" s="47">
        <v>91753</v>
      </c>
      <c r="AV19" s="37">
        <f>IF((AU19-AU18&lt;0),"0",AU19-AU18)</f>
        <v>3127</v>
      </c>
      <c r="AW19" s="35">
        <f t="shared" si="30"/>
        <v>6.2540000000000004</v>
      </c>
    </row>
    <row r="20" spans="1:49" x14ac:dyDescent="0.25">
      <c r="A20" s="23">
        <v>44057</v>
      </c>
      <c r="B20" s="40">
        <v>117</v>
      </c>
      <c r="C20" s="24">
        <v>6326140</v>
      </c>
      <c r="D20" s="24">
        <v>13679590</v>
      </c>
      <c r="E20" s="24">
        <v>1911980</v>
      </c>
      <c r="F20" s="24">
        <v>2972510</v>
      </c>
      <c r="G20" s="24">
        <v>9023830</v>
      </c>
      <c r="H20" s="24">
        <v>4557420</v>
      </c>
      <c r="I20" s="24">
        <v>4379920</v>
      </c>
      <c r="J20" s="24">
        <v>4886850</v>
      </c>
      <c r="K20" s="24">
        <v>7697310</v>
      </c>
      <c r="L20" s="24">
        <v>3070590</v>
      </c>
      <c r="M20" s="24">
        <v>6921120</v>
      </c>
      <c r="N20" s="24">
        <v>10003370</v>
      </c>
      <c r="O20" s="24">
        <v>13518980</v>
      </c>
      <c r="Q20" s="37">
        <f t="shared" si="16"/>
        <v>980</v>
      </c>
      <c r="R20" s="37">
        <f t="shared" si="17"/>
        <v>13120</v>
      </c>
      <c r="S20" s="37">
        <f t="shared" si="15"/>
        <v>3390</v>
      </c>
      <c r="T20" s="37">
        <f t="shared" si="18"/>
        <v>1560</v>
      </c>
      <c r="U20" s="37">
        <f t="shared" si="19"/>
        <v>4170</v>
      </c>
      <c r="V20" s="37">
        <f t="shared" si="20"/>
        <v>2530</v>
      </c>
      <c r="W20" s="37">
        <f t="shared" si="21"/>
        <v>2130</v>
      </c>
      <c r="X20" s="37">
        <f t="shared" si="22"/>
        <v>2150</v>
      </c>
      <c r="Y20" s="37">
        <f t="shared" si="23"/>
        <v>3740</v>
      </c>
      <c r="Z20" s="37">
        <f t="shared" si="24"/>
        <v>2870</v>
      </c>
      <c r="AA20" s="37">
        <f t="shared" si="25"/>
        <v>3110</v>
      </c>
      <c r="AB20" s="37">
        <f t="shared" si="26"/>
        <v>6110</v>
      </c>
      <c r="AC20" s="37">
        <f t="shared" si="27"/>
        <v>7300</v>
      </c>
      <c r="AD20" s="35">
        <f t="shared" si="28"/>
        <v>53160</v>
      </c>
      <c r="AF20" s="20">
        <f t="shared" si="1"/>
        <v>4.9000000000000004</v>
      </c>
      <c r="AG20" s="20">
        <f t="shared" si="2"/>
        <v>65.599999999999994</v>
      </c>
      <c r="AH20" s="20">
        <f t="shared" si="3"/>
        <v>16.95</v>
      </c>
      <c r="AI20" s="20">
        <f t="shared" si="4"/>
        <v>7.8</v>
      </c>
      <c r="AJ20" s="20">
        <f t="shared" si="5"/>
        <v>20.85</v>
      </c>
      <c r="AK20" s="20">
        <f t="shared" si="6"/>
        <v>12.65</v>
      </c>
      <c r="AL20" s="20">
        <f t="shared" si="7"/>
        <v>10.65</v>
      </c>
      <c r="AM20" s="20">
        <f t="shared" si="8"/>
        <v>10.75</v>
      </c>
      <c r="AN20" s="20">
        <f t="shared" si="9"/>
        <v>18.7</v>
      </c>
      <c r="AO20" s="20">
        <f t="shared" si="10"/>
        <v>14.35</v>
      </c>
      <c r="AP20" s="20">
        <f t="shared" si="11"/>
        <v>15.55</v>
      </c>
      <c r="AQ20" s="20">
        <f t="shared" si="12"/>
        <v>30.55</v>
      </c>
      <c r="AR20" s="20">
        <f t="shared" si="13"/>
        <v>36.5</v>
      </c>
      <c r="AS20" s="35">
        <f t="shared" si="29"/>
        <v>265.8</v>
      </c>
      <c r="AU20" s="47">
        <v>94070</v>
      </c>
      <c r="AV20" s="37">
        <f t="shared" si="31"/>
        <v>2317</v>
      </c>
      <c r="AW20" s="35">
        <f t="shared" si="30"/>
        <v>4.6340000000000003</v>
      </c>
    </row>
    <row r="21" spans="1:49" x14ac:dyDescent="0.25">
      <c r="A21" s="23">
        <v>44058</v>
      </c>
      <c r="B21" s="40">
        <v>76</v>
      </c>
      <c r="C21" s="24">
        <v>6327090</v>
      </c>
      <c r="D21" s="24">
        <v>13692300</v>
      </c>
      <c r="E21" s="24">
        <v>1915230</v>
      </c>
      <c r="F21" s="24">
        <v>2974030</v>
      </c>
      <c r="G21" s="24">
        <v>9028120</v>
      </c>
      <c r="H21" s="24">
        <v>4560130</v>
      </c>
      <c r="I21" s="24">
        <v>4381990</v>
      </c>
      <c r="J21" s="24">
        <v>4889190</v>
      </c>
      <c r="K21" s="24">
        <v>7701040</v>
      </c>
      <c r="L21" s="24">
        <v>3073160</v>
      </c>
      <c r="M21" s="24">
        <v>6924030</v>
      </c>
      <c r="N21" s="24">
        <v>10009380</v>
      </c>
      <c r="O21" s="24">
        <v>13526740</v>
      </c>
      <c r="Q21" s="37">
        <f t="shared" si="16"/>
        <v>950</v>
      </c>
      <c r="R21" s="37">
        <f t="shared" si="17"/>
        <v>12710</v>
      </c>
      <c r="S21" s="37">
        <f t="shared" si="15"/>
        <v>3250</v>
      </c>
      <c r="T21" s="37">
        <f t="shared" si="18"/>
        <v>1520</v>
      </c>
      <c r="U21" s="37">
        <f t="shared" si="19"/>
        <v>4290</v>
      </c>
      <c r="V21" s="37">
        <f t="shared" si="20"/>
        <v>2710</v>
      </c>
      <c r="W21" s="37">
        <f t="shared" si="21"/>
        <v>2070</v>
      </c>
      <c r="X21" s="37">
        <f t="shared" si="22"/>
        <v>2340</v>
      </c>
      <c r="Y21" s="37">
        <f t="shared" si="23"/>
        <v>3730</v>
      </c>
      <c r="Z21" s="37">
        <f t="shared" si="24"/>
        <v>2570</v>
      </c>
      <c r="AA21" s="37">
        <f t="shared" si="25"/>
        <v>2910</v>
      </c>
      <c r="AB21" s="37">
        <f t="shared" si="26"/>
        <v>6010</v>
      </c>
      <c r="AC21" s="37">
        <f t="shared" si="27"/>
        <v>7760</v>
      </c>
      <c r="AD21" s="35">
        <f t="shared" si="28"/>
        <v>52820</v>
      </c>
      <c r="AF21" s="20">
        <f t="shared" si="1"/>
        <v>4.75</v>
      </c>
      <c r="AG21" s="20">
        <f t="shared" si="2"/>
        <v>63.550000000000004</v>
      </c>
      <c r="AH21" s="20">
        <f t="shared" si="3"/>
        <v>16.25</v>
      </c>
      <c r="AI21" s="20">
        <f t="shared" si="4"/>
        <v>7.6000000000000005</v>
      </c>
      <c r="AJ21" s="20">
        <f t="shared" si="5"/>
        <v>21.45</v>
      </c>
      <c r="AK21" s="20">
        <f t="shared" si="6"/>
        <v>13.55</v>
      </c>
      <c r="AL21" s="20">
        <f t="shared" si="7"/>
        <v>10.35</v>
      </c>
      <c r="AM21" s="20">
        <f t="shared" si="8"/>
        <v>11.700000000000001</v>
      </c>
      <c r="AN21" s="20">
        <f t="shared" si="9"/>
        <v>18.650000000000002</v>
      </c>
      <c r="AO21" s="20">
        <f t="shared" si="10"/>
        <v>12.85</v>
      </c>
      <c r="AP21" s="20">
        <f t="shared" si="11"/>
        <v>14.55</v>
      </c>
      <c r="AQ21" s="20">
        <f t="shared" si="12"/>
        <v>30.05</v>
      </c>
      <c r="AR21" s="20">
        <f t="shared" si="13"/>
        <v>38.800000000000004</v>
      </c>
      <c r="AS21" s="35">
        <f t="shared" si="29"/>
        <v>264.10000000000002</v>
      </c>
      <c r="AU21" s="47">
        <v>96105</v>
      </c>
      <c r="AV21" s="37">
        <f t="shared" si="31"/>
        <v>2035</v>
      </c>
      <c r="AW21" s="35">
        <f t="shared" si="30"/>
        <v>4.07</v>
      </c>
    </row>
    <row r="22" spans="1:49" x14ac:dyDescent="0.25">
      <c r="A22" s="23">
        <v>44059</v>
      </c>
      <c r="B22" s="40">
        <v>59</v>
      </c>
      <c r="C22" s="24">
        <v>6328090</v>
      </c>
      <c r="D22" s="24">
        <v>13705400</v>
      </c>
      <c r="E22" s="24">
        <v>1918570</v>
      </c>
      <c r="F22" s="24">
        <v>2975640</v>
      </c>
      <c r="G22" s="24">
        <v>9032540</v>
      </c>
      <c r="H22" s="24">
        <v>4562970</v>
      </c>
      <c r="I22" s="24">
        <v>4384190</v>
      </c>
      <c r="J22" s="44">
        <v>4891990</v>
      </c>
      <c r="K22" s="24">
        <v>7704920</v>
      </c>
      <c r="L22" s="24">
        <v>3075730</v>
      </c>
      <c r="M22" s="24">
        <v>6926880</v>
      </c>
      <c r="N22" s="24">
        <v>10015700</v>
      </c>
      <c r="O22" s="44">
        <v>13534780</v>
      </c>
      <c r="Q22" s="37">
        <f t="shared" si="16"/>
        <v>1000</v>
      </c>
      <c r="R22" s="37">
        <f t="shared" si="17"/>
        <v>13100</v>
      </c>
      <c r="S22" s="37">
        <f t="shared" si="15"/>
        <v>3340</v>
      </c>
      <c r="T22" s="37">
        <f t="shared" si="18"/>
        <v>1610</v>
      </c>
      <c r="U22" s="37">
        <f t="shared" si="19"/>
        <v>4420</v>
      </c>
      <c r="V22" s="37">
        <f t="shared" si="20"/>
        <v>2840</v>
      </c>
      <c r="W22" s="37">
        <f t="shared" si="21"/>
        <v>2200</v>
      </c>
      <c r="X22" s="37">
        <f t="shared" si="22"/>
        <v>2800</v>
      </c>
      <c r="Y22" s="37">
        <f t="shared" si="23"/>
        <v>3880</v>
      </c>
      <c r="Z22" s="37">
        <f t="shared" si="24"/>
        <v>2570</v>
      </c>
      <c r="AA22" s="37">
        <f t="shared" si="25"/>
        <v>2850</v>
      </c>
      <c r="AB22" s="37">
        <f t="shared" si="26"/>
        <v>6320</v>
      </c>
      <c r="AC22" s="37">
        <f t="shared" si="27"/>
        <v>8040</v>
      </c>
      <c r="AD22" s="35">
        <f t="shared" si="28"/>
        <v>54970</v>
      </c>
      <c r="AF22" s="20">
        <f t="shared" si="1"/>
        <v>5</v>
      </c>
      <c r="AG22" s="20">
        <f t="shared" si="2"/>
        <v>65.5</v>
      </c>
      <c r="AH22" s="20">
        <f t="shared" si="3"/>
        <v>16.7</v>
      </c>
      <c r="AI22" s="20">
        <f t="shared" si="4"/>
        <v>8.0500000000000007</v>
      </c>
      <c r="AJ22" s="20">
        <f t="shared" si="5"/>
        <v>22.1</v>
      </c>
      <c r="AK22" s="20">
        <f t="shared" si="6"/>
        <v>14.200000000000001</v>
      </c>
      <c r="AL22" s="20">
        <f t="shared" si="7"/>
        <v>11</v>
      </c>
      <c r="AM22" s="20">
        <f t="shared" si="8"/>
        <v>14</v>
      </c>
      <c r="AN22" s="20">
        <f t="shared" si="9"/>
        <v>19.400000000000002</v>
      </c>
      <c r="AO22" s="20">
        <f t="shared" si="10"/>
        <v>12.85</v>
      </c>
      <c r="AP22" s="20">
        <f t="shared" si="11"/>
        <v>14.25</v>
      </c>
      <c r="AQ22" s="20">
        <f t="shared" si="12"/>
        <v>31.6</v>
      </c>
      <c r="AR22" s="20">
        <f t="shared" si="13"/>
        <v>40.200000000000003</v>
      </c>
      <c r="AS22" s="35">
        <f t="shared" si="29"/>
        <v>274.84999999999997</v>
      </c>
      <c r="AU22" s="47">
        <v>98411</v>
      </c>
      <c r="AV22" s="37">
        <f t="shared" si="31"/>
        <v>2306</v>
      </c>
      <c r="AW22" s="35">
        <f t="shared" si="30"/>
        <v>4.6120000000000001</v>
      </c>
    </row>
    <row r="23" spans="1:49" x14ac:dyDescent="0.25">
      <c r="A23" s="23">
        <v>44060</v>
      </c>
      <c r="B23" s="40">
        <v>62</v>
      </c>
      <c r="C23" s="24">
        <v>6329110</v>
      </c>
      <c r="D23" s="24">
        <v>13718670</v>
      </c>
      <c r="E23" s="24">
        <v>1921950</v>
      </c>
      <c r="F23" s="24">
        <v>2977250</v>
      </c>
      <c r="G23" s="24">
        <v>9036900</v>
      </c>
      <c r="H23" s="24">
        <v>4565780</v>
      </c>
      <c r="I23" s="24">
        <v>4386440</v>
      </c>
      <c r="J23" s="24">
        <v>4894960</v>
      </c>
      <c r="K23" s="24">
        <v>7708740</v>
      </c>
      <c r="L23" s="24">
        <v>3078380</v>
      </c>
      <c r="M23" s="24">
        <v>6929570</v>
      </c>
      <c r="N23" s="24">
        <v>10021950</v>
      </c>
      <c r="O23" s="24">
        <v>13542330</v>
      </c>
      <c r="Q23" s="37">
        <f t="shared" si="16"/>
        <v>1020</v>
      </c>
      <c r="R23" s="37">
        <f t="shared" si="17"/>
        <v>13270</v>
      </c>
      <c r="S23" s="37">
        <f t="shared" si="15"/>
        <v>3380</v>
      </c>
      <c r="T23" s="37">
        <f t="shared" si="18"/>
        <v>1610</v>
      </c>
      <c r="U23" s="37">
        <f t="shared" si="19"/>
        <v>4360</v>
      </c>
      <c r="V23" s="37">
        <f t="shared" si="20"/>
        <v>2810</v>
      </c>
      <c r="W23" s="37">
        <f t="shared" si="21"/>
        <v>2250</v>
      </c>
      <c r="X23" s="37">
        <f t="shared" si="22"/>
        <v>2970</v>
      </c>
      <c r="Y23" s="37">
        <f t="shared" si="23"/>
        <v>3820</v>
      </c>
      <c r="Z23" s="37">
        <f t="shared" si="24"/>
        <v>2650</v>
      </c>
      <c r="AA23" s="37">
        <f t="shared" si="25"/>
        <v>2690</v>
      </c>
      <c r="AB23" s="37">
        <f t="shared" si="26"/>
        <v>6250</v>
      </c>
      <c r="AC23" s="37">
        <f t="shared" si="27"/>
        <v>7550</v>
      </c>
      <c r="AD23" s="35">
        <f t="shared" si="28"/>
        <v>54630</v>
      </c>
      <c r="AF23" s="20">
        <f t="shared" si="1"/>
        <v>5.1000000000000005</v>
      </c>
      <c r="AG23" s="20">
        <f t="shared" si="2"/>
        <v>66.349999999999994</v>
      </c>
      <c r="AH23" s="20">
        <f t="shared" si="3"/>
        <v>16.899999999999999</v>
      </c>
      <c r="AI23" s="20">
        <f t="shared" si="4"/>
        <v>8.0500000000000007</v>
      </c>
      <c r="AJ23" s="20">
        <f t="shared" si="5"/>
        <v>21.8</v>
      </c>
      <c r="AK23" s="20">
        <f t="shared" si="6"/>
        <v>14.05</v>
      </c>
      <c r="AL23" s="20">
        <f t="shared" si="7"/>
        <v>11.25</v>
      </c>
      <c r="AM23" s="20">
        <f t="shared" si="8"/>
        <v>14.85</v>
      </c>
      <c r="AN23" s="20">
        <f t="shared" si="9"/>
        <v>19.100000000000001</v>
      </c>
      <c r="AO23" s="20">
        <f t="shared" si="10"/>
        <v>13.25</v>
      </c>
      <c r="AP23" s="20">
        <f t="shared" si="11"/>
        <v>13.450000000000001</v>
      </c>
      <c r="AQ23" s="20">
        <f t="shared" si="12"/>
        <v>31.25</v>
      </c>
      <c r="AR23" s="20">
        <f t="shared" si="13"/>
        <v>37.75</v>
      </c>
      <c r="AS23" s="35">
        <f t="shared" si="29"/>
        <v>273.14999999999998</v>
      </c>
      <c r="AU23" s="47">
        <v>100946</v>
      </c>
      <c r="AV23" s="37">
        <f t="shared" si="31"/>
        <v>2535</v>
      </c>
      <c r="AW23" s="35">
        <f t="shared" si="30"/>
        <v>5.07</v>
      </c>
    </row>
    <row r="24" spans="1:49" x14ac:dyDescent="0.25">
      <c r="A24" s="23">
        <v>44061</v>
      </c>
      <c r="B24" s="40">
        <v>68</v>
      </c>
      <c r="C24" s="24">
        <v>6330090</v>
      </c>
      <c r="D24" s="24">
        <v>13731770</v>
      </c>
      <c r="E24" s="24">
        <v>1925300</v>
      </c>
      <c r="F24" s="24">
        <v>2978830</v>
      </c>
      <c r="G24" s="24">
        <v>9041150</v>
      </c>
      <c r="H24" s="24">
        <v>4568730</v>
      </c>
      <c r="I24" s="24">
        <v>4388640</v>
      </c>
      <c r="J24" s="24">
        <v>4897620</v>
      </c>
      <c r="K24" s="24">
        <v>7712700</v>
      </c>
      <c r="L24" s="24">
        <v>3080950</v>
      </c>
      <c r="M24" s="24">
        <v>6932420</v>
      </c>
      <c r="N24" s="24">
        <v>10028270</v>
      </c>
      <c r="O24" s="24">
        <v>13549300</v>
      </c>
      <c r="Q24" s="37">
        <f t="shared" si="16"/>
        <v>980</v>
      </c>
      <c r="R24" s="37">
        <f t="shared" si="17"/>
        <v>13100</v>
      </c>
      <c r="S24" s="37">
        <f t="shared" si="15"/>
        <v>3350</v>
      </c>
      <c r="T24" s="37">
        <f t="shared" si="18"/>
        <v>1580</v>
      </c>
      <c r="U24" s="37">
        <f t="shared" si="19"/>
        <v>4250</v>
      </c>
      <c r="V24" s="37">
        <f t="shared" si="20"/>
        <v>2950</v>
      </c>
      <c r="W24" s="37">
        <f t="shared" si="21"/>
        <v>2200</v>
      </c>
      <c r="X24" s="37">
        <f t="shared" si="22"/>
        <v>2660</v>
      </c>
      <c r="Y24" s="37">
        <f t="shared" si="23"/>
        <v>3960</v>
      </c>
      <c r="Z24" s="37">
        <f t="shared" si="24"/>
        <v>2570</v>
      </c>
      <c r="AA24" s="37">
        <f t="shared" si="25"/>
        <v>2850</v>
      </c>
      <c r="AB24" s="37">
        <f t="shared" si="26"/>
        <v>6320</v>
      </c>
      <c r="AC24" s="37">
        <f t="shared" si="27"/>
        <v>6970</v>
      </c>
      <c r="AD24" s="35">
        <f t="shared" si="28"/>
        <v>53740</v>
      </c>
      <c r="AF24" s="20">
        <f t="shared" si="1"/>
        <v>4.9000000000000004</v>
      </c>
      <c r="AG24" s="20">
        <f t="shared" si="2"/>
        <v>65.5</v>
      </c>
      <c r="AH24" s="20">
        <f t="shared" si="3"/>
        <v>16.75</v>
      </c>
      <c r="AI24" s="20">
        <f t="shared" si="4"/>
        <v>7.9</v>
      </c>
      <c r="AJ24" s="20">
        <f t="shared" si="5"/>
        <v>21.25</v>
      </c>
      <c r="AK24" s="20">
        <f t="shared" si="6"/>
        <v>14.75</v>
      </c>
      <c r="AL24" s="20">
        <f t="shared" si="7"/>
        <v>11</v>
      </c>
      <c r="AM24" s="20">
        <f t="shared" si="8"/>
        <v>13.3</v>
      </c>
      <c r="AN24" s="20">
        <f t="shared" si="9"/>
        <v>19.8</v>
      </c>
      <c r="AO24" s="20">
        <f t="shared" si="10"/>
        <v>12.85</v>
      </c>
      <c r="AP24" s="20">
        <f t="shared" si="11"/>
        <v>14.25</v>
      </c>
      <c r="AQ24" s="20">
        <f t="shared" si="12"/>
        <v>31.6</v>
      </c>
      <c r="AR24" s="20">
        <f t="shared" si="13"/>
        <v>34.85</v>
      </c>
      <c r="AS24" s="35">
        <f t="shared" si="29"/>
        <v>268.70000000000005</v>
      </c>
      <c r="AU24" s="47">
        <v>103959</v>
      </c>
      <c r="AV24" s="37">
        <f t="shared" si="31"/>
        <v>3013</v>
      </c>
      <c r="AW24" s="35">
        <f t="shared" si="30"/>
        <v>6.0259999999999998</v>
      </c>
    </row>
    <row r="25" spans="1:49" x14ac:dyDescent="0.25">
      <c r="A25" s="23">
        <v>44062</v>
      </c>
      <c r="B25" s="40">
        <v>105</v>
      </c>
      <c r="C25" s="24">
        <v>6331100</v>
      </c>
      <c r="D25" s="24">
        <v>13745240</v>
      </c>
      <c r="E25" s="24">
        <v>1928730</v>
      </c>
      <c r="F25" s="24">
        <v>2980450</v>
      </c>
      <c r="G25" s="24">
        <v>9045630</v>
      </c>
      <c r="H25" s="24">
        <v>4571670</v>
      </c>
      <c r="I25" s="24">
        <v>4390920</v>
      </c>
      <c r="J25" s="24">
        <v>4900390</v>
      </c>
      <c r="K25" s="24">
        <v>7717030</v>
      </c>
      <c r="L25" s="24">
        <v>3083690</v>
      </c>
      <c r="M25" s="24">
        <v>6935400</v>
      </c>
      <c r="N25" s="24">
        <v>10034490</v>
      </c>
      <c r="O25" s="24">
        <v>13559120</v>
      </c>
      <c r="Q25" s="37">
        <f t="shared" ref="Q25:AC27" si="33">IF((C25-C24&lt;0), "0",C25-C24)</f>
        <v>1010</v>
      </c>
      <c r="R25" s="37">
        <f t="shared" si="33"/>
        <v>13470</v>
      </c>
      <c r="S25" s="37">
        <f t="shared" si="33"/>
        <v>3430</v>
      </c>
      <c r="T25" s="37">
        <f t="shared" si="33"/>
        <v>1620</v>
      </c>
      <c r="U25" s="37">
        <f t="shared" si="33"/>
        <v>4480</v>
      </c>
      <c r="V25" s="37">
        <f t="shared" si="33"/>
        <v>2940</v>
      </c>
      <c r="W25" s="37">
        <f t="shared" si="33"/>
        <v>2280</v>
      </c>
      <c r="X25" s="37">
        <f t="shared" si="33"/>
        <v>2770</v>
      </c>
      <c r="Y25" s="37">
        <f t="shared" si="33"/>
        <v>4330</v>
      </c>
      <c r="Z25" s="37">
        <f t="shared" si="33"/>
        <v>2740</v>
      </c>
      <c r="AA25" s="37">
        <f t="shared" si="33"/>
        <v>2980</v>
      </c>
      <c r="AB25" s="37">
        <f t="shared" si="33"/>
        <v>6220</v>
      </c>
      <c r="AC25" s="37">
        <f t="shared" si="33"/>
        <v>9820</v>
      </c>
      <c r="AD25" s="35">
        <f t="shared" si="28"/>
        <v>58090</v>
      </c>
      <c r="AF25" s="20">
        <f t="shared" si="1"/>
        <v>5.05</v>
      </c>
      <c r="AG25" s="20">
        <f t="shared" si="2"/>
        <v>67.349999999999994</v>
      </c>
      <c r="AH25" s="20">
        <f t="shared" si="3"/>
        <v>17.150000000000002</v>
      </c>
      <c r="AI25" s="20">
        <f t="shared" si="4"/>
        <v>8.1</v>
      </c>
      <c r="AJ25" s="20">
        <f t="shared" si="5"/>
        <v>22.400000000000002</v>
      </c>
      <c r="AK25" s="20">
        <f t="shared" si="6"/>
        <v>14.700000000000001</v>
      </c>
      <c r="AL25" s="20">
        <f t="shared" si="7"/>
        <v>11.4</v>
      </c>
      <c r="AM25" s="20">
        <f t="shared" si="8"/>
        <v>13.85</v>
      </c>
      <c r="AN25" s="20">
        <f t="shared" si="9"/>
        <v>21.650000000000002</v>
      </c>
      <c r="AO25" s="20">
        <f t="shared" si="10"/>
        <v>13.700000000000001</v>
      </c>
      <c r="AP25" s="20">
        <f t="shared" si="11"/>
        <v>14.9</v>
      </c>
      <c r="AQ25" s="20">
        <f t="shared" si="12"/>
        <v>31.1</v>
      </c>
      <c r="AR25" s="20">
        <f t="shared" si="13"/>
        <v>49.1</v>
      </c>
      <c r="AS25" s="35">
        <f t="shared" si="29"/>
        <v>290.45</v>
      </c>
      <c r="AU25" s="47">
        <v>106234</v>
      </c>
      <c r="AV25" s="37">
        <f t="shared" si="31"/>
        <v>2275</v>
      </c>
      <c r="AW25" s="35">
        <f t="shared" si="30"/>
        <v>4.55</v>
      </c>
    </row>
    <row r="26" spans="1:49" x14ac:dyDescent="0.25">
      <c r="A26" s="23">
        <v>44063</v>
      </c>
      <c r="B26" s="40">
        <v>129</v>
      </c>
      <c r="C26" s="24">
        <v>6332180</v>
      </c>
      <c r="D26" s="24">
        <v>13760000</v>
      </c>
      <c r="E26" s="24">
        <v>1932500</v>
      </c>
      <c r="F26" s="24">
        <v>2982200</v>
      </c>
      <c r="G26" s="24">
        <v>9050340</v>
      </c>
      <c r="H26" s="24">
        <v>4574890</v>
      </c>
      <c r="I26" s="24">
        <v>4393390</v>
      </c>
      <c r="J26" s="24">
        <v>4903370</v>
      </c>
      <c r="K26" s="24">
        <v>7722100</v>
      </c>
      <c r="L26" s="24">
        <v>3086780</v>
      </c>
      <c r="M26" s="24">
        <v>6938850</v>
      </c>
      <c r="N26" s="24">
        <v>10041460</v>
      </c>
      <c r="O26" s="24">
        <v>13571540</v>
      </c>
      <c r="Q26" s="37">
        <f t="shared" si="33"/>
        <v>1080</v>
      </c>
      <c r="R26" s="37">
        <f t="shared" si="33"/>
        <v>14760</v>
      </c>
      <c r="S26" s="37">
        <f t="shared" si="33"/>
        <v>3770</v>
      </c>
      <c r="T26" s="37">
        <f t="shared" si="33"/>
        <v>1750</v>
      </c>
      <c r="U26" s="37">
        <f t="shared" si="33"/>
        <v>4710</v>
      </c>
      <c r="V26" s="37">
        <f t="shared" si="33"/>
        <v>3220</v>
      </c>
      <c r="W26" s="37">
        <f t="shared" si="33"/>
        <v>2470</v>
      </c>
      <c r="X26" s="37">
        <f t="shared" si="33"/>
        <v>2980</v>
      </c>
      <c r="Y26" s="37">
        <f t="shared" si="33"/>
        <v>5070</v>
      </c>
      <c r="Z26" s="37">
        <f t="shared" si="33"/>
        <v>3090</v>
      </c>
      <c r="AA26" s="37">
        <f t="shared" si="33"/>
        <v>3450</v>
      </c>
      <c r="AB26" s="37">
        <f t="shared" si="33"/>
        <v>6970</v>
      </c>
      <c r="AC26" s="37">
        <f t="shared" si="33"/>
        <v>12420</v>
      </c>
      <c r="AD26" s="35">
        <f t="shared" si="28"/>
        <v>65740</v>
      </c>
      <c r="AF26" s="20">
        <f t="shared" si="1"/>
        <v>5.4</v>
      </c>
      <c r="AG26" s="20">
        <f t="shared" si="2"/>
        <v>73.8</v>
      </c>
      <c r="AH26" s="20">
        <f t="shared" si="3"/>
        <v>18.850000000000001</v>
      </c>
      <c r="AI26" s="20">
        <f t="shared" si="4"/>
        <v>8.75</v>
      </c>
      <c r="AJ26" s="20">
        <f t="shared" si="5"/>
        <v>23.55</v>
      </c>
      <c r="AK26" s="20">
        <f t="shared" si="6"/>
        <v>16.100000000000001</v>
      </c>
      <c r="AL26" s="20">
        <f t="shared" si="7"/>
        <v>12.35</v>
      </c>
      <c r="AM26" s="20">
        <f t="shared" si="8"/>
        <v>14.9</v>
      </c>
      <c r="AN26" s="20">
        <f t="shared" si="9"/>
        <v>25.35</v>
      </c>
      <c r="AO26" s="20">
        <f t="shared" si="10"/>
        <v>15.450000000000001</v>
      </c>
      <c r="AP26" s="20">
        <f t="shared" si="11"/>
        <v>17.25</v>
      </c>
      <c r="AQ26" s="20">
        <f t="shared" si="12"/>
        <v>34.85</v>
      </c>
      <c r="AR26" s="20">
        <f t="shared" si="13"/>
        <v>62.1</v>
      </c>
      <c r="AS26" s="35">
        <f t="shared" si="29"/>
        <v>328.70000000000005</v>
      </c>
      <c r="AU26" s="47">
        <v>108850</v>
      </c>
      <c r="AV26" s="37">
        <f t="shared" si="31"/>
        <v>2616</v>
      </c>
      <c r="AW26" s="35">
        <f t="shared" si="30"/>
        <v>5.2320000000000002</v>
      </c>
    </row>
    <row r="27" spans="1:49" x14ac:dyDescent="0.25">
      <c r="A27" s="23">
        <v>44064</v>
      </c>
      <c r="B27" s="40">
        <v>128</v>
      </c>
      <c r="C27" s="24">
        <v>6333080</v>
      </c>
      <c r="D27" s="24">
        <v>13772130</v>
      </c>
      <c r="E27" s="24">
        <v>1935600</v>
      </c>
      <c r="F27" s="24">
        <v>2983630</v>
      </c>
      <c r="G27" s="24">
        <v>9054520</v>
      </c>
      <c r="H27" s="24">
        <v>4577520</v>
      </c>
      <c r="I27" s="24">
        <v>4395390</v>
      </c>
      <c r="J27" s="24">
        <v>4905950</v>
      </c>
      <c r="K27" s="24">
        <v>7726240</v>
      </c>
      <c r="L27" s="24">
        <v>3089280</v>
      </c>
      <c r="M27" s="24">
        <v>6941930</v>
      </c>
      <c r="N27" s="24">
        <v>10047180</v>
      </c>
      <c r="O27" s="24">
        <v>13580220</v>
      </c>
      <c r="Q27" s="37">
        <f t="shared" si="33"/>
        <v>900</v>
      </c>
      <c r="R27" s="37">
        <f t="shared" si="33"/>
        <v>12130</v>
      </c>
      <c r="S27" s="37">
        <f t="shared" si="33"/>
        <v>3100</v>
      </c>
      <c r="T27" s="37">
        <f t="shared" si="33"/>
        <v>1430</v>
      </c>
      <c r="U27" s="37">
        <f t="shared" si="33"/>
        <v>4180</v>
      </c>
      <c r="V27" s="37">
        <f t="shared" si="33"/>
        <v>2630</v>
      </c>
      <c r="W27" s="37">
        <f t="shared" si="33"/>
        <v>2000</v>
      </c>
      <c r="X27" s="37">
        <f t="shared" si="33"/>
        <v>2580</v>
      </c>
      <c r="Y27" s="37">
        <f t="shared" si="33"/>
        <v>4140</v>
      </c>
      <c r="Z27" s="37">
        <f t="shared" si="33"/>
        <v>2500</v>
      </c>
      <c r="AA27" s="37">
        <f t="shared" si="33"/>
        <v>3080</v>
      </c>
      <c r="AB27" s="37">
        <f t="shared" si="33"/>
        <v>5720</v>
      </c>
      <c r="AC27" s="37">
        <f t="shared" si="33"/>
        <v>8680</v>
      </c>
      <c r="AD27" s="35">
        <f t="shared" si="28"/>
        <v>53070</v>
      </c>
      <c r="AF27" s="20">
        <f t="shared" si="1"/>
        <v>4.5</v>
      </c>
      <c r="AG27" s="20">
        <f t="shared" si="2"/>
        <v>60.65</v>
      </c>
      <c r="AH27" s="20">
        <f t="shared" si="3"/>
        <v>15.5</v>
      </c>
      <c r="AI27" s="20">
        <f t="shared" si="4"/>
        <v>7.15</v>
      </c>
      <c r="AJ27" s="20">
        <f t="shared" si="5"/>
        <v>20.900000000000002</v>
      </c>
      <c r="AK27" s="20">
        <f t="shared" si="6"/>
        <v>13.15</v>
      </c>
      <c r="AL27" s="20">
        <f t="shared" si="7"/>
        <v>10</v>
      </c>
      <c r="AM27" s="20">
        <f t="shared" si="8"/>
        <v>12.9</v>
      </c>
      <c r="AN27" s="20">
        <f t="shared" si="9"/>
        <v>20.7</v>
      </c>
      <c r="AO27" s="20">
        <f t="shared" si="10"/>
        <v>12.5</v>
      </c>
      <c r="AP27" s="20">
        <f t="shared" si="11"/>
        <v>15.4</v>
      </c>
      <c r="AQ27" s="20">
        <f t="shared" si="12"/>
        <v>28.6</v>
      </c>
      <c r="AR27" s="20">
        <f t="shared" si="13"/>
        <v>43.4</v>
      </c>
      <c r="AS27" s="35">
        <f t="shared" si="29"/>
        <v>265.35000000000002</v>
      </c>
      <c r="AU27" s="47">
        <v>111200</v>
      </c>
      <c r="AV27" s="37">
        <f>IF((AU27-AU26&lt;0),"0",AU27-AU26)</f>
        <v>2350</v>
      </c>
      <c r="AW27" s="35">
        <f t="shared" si="30"/>
        <v>4.7</v>
      </c>
    </row>
    <row r="28" spans="1:49" x14ac:dyDescent="0.25">
      <c r="A28" s="23">
        <v>44065</v>
      </c>
      <c r="B28" s="40">
        <v>79</v>
      </c>
      <c r="C28" s="24">
        <v>6334130</v>
      </c>
      <c r="D28" s="24">
        <v>13786200</v>
      </c>
      <c r="E28" s="24">
        <v>1939220</v>
      </c>
      <c r="F28" s="24">
        <v>2985310</v>
      </c>
      <c r="G28" s="24">
        <v>9059240</v>
      </c>
      <c r="H28" s="24">
        <v>4580530</v>
      </c>
      <c r="I28" s="24">
        <v>4397740</v>
      </c>
      <c r="J28" s="24">
        <v>4908790</v>
      </c>
      <c r="K28" s="24">
        <v>7730910</v>
      </c>
      <c r="L28" s="24">
        <v>3092080</v>
      </c>
      <c r="M28" s="24">
        <v>6945130</v>
      </c>
      <c r="N28" s="24">
        <v>10053980</v>
      </c>
      <c r="O28" s="24">
        <v>13589470</v>
      </c>
      <c r="Q28" s="37">
        <f t="shared" si="16"/>
        <v>1050</v>
      </c>
      <c r="R28" s="37">
        <f t="shared" si="17"/>
        <v>14070</v>
      </c>
      <c r="S28" s="37">
        <f t="shared" si="15"/>
        <v>3620</v>
      </c>
      <c r="T28" s="37">
        <f t="shared" si="18"/>
        <v>1680</v>
      </c>
      <c r="U28" s="37">
        <f t="shared" si="19"/>
        <v>4720</v>
      </c>
      <c r="V28" s="37">
        <f t="shared" si="20"/>
        <v>3010</v>
      </c>
      <c r="W28" s="37">
        <f t="shared" si="21"/>
        <v>2350</v>
      </c>
      <c r="X28" s="37">
        <f t="shared" si="22"/>
        <v>2840</v>
      </c>
      <c r="Y28" s="37">
        <f t="shared" si="23"/>
        <v>4670</v>
      </c>
      <c r="Z28" s="37">
        <f t="shared" si="24"/>
        <v>2800</v>
      </c>
      <c r="AA28" s="37">
        <f t="shared" si="25"/>
        <v>3200</v>
      </c>
      <c r="AB28" s="37">
        <f t="shared" si="26"/>
        <v>6800</v>
      </c>
      <c r="AC28" s="37">
        <f t="shared" si="27"/>
        <v>9250</v>
      </c>
      <c r="AD28" s="35">
        <f t="shared" si="28"/>
        <v>60060</v>
      </c>
      <c r="AF28" s="20">
        <f t="shared" si="1"/>
        <v>5.25</v>
      </c>
      <c r="AG28" s="20">
        <f t="shared" si="2"/>
        <v>70.350000000000009</v>
      </c>
      <c r="AH28" s="20">
        <f t="shared" si="3"/>
        <v>18.100000000000001</v>
      </c>
      <c r="AI28" s="20">
        <f t="shared" si="4"/>
        <v>8.4</v>
      </c>
      <c r="AJ28" s="20">
        <f t="shared" si="5"/>
        <v>23.6</v>
      </c>
      <c r="AK28" s="20">
        <f t="shared" si="6"/>
        <v>15.05</v>
      </c>
      <c r="AL28" s="20">
        <f t="shared" si="7"/>
        <v>11.75</v>
      </c>
      <c r="AM28" s="20">
        <f t="shared" si="8"/>
        <v>14.200000000000001</v>
      </c>
      <c r="AN28" s="20">
        <f t="shared" si="9"/>
        <v>23.35</v>
      </c>
      <c r="AO28" s="20">
        <f t="shared" si="10"/>
        <v>14</v>
      </c>
      <c r="AP28" s="20">
        <f t="shared" si="11"/>
        <v>16</v>
      </c>
      <c r="AQ28" s="20">
        <f t="shared" si="12"/>
        <v>34</v>
      </c>
      <c r="AR28" s="20">
        <f t="shared" si="13"/>
        <v>46.25</v>
      </c>
      <c r="AS28" s="35">
        <f t="shared" si="29"/>
        <v>300.3</v>
      </c>
      <c r="AU28" s="47">
        <v>113196</v>
      </c>
      <c r="AV28" s="37">
        <f>IF((AU28-AU27&lt;0),"0",AU28-AU27)</f>
        <v>1996</v>
      </c>
      <c r="AW28" s="35">
        <f t="shared" si="30"/>
        <v>3.992</v>
      </c>
    </row>
    <row r="29" spans="1:49" x14ac:dyDescent="0.25">
      <c r="A29" s="23">
        <v>44066</v>
      </c>
      <c r="B29" s="40">
        <v>79</v>
      </c>
      <c r="C29" s="24">
        <v>6335060</v>
      </c>
      <c r="D29" s="24">
        <v>13799980</v>
      </c>
      <c r="E29" s="24">
        <v>1942780</v>
      </c>
      <c r="F29" s="24">
        <v>2986810</v>
      </c>
      <c r="G29" s="24">
        <v>9063470</v>
      </c>
      <c r="H29" s="24">
        <v>4583320</v>
      </c>
      <c r="I29" s="24">
        <v>4399850</v>
      </c>
      <c r="J29" s="24">
        <v>4911340</v>
      </c>
      <c r="K29" s="24">
        <v>7734710</v>
      </c>
      <c r="L29" s="24">
        <v>3094550</v>
      </c>
      <c r="M29" s="24">
        <v>6947940</v>
      </c>
      <c r="N29" s="24">
        <v>10060040</v>
      </c>
      <c r="O29" s="24">
        <v>13597350</v>
      </c>
      <c r="Q29" s="37">
        <f t="shared" si="16"/>
        <v>930</v>
      </c>
      <c r="R29" s="37">
        <f t="shared" si="17"/>
        <v>13780</v>
      </c>
      <c r="S29" s="37">
        <f t="shared" si="15"/>
        <v>3560</v>
      </c>
      <c r="T29" s="37">
        <f t="shared" si="18"/>
        <v>1500</v>
      </c>
      <c r="U29" s="37">
        <f t="shared" si="19"/>
        <v>4230</v>
      </c>
      <c r="V29" s="37">
        <f t="shared" si="20"/>
        <v>2790</v>
      </c>
      <c r="W29" s="37">
        <f t="shared" si="21"/>
        <v>2110</v>
      </c>
      <c r="X29" s="37">
        <f t="shared" si="22"/>
        <v>2550</v>
      </c>
      <c r="Y29" s="37">
        <f t="shared" si="23"/>
        <v>3800</v>
      </c>
      <c r="Z29" s="37">
        <f t="shared" si="24"/>
        <v>2470</v>
      </c>
      <c r="AA29" s="37">
        <f t="shared" si="25"/>
        <v>2810</v>
      </c>
      <c r="AB29" s="37">
        <f t="shared" si="26"/>
        <v>6060</v>
      </c>
      <c r="AC29" s="37">
        <f t="shared" si="27"/>
        <v>7880</v>
      </c>
      <c r="AD29" s="35">
        <f t="shared" si="28"/>
        <v>54470</v>
      </c>
      <c r="AF29" s="20">
        <f t="shared" si="1"/>
        <v>4.6500000000000004</v>
      </c>
      <c r="AG29" s="20">
        <f t="shared" si="2"/>
        <v>68.900000000000006</v>
      </c>
      <c r="AH29" s="20">
        <f t="shared" si="3"/>
        <v>17.8</v>
      </c>
      <c r="AI29" s="20">
        <f t="shared" si="4"/>
        <v>7.5</v>
      </c>
      <c r="AJ29" s="20">
        <f t="shared" si="5"/>
        <v>21.150000000000002</v>
      </c>
      <c r="AK29" s="20">
        <f t="shared" si="6"/>
        <v>13.950000000000001</v>
      </c>
      <c r="AL29" s="20">
        <f t="shared" si="7"/>
        <v>10.55</v>
      </c>
      <c r="AM29" s="20">
        <f t="shared" si="8"/>
        <v>12.75</v>
      </c>
      <c r="AN29" s="20">
        <f t="shared" si="9"/>
        <v>19</v>
      </c>
      <c r="AO29" s="20">
        <f t="shared" si="10"/>
        <v>12.35</v>
      </c>
      <c r="AP29" s="20">
        <f t="shared" si="11"/>
        <v>14.05</v>
      </c>
      <c r="AQ29" s="20">
        <f t="shared" si="12"/>
        <v>30.3</v>
      </c>
      <c r="AR29" s="20">
        <f t="shared" si="13"/>
        <v>39.4</v>
      </c>
      <c r="AS29" s="35">
        <f t="shared" si="29"/>
        <v>272.35000000000002</v>
      </c>
      <c r="AU29" s="47">
        <v>115637</v>
      </c>
      <c r="AV29" s="37">
        <f t="shared" ref="AV29:AV35" si="34">IF((AU29-AU28&lt;0),"0",AU29-AU28)</f>
        <v>2441</v>
      </c>
      <c r="AW29" s="35">
        <f t="shared" si="30"/>
        <v>4.8819999999999997</v>
      </c>
    </row>
    <row r="30" spans="1:49" x14ac:dyDescent="0.25">
      <c r="A30" s="23">
        <v>44067</v>
      </c>
      <c r="B30" s="40">
        <v>74</v>
      </c>
      <c r="C30" s="24">
        <v>6336050</v>
      </c>
      <c r="D30" s="24">
        <v>13813820</v>
      </c>
      <c r="E30" s="24">
        <v>1946310</v>
      </c>
      <c r="F30" s="24">
        <v>2988410</v>
      </c>
      <c r="G30" s="24">
        <v>9067930</v>
      </c>
      <c r="H30" s="24">
        <v>4586560</v>
      </c>
      <c r="I30" s="24">
        <v>4402110</v>
      </c>
      <c r="J30" s="24">
        <v>4914170</v>
      </c>
      <c r="K30" s="24">
        <v>7738830</v>
      </c>
      <c r="L30" s="24">
        <v>3097140</v>
      </c>
      <c r="M30" s="24">
        <v>6950970</v>
      </c>
      <c r="N30" s="24">
        <v>10066420</v>
      </c>
      <c r="O30" s="24">
        <v>13604610</v>
      </c>
      <c r="Q30" s="37">
        <f t="shared" si="16"/>
        <v>990</v>
      </c>
      <c r="R30" s="37">
        <f t="shared" si="17"/>
        <v>13840</v>
      </c>
      <c r="S30" s="37">
        <f t="shared" si="15"/>
        <v>3530</v>
      </c>
      <c r="T30" s="37">
        <f t="shared" si="18"/>
        <v>1600</v>
      </c>
      <c r="U30" s="37">
        <f t="shared" si="19"/>
        <v>4460</v>
      </c>
      <c r="V30" s="37">
        <f t="shared" si="20"/>
        <v>3240</v>
      </c>
      <c r="W30" s="37">
        <f t="shared" si="21"/>
        <v>2260</v>
      </c>
      <c r="X30" s="37">
        <f t="shared" si="22"/>
        <v>2830</v>
      </c>
      <c r="Y30" s="37">
        <f t="shared" si="23"/>
        <v>4120</v>
      </c>
      <c r="Z30" s="37">
        <f t="shared" si="24"/>
        <v>2590</v>
      </c>
      <c r="AA30" s="37">
        <f t="shared" si="25"/>
        <v>3030</v>
      </c>
      <c r="AB30" s="37">
        <f t="shared" si="26"/>
        <v>6380</v>
      </c>
      <c r="AC30" s="37">
        <f t="shared" si="27"/>
        <v>7260</v>
      </c>
      <c r="AD30" s="35">
        <f t="shared" si="28"/>
        <v>56130</v>
      </c>
      <c r="AF30" s="20">
        <f t="shared" si="1"/>
        <v>4.95</v>
      </c>
      <c r="AG30" s="20">
        <f t="shared" si="2"/>
        <v>69.2</v>
      </c>
      <c r="AH30" s="20">
        <f t="shared" si="3"/>
        <v>17.650000000000002</v>
      </c>
      <c r="AI30" s="20">
        <f t="shared" si="4"/>
        <v>8</v>
      </c>
      <c r="AJ30" s="20">
        <f t="shared" si="5"/>
        <v>22.3</v>
      </c>
      <c r="AK30" s="20">
        <f t="shared" si="6"/>
        <v>16.2</v>
      </c>
      <c r="AL30" s="20">
        <f t="shared" si="7"/>
        <v>11.3</v>
      </c>
      <c r="AM30" s="20">
        <f t="shared" si="8"/>
        <v>14.15</v>
      </c>
      <c r="AN30" s="20">
        <f t="shared" si="9"/>
        <v>20.6</v>
      </c>
      <c r="AO30" s="20">
        <f t="shared" si="10"/>
        <v>12.950000000000001</v>
      </c>
      <c r="AP30" s="20">
        <f t="shared" si="11"/>
        <v>15.15</v>
      </c>
      <c r="AQ30" s="20">
        <f t="shared" si="12"/>
        <v>31.900000000000002</v>
      </c>
      <c r="AR30" s="20">
        <f t="shared" si="13"/>
        <v>36.300000000000004</v>
      </c>
      <c r="AS30" s="35">
        <f t="shared" si="29"/>
        <v>280.65000000000003</v>
      </c>
      <c r="AU30" s="47">
        <v>118700</v>
      </c>
      <c r="AV30" s="37">
        <f t="shared" si="34"/>
        <v>3063</v>
      </c>
      <c r="AW30" s="35">
        <f t="shared" si="30"/>
        <v>6.1260000000000003</v>
      </c>
    </row>
    <row r="31" spans="1:49" x14ac:dyDescent="0.25">
      <c r="A31" s="23">
        <v>44068</v>
      </c>
      <c r="B31" s="40">
        <v>96</v>
      </c>
      <c r="C31" s="24">
        <v>6337100</v>
      </c>
      <c r="D31" s="24">
        <v>13828200</v>
      </c>
      <c r="E31" s="24">
        <v>1949920</v>
      </c>
      <c r="F31" s="24">
        <v>2990100</v>
      </c>
      <c r="G31" s="24">
        <v>9072630</v>
      </c>
      <c r="H31" s="24">
        <v>4589880</v>
      </c>
      <c r="I31" s="24">
        <v>4404470</v>
      </c>
      <c r="J31" s="24">
        <v>4916990</v>
      </c>
      <c r="K31" s="24">
        <v>7743240</v>
      </c>
      <c r="L31" s="24">
        <v>3100030</v>
      </c>
      <c r="M31" s="24">
        <v>6954160</v>
      </c>
      <c r="N31" s="24">
        <v>10073060</v>
      </c>
      <c r="O31" s="24">
        <v>13614710</v>
      </c>
      <c r="Q31" s="37">
        <f>IF((C31-C30&lt;0), "0",C31-C30)</f>
        <v>1050</v>
      </c>
      <c r="R31" s="37">
        <f t="shared" si="17"/>
        <v>14380</v>
      </c>
      <c r="S31" s="37">
        <f t="shared" si="15"/>
        <v>3610</v>
      </c>
      <c r="T31" s="37">
        <f t="shared" si="18"/>
        <v>1690</v>
      </c>
      <c r="U31" s="37">
        <f t="shared" si="19"/>
        <v>4700</v>
      </c>
      <c r="V31" s="37">
        <f t="shared" si="20"/>
        <v>3320</v>
      </c>
      <c r="W31" s="37">
        <f t="shared" si="21"/>
        <v>2360</v>
      </c>
      <c r="X31" s="37">
        <f t="shared" si="22"/>
        <v>2820</v>
      </c>
      <c r="Y31" s="37">
        <f t="shared" si="23"/>
        <v>4410</v>
      </c>
      <c r="Z31" s="37">
        <f t="shared" si="24"/>
        <v>2890</v>
      </c>
      <c r="AA31" s="37">
        <f t="shared" si="25"/>
        <v>3190</v>
      </c>
      <c r="AB31" s="37">
        <f t="shared" si="26"/>
        <v>6640</v>
      </c>
      <c r="AC31" s="37">
        <f t="shared" si="27"/>
        <v>10100</v>
      </c>
      <c r="AD31" s="35">
        <f t="shared" si="28"/>
        <v>61160</v>
      </c>
      <c r="AF31" s="20">
        <f t="shared" si="1"/>
        <v>5.25</v>
      </c>
      <c r="AG31" s="20">
        <f t="shared" si="2"/>
        <v>71.900000000000006</v>
      </c>
      <c r="AH31" s="20">
        <f t="shared" si="3"/>
        <v>18.05</v>
      </c>
      <c r="AI31" s="20">
        <f t="shared" si="4"/>
        <v>8.4499999999999993</v>
      </c>
      <c r="AJ31" s="20">
        <f t="shared" si="5"/>
        <v>23.5</v>
      </c>
      <c r="AK31" s="20">
        <f t="shared" si="6"/>
        <v>16.600000000000001</v>
      </c>
      <c r="AL31" s="20">
        <f t="shared" si="7"/>
        <v>11.8</v>
      </c>
      <c r="AM31" s="20">
        <f t="shared" si="8"/>
        <v>14.1</v>
      </c>
      <c r="AN31" s="20">
        <f t="shared" si="9"/>
        <v>22.05</v>
      </c>
      <c r="AO31" s="20">
        <f t="shared" si="10"/>
        <v>14.450000000000001</v>
      </c>
      <c r="AP31" s="20">
        <f t="shared" si="11"/>
        <v>15.950000000000001</v>
      </c>
      <c r="AQ31" s="20">
        <f t="shared" si="12"/>
        <v>33.200000000000003</v>
      </c>
      <c r="AR31" s="20">
        <f t="shared" si="13"/>
        <v>50.5</v>
      </c>
      <c r="AS31" s="35">
        <f t="shared" si="29"/>
        <v>305.8</v>
      </c>
      <c r="AU31" s="47">
        <v>121671</v>
      </c>
      <c r="AV31" s="37">
        <f t="shared" si="34"/>
        <v>2971</v>
      </c>
      <c r="AW31" s="35">
        <f t="shared" si="30"/>
        <v>5.9420000000000002</v>
      </c>
    </row>
    <row r="32" spans="1:49" x14ac:dyDescent="0.25">
      <c r="A32" s="23">
        <v>44069</v>
      </c>
      <c r="B32" s="40">
        <v>93</v>
      </c>
      <c r="C32" s="24">
        <v>6338060</v>
      </c>
      <c r="D32" s="24">
        <v>13841360</v>
      </c>
      <c r="E32" s="24">
        <v>1953250</v>
      </c>
      <c r="F32" s="24">
        <v>2991640</v>
      </c>
      <c r="G32" s="24">
        <v>9077210</v>
      </c>
      <c r="H32" s="24">
        <v>4592870</v>
      </c>
      <c r="I32" s="24">
        <v>4406646</v>
      </c>
      <c r="J32" s="24">
        <v>4919720</v>
      </c>
      <c r="K32" s="24">
        <v>7747200</v>
      </c>
      <c r="L32" s="24">
        <v>3102800</v>
      </c>
      <c r="M32" s="24">
        <v>6957210</v>
      </c>
      <c r="N32" s="24">
        <v>10079530</v>
      </c>
      <c r="O32" s="24">
        <v>13625670</v>
      </c>
      <c r="Q32" s="37">
        <f>IF((C32-C31&lt;0), "0",C32-C31)</f>
        <v>960</v>
      </c>
      <c r="R32" s="37">
        <f t="shared" si="17"/>
        <v>13160</v>
      </c>
      <c r="S32" s="37">
        <f t="shared" si="15"/>
        <v>3330</v>
      </c>
      <c r="T32" s="37">
        <f t="shared" si="18"/>
        <v>1540</v>
      </c>
      <c r="U32" s="37">
        <f t="shared" si="19"/>
        <v>4580</v>
      </c>
      <c r="V32" s="37">
        <f t="shared" si="20"/>
        <v>2990</v>
      </c>
      <c r="W32" s="37">
        <f t="shared" si="21"/>
        <v>2176</v>
      </c>
      <c r="X32" s="37">
        <f t="shared" si="22"/>
        <v>2730</v>
      </c>
      <c r="Y32" s="37">
        <f t="shared" si="23"/>
        <v>3960</v>
      </c>
      <c r="Z32" s="37">
        <f t="shared" si="24"/>
        <v>2770</v>
      </c>
      <c r="AA32" s="37">
        <f t="shared" si="25"/>
        <v>3050</v>
      </c>
      <c r="AB32" s="37">
        <f t="shared" si="26"/>
        <v>6470</v>
      </c>
      <c r="AC32" s="37">
        <f t="shared" si="27"/>
        <v>10960</v>
      </c>
      <c r="AD32" s="35">
        <f t="shared" si="28"/>
        <v>58676</v>
      </c>
      <c r="AF32" s="20">
        <f t="shared" si="1"/>
        <v>4.8</v>
      </c>
      <c r="AG32" s="20">
        <f t="shared" si="2"/>
        <v>65.8</v>
      </c>
      <c r="AH32" s="20">
        <f t="shared" si="3"/>
        <v>16.649999999999999</v>
      </c>
      <c r="AI32" s="20">
        <f t="shared" si="4"/>
        <v>7.7</v>
      </c>
      <c r="AJ32" s="20">
        <f t="shared" si="5"/>
        <v>22.900000000000002</v>
      </c>
      <c r="AK32" s="20">
        <f t="shared" si="6"/>
        <v>14.950000000000001</v>
      </c>
      <c r="AL32" s="20">
        <f t="shared" si="7"/>
        <v>10.88</v>
      </c>
      <c r="AM32" s="20">
        <f t="shared" si="8"/>
        <v>13.65</v>
      </c>
      <c r="AN32" s="20">
        <f t="shared" si="9"/>
        <v>19.8</v>
      </c>
      <c r="AO32" s="20">
        <f t="shared" si="10"/>
        <v>13.85</v>
      </c>
      <c r="AP32" s="20">
        <f t="shared" si="11"/>
        <v>15.25</v>
      </c>
      <c r="AQ32" s="20">
        <f t="shared" si="12"/>
        <v>32.35</v>
      </c>
      <c r="AR32" s="20">
        <f t="shared" si="13"/>
        <v>54.800000000000004</v>
      </c>
      <c r="AS32" s="35">
        <f t="shared" si="29"/>
        <v>293.38</v>
      </c>
      <c r="AU32" s="47">
        <v>124259</v>
      </c>
      <c r="AV32" s="37">
        <f t="shared" si="34"/>
        <v>2588</v>
      </c>
      <c r="AW32" s="35">
        <f t="shared" si="30"/>
        <v>5.1760000000000002</v>
      </c>
    </row>
    <row r="33" spans="1:49" x14ac:dyDescent="0.25">
      <c r="A33" s="23">
        <v>44070</v>
      </c>
      <c r="B33" s="40">
        <v>150</v>
      </c>
      <c r="C33" s="24">
        <v>6339100</v>
      </c>
      <c r="D33" s="24">
        <v>13855500</v>
      </c>
      <c r="E33" s="24">
        <v>1958810</v>
      </c>
      <c r="F33" s="24">
        <v>2993310</v>
      </c>
      <c r="G33" s="24">
        <v>9082190</v>
      </c>
      <c r="H33" s="24">
        <v>4596120</v>
      </c>
      <c r="I33" s="24">
        <v>4409000</v>
      </c>
      <c r="J33" s="24">
        <v>4922830</v>
      </c>
      <c r="K33" s="24">
        <v>7751680</v>
      </c>
      <c r="L33" s="24">
        <v>3105820</v>
      </c>
      <c r="M33" s="24">
        <v>6960730</v>
      </c>
      <c r="N33" s="24">
        <v>10086560</v>
      </c>
      <c r="O33" s="24">
        <v>13636100</v>
      </c>
      <c r="Q33" s="37">
        <f>IF((C33-C32&lt;0), "0",C33-C32)</f>
        <v>1040</v>
      </c>
      <c r="R33" s="37">
        <f t="shared" si="17"/>
        <v>14140</v>
      </c>
      <c r="S33" s="37">
        <f t="shared" si="15"/>
        <v>5560</v>
      </c>
      <c r="T33" s="37">
        <f t="shared" si="18"/>
        <v>1670</v>
      </c>
      <c r="U33" s="37">
        <f t="shared" si="19"/>
        <v>4980</v>
      </c>
      <c r="V33" s="37">
        <f t="shared" si="20"/>
        <v>3250</v>
      </c>
      <c r="W33" s="37">
        <f t="shared" si="21"/>
        <v>2354</v>
      </c>
      <c r="X33" s="37">
        <f t="shared" si="22"/>
        <v>3110</v>
      </c>
      <c r="Y33" s="37">
        <f t="shared" si="23"/>
        <v>4480</v>
      </c>
      <c r="Z33" s="37">
        <f t="shared" si="24"/>
        <v>3020</v>
      </c>
      <c r="AA33" s="37">
        <f t="shared" si="25"/>
        <v>3520</v>
      </c>
      <c r="AB33" s="37">
        <f t="shared" si="26"/>
        <v>7030</v>
      </c>
      <c r="AC33" s="37">
        <f t="shared" si="27"/>
        <v>10430</v>
      </c>
      <c r="AD33" s="35">
        <f t="shared" si="28"/>
        <v>64584</v>
      </c>
      <c r="AF33" s="20">
        <f t="shared" si="1"/>
        <v>5.2</v>
      </c>
      <c r="AG33" s="20">
        <f t="shared" si="2"/>
        <v>70.7</v>
      </c>
      <c r="AH33" s="20">
        <f t="shared" si="3"/>
        <v>27.8</v>
      </c>
      <c r="AI33" s="20">
        <f t="shared" si="4"/>
        <v>8.35</v>
      </c>
      <c r="AJ33" s="20">
        <f t="shared" si="5"/>
        <v>24.900000000000002</v>
      </c>
      <c r="AK33" s="20">
        <f t="shared" si="6"/>
        <v>16.25</v>
      </c>
      <c r="AL33" s="20">
        <f t="shared" si="7"/>
        <v>11.77</v>
      </c>
      <c r="AM33" s="20">
        <f t="shared" si="8"/>
        <v>15.55</v>
      </c>
      <c r="AN33" s="20">
        <f t="shared" si="9"/>
        <v>22.400000000000002</v>
      </c>
      <c r="AO33" s="20">
        <f t="shared" si="10"/>
        <v>15.1</v>
      </c>
      <c r="AP33" s="20">
        <f t="shared" si="11"/>
        <v>17.600000000000001</v>
      </c>
      <c r="AQ33" s="20">
        <f t="shared" si="12"/>
        <v>35.15</v>
      </c>
      <c r="AR33" s="20">
        <f t="shared" si="13"/>
        <v>52.15</v>
      </c>
      <c r="AS33" s="35">
        <f t="shared" si="29"/>
        <v>322.91999999999996</v>
      </c>
      <c r="AU33" s="47">
        <v>126460</v>
      </c>
      <c r="AV33" s="37">
        <f t="shared" si="34"/>
        <v>2201</v>
      </c>
      <c r="AW33" s="35">
        <f t="shared" si="30"/>
        <v>4.4020000000000001</v>
      </c>
    </row>
    <row r="34" spans="1:49" x14ac:dyDescent="0.25">
      <c r="A34" s="23">
        <v>44071</v>
      </c>
      <c r="B34" s="52">
        <v>172</v>
      </c>
      <c r="C34" s="51">
        <v>6340020</v>
      </c>
      <c r="D34" s="24">
        <v>13868140</v>
      </c>
      <c r="E34" s="24">
        <v>1960010</v>
      </c>
      <c r="F34" s="24">
        <v>2994780</v>
      </c>
      <c r="G34" s="24">
        <v>9087050</v>
      </c>
      <c r="H34" s="24">
        <v>4500010</v>
      </c>
      <c r="I34" s="24">
        <v>4411070</v>
      </c>
      <c r="J34" s="24">
        <v>4925450</v>
      </c>
      <c r="K34" s="24">
        <v>7755930</v>
      </c>
      <c r="L34" s="24">
        <v>3108550</v>
      </c>
      <c r="M34" s="24">
        <v>6964090</v>
      </c>
      <c r="N34" s="24">
        <v>10092850</v>
      </c>
      <c r="O34" s="24">
        <v>13645160</v>
      </c>
      <c r="Q34" s="37">
        <f>IF((C34-C33&lt;0), "0",C34-C33)</f>
        <v>920</v>
      </c>
      <c r="R34" s="37">
        <f t="shared" si="17"/>
        <v>12640</v>
      </c>
      <c r="S34" s="37">
        <f t="shared" si="15"/>
        <v>1200</v>
      </c>
      <c r="T34" s="37">
        <f t="shared" si="18"/>
        <v>1470</v>
      </c>
      <c r="U34" s="37">
        <f t="shared" si="19"/>
        <v>4860</v>
      </c>
      <c r="V34" s="37" t="str">
        <f t="shared" si="20"/>
        <v>0</v>
      </c>
      <c r="W34" s="37">
        <f t="shared" si="21"/>
        <v>2070</v>
      </c>
      <c r="X34" s="37">
        <f t="shared" si="22"/>
        <v>2620</v>
      </c>
      <c r="Y34" s="37">
        <f t="shared" si="23"/>
        <v>4250</v>
      </c>
      <c r="Z34" s="37">
        <f t="shared" si="24"/>
        <v>2730</v>
      </c>
      <c r="AA34" s="37">
        <f t="shared" si="25"/>
        <v>3360</v>
      </c>
      <c r="AB34" s="37">
        <f t="shared" si="26"/>
        <v>6290</v>
      </c>
      <c r="AC34" s="37">
        <f t="shared" si="27"/>
        <v>9060</v>
      </c>
      <c r="AD34" s="35">
        <f t="shared" si="28"/>
        <v>51470</v>
      </c>
      <c r="AF34" s="20">
        <f>Q34*$D$39</f>
        <v>4.6000000000000005</v>
      </c>
      <c r="AG34" s="20">
        <f t="shared" si="2"/>
        <v>63.2</v>
      </c>
      <c r="AH34" s="20">
        <f t="shared" si="3"/>
        <v>6</v>
      </c>
      <c r="AI34" s="20">
        <f t="shared" si="4"/>
        <v>7.3500000000000005</v>
      </c>
      <c r="AJ34" s="20">
        <f t="shared" si="5"/>
        <v>24.3</v>
      </c>
      <c r="AK34" s="20">
        <f t="shared" si="6"/>
        <v>0</v>
      </c>
      <c r="AL34" s="20">
        <f t="shared" si="7"/>
        <v>10.35</v>
      </c>
      <c r="AM34" s="20">
        <f t="shared" si="8"/>
        <v>13.1</v>
      </c>
      <c r="AN34" s="20">
        <f t="shared" si="9"/>
        <v>21.25</v>
      </c>
      <c r="AO34" s="20">
        <f t="shared" si="10"/>
        <v>13.65</v>
      </c>
      <c r="AP34" s="20">
        <f t="shared" si="11"/>
        <v>16.8</v>
      </c>
      <c r="AQ34" s="20">
        <f t="shared" si="12"/>
        <v>31.45</v>
      </c>
      <c r="AR34" s="20">
        <f t="shared" si="13"/>
        <v>45.300000000000004</v>
      </c>
      <c r="AS34" s="35">
        <f>SUM(AF34:AR34)</f>
        <v>257.34999999999997</v>
      </c>
      <c r="AU34" s="47">
        <v>128696</v>
      </c>
      <c r="AV34" s="37">
        <f t="shared" si="34"/>
        <v>2236</v>
      </c>
      <c r="AW34" s="35">
        <f t="shared" si="30"/>
        <v>4.4720000000000004</v>
      </c>
    </row>
    <row r="35" spans="1:49" x14ac:dyDescent="0.25">
      <c r="A35" s="23">
        <v>44072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 t="str">
        <f>IF((C35-C34&lt;0), "0",C35-C34)</f>
        <v>0</v>
      </c>
      <c r="R35" s="37" t="str">
        <f t="shared" si="17"/>
        <v>0</v>
      </c>
      <c r="S35" s="37" t="str">
        <f t="shared" si="15"/>
        <v>0</v>
      </c>
      <c r="T35" s="37" t="str">
        <f t="shared" si="18"/>
        <v>0</v>
      </c>
      <c r="U35" s="37" t="str">
        <f t="shared" si="19"/>
        <v>0</v>
      </c>
      <c r="V35" s="37" t="str">
        <f t="shared" si="20"/>
        <v>0</v>
      </c>
      <c r="W35" s="37" t="str">
        <f t="shared" si="21"/>
        <v>0</v>
      </c>
      <c r="X35" s="37" t="str">
        <f t="shared" si="22"/>
        <v>0</v>
      </c>
      <c r="Y35" s="37" t="str">
        <f t="shared" si="23"/>
        <v>0</v>
      </c>
      <c r="Z35" s="37" t="str">
        <f t="shared" si="24"/>
        <v>0</v>
      </c>
      <c r="AA35" s="37" t="str">
        <f t="shared" si="25"/>
        <v>0</v>
      </c>
      <c r="AB35" s="37" t="str">
        <f t="shared" si="26"/>
        <v>0</v>
      </c>
      <c r="AC35" s="37" t="str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 t="str">
        <f t="shared" si="34"/>
        <v>0</v>
      </c>
      <c r="AW35" s="35">
        <f t="shared" si="30"/>
        <v>0</v>
      </c>
    </row>
    <row r="36" spans="1:49" x14ac:dyDescent="0.25">
      <c r="A36" s="23">
        <v>44073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44074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28930</v>
      </c>
      <c r="R38" s="30">
        <f t="shared" si="62"/>
        <v>373590</v>
      </c>
      <c r="S38" s="30">
        <f t="shared" si="62"/>
        <v>95900</v>
      </c>
      <c r="T38" s="30">
        <f t="shared" si="62"/>
        <v>44570</v>
      </c>
      <c r="U38" s="30">
        <f t="shared" si="62"/>
        <v>121590</v>
      </c>
      <c r="V38" s="30">
        <f t="shared" si="62"/>
        <v>76470</v>
      </c>
      <c r="W38" s="30">
        <f t="shared" si="62"/>
        <v>62590</v>
      </c>
      <c r="X38" s="30">
        <f t="shared" si="62"/>
        <v>64290</v>
      </c>
      <c r="Y38" s="30">
        <f t="shared" si="62"/>
        <v>110250</v>
      </c>
      <c r="Z38" s="30">
        <f t="shared" si="62"/>
        <v>75260</v>
      </c>
      <c r="AA38" s="30">
        <f t="shared" si="62"/>
        <v>85900</v>
      </c>
      <c r="AB38" s="30">
        <f t="shared" si="62"/>
        <v>176670</v>
      </c>
      <c r="AC38" s="30">
        <f t="shared" si="62"/>
        <v>219110</v>
      </c>
      <c r="AD38" s="35">
        <f t="shared" si="62"/>
        <v>1535120</v>
      </c>
      <c r="AF38" s="35">
        <f t="shared" ref="AF38:AS38" si="63">SUM(AF7:AF34)</f>
        <v>144.65</v>
      </c>
      <c r="AG38" s="35">
        <f t="shared" si="63"/>
        <v>1867.95</v>
      </c>
      <c r="AH38" s="35">
        <f t="shared" si="63"/>
        <v>479.49999999999994</v>
      </c>
      <c r="AI38" s="35">
        <f t="shared" si="63"/>
        <v>222.84999999999997</v>
      </c>
      <c r="AJ38" s="35">
        <f t="shared" si="63"/>
        <v>607.94999999999993</v>
      </c>
      <c r="AK38" s="35">
        <f t="shared" si="63"/>
        <v>382.35</v>
      </c>
      <c r="AL38" s="35">
        <f t="shared" si="63"/>
        <v>312.95</v>
      </c>
      <c r="AM38" s="35">
        <f t="shared" si="63"/>
        <v>321.45000000000005</v>
      </c>
      <c r="AN38" s="35">
        <f t="shared" si="63"/>
        <v>551.25000000000011</v>
      </c>
      <c r="AO38" s="35">
        <f t="shared" si="63"/>
        <v>376.3</v>
      </c>
      <c r="AP38" s="35">
        <f t="shared" si="63"/>
        <v>429.5</v>
      </c>
      <c r="AQ38" s="35">
        <f t="shared" si="63"/>
        <v>883.35000000000014</v>
      </c>
      <c r="AR38" s="35">
        <f t="shared" si="63"/>
        <v>1095.55</v>
      </c>
      <c r="AS38" s="35">
        <f t="shared" si="63"/>
        <v>7675.6000000000013</v>
      </c>
      <c r="AU38" s="48"/>
      <c r="AV38" s="35">
        <f>SUM(AV7:AV34)</f>
        <v>69082</v>
      </c>
      <c r="AW38" s="35">
        <f>SUM(AW7:AW34)</f>
        <v>128.44200000000004</v>
      </c>
    </row>
    <row r="39" spans="1:49" x14ac:dyDescent="0.25">
      <c r="D39">
        <v>5.0000000000000001E-3</v>
      </c>
      <c r="AV39" s="36">
        <f>AV38*0.00378541*1000</f>
        <v>261503.69361999998</v>
      </c>
    </row>
    <row r="40" spans="1:49" x14ac:dyDescent="0.25">
      <c r="D40">
        <v>2E-3</v>
      </c>
      <c r="AV40">
        <f>AV39/31</f>
        <v>8435.6030199999987</v>
      </c>
    </row>
    <row r="41" spans="1:49" x14ac:dyDescent="0.25">
      <c r="AV41">
        <f>AV38*0.00378541</f>
        <v>261.50369361999998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2020-08-29T07:14:02Z</dcterms:modified>
</cp:coreProperties>
</file>