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2" l="1"/>
  <c r="P26" i="2"/>
  <c r="P27" i="2"/>
  <c r="P28" i="2"/>
  <c r="P29" i="2"/>
  <c r="P30" i="2" s="1"/>
  <c r="P31" i="2" s="1"/>
  <c r="P32" i="2" s="1"/>
  <c r="P33" i="2" s="1"/>
  <c r="P24" i="2"/>
  <c r="H19" i="4" l="1"/>
  <c r="H20" i="4"/>
  <c r="B34" i="4" l="1"/>
  <c r="T24" i="2" l="1"/>
  <c r="T25" i="2" s="1"/>
  <c r="T26" i="2" s="1"/>
  <c r="T27" i="2" s="1"/>
  <c r="T28" i="2" s="1"/>
  <c r="T29" i="2" s="1"/>
  <c r="T30" i="2" s="1"/>
  <c r="T31" i="2" s="1"/>
  <c r="T32" i="2" s="1"/>
  <c r="T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J24" i="2"/>
  <c r="J25" i="2" s="1"/>
  <c r="J26" i="2" s="1"/>
  <c r="J27" i="2" s="1"/>
  <c r="J28" i="2" s="1"/>
  <c r="J29" i="2" s="1"/>
  <c r="J30" i="2" s="1"/>
  <c r="J31" i="2" s="1"/>
  <c r="J32" i="2" s="1"/>
  <c r="J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Q34" i="2" l="1"/>
  <c r="U34" i="2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E12" i="2" l="1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24" i="4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24" i="4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24" i="4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24" i="4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24" i="4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24" i="4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F33" i="4"/>
  <c r="C24" i="4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H22" i="4" l="1"/>
  <c r="E14" i="2"/>
  <c r="G4" i="3"/>
  <c r="G24" i="4" l="1"/>
  <c r="H23" i="4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G25" i="4" l="1"/>
  <c r="G26" i="4" s="1"/>
  <c r="G27" i="4" s="1"/>
  <c r="G28" i="4" s="1"/>
  <c r="G29" i="4" s="1"/>
  <c r="G30" i="4" s="1"/>
  <c r="G31" i="4" s="1"/>
  <c r="G32" i="4" s="1"/>
  <c r="G33" i="4" s="1"/>
  <c r="H33" i="4" s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4" i="4" l="1"/>
  <c r="E34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E21" i="2"/>
  <c r="AE7" i="1"/>
  <c r="E22" i="2" l="1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G34" i="3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C34" i="3" l="1"/>
  <c r="AE21" i="8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<sst xmlns="http://schemas.openxmlformats.org/spreadsheetml/2006/main" count="514" uniqueCount="151">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</sst>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27" sqref="L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E1"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 t="str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 t="str">
        <f>BTU!C24</f>
        <v>0</v>
      </c>
      <c r="S23" s="141" t="str">
        <f>BTU!F24</f>
        <v>0</v>
      </c>
      <c r="T23" s="141" t="str">
        <f>BTU!I24</f>
        <v>0</v>
      </c>
      <c r="U23" s="141" t="str">
        <f>BTU!O24</f>
        <v>0</v>
      </c>
      <c r="V23" s="141" t="str">
        <f>BTU!L24</f>
        <v>0</v>
      </c>
      <c r="W23" s="141" t="str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Q31" sqref="Q3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5" thickBot="1" x14ac:dyDescent="0.25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5" thickBot="1" x14ac:dyDescent="0.25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5" thickBot="1" x14ac:dyDescent="0.25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5" thickBot="1" x14ac:dyDescent="0.25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5" thickBot="1" x14ac:dyDescent="0.25">
      <c r="A24" s="9">
        <v>44764</v>
      </c>
      <c r="B24" s="32">
        <f t="shared" ref="B23:B33" si="10">B23</f>
        <v>47324</v>
      </c>
      <c r="C24" s="14">
        <f t="shared" si="1"/>
        <v>0</v>
      </c>
      <c r="D24" s="32">
        <f t="shared" ref="D23:D33" si="11">D23</f>
        <v>40800</v>
      </c>
      <c r="E24" s="14">
        <f t="shared" si="2"/>
        <v>0</v>
      </c>
      <c r="F24" s="32">
        <f t="shared" ref="F23:F33" si="12">F23</f>
        <v>21866</v>
      </c>
      <c r="G24" s="14">
        <f t="shared" si="3"/>
        <v>0</v>
      </c>
      <c r="H24" s="32">
        <f t="shared" ref="H23:H33" si="13">H23</f>
        <v>256774</v>
      </c>
      <c r="I24" s="14">
        <f t="shared" si="4"/>
        <v>0</v>
      </c>
      <c r="J24" s="32">
        <f t="shared" ref="J23:J33" si="14">J23</f>
        <v>324164</v>
      </c>
      <c r="K24" s="14">
        <f t="shared" si="5"/>
        <v>0</v>
      </c>
      <c r="L24" s="32">
        <f t="shared" ref="L23:L33" si="15">L23</f>
        <v>26325</v>
      </c>
      <c r="M24" s="14">
        <f t="shared" si="6"/>
        <v>0</v>
      </c>
      <c r="N24" s="32">
        <f t="shared" ref="N23:N33" si="16">N23</f>
        <v>226199</v>
      </c>
      <c r="O24" s="14">
        <f t="shared" si="7"/>
        <v>0</v>
      </c>
      <c r="P24" s="32">
        <f>P23</f>
        <v>161491</v>
      </c>
      <c r="Q24" s="14">
        <f t="shared" si="0"/>
        <v>0</v>
      </c>
      <c r="R24" s="1">
        <v>55047</v>
      </c>
      <c r="S24" s="14">
        <f t="shared" si="9"/>
        <v>0</v>
      </c>
      <c r="T24" s="32">
        <f t="shared" ref="T23:T33" si="17">T23</f>
        <v>4025</v>
      </c>
      <c r="U24" s="14">
        <f t="shared" si="8"/>
        <v>0</v>
      </c>
    </row>
    <row r="25" spans="1:23" ht="13.5" thickBot="1" x14ac:dyDescent="0.25">
      <c r="A25" s="9">
        <v>44765</v>
      </c>
      <c r="B25" s="32">
        <f t="shared" si="10"/>
        <v>47324</v>
      </c>
      <c r="C25" s="14">
        <f t="shared" si="1"/>
        <v>0</v>
      </c>
      <c r="D25" s="32">
        <f t="shared" si="11"/>
        <v>40800</v>
      </c>
      <c r="E25" s="14">
        <f t="shared" si="2"/>
        <v>0</v>
      </c>
      <c r="F25" s="32">
        <f t="shared" si="12"/>
        <v>21866</v>
      </c>
      <c r="G25" s="14">
        <f t="shared" si="3"/>
        <v>0</v>
      </c>
      <c r="H25" s="32">
        <f t="shared" si="13"/>
        <v>256774</v>
      </c>
      <c r="I25" s="14">
        <f t="shared" si="4"/>
        <v>0</v>
      </c>
      <c r="J25" s="32">
        <f t="shared" si="14"/>
        <v>324164</v>
      </c>
      <c r="K25" s="14">
        <f t="shared" si="5"/>
        <v>0</v>
      </c>
      <c r="L25" s="32">
        <f t="shared" si="15"/>
        <v>26325</v>
      </c>
      <c r="M25" s="14">
        <f t="shared" si="6"/>
        <v>0</v>
      </c>
      <c r="N25" s="32">
        <f t="shared" si="16"/>
        <v>226199</v>
      </c>
      <c r="O25" s="14">
        <f t="shared" si="7"/>
        <v>0</v>
      </c>
      <c r="P25" s="32">
        <f t="shared" ref="P25:P33" si="18">P24</f>
        <v>161491</v>
      </c>
      <c r="Q25" s="14">
        <f t="shared" si="0"/>
        <v>0</v>
      </c>
      <c r="R25" s="1">
        <v>55047</v>
      </c>
      <c r="S25" s="14">
        <f t="shared" si="9"/>
        <v>0</v>
      </c>
      <c r="T25" s="32">
        <f t="shared" si="17"/>
        <v>4025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si="10"/>
        <v>47324</v>
      </c>
      <c r="C26" s="14">
        <f t="shared" si="1"/>
        <v>0</v>
      </c>
      <c r="D26" s="32">
        <f t="shared" si="11"/>
        <v>40800</v>
      </c>
      <c r="E26" s="14">
        <f t="shared" si="2"/>
        <v>0</v>
      </c>
      <c r="F26" s="32">
        <f t="shared" si="12"/>
        <v>21866</v>
      </c>
      <c r="G26" s="14">
        <f t="shared" si="3"/>
        <v>0</v>
      </c>
      <c r="H26" s="32">
        <f t="shared" si="13"/>
        <v>256774</v>
      </c>
      <c r="I26" s="14">
        <f t="shared" si="4"/>
        <v>0</v>
      </c>
      <c r="J26" s="32">
        <f t="shared" si="14"/>
        <v>324164</v>
      </c>
      <c r="K26" s="14">
        <f t="shared" si="5"/>
        <v>0</v>
      </c>
      <c r="L26" s="32">
        <f t="shared" si="15"/>
        <v>26325</v>
      </c>
      <c r="M26" s="14">
        <f t="shared" si="6"/>
        <v>0</v>
      </c>
      <c r="N26" s="32">
        <f t="shared" si="16"/>
        <v>226199</v>
      </c>
      <c r="O26" s="14">
        <f t="shared" si="7"/>
        <v>0</v>
      </c>
      <c r="P26" s="32">
        <f t="shared" si="18"/>
        <v>161491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si="17"/>
        <v>4025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0"/>
        <v>47324</v>
      </c>
      <c r="C27" s="14">
        <f t="shared" si="1"/>
        <v>0</v>
      </c>
      <c r="D27" s="32">
        <f t="shared" si="11"/>
        <v>40800</v>
      </c>
      <c r="E27" s="14">
        <f t="shared" si="2"/>
        <v>0</v>
      </c>
      <c r="F27" s="32">
        <f t="shared" si="12"/>
        <v>21866</v>
      </c>
      <c r="G27" s="14">
        <f t="shared" si="3"/>
        <v>0</v>
      </c>
      <c r="H27" s="32">
        <f t="shared" si="13"/>
        <v>256774</v>
      </c>
      <c r="I27" s="14">
        <f t="shared" si="4"/>
        <v>0</v>
      </c>
      <c r="J27" s="32">
        <f t="shared" si="14"/>
        <v>324164</v>
      </c>
      <c r="K27" s="14">
        <f t="shared" si="5"/>
        <v>0</v>
      </c>
      <c r="L27" s="32">
        <f t="shared" si="15"/>
        <v>26325</v>
      </c>
      <c r="M27" s="14">
        <f t="shared" si="6"/>
        <v>0</v>
      </c>
      <c r="N27" s="32">
        <f t="shared" si="16"/>
        <v>226199</v>
      </c>
      <c r="O27" s="14">
        <f t="shared" si="7"/>
        <v>0</v>
      </c>
      <c r="P27" s="32">
        <f t="shared" si="18"/>
        <v>161491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7"/>
        <v>4025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0"/>
        <v>47324</v>
      </c>
      <c r="C28" s="14">
        <f t="shared" si="1"/>
        <v>0</v>
      </c>
      <c r="D28" s="32">
        <f t="shared" si="11"/>
        <v>40800</v>
      </c>
      <c r="E28" s="14">
        <f t="shared" si="2"/>
        <v>0</v>
      </c>
      <c r="F28" s="32">
        <f t="shared" si="12"/>
        <v>21866</v>
      </c>
      <c r="G28" s="14">
        <f t="shared" si="3"/>
        <v>0</v>
      </c>
      <c r="H28" s="32">
        <f t="shared" si="13"/>
        <v>256774</v>
      </c>
      <c r="I28" s="14">
        <f t="shared" si="4"/>
        <v>0</v>
      </c>
      <c r="J28" s="32">
        <f t="shared" si="14"/>
        <v>324164</v>
      </c>
      <c r="K28" s="14">
        <f t="shared" si="5"/>
        <v>0</v>
      </c>
      <c r="L28" s="32">
        <f t="shared" si="15"/>
        <v>26325</v>
      </c>
      <c r="M28" s="14">
        <f t="shared" si="6"/>
        <v>0</v>
      </c>
      <c r="N28" s="32">
        <f t="shared" si="16"/>
        <v>226199</v>
      </c>
      <c r="O28" s="14">
        <f t="shared" si="7"/>
        <v>0</v>
      </c>
      <c r="P28" s="32">
        <f t="shared" si="18"/>
        <v>161491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7"/>
        <v>4025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0"/>
        <v>47324</v>
      </c>
      <c r="C29" s="14">
        <f t="shared" si="1"/>
        <v>0</v>
      </c>
      <c r="D29" s="32">
        <f t="shared" si="11"/>
        <v>40800</v>
      </c>
      <c r="E29" s="14">
        <f t="shared" si="2"/>
        <v>0</v>
      </c>
      <c r="F29" s="32">
        <f t="shared" si="12"/>
        <v>21866</v>
      </c>
      <c r="G29" s="14">
        <f t="shared" si="3"/>
        <v>0</v>
      </c>
      <c r="H29" s="32">
        <f t="shared" si="13"/>
        <v>256774</v>
      </c>
      <c r="I29" s="14">
        <f t="shared" si="4"/>
        <v>0</v>
      </c>
      <c r="J29" s="32">
        <f t="shared" si="14"/>
        <v>324164</v>
      </c>
      <c r="K29" s="14">
        <f t="shared" si="5"/>
        <v>0</v>
      </c>
      <c r="L29" s="32">
        <f t="shared" si="15"/>
        <v>26325</v>
      </c>
      <c r="M29" s="14">
        <f t="shared" si="6"/>
        <v>0</v>
      </c>
      <c r="N29" s="32">
        <f t="shared" si="16"/>
        <v>226199</v>
      </c>
      <c r="O29" s="14">
        <f t="shared" si="7"/>
        <v>0</v>
      </c>
      <c r="P29" s="32">
        <f t="shared" si="18"/>
        <v>161491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7"/>
        <v>4025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47324</v>
      </c>
      <c r="C30" s="14">
        <f t="shared" si="1"/>
        <v>0</v>
      </c>
      <c r="D30" s="32">
        <f t="shared" si="11"/>
        <v>40800</v>
      </c>
      <c r="E30" s="14">
        <f t="shared" si="2"/>
        <v>0</v>
      </c>
      <c r="F30" s="32">
        <f t="shared" si="12"/>
        <v>21866</v>
      </c>
      <c r="G30" s="14">
        <f t="shared" si="3"/>
        <v>0</v>
      </c>
      <c r="H30" s="32">
        <f t="shared" si="13"/>
        <v>256774</v>
      </c>
      <c r="I30" s="14">
        <f t="shared" si="4"/>
        <v>0</v>
      </c>
      <c r="J30" s="32">
        <f t="shared" si="14"/>
        <v>324164</v>
      </c>
      <c r="K30" s="14">
        <f t="shared" si="5"/>
        <v>0</v>
      </c>
      <c r="L30" s="32">
        <f t="shared" si="15"/>
        <v>26325</v>
      </c>
      <c r="M30" s="14">
        <f t="shared" si="6"/>
        <v>0</v>
      </c>
      <c r="N30" s="32">
        <f t="shared" si="16"/>
        <v>226199</v>
      </c>
      <c r="O30" s="14">
        <f t="shared" si="7"/>
        <v>0</v>
      </c>
      <c r="P30" s="32">
        <f t="shared" si="18"/>
        <v>161491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7"/>
        <v>4025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47324</v>
      </c>
      <c r="C31" s="14">
        <f t="shared" si="1"/>
        <v>0</v>
      </c>
      <c r="D31" s="32">
        <f t="shared" si="11"/>
        <v>40800</v>
      </c>
      <c r="E31" s="14">
        <f t="shared" si="2"/>
        <v>0</v>
      </c>
      <c r="F31" s="32">
        <f t="shared" si="12"/>
        <v>21866</v>
      </c>
      <c r="G31" s="14">
        <f t="shared" si="3"/>
        <v>0</v>
      </c>
      <c r="H31" s="32">
        <f t="shared" si="13"/>
        <v>256774</v>
      </c>
      <c r="I31" s="14">
        <f t="shared" si="4"/>
        <v>0</v>
      </c>
      <c r="J31" s="32">
        <f t="shared" si="14"/>
        <v>324164</v>
      </c>
      <c r="K31" s="14">
        <f t="shared" si="5"/>
        <v>0</v>
      </c>
      <c r="L31" s="32">
        <f t="shared" si="15"/>
        <v>26325</v>
      </c>
      <c r="M31" s="14">
        <f t="shared" si="6"/>
        <v>0</v>
      </c>
      <c r="N31" s="32">
        <f t="shared" si="16"/>
        <v>226199</v>
      </c>
      <c r="O31" s="14">
        <f t="shared" si="7"/>
        <v>0</v>
      </c>
      <c r="P31" s="32">
        <f t="shared" si="18"/>
        <v>161491</v>
      </c>
      <c r="Q31" s="14">
        <f t="shared" si="0"/>
        <v>0</v>
      </c>
      <c r="R31" s="1">
        <v>55047</v>
      </c>
      <c r="S31" s="14">
        <v>0</v>
      </c>
      <c r="T31" s="32">
        <f t="shared" si="17"/>
        <v>4025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47324</v>
      </c>
      <c r="C32" s="14">
        <f t="shared" si="1"/>
        <v>0</v>
      </c>
      <c r="D32" s="32">
        <f t="shared" si="11"/>
        <v>40800</v>
      </c>
      <c r="E32" s="14">
        <f t="shared" si="2"/>
        <v>0</v>
      </c>
      <c r="F32" s="32">
        <f t="shared" si="12"/>
        <v>21866</v>
      </c>
      <c r="G32" s="14">
        <f t="shared" si="3"/>
        <v>0</v>
      </c>
      <c r="H32" s="32">
        <f t="shared" si="13"/>
        <v>256774</v>
      </c>
      <c r="I32" s="14">
        <f t="shared" si="4"/>
        <v>0</v>
      </c>
      <c r="J32" s="32">
        <f t="shared" si="14"/>
        <v>324164</v>
      </c>
      <c r="K32" s="14">
        <f t="shared" si="5"/>
        <v>0</v>
      </c>
      <c r="L32" s="32">
        <f t="shared" si="15"/>
        <v>26325</v>
      </c>
      <c r="M32" s="14">
        <f t="shared" si="6"/>
        <v>0</v>
      </c>
      <c r="N32" s="32">
        <f t="shared" si="16"/>
        <v>226199</v>
      </c>
      <c r="O32" s="14">
        <f t="shared" si="7"/>
        <v>0</v>
      </c>
      <c r="P32" s="32">
        <f t="shared" si="18"/>
        <v>161491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7"/>
        <v>4025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47324</v>
      </c>
      <c r="C33" s="14">
        <f t="shared" si="1"/>
        <v>0</v>
      </c>
      <c r="D33" s="32">
        <f t="shared" si="11"/>
        <v>40800</v>
      </c>
      <c r="E33" s="14">
        <f t="shared" si="2"/>
        <v>0</v>
      </c>
      <c r="F33" s="32">
        <f t="shared" si="12"/>
        <v>21866</v>
      </c>
      <c r="G33" s="14">
        <f t="shared" si="3"/>
        <v>0</v>
      </c>
      <c r="H33" s="32">
        <f t="shared" si="13"/>
        <v>256774</v>
      </c>
      <c r="I33" s="14">
        <f t="shared" si="4"/>
        <v>0</v>
      </c>
      <c r="J33" s="32">
        <f t="shared" si="14"/>
        <v>324164</v>
      </c>
      <c r="K33" s="14">
        <f t="shared" si="5"/>
        <v>0</v>
      </c>
      <c r="L33" s="32">
        <f t="shared" si="15"/>
        <v>26325</v>
      </c>
      <c r="M33" s="14">
        <f t="shared" si="6"/>
        <v>0</v>
      </c>
      <c r="N33" s="32">
        <f t="shared" si="16"/>
        <v>226199</v>
      </c>
      <c r="O33" s="14">
        <f t="shared" si="7"/>
        <v>0</v>
      </c>
      <c r="P33" s="32">
        <f t="shared" si="18"/>
        <v>161491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7"/>
        <v>4025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15200</v>
      </c>
      <c r="D34" s="14"/>
      <c r="E34" s="14">
        <f>SUM(E3:E33)</f>
        <v>10400</v>
      </c>
      <c r="F34" s="14"/>
      <c r="G34" s="14">
        <f>SUM(G3:G33)</f>
        <v>1400</v>
      </c>
      <c r="H34" s="14"/>
      <c r="I34" s="14">
        <f>SUM(I3:I33)</f>
        <v>661</v>
      </c>
      <c r="J34" s="14"/>
      <c r="K34" s="14">
        <f>SUM(K3:K33)</f>
        <v>3134</v>
      </c>
      <c r="L34" s="14"/>
      <c r="M34" s="14">
        <f>SUM(M3:M33)</f>
        <v>3600</v>
      </c>
      <c r="N34" s="14"/>
      <c r="O34" s="14">
        <f>SUM(O3:O33)</f>
        <v>67</v>
      </c>
      <c r="P34" s="14"/>
      <c r="Q34" s="14">
        <f>SUM(Q3:Q33)</f>
        <v>3030</v>
      </c>
      <c r="R34" s="14"/>
      <c r="S34" s="14">
        <f>SUM(S3:S33)</f>
        <v>0</v>
      </c>
      <c r="T34" s="14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M26" sqref="M2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5" thickBot="1" x14ac:dyDescent="0.3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5" thickBot="1" x14ac:dyDescent="0.3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5" thickBot="1" x14ac:dyDescent="0.3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5" thickBot="1" x14ac:dyDescent="0.3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5" thickBot="1" x14ac:dyDescent="0.3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5" thickBot="1" x14ac:dyDescent="0.3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5" thickBot="1" x14ac:dyDescent="0.3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5" thickBot="1" x14ac:dyDescent="0.3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5" thickBot="1" x14ac:dyDescent="0.3">
      <c r="A24" s="9">
        <v>44764</v>
      </c>
      <c r="B24" s="38"/>
      <c r="C24" s="144">
        <f t="shared" ref="C23:C33" si="27">C23</f>
        <v>19886</v>
      </c>
      <c r="D24" s="38">
        <f t="shared" si="3"/>
        <v>0</v>
      </c>
      <c r="E24" s="145"/>
      <c r="F24" s="38" t="str">
        <f t="shared" si="4"/>
        <v>0</v>
      </c>
      <c r="G24" s="146">
        <f t="shared" ref="G23:G33" si="28">G23</f>
        <v>2372255</v>
      </c>
      <c r="H24" s="38">
        <f t="shared" si="5"/>
        <v>0</v>
      </c>
      <c r="I24" s="147">
        <f t="shared" si="6"/>
        <v>0</v>
      </c>
      <c r="J24" s="145">
        <f t="shared" ref="J23:J33" si="29">J23</f>
        <v>191022</v>
      </c>
      <c r="K24" s="129">
        <f t="shared" si="14"/>
        <v>0</v>
      </c>
      <c r="L24" s="148">
        <f t="shared" ref="L23:L33" si="30">L23</f>
        <v>432676</v>
      </c>
      <c r="M24" s="38">
        <f t="shared" si="7"/>
        <v>0</v>
      </c>
      <c r="N24" s="145">
        <f t="shared" ref="N23:N33" si="31">N23</f>
        <v>7026908</v>
      </c>
      <c r="O24" s="38">
        <f t="shared" si="15"/>
        <v>0</v>
      </c>
      <c r="P24" s="148">
        <f t="shared" ref="P23:P33" si="32">P23</f>
        <v>7330544</v>
      </c>
      <c r="Q24" s="38">
        <f t="shared" si="8"/>
        <v>0</v>
      </c>
      <c r="R24" s="145">
        <f t="shared" ref="R23:R33" si="33">R23</f>
        <v>21760954</v>
      </c>
      <c r="S24" s="38">
        <f t="shared" si="9"/>
        <v>0</v>
      </c>
      <c r="T24" s="145">
        <v>0</v>
      </c>
      <c r="U24" s="149"/>
      <c r="V24" s="145">
        <f t="shared" ref="V23:V33" si="34">V23</f>
        <v>9745211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201729.53413600003</v>
      </c>
    </row>
    <row r="25" spans="1:27" ht="16.5" thickBot="1" x14ac:dyDescent="0.3">
      <c r="A25" s="9">
        <v>44765</v>
      </c>
      <c r="B25" s="38"/>
      <c r="C25" s="144">
        <f t="shared" si="27"/>
        <v>19886</v>
      </c>
      <c r="D25" s="38">
        <f t="shared" si="3"/>
        <v>0</v>
      </c>
      <c r="E25" s="145"/>
      <c r="F25" s="38">
        <f t="shared" si="4"/>
        <v>0</v>
      </c>
      <c r="G25" s="146">
        <f t="shared" si="28"/>
        <v>2372255</v>
      </c>
      <c r="H25" s="38">
        <f t="shared" si="5"/>
        <v>0</v>
      </c>
      <c r="I25" s="147">
        <f t="shared" si="6"/>
        <v>0</v>
      </c>
      <c r="J25" s="145">
        <f t="shared" si="29"/>
        <v>191022</v>
      </c>
      <c r="K25" s="129">
        <f t="shared" si="14"/>
        <v>0</v>
      </c>
      <c r="L25" s="148">
        <f t="shared" si="30"/>
        <v>432676</v>
      </c>
      <c r="M25" s="38">
        <f t="shared" si="7"/>
        <v>0</v>
      </c>
      <c r="N25" s="145">
        <f t="shared" si="31"/>
        <v>7026908</v>
      </c>
      <c r="O25" s="38">
        <f t="shared" si="15"/>
        <v>0</v>
      </c>
      <c r="P25" s="148">
        <f t="shared" si="32"/>
        <v>7330544</v>
      </c>
      <c r="Q25" s="38">
        <f t="shared" si="8"/>
        <v>0</v>
      </c>
      <c r="R25" s="145">
        <f t="shared" si="33"/>
        <v>21760954</v>
      </c>
      <c r="S25" s="38">
        <f t="shared" si="9"/>
        <v>0</v>
      </c>
      <c r="T25" s="145">
        <v>0</v>
      </c>
      <c r="U25" s="149"/>
      <c r="V25" s="145">
        <f t="shared" si="34"/>
        <v>9745211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201729.53413600003</v>
      </c>
    </row>
    <row r="26" spans="1:27" ht="16.5" thickBot="1" x14ac:dyDescent="0.3">
      <c r="A26" s="9">
        <v>44766</v>
      </c>
      <c r="B26" s="38"/>
      <c r="C26" s="144">
        <f t="shared" si="27"/>
        <v>19886</v>
      </c>
      <c r="D26" s="38">
        <f t="shared" si="3"/>
        <v>0</v>
      </c>
      <c r="E26" s="145"/>
      <c r="F26" s="38">
        <f t="shared" si="4"/>
        <v>0</v>
      </c>
      <c r="G26" s="146">
        <f t="shared" si="28"/>
        <v>2372255</v>
      </c>
      <c r="H26" s="38">
        <f t="shared" si="5"/>
        <v>0</v>
      </c>
      <c r="I26" s="147">
        <f t="shared" si="6"/>
        <v>0</v>
      </c>
      <c r="J26" s="145">
        <f t="shared" si="29"/>
        <v>191022</v>
      </c>
      <c r="K26" s="129">
        <f t="shared" si="14"/>
        <v>0</v>
      </c>
      <c r="L26" s="148">
        <f t="shared" si="30"/>
        <v>432676</v>
      </c>
      <c r="M26" s="38">
        <f t="shared" si="7"/>
        <v>0</v>
      </c>
      <c r="N26" s="145">
        <f t="shared" si="31"/>
        <v>7026908</v>
      </c>
      <c r="O26" s="38">
        <f t="shared" si="15"/>
        <v>0</v>
      </c>
      <c r="P26" s="148">
        <f t="shared" si="32"/>
        <v>7330544</v>
      </c>
      <c r="Q26" s="38">
        <f t="shared" si="8"/>
        <v>0</v>
      </c>
      <c r="R26" s="145">
        <f t="shared" si="33"/>
        <v>21760954</v>
      </c>
      <c r="S26" s="38">
        <f t="shared" si="9"/>
        <v>0</v>
      </c>
      <c r="T26" s="145">
        <v>0</v>
      </c>
      <c r="U26" s="149"/>
      <c r="V26" s="145">
        <f t="shared" si="34"/>
        <v>9745211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201729.53413600003</v>
      </c>
    </row>
    <row r="27" spans="1:27" ht="16.5" thickBot="1" x14ac:dyDescent="0.3">
      <c r="A27" s="9">
        <v>44767</v>
      </c>
      <c r="B27" s="38"/>
      <c r="C27" s="144">
        <f t="shared" si="27"/>
        <v>19886</v>
      </c>
      <c r="D27" s="38">
        <f t="shared" si="3"/>
        <v>0</v>
      </c>
      <c r="E27" s="145"/>
      <c r="F27" s="38">
        <f t="shared" si="4"/>
        <v>0</v>
      </c>
      <c r="G27" s="146">
        <f t="shared" si="28"/>
        <v>2372255</v>
      </c>
      <c r="H27" s="38">
        <f t="shared" si="5"/>
        <v>0</v>
      </c>
      <c r="I27" s="147">
        <f t="shared" si="6"/>
        <v>0</v>
      </c>
      <c r="J27" s="145">
        <f t="shared" si="29"/>
        <v>191022</v>
      </c>
      <c r="K27" s="129">
        <f t="shared" si="14"/>
        <v>0</v>
      </c>
      <c r="L27" s="148">
        <f t="shared" si="30"/>
        <v>432676</v>
      </c>
      <c r="M27" s="38">
        <f t="shared" si="7"/>
        <v>0</v>
      </c>
      <c r="N27" s="145">
        <f t="shared" si="31"/>
        <v>7026908</v>
      </c>
      <c r="O27" s="38">
        <f t="shared" si="15"/>
        <v>0</v>
      </c>
      <c r="P27" s="148">
        <f t="shared" si="32"/>
        <v>7330544</v>
      </c>
      <c r="Q27" s="38">
        <f t="shared" si="8"/>
        <v>0</v>
      </c>
      <c r="R27" s="145">
        <f t="shared" si="33"/>
        <v>21760954</v>
      </c>
      <c r="S27" s="38">
        <f t="shared" si="9"/>
        <v>0</v>
      </c>
      <c r="T27" s="145">
        <v>0</v>
      </c>
      <c r="U27" s="149"/>
      <c r="V27" s="145">
        <f t="shared" si="34"/>
        <v>9745211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201729.53413600003</v>
      </c>
    </row>
    <row r="28" spans="1:27" ht="16.5" thickBot="1" x14ac:dyDescent="0.3">
      <c r="A28" s="9">
        <v>44768</v>
      </c>
      <c r="B28" s="38"/>
      <c r="C28" s="144">
        <f t="shared" si="27"/>
        <v>19886</v>
      </c>
      <c r="D28" s="38">
        <f t="shared" si="3"/>
        <v>0</v>
      </c>
      <c r="E28" s="145"/>
      <c r="F28" s="38">
        <f t="shared" si="4"/>
        <v>0</v>
      </c>
      <c r="G28" s="146">
        <f t="shared" si="28"/>
        <v>2372255</v>
      </c>
      <c r="H28" s="38">
        <f t="shared" si="5"/>
        <v>0</v>
      </c>
      <c r="I28" s="147">
        <f t="shared" si="6"/>
        <v>0</v>
      </c>
      <c r="J28" s="145">
        <f t="shared" si="29"/>
        <v>191022</v>
      </c>
      <c r="K28" s="129">
        <f t="shared" si="14"/>
        <v>0</v>
      </c>
      <c r="L28" s="148">
        <f t="shared" si="30"/>
        <v>432676</v>
      </c>
      <c r="M28" s="38">
        <f t="shared" si="7"/>
        <v>0</v>
      </c>
      <c r="N28" s="145">
        <f t="shared" si="31"/>
        <v>7026908</v>
      </c>
      <c r="O28" s="38">
        <f t="shared" si="15"/>
        <v>0</v>
      </c>
      <c r="P28" s="148">
        <f t="shared" si="32"/>
        <v>7330544</v>
      </c>
      <c r="Q28" s="38">
        <f t="shared" si="8"/>
        <v>0</v>
      </c>
      <c r="R28" s="145">
        <f t="shared" si="33"/>
        <v>21760954</v>
      </c>
      <c r="S28" s="38">
        <f t="shared" si="9"/>
        <v>0</v>
      </c>
      <c r="T28" s="145">
        <v>0</v>
      </c>
      <c r="U28" s="149"/>
      <c r="V28" s="145">
        <f t="shared" si="34"/>
        <v>9745211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201729.53413600003</v>
      </c>
    </row>
    <row r="29" spans="1:27" ht="16.5" thickBot="1" x14ac:dyDescent="0.3">
      <c r="A29" s="9">
        <v>44769</v>
      </c>
      <c r="B29" s="38"/>
      <c r="C29" s="144">
        <f t="shared" si="27"/>
        <v>19886</v>
      </c>
      <c r="D29" s="38">
        <f t="shared" si="3"/>
        <v>0</v>
      </c>
      <c r="E29" s="145"/>
      <c r="F29" s="38">
        <f t="shared" si="4"/>
        <v>0</v>
      </c>
      <c r="G29" s="146">
        <f t="shared" si="28"/>
        <v>2372255</v>
      </c>
      <c r="H29" s="38">
        <f t="shared" si="5"/>
        <v>0</v>
      </c>
      <c r="I29" s="147">
        <f t="shared" si="6"/>
        <v>0</v>
      </c>
      <c r="J29" s="145">
        <f t="shared" si="29"/>
        <v>191022</v>
      </c>
      <c r="K29" s="129">
        <f t="shared" si="14"/>
        <v>0</v>
      </c>
      <c r="L29" s="148">
        <f t="shared" si="30"/>
        <v>432676</v>
      </c>
      <c r="M29" s="38">
        <f t="shared" si="7"/>
        <v>0</v>
      </c>
      <c r="N29" s="145">
        <f t="shared" si="31"/>
        <v>7026908</v>
      </c>
      <c r="O29" s="38">
        <f t="shared" si="15"/>
        <v>0</v>
      </c>
      <c r="P29" s="148">
        <f t="shared" si="32"/>
        <v>7330544</v>
      </c>
      <c r="Q29" s="38">
        <f t="shared" si="8"/>
        <v>0</v>
      </c>
      <c r="R29" s="145">
        <f t="shared" si="33"/>
        <v>21760954</v>
      </c>
      <c r="S29" s="38">
        <f t="shared" si="9"/>
        <v>0</v>
      </c>
      <c r="T29" s="145">
        <v>0</v>
      </c>
      <c r="U29" s="149"/>
      <c r="V29" s="145">
        <f t="shared" si="34"/>
        <v>9745211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201729.53413600003</v>
      </c>
    </row>
    <row r="30" spans="1:27" ht="16.5" thickBot="1" x14ac:dyDescent="0.3">
      <c r="A30" s="9">
        <v>44770</v>
      </c>
      <c r="B30" s="38"/>
      <c r="C30" s="144">
        <f t="shared" si="27"/>
        <v>19886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2372255</v>
      </c>
      <c r="H30" s="38">
        <f t="shared" si="5"/>
        <v>0</v>
      </c>
      <c r="I30" s="147">
        <f t="shared" si="6"/>
        <v>0</v>
      </c>
      <c r="J30" s="145">
        <f t="shared" si="29"/>
        <v>191022</v>
      </c>
      <c r="K30" s="129">
        <f t="shared" si="14"/>
        <v>0</v>
      </c>
      <c r="L30" s="148">
        <f t="shared" si="30"/>
        <v>432676</v>
      </c>
      <c r="M30" s="38">
        <f>IF((L30-L29)&lt;0,"0",(L30-L29))</f>
        <v>0</v>
      </c>
      <c r="N30" s="145">
        <f t="shared" si="31"/>
        <v>7026908</v>
      </c>
      <c r="O30" s="38">
        <f>(IF((N30-N29)&lt;0,"0",(N30-N29)))*2</f>
        <v>0</v>
      </c>
      <c r="P30" s="148">
        <f t="shared" si="32"/>
        <v>7330544</v>
      </c>
      <c r="Q30" s="38">
        <f>IF((P30-P29)&lt;0,"0",(P30-P29))</f>
        <v>0</v>
      </c>
      <c r="R30" s="145">
        <f t="shared" si="33"/>
        <v>21760954</v>
      </c>
      <c r="S30" s="38">
        <f>IF((R30-R29)&lt;0,"0",(R30-R29))</f>
        <v>0</v>
      </c>
      <c r="T30" s="145">
        <v>0</v>
      </c>
      <c r="U30" s="149"/>
      <c r="V30" s="145">
        <f t="shared" si="34"/>
        <v>9745211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201729.53413600003</v>
      </c>
    </row>
    <row r="31" spans="1:27" ht="16.5" thickBot="1" x14ac:dyDescent="0.3">
      <c r="A31" s="9">
        <v>44771</v>
      </c>
      <c r="B31" s="38"/>
      <c r="C31" s="144">
        <f t="shared" si="27"/>
        <v>19886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2372255</v>
      </c>
      <c r="H31" s="38">
        <f t="shared" si="5"/>
        <v>0</v>
      </c>
      <c r="I31" s="147">
        <f t="shared" ref="I31:I33" si="37">F31+H31</f>
        <v>0</v>
      </c>
      <c r="J31" s="145">
        <f t="shared" si="29"/>
        <v>191022</v>
      </c>
      <c r="K31" s="129">
        <f t="shared" si="14"/>
        <v>0</v>
      </c>
      <c r="L31" s="148">
        <f t="shared" si="30"/>
        <v>432676</v>
      </c>
      <c r="M31" s="38">
        <f t="shared" ref="M31:M33" si="38">IF((L31-L30)&lt;0,"0",(L31-L30))</f>
        <v>0</v>
      </c>
      <c r="N31" s="145">
        <f t="shared" si="31"/>
        <v>7026908</v>
      </c>
      <c r="O31" s="38">
        <f t="shared" ref="O31:O33" si="39">(IF((N31-N30)&lt;0,"0",(N31-N30)))*2</f>
        <v>0</v>
      </c>
      <c r="P31" s="148">
        <f t="shared" si="32"/>
        <v>7330544</v>
      </c>
      <c r="Q31" s="38">
        <f t="shared" ref="Q31:Q33" si="40">IF((P31-P30)&lt;0,"0",(P31-P30))</f>
        <v>0</v>
      </c>
      <c r="R31" s="145">
        <f t="shared" si="33"/>
        <v>21760954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9745211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201729.53413600003</v>
      </c>
    </row>
    <row r="32" spans="1:27" ht="16.5" thickBot="1" x14ac:dyDescent="0.3">
      <c r="A32" s="9">
        <v>44772</v>
      </c>
      <c r="B32" s="38"/>
      <c r="C32" s="144">
        <f t="shared" si="27"/>
        <v>19886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2372255</v>
      </c>
      <c r="H32" s="38">
        <f t="shared" si="5"/>
        <v>0</v>
      </c>
      <c r="I32" s="147">
        <f t="shared" si="37"/>
        <v>0</v>
      </c>
      <c r="J32" s="145">
        <f t="shared" si="29"/>
        <v>191022</v>
      </c>
      <c r="K32" s="129">
        <f t="shared" si="14"/>
        <v>0</v>
      </c>
      <c r="L32" s="148">
        <f t="shared" si="30"/>
        <v>432676</v>
      </c>
      <c r="M32" s="38">
        <f t="shared" si="38"/>
        <v>0</v>
      </c>
      <c r="N32" s="145">
        <f t="shared" si="31"/>
        <v>7026908</v>
      </c>
      <c r="O32" s="38">
        <f t="shared" si="39"/>
        <v>0</v>
      </c>
      <c r="P32" s="148">
        <f t="shared" si="32"/>
        <v>7330544</v>
      </c>
      <c r="Q32" s="38">
        <f t="shared" si="40"/>
        <v>0</v>
      </c>
      <c r="R32" s="145">
        <f t="shared" si="33"/>
        <v>21760954</v>
      </c>
      <c r="S32" s="38">
        <f t="shared" si="41"/>
        <v>0</v>
      </c>
      <c r="T32" s="145">
        <v>0</v>
      </c>
      <c r="U32" s="149"/>
      <c r="V32" s="145">
        <f t="shared" si="34"/>
        <v>9745211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201729.53413600003</v>
      </c>
    </row>
    <row r="33" spans="1:27" ht="16.5" thickBot="1" x14ac:dyDescent="0.3">
      <c r="A33" s="9">
        <v>44773</v>
      </c>
      <c r="B33" s="38"/>
      <c r="C33" s="144">
        <f t="shared" si="27"/>
        <v>19886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2372255</v>
      </c>
      <c r="H33" s="38">
        <f t="shared" si="5"/>
        <v>0</v>
      </c>
      <c r="I33" s="147">
        <f t="shared" si="37"/>
        <v>0</v>
      </c>
      <c r="J33" s="145">
        <f t="shared" si="29"/>
        <v>191022</v>
      </c>
      <c r="K33" s="129">
        <f t="shared" si="14"/>
        <v>0</v>
      </c>
      <c r="L33" s="148">
        <f t="shared" si="30"/>
        <v>432676</v>
      </c>
      <c r="M33" s="38">
        <f t="shared" si="38"/>
        <v>0</v>
      </c>
      <c r="N33" s="145">
        <f t="shared" si="31"/>
        <v>7026908</v>
      </c>
      <c r="O33" s="38">
        <f t="shared" si="39"/>
        <v>0</v>
      </c>
      <c r="P33" s="148">
        <f t="shared" si="32"/>
        <v>7330544</v>
      </c>
      <c r="Q33" s="38">
        <f t="shared" si="40"/>
        <v>0</v>
      </c>
      <c r="R33" s="145">
        <f t="shared" si="33"/>
        <v>21760954</v>
      </c>
      <c r="S33" s="38">
        <f t="shared" si="41"/>
        <v>0</v>
      </c>
      <c r="T33" s="145">
        <v>0</v>
      </c>
      <c r="U33" s="55"/>
      <c r="V33" s="145">
        <f t="shared" si="34"/>
        <v>9745211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201729.53413600003</v>
      </c>
    </row>
    <row r="34" spans="1:27" ht="16.5" thickBot="1" x14ac:dyDescent="0.3">
      <c r="A34" s="136" t="s">
        <v>23</v>
      </c>
      <c r="B34" s="136">
        <f>SUM(B3:B33)</f>
        <v>4229</v>
      </c>
      <c r="C34" s="136">
        <v>0</v>
      </c>
      <c r="D34" s="136">
        <f>SUM(D3:D33)</f>
        <v>13920</v>
      </c>
      <c r="E34" s="55">
        <v>0</v>
      </c>
      <c r="F34" s="136">
        <f>SUM(F3:F33)</f>
        <v>464494</v>
      </c>
      <c r="G34" s="55">
        <v>0</v>
      </c>
      <c r="H34" s="136">
        <f>SUM(H3:H33)</f>
        <v>1137605</v>
      </c>
      <c r="I34" s="55">
        <v>92693</v>
      </c>
      <c r="J34" s="55">
        <v>0</v>
      </c>
      <c r="K34" s="136">
        <f>SUM(K3:K33)</f>
        <v>233980</v>
      </c>
      <c r="L34" s="55">
        <v>0</v>
      </c>
      <c r="M34" s="136">
        <f>SUM(M3:M33)</f>
        <v>136193</v>
      </c>
      <c r="N34" s="55">
        <v>0</v>
      </c>
      <c r="O34" s="136">
        <f>SUM(O3:O33)</f>
        <v>324154</v>
      </c>
      <c r="P34" s="55">
        <v>0</v>
      </c>
      <c r="Q34" s="136">
        <f>SUM(Q3:Q33)</f>
        <v>295882</v>
      </c>
      <c r="R34" s="55">
        <v>0</v>
      </c>
      <c r="S34" s="136">
        <f>SUM(S3:S33)</f>
        <v>220701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240614</v>
      </c>
      <c r="X34" s="136">
        <f>SUM(X3:X33)</f>
        <v>1451524</v>
      </c>
      <c r="Y34" s="136">
        <f>SUM(Y3:Y33)</f>
        <v>150575</v>
      </c>
      <c r="Z34" s="136">
        <f>SUM(Z3:Z33)</f>
        <v>201729.53413600003</v>
      </c>
      <c r="AA34" s="136">
        <f>SUM(AA3:AA33)</f>
        <v>4241946.611801601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C23" sqref="C2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5" thickBot="1" x14ac:dyDescent="0.3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5" thickBot="1" x14ac:dyDescent="0.3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5" thickBot="1" x14ac:dyDescent="0.3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5" thickBot="1" x14ac:dyDescent="0.3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5" thickBot="1" x14ac:dyDescent="0.3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5" thickBot="1" x14ac:dyDescent="0.3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21470</v>
      </c>
      <c r="D34" s="55"/>
      <c r="E34" s="55">
        <f>SUM(E3:E33)</f>
        <v>9360</v>
      </c>
      <c r="F34" s="55"/>
      <c r="G34" s="55">
        <f>SUM(G3:G33)</f>
        <v>11350.800000000001</v>
      </c>
      <c r="H34" s="3"/>
      <c r="I34" s="55">
        <f>SUM(I3:I33)</f>
        <v>88.56</v>
      </c>
      <c r="J34" s="55">
        <v>0</v>
      </c>
      <c r="K34" s="55">
        <f>SUM(K4:K33)</f>
        <v>236183.33278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24" sqref="B2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">
      <c r="A17" s="9">
        <v>44757</v>
      </c>
      <c r="B17" s="132">
        <v>18391023</v>
      </c>
      <c r="C17" s="44">
        <f t="shared" si="0"/>
        <v>2023</v>
      </c>
    </row>
    <row r="18" spans="1:9" ht="24" thickBot="1" x14ac:dyDescent="0.4">
      <c r="A18" s="9">
        <v>44758</v>
      </c>
      <c r="B18" s="132">
        <v>18392719</v>
      </c>
      <c r="C18" s="44">
        <f t="shared" si="0"/>
        <v>1696</v>
      </c>
      <c r="I18" s="34"/>
    </row>
    <row r="19" spans="1:9" ht="24" thickBot="1" x14ac:dyDescent="0.4">
      <c r="A19" s="9">
        <v>44759</v>
      </c>
      <c r="B19" s="132">
        <v>18394815</v>
      </c>
      <c r="C19" s="44">
        <f t="shared" si="0"/>
        <v>2096</v>
      </c>
    </row>
    <row r="20" spans="1:9" ht="24" thickBot="1" x14ac:dyDescent="0.4">
      <c r="A20" s="9">
        <v>44760</v>
      </c>
      <c r="B20" s="132">
        <v>18396436</v>
      </c>
      <c r="C20" s="44">
        <f t="shared" si="0"/>
        <v>1621</v>
      </c>
    </row>
    <row r="21" spans="1:9" ht="24" thickBot="1" x14ac:dyDescent="0.4">
      <c r="A21" s="9">
        <v>44761</v>
      </c>
      <c r="B21" s="132">
        <v>18398379</v>
      </c>
      <c r="C21" s="44">
        <f t="shared" si="0"/>
        <v>1943</v>
      </c>
    </row>
    <row r="22" spans="1:9" ht="24" thickBot="1" x14ac:dyDescent="0.4">
      <c r="A22" s="9">
        <v>44762</v>
      </c>
      <c r="B22" s="132">
        <v>18400265</v>
      </c>
      <c r="C22" s="44">
        <f t="shared" si="0"/>
        <v>1886</v>
      </c>
    </row>
    <row r="23" spans="1:9" ht="24" thickBot="1" x14ac:dyDescent="0.4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4" thickBot="1" x14ac:dyDescent="0.4">
      <c r="A24" s="9">
        <v>44764</v>
      </c>
      <c r="B24" s="132"/>
      <c r="C24" s="44" t="str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35400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L26" sqref="L26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5" thickBot="1" x14ac:dyDescent="0.25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5" thickBot="1" x14ac:dyDescent="0.25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5" thickBot="1" x14ac:dyDescent="0.25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5" thickBot="1" x14ac:dyDescent="0.25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5" thickBot="1" x14ac:dyDescent="0.25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5" thickBot="1" x14ac:dyDescent="0.25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5" thickBot="1" x14ac:dyDescent="0.25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5" thickBot="1" x14ac:dyDescent="0.25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/>
      <c r="AE23" s="162" t="str">
        <f t="shared" si="20"/>
        <v>0</v>
      </c>
      <c r="AF23" s="157">
        <v>8298</v>
      </c>
      <c r="AG23" s="162">
        <f t="shared" si="20"/>
        <v>15</v>
      </c>
    </row>
    <row r="24" spans="1:33" ht="16.5" thickBot="1" x14ac:dyDescent="0.25">
      <c r="A24" s="9">
        <v>44764</v>
      </c>
      <c r="B24" s="159"/>
      <c r="C24" s="43" t="str">
        <f t="shared" si="21"/>
        <v>0</v>
      </c>
      <c r="D24" s="28">
        <f t="shared" si="22"/>
        <v>0</v>
      </c>
      <c r="E24" s="1"/>
      <c r="F24" s="43" t="str">
        <f t="shared" si="23"/>
        <v>0</v>
      </c>
      <c r="G24" s="28">
        <f t="shared" si="24"/>
        <v>0</v>
      </c>
      <c r="H24" s="1"/>
      <c r="I24" s="43" t="str">
        <f t="shared" si="25"/>
        <v>0</v>
      </c>
      <c r="J24" s="28">
        <f t="shared" si="26"/>
        <v>0</v>
      </c>
      <c r="K24" s="7"/>
      <c r="L24" s="43" t="str">
        <f t="shared" si="27"/>
        <v>0</v>
      </c>
      <c r="M24" s="28">
        <f t="shared" si="28"/>
        <v>0</v>
      </c>
      <c r="N24" s="7"/>
      <c r="O24" s="43" t="str">
        <f t="shared" si="29"/>
        <v>0</v>
      </c>
      <c r="P24" s="28">
        <f t="shared" si="30"/>
        <v>0</v>
      </c>
      <c r="Q24" s="7"/>
      <c r="R24" s="43" t="str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 t="str">
        <f t="shared" si="20"/>
        <v>0</v>
      </c>
      <c r="Z24" s="157"/>
      <c r="AA24" s="162" t="str">
        <f t="shared" si="20"/>
        <v>0</v>
      </c>
      <c r="AB24" s="157"/>
      <c r="AC24" s="162" t="str">
        <f t="shared" si="20"/>
        <v>0</v>
      </c>
      <c r="AD24" s="157"/>
      <c r="AE24" s="162">
        <f t="shared" si="20"/>
        <v>0</v>
      </c>
      <c r="AF24" s="157"/>
      <c r="AG24" s="162" t="str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272.39399999999659</v>
      </c>
      <c r="D34" s="136">
        <f>SUM(D4:D33)</f>
        <v>494171.00000000035</v>
      </c>
      <c r="E34" s="136"/>
      <c r="F34" s="136">
        <f>SUM(F3:F33)</f>
        <v>52.243999999999687</v>
      </c>
      <c r="G34" s="136">
        <f>SUM(G4:G33)</f>
        <v>96421.199999999211</v>
      </c>
      <c r="H34" s="136"/>
      <c r="I34" s="136">
        <f>SUM(I3:I33)</f>
        <v>135</v>
      </c>
      <c r="J34" s="136">
        <f>SUM(J4:J33)</f>
        <v>245099.99999999997</v>
      </c>
      <c r="K34" s="136"/>
      <c r="L34" s="136">
        <f>SUM(L3:L33)</f>
        <v>53.519999999998618</v>
      </c>
      <c r="M34" s="136">
        <f>SUM(M4:M33)</f>
        <v>97963.99999999901</v>
      </c>
      <c r="N34" s="136"/>
      <c r="O34" s="136">
        <f>SUM(O3:O33)</f>
        <v>34.843000000000302</v>
      </c>
      <c r="P34" s="136">
        <f>SUM(P4:P33)</f>
        <v>63380.200000000346</v>
      </c>
      <c r="Q34" s="136"/>
      <c r="R34" s="136">
        <v>2.21</v>
      </c>
      <c r="S34" s="136">
        <f>SUM(S4:S33)</f>
        <v>76208.99999999936</v>
      </c>
      <c r="T34" s="136">
        <v>22.454999999999998</v>
      </c>
      <c r="U34" s="136">
        <f>SUM(U4:U33)</f>
        <v>1073245.3999999983</v>
      </c>
      <c r="V34"/>
      <c r="W34" s="136" t="s">
        <v>141</v>
      </c>
      <c r="X34" s="136"/>
      <c r="Y34" s="136">
        <f>SUM(Y3:Y33)</f>
        <v>5553</v>
      </c>
      <c r="Z34" s="136"/>
      <c r="AA34" s="136">
        <f>SUM(AA3:AA33)</f>
        <v>113</v>
      </c>
      <c r="AB34" s="136"/>
      <c r="AC34" s="136">
        <f>SUM(AC3:AC33)</f>
        <v>4.8000000000000007</v>
      </c>
      <c r="AD34" s="136"/>
      <c r="AE34" s="136">
        <f>SUM(AE3:AE33)</f>
        <v>51</v>
      </c>
      <c r="AF34" s="136">
        <v>0</v>
      </c>
      <c r="AG34" s="136">
        <f>SUM(AG3:AG33)</f>
        <v>289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-31557765</v>
      </c>
      <c r="D2" s="96">
        <f>C2*1.27</f>
        <v>-40078361.549999997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2372255</v>
      </c>
      <c r="K4" s="166">
        <f>J4-I4</f>
        <v>1137605</v>
      </c>
    </row>
    <row r="5" spans="1:13" ht="13.5" thickBot="1" x14ac:dyDescent="0.25">
      <c r="A5" s="94"/>
      <c r="B5" s="100" t="s">
        <v>27</v>
      </c>
      <c r="C5" s="104">
        <f>(K10+K12)*0.842284+K26</f>
        <v>605143.56583600002</v>
      </c>
      <c r="D5" s="104">
        <f t="shared" ref="D5:D11" si="0">C5*1.27</f>
        <v>768532.32861172</v>
      </c>
      <c r="E5" s="105"/>
      <c r="F5" s="94"/>
      <c r="G5" s="94"/>
      <c r="H5" s="100" t="s">
        <v>23</v>
      </c>
      <c r="I5" s="106"/>
      <c r="J5" s="106"/>
      <c r="K5" s="126">
        <f>K3+K4</f>
        <v>-30602653</v>
      </c>
    </row>
    <row r="6" spans="1:13" ht="13.5" thickBot="1" x14ac:dyDescent="0.25">
      <c r="A6" s="94"/>
      <c r="B6" s="100" t="s">
        <v>99</v>
      </c>
      <c r="C6" s="104">
        <f>(K10+K12+K26)*0.1488</f>
        <v>106518.33119999999</v>
      </c>
      <c r="D6" s="104">
        <f t="shared" si="0"/>
        <v>135278.28062399998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191022</v>
      </c>
      <c r="K6" s="166">
        <f>J6-I6</f>
        <v>116990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198094</v>
      </c>
      <c r="D7" s="104">
        <f t="shared" si="0"/>
        <v>251579.38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432676</v>
      </c>
      <c r="K7" s="166">
        <f>J7-I7</f>
        <v>136193</v>
      </c>
    </row>
    <row r="8" spans="1:13" ht="13.5" thickBot="1" x14ac:dyDescent="0.25">
      <c r="A8" s="94"/>
      <c r="B8" s="100" t="s">
        <v>103</v>
      </c>
      <c r="C8" s="104">
        <f>K21+K22+K23+K24</f>
        <v>23861</v>
      </c>
      <c r="D8" s="104">
        <f t="shared" si="0"/>
        <v>30303.47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7026908</v>
      </c>
      <c r="K8" s="91">
        <f>(J8-I8)*2</f>
        <v>324154</v>
      </c>
    </row>
    <row r="9" spans="1:13" ht="13.5" thickBot="1" x14ac:dyDescent="0.25">
      <c r="A9" s="94"/>
      <c r="B9" s="100" t="s">
        <v>137</v>
      </c>
      <c r="C9" s="104">
        <f>K25+K16+K17</f>
        <v>4801</v>
      </c>
      <c r="D9" s="104">
        <f t="shared" si="0"/>
        <v>6097.27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7330544</v>
      </c>
      <c r="K9" s="91">
        <f>J9-I9</f>
        <v>295882</v>
      </c>
    </row>
    <row r="10" spans="1:13" ht="13.5" thickBot="1" x14ac:dyDescent="0.25">
      <c r="A10" s="94"/>
      <c r="B10" s="100" t="s">
        <v>106</v>
      </c>
      <c r="C10" s="104">
        <f>K18</f>
        <v>9600</v>
      </c>
      <c r="D10" s="104">
        <f t="shared" si="0"/>
        <v>12192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21760954</v>
      </c>
      <c r="K10" s="91">
        <f>J10-I10</f>
        <v>220701</v>
      </c>
    </row>
    <row r="11" spans="1:13" ht="13.5" thickBot="1" x14ac:dyDescent="0.25">
      <c r="A11" s="94"/>
      <c r="B11" s="100" t="s">
        <v>108</v>
      </c>
      <c r="C11" s="104">
        <f>K19+K20</f>
        <v>2907</v>
      </c>
      <c r="D11" s="104">
        <f t="shared" si="0"/>
        <v>3691.89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9745211</v>
      </c>
      <c r="K12" s="91">
        <f>(J12-I12)*2</f>
        <v>481228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1575148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-32177801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4025</v>
      </c>
      <c r="K16" s="93">
        <f>(J16-I16)*160</f>
        <v>1600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324164</v>
      </c>
      <c r="K17" s="93">
        <f>(J17-I17)</f>
        <v>3134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26325</v>
      </c>
      <c r="K18" s="93">
        <f>(J18-I18)*160</f>
        <v>9600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161491</v>
      </c>
      <c r="K19" s="93">
        <f>J19-I19</f>
        <v>2907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47324</v>
      </c>
      <c r="K21" s="93">
        <f>(J21-I21)*120</f>
        <v>11400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40800</v>
      </c>
      <c r="K22" s="93">
        <f>(J22-I22)*160</f>
        <v>10400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21866</v>
      </c>
      <c r="K23" s="93">
        <f>(J23-I23)*20</f>
        <v>1400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256774</v>
      </c>
      <c r="K24" s="93">
        <f>J24-I24</f>
        <v>661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226199</v>
      </c>
      <c r="K25" s="93">
        <f>J25-I25</f>
        <v>67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19886</v>
      </c>
      <c r="K26" s="93">
        <f>(J26-I26)*160</f>
        <v>13920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2022-07-22T00:14:31Z</dcterms:modified>
</cp:coreProperties>
</file>