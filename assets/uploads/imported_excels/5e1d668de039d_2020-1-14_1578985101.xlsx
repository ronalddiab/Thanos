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2" i="5"/>
  <c r="S32" i="9" l="1"/>
  <c r="B32" i="9"/>
  <c r="AU6" i="7"/>
  <c r="AV36" i="7" l="1"/>
  <c r="AW36" i="7" s="1"/>
  <c r="AV37" i="7"/>
  <c r="Q37" i="7"/>
  <c r="R37" i="7"/>
  <c r="S37" i="7"/>
  <c r="G32" i="9" s="1"/>
  <c r="T37" i="7"/>
  <c r="H32" i="9" s="1"/>
  <c r="U37" i="7"/>
  <c r="V37" i="7"/>
  <c r="W37" i="7"/>
  <c r="K32" i="9" s="1"/>
  <c r="X37" i="7"/>
  <c r="L32" i="9" s="1"/>
  <c r="Y37" i="7"/>
  <c r="Z37" i="7"/>
  <c r="AA37" i="7"/>
  <c r="O32" i="9" s="1"/>
  <c r="AB37" i="7"/>
  <c r="P32" i="9" s="1"/>
  <c r="AC37" i="7"/>
  <c r="AM37" i="7" l="1"/>
  <c r="AW37" i="7"/>
  <c r="R32" i="9"/>
  <c r="G32" i="5" s="1"/>
  <c r="AD37" i="7"/>
  <c r="AK37" i="7"/>
  <c r="J32" i="9"/>
  <c r="AJ37" i="7"/>
  <c r="I32" i="9"/>
  <c r="AP37" i="7"/>
  <c r="AH37" i="7"/>
  <c r="AO37" i="7"/>
  <c r="N32" i="9"/>
  <c r="AG37" i="7"/>
  <c r="F32" i="9"/>
  <c r="AR37" i="7"/>
  <c r="Q32" i="9"/>
  <c r="AN37" i="7"/>
  <c r="M32" i="9"/>
  <c r="AF37" i="7"/>
  <c r="E32" i="9"/>
  <c r="AL37" i="7"/>
  <c r="AQ37" i="7"/>
  <c r="AI37" i="7"/>
  <c r="AV8" i="7"/>
  <c r="R3" i="9" s="1"/>
  <c r="G3" i="5" s="1"/>
  <c r="AV7" i="7"/>
  <c r="R2" i="9" s="1"/>
  <c r="G2" i="5" s="1"/>
  <c r="R31" i="9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R8" i="9" s="1"/>
  <c r="G8" i="5" s="1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AN36" i="7" s="1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R19" i="7"/>
  <c r="AG19" i="7" s="1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AB28" i="7"/>
  <c r="P23" i="9" s="1"/>
  <c r="AC28" i="7"/>
  <c r="AR28" i="7" s="1"/>
  <c r="R29" i="7"/>
  <c r="AG29" i="7" s="1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R32" i="7"/>
  <c r="F27" i="9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P30" i="9" s="1"/>
  <c r="AC35" i="7"/>
  <c r="AR35" i="7" s="1"/>
  <c r="R8" i="7"/>
  <c r="F3" i="9" s="1"/>
  <c r="AG8" i="7"/>
  <c r="T8" i="7"/>
  <c r="AI8" i="7" s="1"/>
  <c r="U8" i="7"/>
  <c r="I3" i="9" s="1"/>
  <c r="V8" i="7"/>
  <c r="AK8" i="7" s="1"/>
  <c r="W8" i="7"/>
  <c r="K3" i="9" s="1"/>
  <c r="X8" i="7"/>
  <c r="AM8" i="7" s="1"/>
  <c r="L3" i="9"/>
  <c r="Y8" i="7"/>
  <c r="M3" i="9" s="1"/>
  <c r="Z8" i="7"/>
  <c r="AO8" i="7" s="1"/>
  <c r="AA8" i="7"/>
  <c r="AP8" i="7" s="1"/>
  <c r="AB8" i="7"/>
  <c r="P3" i="9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Q17" i="9" s="1"/>
  <c r="AC23" i="7"/>
  <c r="Q18" i="9" s="1"/>
  <c r="X22" i="7"/>
  <c r="L17" i="9" s="1"/>
  <c r="AI25" i="7"/>
  <c r="R28" i="9"/>
  <c r="G28" i="5" s="1"/>
  <c r="T20" i="7"/>
  <c r="T21" i="7"/>
  <c r="AI21" i="7" s="1"/>
  <c r="AG21" i="7"/>
  <c r="AJ35" i="7"/>
  <c r="AQ24" i="7"/>
  <c r="F14" i="9"/>
  <c r="N12" i="9"/>
  <c r="H21" i="9"/>
  <c r="R17" i="9"/>
  <c r="G17" i="5" s="1"/>
  <c r="F17" i="9"/>
  <c r="AI26" i="7"/>
  <c r="P21" i="9"/>
  <c r="AM28" i="7"/>
  <c r="F24" i="9"/>
  <c r="J26" i="9"/>
  <c r="AL32" i="7"/>
  <c r="AL33" i="7"/>
  <c r="AG33" i="7"/>
  <c r="AJ33" i="7"/>
  <c r="AO35" i="7"/>
  <c r="R30" i="9"/>
  <c r="G30" i="5" s="1"/>
  <c r="P22" i="9"/>
  <c r="AQ28" i="7"/>
  <c r="AF11" i="7"/>
  <c r="AW13" i="7"/>
  <c r="R6" i="9"/>
  <c r="G6" i="5" s="1"/>
  <c r="AW19" i="7"/>
  <c r="L11" i="9"/>
  <c r="F11" i="9"/>
  <c r="AN7" i="7"/>
  <c r="G6" i="9"/>
  <c r="AW17" i="7" l="1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L16" i="9"/>
  <c r="AQ9" i="7"/>
  <c r="P17" i="9"/>
  <c r="L4" i="9"/>
  <c r="F20" i="9"/>
  <c r="AN22" i="7"/>
  <c r="J21" i="9"/>
  <c r="AS37" i="7"/>
  <c r="AO31" i="7"/>
  <c r="K26" i="9"/>
  <c r="E32" i="5"/>
  <c r="K14" i="9"/>
  <c r="K12" i="9"/>
  <c r="AK15" i="7"/>
  <c r="J13" i="9"/>
  <c r="AK20" i="7"/>
  <c r="AK19" i="7"/>
  <c r="N3" i="9"/>
  <c r="AQ19" i="7"/>
  <c r="AI9" i="7"/>
  <c r="R21" i="9"/>
  <c r="G21" i="5" s="1"/>
  <c r="F31" i="9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M31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I17" i="9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R36" i="7"/>
  <c r="AJ36" i="7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E9" i="5" l="1"/>
  <c r="AS10" i="7"/>
  <c r="AS21" i="7"/>
  <c r="AS34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<sst xmlns="http://schemas.openxmlformats.org/spreadsheetml/2006/main" count="128" uniqueCount="49">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</sst>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H2" sqref="H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57830</v>
      </c>
      <c r="F2" s="11">
        <v>5.0000000000000001E-3</v>
      </c>
      <c r="G2" s="12">
        <f>Submetering!R2</f>
        <v>623.83556799999997</v>
      </c>
      <c r="H2" s="11">
        <v>0.52800000000000002</v>
      </c>
      <c r="I2" s="12">
        <f>Hotel!B7</f>
        <v>273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84330</v>
      </c>
      <c r="F3" s="11">
        <v>5.0000000000000001E-3</v>
      </c>
      <c r="G3" s="12">
        <f>Submetering!R3</f>
        <v>670.01756999999998</v>
      </c>
      <c r="H3" s="11">
        <v>0.52800000000000002</v>
      </c>
      <c r="I3" s="12">
        <f>Hotel!B8</f>
        <v>277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66190</v>
      </c>
      <c r="F4" s="11">
        <v>5.0000000000000001E-3</v>
      </c>
      <c r="G4" s="12">
        <f>Submetering!R4</f>
        <v>689.32316100000003</v>
      </c>
      <c r="H4" s="11">
        <v>0.52800000000000002</v>
      </c>
      <c r="I4" s="12">
        <f>Hotel!B9</f>
        <v>266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67740</v>
      </c>
      <c r="F5" s="11">
        <v>5.0000000000000001E-3</v>
      </c>
      <c r="G5" s="12">
        <f>Submetering!R5</f>
        <v>567.81150000000002</v>
      </c>
      <c r="H5" s="11">
        <v>0.52800000000000002</v>
      </c>
      <c r="I5" s="12">
        <f>Hotel!B10</f>
        <v>159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63820</v>
      </c>
      <c r="F6" s="11">
        <v>5.0000000000000001E-3</v>
      </c>
      <c r="G6" s="12">
        <f>Submetering!R6</f>
        <v>682.50942299999997</v>
      </c>
      <c r="H6" s="11">
        <v>0.52800000000000002</v>
      </c>
      <c r="I6" s="12">
        <f>Hotel!B11</f>
        <v>158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66320</v>
      </c>
      <c r="F7" s="11">
        <v>5.0000000000000001E-3</v>
      </c>
      <c r="G7" s="12">
        <f>Submetering!R7</f>
        <v>681.37379999999996</v>
      </c>
      <c r="H7" s="11">
        <v>0.52800000000000002</v>
      </c>
      <c r="I7" s="12">
        <f>Hotel!B12</f>
        <v>170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66040</v>
      </c>
      <c r="F8" s="11">
        <v>5.0000000000000001E-3</v>
      </c>
      <c r="G8" s="12">
        <f>Submetering!R8</f>
        <v>400.11783700000001</v>
      </c>
      <c r="H8" s="11">
        <v>0.52800000000000002</v>
      </c>
      <c r="I8" s="12">
        <f>Hotel!B13</f>
        <v>181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63450</v>
      </c>
      <c r="F9" s="11">
        <v>5.0000000000000001E-3</v>
      </c>
      <c r="G9" s="12">
        <f>Submetering!R9</f>
        <v>577.27502499999991</v>
      </c>
      <c r="H9" s="11">
        <v>0.52800000000000002</v>
      </c>
      <c r="I9" s="12">
        <f>Hotel!B14</f>
        <v>188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67630</v>
      </c>
      <c r="F10" s="11">
        <v>5.0000000000000001E-3</v>
      </c>
      <c r="G10" s="12">
        <f>Submetering!R10</f>
        <v>631.78492900000003</v>
      </c>
      <c r="H10" s="11">
        <v>0.52800000000000002</v>
      </c>
      <c r="I10" s="12">
        <f>Hotel!B15</f>
        <v>212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66010</v>
      </c>
      <c r="F11" s="11">
        <v>5.0000000000000001E-3</v>
      </c>
      <c r="G11" s="12">
        <f>Submetering!R11</f>
        <v>514.43721899999991</v>
      </c>
      <c r="H11" s="11">
        <v>0.52800000000000002</v>
      </c>
      <c r="I11" s="12">
        <f>Hotel!B16</f>
        <v>221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66320</v>
      </c>
      <c r="F12" s="11">
        <v>5.0000000000000001E-3</v>
      </c>
      <c r="G12" s="12">
        <f>Submetering!R12</f>
        <v>548.88445000000002</v>
      </c>
      <c r="H12" s="11">
        <v>0.52800000000000002</v>
      </c>
      <c r="I12" s="12">
        <f>Hotel!B17</f>
        <v>148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64640</v>
      </c>
      <c r="F13" s="11">
        <v>5.0000000000000001E-3</v>
      </c>
      <c r="G13" s="12">
        <f>Submetering!R13</f>
        <v>705.60042399999998</v>
      </c>
      <c r="H13" s="11">
        <v>0.52800000000000002</v>
      </c>
      <c r="I13" s="12">
        <f>Hotel!B18</f>
        <v>161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65940</v>
      </c>
      <c r="F14" s="11">
        <v>5.0000000000000001E-3</v>
      </c>
      <c r="G14" s="12">
        <f>Submetering!R14</f>
        <v>621.18578100000002</v>
      </c>
      <c r="H14" s="11">
        <v>0.52800000000000002</v>
      </c>
      <c r="I14" s="12">
        <f>Hotel!B19</f>
        <v>178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P28" sqref="P28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2020</v>
      </c>
      <c r="E2" s="4">
        <f>Hotel!Q7</f>
        <v>530</v>
      </c>
      <c r="F2" s="4">
        <f>Hotel!R7</f>
        <v>10880</v>
      </c>
      <c r="G2" s="4">
        <f>Hotel!S7</f>
        <v>0</v>
      </c>
      <c r="H2" s="4">
        <f>Hotel!T7</f>
        <v>1480</v>
      </c>
      <c r="I2" s="4">
        <f>Hotel!U7</f>
        <v>8010</v>
      </c>
      <c r="J2" s="4">
        <f>Hotel!V7</f>
        <v>4780</v>
      </c>
      <c r="K2" s="4">
        <f>Hotel!W7</f>
        <v>2960</v>
      </c>
      <c r="L2" s="4">
        <f>Hotel!X7</f>
        <v>5060</v>
      </c>
      <c r="M2" s="4">
        <f>Hotel!Y7</f>
        <v>5770</v>
      </c>
      <c r="N2" s="4">
        <f>Hotel!Z7</f>
        <v>3230</v>
      </c>
      <c r="O2" s="4">
        <f>Hotel!AA7</f>
        <v>3950</v>
      </c>
      <c r="P2" s="4">
        <f>Hotel!AB7</f>
        <v>7630</v>
      </c>
      <c r="Q2" s="4">
        <f>Hotel!AC7</f>
        <v>3550</v>
      </c>
      <c r="R2" s="4">
        <f>Hotel!AV7*0.00378541*100</f>
        <v>623.83556799999997</v>
      </c>
      <c r="S2" s="4">
        <f>Hotel!B7</f>
        <v>273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2020</v>
      </c>
      <c r="E3" s="4">
        <f>Hotel!Q8</f>
        <v>550</v>
      </c>
      <c r="F3" s="4">
        <f>Hotel!R8</f>
        <v>11520</v>
      </c>
      <c r="G3" s="4">
        <f>Hotel!S8</f>
        <v>0</v>
      </c>
      <c r="H3" s="4">
        <f>Hotel!T8</f>
        <v>1550</v>
      </c>
      <c r="I3" s="4">
        <f>Hotel!U8</f>
        <v>8110</v>
      </c>
      <c r="J3" s="4">
        <f>Hotel!V8</f>
        <v>4960</v>
      </c>
      <c r="K3" s="4">
        <f>Hotel!W8</f>
        <v>3560</v>
      </c>
      <c r="L3" s="4">
        <f>Hotel!X8</f>
        <v>5180</v>
      </c>
      <c r="M3" s="4">
        <f>Hotel!Y8</f>
        <v>5840</v>
      </c>
      <c r="N3" s="4">
        <f>Hotel!Z8</f>
        <v>3300</v>
      </c>
      <c r="O3" s="4">
        <f>Hotel!AA8</f>
        <v>4150</v>
      </c>
      <c r="P3" s="4">
        <f>Hotel!AB8</f>
        <v>7780</v>
      </c>
      <c r="Q3" s="4">
        <f>Hotel!AC8</f>
        <v>27830</v>
      </c>
      <c r="R3" s="4">
        <f>Hotel!AV8*0.00378541*100</f>
        <v>670.01756999999998</v>
      </c>
      <c r="S3" s="4">
        <f>Hotel!B8</f>
        <v>277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2020</v>
      </c>
      <c r="E4" s="4">
        <f>Hotel!Q9</f>
        <v>500</v>
      </c>
      <c r="F4" s="4">
        <f>Hotel!R9</f>
        <v>11440</v>
      </c>
      <c r="G4" s="4">
        <f>Hotel!S9</f>
        <v>10</v>
      </c>
      <c r="H4" s="4">
        <f>Hotel!T9</f>
        <v>1420</v>
      </c>
      <c r="I4" s="4">
        <f>Hotel!U9</f>
        <v>7390</v>
      </c>
      <c r="J4" s="4">
        <f>Hotel!V9</f>
        <v>4450</v>
      </c>
      <c r="K4" s="4">
        <f>Hotel!W9</f>
        <v>3070</v>
      </c>
      <c r="L4" s="4">
        <f>Hotel!X9</f>
        <v>4730</v>
      </c>
      <c r="M4" s="4">
        <f>Hotel!Y9</f>
        <v>5150</v>
      </c>
      <c r="N4" s="4">
        <f>Hotel!Z9</f>
        <v>3030</v>
      </c>
      <c r="O4" s="4">
        <f>Hotel!AA9</f>
        <v>3690</v>
      </c>
      <c r="P4" s="4">
        <f>Hotel!AB9</f>
        <v>7060</v>
      </c>
      <c r="Q4" s="4">
        <f>Hotel!AC9</f>
        <v>14250</v>
      </c>
      <c r="R4" s="4">
        <f>Hotel!AV9*0.00378541*100</f>
        <v>689.32316100000003</v>
      </c>
      <c r="S4" s="4">
        <f>Hotel!B9</f>
        <v>266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2020</v>
      </c>
      <c r="E5" s="4">
        <f>Hotel!Q10</f>
        <v>530</v>
      </c>
      <c r="F5" s="4">
        <f>Hotel!R10</f>
        <v>11350</v>
      </c>
      <c r="G5" s="4">
        <f>Hotel!S10</f>
        <v>0</v>
      </c>
      <c r="H5" s="4">
        <f>Hotel!T10</f>
        <v>1490</v>
      </c>
      <c r="I5" s="4">
        <f>Hotel!U10</f>
        <v>7490</v>
      </c>
      <c r="J5" s="4">
        <f>Hotel!V10</f>
        <v>4660</v>
      </c>
      <c r="K5" s="4">
        <f>Hotel!W10</f>
        <v>3140</v>
      </c>
      <c r="L5" s="4">
        <f>Hotel!X10</f>
        <v>4370</v>
      </c>
      <c r="M5" s="4">
        <f>Hotel!Y10</f>
        <v>5400</v>
      </c>
      <c r="N5" s="4">
        <f>Hotel!Z10</f>
        <v>3010</v>
      </c>
      <c r="O5" s="4">
        <f>Hotel!AA10</f>
        <v>4040</v>
      </c>
      <c r="P5" s="4">
        <f>Hotel!AB10</f>
        <v>7310</v>
      </c>
      <c r="Q5" s="4">
        <f>Hotel!AC10</f>
        <v>14950</v>
      </c>
      <c r="R5" s="4">
        <f>Hotel!AV10*0.00378541*100</f>
        <v>567.81150000000002</v>
      </c>
      <c r="S5" s="4">
        <f>Hotel!B10</f>
        <v>159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2020</v>
      </c>
      <c r="E6" s="4">
        <f>Hotel!Q11</f>
        <v>510</v>
      </c>
      <c r="F6" s="4">
        <f>Hotel!R11</f>
        <v>10230</v>
      </c>
      <c r="G6" s="4">
        <f>Hotel!S11</f>
        <v>0</v>
      </c>
      <c r="H6" s="4">
        <f>Hotel!T11</f>
        <v>1440</v>
      </c>
      <c r="I6" s="4">
        <f>Hotel!U11</f>
        <v>6990</v>
      </c>
      <c r="J6" s="4">
        <f>Hotel!V11</f>
        <v>4440</v>
      </c>
      <c r="K6" s="4">
        <f>Hotel!W11</f>
        <v>2640</v>
      </c>
      <c r="L6" s="4">
        <f>Hotel!X11</f>
        <v>4130</v>
      </c>
      <c r="M6" s="4">
        <f>Hotel!Y11</f>
        <v>5070</v>
      </c>
      <c r="N6" s="4">
        <f>Hotel!Z11</f>
        <v>2710</v>
      </c>
      <c r="O6" s="4">
        <f>Hotel!AA11</f>
        <v>3550</v>
      </c>
      <c r="P6" s="4">
        <f>Hotel!AB11</f>
        <v>7120</v>
      </c>
      <c r="Q6" s="4">
        <f>Hotel!AC11</f>
        <v>14990</v>
      </c>
      <c r="R6" s="4">
        <f>Hotel!AV11*0.00378541*100</f>
        <v>682.50942299999997</v>
      </c>
      <c r="S6" s="4">
        <f>Hotel!B11</f>
        <v>158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2020</v>
      </c>
      <c r="E7" s="4">
        <f>Hotel!Q12</f>
        <v>530</v>
      </c>
      <c r="F7" s="4">
        <f>Hotel!R12</f>
        <v>10800</v>
      </c>
      <c r="G7" s="4">
        <f>Hotel!S12</f>
        <v>0</v>
      </c>
      <c r="H7" s="4">
        <f>Hotel!T12</f>
        <v>1470</v>
      </c>
      <c r="I7" s="4">
        <f>Hotel!U12</f>
        <v>6990</v>
      </c>
      <c r="J7" s="4">
        <f>Hotel!V12</f>
        <v>4720</v>
      </c>
      <c r="K7" s="4">
        <f>Hotel!W12</f>
        <v>2780</v>
      </c>
      <c r="L7" s="4">
        <f>Hotel!X12</f>
        <v>4380</v>
      </c>
      <c r="M7" s="4">
        <f>Hotel!Y12</f>
        <v>5140</v>
      </c>
      <c r="N7" s="4">
        <f>Hotel!Z12</f>
        <v>2860</v>
      </c>
      <c r="O7" s="4">
        <f>Hotel!AA12</f>
        <v>3680</v>
      </c>
      <c r="P7" s="4">
        <f>Hotel!AB12</f>
        <v>7320</v>
      </c>
      <c r="Q7" s="4">
        <f>Hotel!AC12</f>
        <v>15650</v>
      </c>
      <c r="R7" s="4">
        <f>Hotel!AV12*0.00378541*100</f>
        <v>681.37379999999996</v>
      </c>
      <c r="S7" s="4">
        <f>Hotel!B12</f>
        <v>170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2020</v>
      </c>
      <c r="E8" s="4">
        <f>Hotel!Q13</f>
        <v>520</v>
      </c>
      <c r="F8" s="4">
        <f>Hotel!R13</f>
        <v>10830</v>
      </c>
      <c r="G8" s="4">
        <f>Hotel!S13</f>
        <v>0</v>
      </c>
      <c r="H8" s="4">
        <f>Hotel!T13</f>
        <v>1470</v>
      </c>
      <c r="I8" s="4">
        <f>Hotel!U13</f>
        <v>6760</v>
      </c>
      <c r="J8" s="4">
        <f>Hotel!V13</f>
        <v>4690</v>
      </c>
      <c r="K8" s="4">
        <f>Hotel!W13</f>
        <v>2730</v>
      </c>
      <c r="L8" s="4">
        <f>Hotel!X13</f>
        <v>4250</v>
      </c>
      <c r="M8" s="4">
        <f>Hotel!Y13</f>
        <v>5330</v>
      </c>
      <c r="N8" s="4">
        <f>Hotel!Z13</f>
        <v>2830</v>
      </c>
      <c r="O8" s="4">
        <f>Hotel!AA13</f>
        <v>3620</v>
      </c>
      <c r="P8" s="4">
        <f>Hotel!AB13</f>
        <v>7280</v>
      </c>
      <c r="Q8" s="4">
        <f>Hotel!AC13</f>
        <v>15730</v>
      </c>
      <c r="R8" s="4">
        <f>Hotel!AV13*0.00378541*100</f>
        <v>400.11783700000001</v>
      </c>
      <c r="S8" s="4">
        <f>Hotel!B13</f>
        <v>181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2020</v>
      </c>
      <c r="E9" s="4">
        <f>Hotel!Q14</f>
        <v>510</v>
      </c>
      <c r="F9" s="4">
        <f>Hotel!R14</f>
        <v>10290</v>
      </c>
      <c r="G9" s="4">
        <f>Hotel!S14</f>
        <v>0</v>
      </c>
      <c r="H9" s="4">
        <f>Hotel!T14</f>
        <v>1420</v>
      </c>
      <c r="I9" s="4">
        <f>Hotel!U14</f>
        <v>6690</v>
      </c>
      <c r="J9" s="4">
        <f>Hotel!V14</f>
        <v>4510</v>
      </c>
      <c r="K9" s="4">
        <f>Hotel!W14</f>
        <v>2650</v>
      </c>
      <c r="L9" s="4">
        <f>Hotel!X14</f>
        <v>4270</v>
      </c>
      <c r="M9" s="4">
        <f>Hotel!Y14</f>
        <v>5160</v>
      </c>
      <c r="N9" s="4">
        <f>Hotel!Z14</f>
        <v>2740</v>
      </c>
      <c r="O9" s="4">
        <f>Hotel!AA14</f>
        <v>3440</v>
      </c>
      <c r="P9" s="4">
        <f>Hotel!AB14</f>
        <v>7040</v>
      </c>
      <c r="Q9" s="4">
        <f>Hotel!AC14</f>
        <v>14730</v>
      </c>
      <c r="R9" s="4">
        <f>Hotel!AV14*0.00378541*100</f>
        <v>577.27502499999991</v>
      </c>
      <c r="S9" s="4">
        <f>Hotel!B14</f>
        <v>188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2020</v>
      </c>
      <c r="E10" s="4">
        <f>Hotel!Q15</f>
        <v>540</v>
      </c>
      <c r="F10" s="4">
        <f>Hotel!R15</f>
        <v>10700</v>
      </c>
      <c r="G10" s="4">
        <f>Hotel!S15</f>
        <v>0</v>
      </c>
      <c r="H10" s="4">
        <f>Hotel!T15</f>
        <v>1500</v>
      </c>
      <c r="I10" s="4">
        <f>Hotel!U15</f>
        <v>7130</v>
      </c>
      <c r="J10" s="4">
        <f>Hotel!V15</f>
        <v>4940</v>
      </c>
      <c r="K10" s="4">
        <f>Hotel!W15</f>
        <v>3040</v>
      </c>
      <c r="L10" s="4">
        <f>Hotel!X15</f>
        <v>4570</v>
      </c>
      <c r="M10" s="4">
        <f>Hotel!Y15</f>
        <v>5470</v>
      </c>
      <c r="N10" s="4">
        <f>Hotel!Z15</f>
        <v>2970</v>
      </c>
      <c r="O10" s="4">
        <f>Hotel!AA15</f>
        <v>3760</v>
      </c>
      <c r="P10" s="4">
        <f>Hotel!AB15</f>
        <v>7210</v>
      </c>
      <c r="Q10" s="4">
        <f>Hotel!AC15</f>
        <v>15800</v>
      </c>
      <c r="R10" s="4">
        <f>Hotel!AV15*0.00378541*100</f>
        <v>631.78492900000003</v>
      </c>
      <c r="S10" s="4">
        <f>Hotel!B15</f>
        <v>212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2020</v>
      </c>
      <c r="E11" s="4">
        <f>Hotel!Q16</f>
        <v>520</v>
      </c>
      <c r="F11" s="4">
        <f>Hotel!R16</f>
        <v>10280</v>
      </c>
      <c r="G11" s="4">
        <f>Hotel!S16</f>
        <v>0</v>
      </c>
      <c r="H11" s="4">
        <f>Hotel!T16</f>
        <v>1430</v>
      </c>
      <c r="I11" s="4">
        <f>Hotel!U16</f>
        <v>6880</v>
      </c>
      <c r="J11" s="4">
        <f>Hotel!V16</f>
        <v>4890</v>
      </c>
      <c r="K11" s="4">
        <f>Hotel!W16</f>
        <v>3260</v>
      </c>
      <c r="L11" s="4">
        <f>Hotel!X16</f>
        <v>4280</v>
      </c>
      <c r="M11" s="4">
        <f>Hotel!Y16</f>
        <v>5580</v>
      </c>
      <c r="N11" s="4">
        <f>Hotel!Z16</f>
        <v>2870</v>
      </c>
      <c r="O11" s="4">
        <f>Hotel!AA16</f>
        <v>3830</v>
      </c>
      <c r="P11" s="4">
        <f>Hotel!AB16</f>
        <v>7060</v>
      </c>
      <c r="Q11" s="4">
        <f>Hotel!AC16</f>
        <v>15130</v>
      </c>
      <c r="R11" s="4">
        <f>Hotel!AV16*0.00378541*100</f>
        <v>514.43721899999991</v>
      </c>
      <c r="S11" s="4">
        <f>Hotel!B16</f>
        <v>221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2020</v>
      </c>
      <c r="E12" s="4">
        <f>Hotel!Q17</f>
        <v>530</v>
      </c>
      <c r="F12" s="4">
        <f>Hotel!R17</f>
        <v>10020</v>
      </c>
      <c r="G12" s="4">
        <f>Hotel!S17</f>
        <v>0</v>
      </c>
      <c r="H12" s="4">
        <f>Hotel!T17</f>
        <v>1450</v>
      </c>
      <c r="I12" s="4">
        <f>Hotel!U17</f>
        <v>6890</v>
      </c>
      <c r="J12" s="4">
        <f>Hotel!V17</f>
        <v>4910</v>
      </c>
      <c r="K12" s="4">
        <f>Hotel!W17</f>
        <v>3290</v>
      </c>
      <c r="L12" s="4">
        <f>Hotel!X17</f>
        <v>4560</v>
      </c>
      <c r="M12" s="4">
        <f>Hotel!Y17</f>
        <v>5530</v>
      </c>
      <c r="N12" s="4">
        <f>Hotel!Z17</f>
        <v>2920</v>
      </c>
      <c r="O12" s="4">
        <f>Hotel!AA17</f>
        <v>3800</v>
      </c>
      <c r="P12" s="4">
        <f>Hotel!AB17</f>
        <v>7140</v>
      </c>
      <c r="Q12" s="4">
        <f>Hotel!AC17</f>
        <v>15280</v>
      </c>
      <c r="R12" s="4">
        <f>Hotel!AV17*0.00378541*100</f>
        <v>548.88445000000002</v>
      </c>
      <c r="S12" s="4">
        <f>Hotel!B17</f>
        <v>148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2020</v>
      </c>
      <c r="E13" s="4">
        <f>Hotel!Q18</f>
        <v>530</v>
      </c>
      <c r="F13" s="4">
        <f>Hotel!R18</f>
        <v>9450</v>
      </c>
      <c r="G13" s="4">
        <f>Hotel!S18</f>
        <v>0</v>
      </c>
      <c r="H13" s="4">
        <f>Hotel!T18</f>
        <v>1460</v>
      </c>
      <c r="I13" s="4">
        <f>Hotel!U18</f>
        <v>6870</v>
      </c>
      <c r="J13" s="4">
        <f>Hotel!V18</f>
        <v>4930</v>
      </c>
      <c r="K13" s="4">
        <f>Hotel!W18</f>
        <v>2940</v>
      </c>
      <c r="L13" s="4">
        <f>Hotel!X18</f>
        <v>4550</v>
      </c>
      <c r="M13" s="4">
        <f>Hotel!Y18</f>
        <v>5240</v>
      </c>
      <c r="N13" s="4">
        <f>Hotel!Z18</f>
        <v>2900</v>
      </c>
      <c r="O13" s="4">
        <f>Hotel!AA18</f>
        <v>3650</v>
      </c>
      <c r="P13" s="4">
        <f>Hotel!AB18</f>
        <v>6960</v>
      </c>
      <c r="Q13" s="4">
        <f>Hotel!AC18</f>
        <v>15160</v>
      </c>
      <c r="R13" s="4">
        <f>Hotel!AV18*0.00378541*100</f>
        <v>705.60042399999998</v>
      </c>
      <c r="S13" s="4">
        <f>Hotel!B18</f>
        <v>161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2020</v>
      </c>
      <c r="E14" s="4">
        <f>Hotel!Q19</f>
        <v>520</v>
      </c>
      <c r="F14" s="4">
        <f>Hotel!R19</f>
        <v>9860</v>
      </c>
      <c r="G14" s="4">
        <f>Hotel!S19</f>
        <v>0</v>
      </c>
      <c r="H14" s="4">
        <f>Hotel!T19</f>
        <v>1500</v>
      </c>
      <c r="I14" s="4">
        <f>Hotel!U19</f>
        <v>6740</v>
      </c>
      <c r="J14" s="4">
        <f>Hotel!V19</f>
        <v>4800</v>
      </c>
      <c r="K14" s="4">
        <f>Hotel!W19</f>
        <v>3180</v>
      </c>
      <c r="L14" s="4">
        <f>Hotel!X19</f>
        <v>4490</v>
      </c>
      <c r="M14" s="4">
        <f>Hotel!Y19</f>
        <v>5040</v>
      </c>
      <c r="N14" s="4">
        <f>Hotel!Z19</f>
        <v>2920</v>
      </c>
      <c r="O14" s="4">
        <f>Hotel!AA19</f>
        <v>3540</v>
      </c>
      <c r="P14" s="4">
        <f>Hotel!AB19</f>
        <v>7170</v>
      </c>
      <c r="Q14" s="4">
        <f>Hotel!AC19</f>
        <v>16180</v>
      </c>
      <c r="R14" s="4">
        <f>Hotel!AV19*0.00378541*100</f>
        <v>621.18578100000002</v>
      </c>
      <c r="S14" s="4">
        <f>Hotel!B19</f>
        <v>178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2020</v>
      </c>
      <c r="E15" s="4" t="str">
        <f>Hotel!Q20</f>
        <v>0</v>
      </c>
      <c r="F15" s="4" t="str">
        <f>Hotel!R20</f>
        <v>0</v>
      </c>
      <c r="G15" s="4" t="str">
        <f>Hotel!S20</f>
        <v>0</v>
      </c>
      <c r="H15" s="4" t="str">
        <f>Hotel!T20</f>
        <v>0</v>
      </c>
      <c r="I15" s="4" t="str">
        <f>Hotel!U20</f>
        <v>0</v>
      </c>
      <c r="J15" s="4" t="str">
        <f>Hotel!V20</f>
        <v>0</v>
      </c>
      <c r="K15" s="4" t="str">
        <f>Hotel!W20</f>
        <v>0</v>
      </c>
      <c r="L15" s="4" t="str">
        <f>Hotel!X20</f>
        <v>0</v>
      </c>
      <c r="M15" s="4" t="str">
        <f>Hotel!Y20</f>
        <v>0</v>
      </c>
      <c r="N15" s="4" t="str">
        <f>Hotel!Z20</f>
        <v>0</v>
      </c>
      <c r="O15" s="4" t="str">
        <f>Hotel!AA20</f>
        <v>0</v>
      </c>
      <c r="P15" s="4" t="str">
        <f>Hotel!AB20</f>
        <v>0</v>
      </c>
      <c r="Q15" s="4" t="str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B19" sqref="B1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43830</v>
      </c>
      <c r="B2" s="40">
        <v>268</v>
      </c>
      <c r="C2" s="24">
        <v>5922650</v>
      </c>
      <c r="D2" s="24">
        <v>12400680</v>
      </c>
      <c r="E2" s="24">
        <v>1470300</v>
      </c>
      <c r="F2" s="24">
        <v>2645180</v>
      </c>
      <c r="G2" s="24">
        <v>8095250</v>
      </c>
      <c r="H2" s="24">
        <v>3883440</v>
      </c>
      <c r="I2" s="24">
        <v>3835760</v>
      </c>
      <c r="J2" s="24">
        <v>4359090</v>
      </c>
      <c r="K2" s="24">
        <v>6992140</v>
      </c>
      <c r="L2" s="24">
        <v>2517750</v>
      </c>
      <c r="M2" s="24">
        <v>6424900</v>
      </c>
      <c r="N2" s="24">
        <v>8852410</v>
      </c>
      <c r="O2" s="24">
        <v>11689960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716808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716808</v>
      </c>
    </row>
    <row r="7" spans="1:49" x14ac:dyDescent="0.25">
      <c r="A7" s="23">
        <v>43831</v>
      </c>
      <c r="B7" s="40">
        <v>273</v>
      </c>
      <c r="C7" s="24">
        <v>5923180</v>
      </c>
      <c r="D7" s="24">
        <v>12411560</v>
      </c>
      <c r="E7" s="24">
        <v>1470300</v>
      </c>
      <c r="F7" s="24">
        <v>2646660</v>
      </c>
      <c r="G7" s="24">
        <v>8103260</v>
      </c>
      <c r="H7" s="24">
        <v>3888220</v>
      </c>
      <c r="I7" s="24">
        <v>3838720</v>
      </c>
      <c r="J7" s="24">
        <v>4364150</v>
      </c>
      <c r="K7" s="24">
        <v>6997910</v>
      </c>
      <c r="L7" s="24">
        <v>2520980</v>
      </c>
      <c r="M7" s="24">
        <v>6428850</v>
      </c>
      <c r="N7" s="24">
        <v>8860040</v>
      </c>
      <c r="O7" s="24">
        <v>11693510</v>
      </c>
      <c r="Q7" s="37">
        <f>IF((C7-C2&lt;0), "0",C7-C2)</f>
        <v>530</v>
      </c>
      <c r="R7" s="37">
        <f t="shared" ref="R7:AC7" si="0">IF((D7-D2&lt;0), "0",D7-D2)</f>
        <v>10880</v>
      </c>
      <c r="S7" s="37">
        <f>IF((E7-E2&lt;0), "0",E7-E2)</f>
        <v>0</v>
      </c>
      <c r="T7" s="37">
        <f t="shared" si="0"/>
        <v>1480</v>
      </c>
      <c r="U7" s="37">
        <f t="shared" si="0"/>
        <v>8010</v>
      </c>
      <c r="V7" s="37">
        <f t="shared" si="0"/>
        <v>4780</v>
      </c>
      <c r="W7" s="37">
        <f t="shared" si="0"/>
        <v>2960</v>
      </c>
      <c r="X7" s="37">
        <f t="shared" si="0"/>
        <v>5060</v>
      </c>
      <c r="Y7" s="37">
        <f t="shared" si="0"/>
        <v>5770</v>
      </c>
      <c r="Z7" s="37">
        <f t="shared" si="0"/>
        <v>3230</v>
      </c>
      <c r="AA7" s="37">
        <f t="shared" si="0"/>
        <v>3950</v>
      </c>
      <c r="AB7" s="37">
        <f t="shared" si="0"/>
        <v>7630</v>
      </c>
      <c r="AC7" s="37">
        <f t="shared" si="0"/>
        <v>3550</v>
      </c>
      <c r="AD7" s="34">
        <f>SUM(Q7:AC7)</f>
        <v>57830</v>
      </c>
      <c r="AF7" s="20">
        <f t="shared" ref="AF7:AF36" si="1">Q7*$D$39</f>
        <v>2.65</v>
      </c>
      <c r="AG7" s="20">
        <f t="shared" ref="AG7:AG36" si="2">R7*$D$39</f>
        <v>54.4</v>
      </c>
      <c r="AH7" s="20">
        <f t="shared" ref="AH7:AH36" si="3">S7*$D$39</f>
        <v>0</v>
      </c>
      <c r="AI7" s="20">
        <f t="shared" ref="AI7:AI36" si="4">T7*$D$39</f>
        <v>7.4</v>
      </c>
      <c r="AJ7" s="20">
        <f t="shared" ref="AJ7:AJ36" si="5">U7*$D$39</f>
        <v>40.050000000000004</v>
      </c>
      <c r="AK7" s="20">
        <f t="shared" ref="AK7:AK36" si="6">V7*$D$39</f>
        <v>23.900000000000002</v>
      </c>
      <c r="AL7" s="20">
        <f t="shared" ref="AL7:AL36" si="7">W7*$D$39</f>
        <v>14.8</v>
      </c>
      <c r="AM7" s="20">
        <f t="shared" ref="AM7:AM36" si="8">X7*$D$39</f>
        <v>25.3</v>
      </c>
      <c r="AN7" s="20">
        <f t="shared" ref="AN7:AN36" si="9">Y7*$D$39</f>
        <v>28.85</v>
      </c>
      <c r="AO7" s="20">
        <f t="shared" ref="AO7:AO36" si="10">Z7*$D$39</f>
        <v>16.149999999999999</v>
      </c>
      <c r="AP7" s="20">
        <f t="shared" ref="AP7:AP36" si="11">AA7*$D$39</f>
        <v>19.75</v>
      </c>
      <c r="AQ7" s="20">
        <f t="shared" ref="AQ7:AQ36" si="12">AB7*$D$39</f>
        <v>38.15</v>
      </c>
      <c r="AR7" s="20">
        <f t="shared" ref="AR7:AR36" si="13">AC7*$D$39</f>
        <v>17.75</v>
      </c>
      <c r="AS7" s="35">
        <f>SUM(AF7:AR7)</f>
        <v>289.15000000000003</v>
      </c>
      <c r="AU7" s="47">
        <v>718456</v>
      </c>
      <c r="AV7" s="37">
        <f>IF((AU7-AU6&lt;0),"0",AU7-AU6)</f>
        <v>1648</v>
      </c>
      <c r="AW7" s="50">
        <v>0</v>
      </c>
    </row>
    <row r="8" spans="1:49" x14ac:dyDescent="0.25">
      <c r="A8" s="23">
        <v>43832</v>
      </c>
      <c r="B8" s="40">
        <v>277</v>
      </c>
      <c r="C8" s="24">
        <v>5923730</v>
      </c>
      <c r="D8" s="24">
        <v>12423080</v>
      </c>
      <c r="E8" s="24">
        <v>1470300</v>
      </c>
      <c r="F8" s="24">
        <v>2648210</v>
      </c>
      <c r="G8" s="24">
        <v>8111370</v>
      </c>
      <c r="H8" s="24">
        <v>3893180</v>
      </c>
      <c r="I8" s="24">
        <v>3842280</v>
      </c>
      <c r="J8" s="24">
        <v>4369330</v>
      </c>
      <c r="K8" s="24">
        <v>7003750</v>
      </c>
      <c r="L8" s="24">
        <v>2524280</v>
      </c>
      <c r="M8" s="24">
        <v>6433000</v>
      </c>
      <c r="N8" s="24">
        <v>8867820</v>
      </c>
      <c r="O8" s="24">
        <v>11721340</v>
      </c>
      <c r="Q8" s="37">
        <f>IF((C8-C7&lt;0), "0",C8-C7)</f>
        <v>550</v>
      </c>
      <c r="R8" s="37">
        <f t="shared" ref="R8:AC8" si="14">IF((D8-D7&lt;0), "0",D8-D7)</f>
        <v>11520</v>
      </c>
      <c r="S8" s="37">
        <f t="shared" ref="S8:S35" si="15">IF((E8-E7&lt;0), "0",E8-E7)</f>
        <v>0</v>
      </c>
      <c r="T8" s="37">
        <f t="shared" si="14"/>
        <v>1550</v>
      </c>
      <c r="U8" s="37">
        <f t="shared" si="14"/>
        <v>8110</v>
      </c>
      <c r="V8" s="37">
        <f t="shared" si="14"/>
        <v>4960</v>
      </c>
      <c r="W8" s="37">
        <f t="shared" si="14"/>
        <v>3560</v>
      </c>
      <c r="X8" s="37">
        <f t="shared" si="14"/>
        <v>5180</v>
      </c>
      <c r="Y8" s="37">
        <f t="shared" si="14"/>
        <v>5840</v>
      </c>
      <c r="Z8" s="37">
        <f t="shared" si="14"/>
        <v>3300</v>
      </c>
      <c r="AA8" s="37">
        <f t="shared" si="14"/>
        <v>4150</v>
      </c>
      <c r="AB8" s="37">
        <f t="shared" si="14"/>
        <v>7780</v>
      </c>
      <c r="AC8" s="37">
        <f t="shared" si="14"/>
        <v>27830</v>
      </c>
      <c r="AD8" s="35">
        <f>SUM(Q8:AC8)</f>
        <v>84330</v>
      </c>
      <c r="AF8" s="20">
        <f t="shared" si="1"/>
        <v>2.75</v>
      </c>
      <c r="AG8" s="20">
        <f t="shared" si="2"/>
        <v>57.6</v>
      </c>
      <c r="AH8" s="20">
        <f t="shared" si="3"/>
        <v>0</v>
      </c>
      <c r="AI8" s="20">
        <f t="shared" si="4"/>
        <v>7.75</v>
      </c>
      <c r="AJ8" s="20">
        <f t="shared" si="5"/>
        <v>40.550000000000004</v>
      </c>
      <c r="AK8" s="20">
        <f t="shared" si="6"/>
        <v>24.8</v>
      </c>
      <c r="AL8" s="20">
        <f t="shared" si="7"/>
        <v>17.8</v>
      </c>
      <c r="AM8" s="20">
        <f t="shared" si="8"/>
        <v>25.900000000000002</v>
      </c>
      <c r="AN8" s="20">
        <f t="shared" si="9"/>
        <v>29.2</v>
      </c>
      <c r="AO8" s="20">
        <f t="shared" si="10"/>
        <v>16.5</v>
      </c>
      <c r="AP8" s="20">
        <f t="shared" si="11"/>
        <v>20.75</v>
      </c>
      <c r="AQ8" s="20">
        <f t="shared" si="12"/>
        <v>38.9</v>
      </c>
      <c r="AR8" s="20">
        <f t="shared" si="13"/>
        <v>139.15</v>
      </c>
      <c r="AS8" s="35">
        <f>SUM(AF8:AR8)</f>
        <v>421.65</v>
      </c>
      <c r="AU8" s="47">
        <v>720226</v>
      </c>
      <c r="AV8" s="37">
        <f>IF((AU8-AU7&lt;0),"0",AU8-AU7)</f>
        <v>1770</v>
      </c>
      <c r="AW8" s="35">
        <v>0</v>
      </c>
    </row>
    <row r="9" spans="1:49" x14ac:dyDescent="0.25">
      <c r="A9" s="23">
        <v>43833</v>
      </c>
      <c r="B9" s="40">
        <v>266</v>
      </c>
      <c r="C9" s="24">
        <v>5924230</v>
      </c>
      <c r="D9" s="24">
        <v>12434520</v>
      </c>
      <c r="E9" s="24">
        <v>1470310</v>
      </c>
      <c r="F9" s="24">
        <v>2649630</v>
      </c>
      <c r="G9" s="24">
        <v>8118760</v>
      </c>
      <c r="H9" s="24">
        <v>3897630</v>
      </c>
      <c r="I9" s="24">
        <v>3845350</v>
      </c>
      <c r="J9" s="24">
        <v>4374060</v>
      </c>
      <c r="K9" s="24">
        <v>7008900</v>
      </c>
      <c r="L9" s="24">
        <v>2527310</v>
      </c>
      <c r="M9" s="24">
        <v>6436690</v>
      </c>
      <c r="N9" s="24">
        <v>8874880</v>
      </c>
      <c r="O9" s="24">
        <v>11735590</v>
      </c>
      <c r="Q9" s="37">
        <f t="shared" ref="Q9:Q35" si="16">IF((C9-C8&lt;0), "0",C9-C8)</f>
        <v>500</v>
      </c>
      <c r="R9" s="37">
        <f t="shared" ref="R9:R35" si="17">IF((D9-D8&lt;0), "0",D9-D8)</f>
        <v>11440</v>
      </c>
      <c r="S9" s="37">
        <f t="shared" si="15"/>
        <v>10</v>
      </c>
      <c r="T9" s="37">
        <f t="shared" ref="T9:T35" si="18">IF((F9-F8&lt;0), "0",F9-F8)</f>
        <v>1420</v>
      </c>
      <c r="U9" s="37">
        <f t="shared" ref="U9:U35" si="19">IF((G9-G8&lt;0), "0",G9-G8)</f>
        <v>7390</v>
      </c>
      <c r="V9" s="37">
        <f t="shared" ref="V9:V35" si="20">IF((H9-H8&lt;0), "0",H9-H8)</f>
        <v>4450</v>
      </c>
      <c r="W9" s="37">
        <f t="shared" ref="W9:W35" si="21">IF((I9-I8&lt;0), "0",I9-I8)</f>
        <v>3070</v>
      </c>
      <c r="X9" s="37">
        <f t="shared" ref="X9:X35" si="22">IF((J9-J8&lt;0), "0",J9-J8)</f>
        <v>4730</v>
      </c>
      <c r="Y9" s="37">
        <f t="shared" ref="Y9:Y35" si="23">IF((K9-K8&lt;0), "0",K9-K8)</f>
        <v>5150</v>
      </c>
      <c r="Z9" s="37">
        <f t="shared" ref="Z9:Z35" si="24">IF((L9-L8&lt;0), "0",L9-L8)</f>
        <v>3030</v>
      </c>
      <c r="AA9" s="37">
        <f t="shared" ref="AA9:AA35" si="25">IF((M9-M8&lt;0), "0",M9-M8)</f>
        <v>3690</v>
      </c>
      <c r="AB9" s="37">
        <f t="shared" ref="AB9:AB35" si="26">IF((N9-N8&lt;0), "0",N9-N8)</f>
        <v>7060</v>
      </c>
      <c r="AC9" s="37">
        <f t="shared" ref="AC9:AC35" si="27">IF((O9-O8&lt;0), "0",O9-O8)</f>
        <v>14250</v>
      </c>
      <c r="AD9" s="35">
        <f t="shared" ref="AD9:AD34" si="28">SUM(Q9:AC9)</f>
        <v>66190</v>
      </c>
      <c r="AF9" s="20">
        <f t="shared" si="1"/>
        <v>2.5</v>
      </c>
      <c r="AG9" s="20">
        <f t="shared" si="2"/>
        <v>57.2</v>
      </c>
      <c r="AH9" s="20">
        <f t="shared" si="3"/>
        <v>0.05</v>
      </c>
      <c r="AI9" s="20">
        <f t="shared" si="4"/>
        <v>7.1000000000000005</v>
      </c>
      <c r="AJ9" s="20">
        <f t="shared" si="5"/>
        <v>36.950000000000003</v>
      </c>
      <c r="AK9" s="20">
        <f t="shared" si="6"/>
        <v>22.25</v>
      </c>
      <c r="AL9" s="20">
        <f t="shared" si="7"/>
        <v>15.35</v>
      </c>
      <c r="AM9" s="20">
        <f t="shared" si="8"/>
        <v>23.650000000000002</v>
      </c>
      <c r="AN9" s="20">
        <f t="shared" si="9"/>
        <v>25.75</v>
      </c>
      <c r="AO9" s="20">
        <f t="shared" si="10"/>
        <v>15.15</v>
      </c>
      <c r="AP9" s="20">
        <f t="shared" si="11"/>
        <v>18.45</v>
      </c>
      <c r="AQ9" s="20">
        <f t="shared" si="12"/>
        <v>35.300000000000004</v>
      </c>
      <c r="AR9" s="20">
        <f t="shared" si="13"/>
        <v>71.25</v>
      </c>
      <c r="AS9" s="35">
        <f t="shared" ref="AS9:AS34" si="29">SUM(AF9:AR9)</f>
        <v>330.95</v>
      </c>
      <c r="AU9" s="47">
        <v>722047</v>
      </c>
      <c r="AV9" s="37">
        <f>IF((AU9-AU8&lt;0),"0",AU9-AU8)</f>
        <v>1821</v>
      </c>
      <c r="AW9" s="35">
        <f t="shared" ref="AW9:AW35" si="30">AV9*$D$40</f>
        <v>3.6419999999999999</v>
      </c>
    </row>
    <row r="10" spans="1:49" x14ac:dyDescent="0.25">
      <c r="A10" s="23">
        <v>43834</v>
      </c>
      <c r="B10" s="40">
        <v>159</v>
      </c>
      <c r="C10" s="24">
        <v>5924760</v>
      </c>
      <c r="D10" s="24">
        <v>12445870</v>
      </c>
      <c r="E10" s="24">
        <v>1470310</v>
      </c>
      <c r="F10" s="24">
        <v>2651120</v>
      </c>
      <c r="G10" s="24">
        <v>8126250</v>
      </c>
      <c r="H10" s="24">
        <v>3902290</v>
      </c>
      <c r="I10" s="24">
        <v>3848490</v>
      </c>
      <c r="J10" s="24">
        <v>4378430</v>
      </c>
      <c r="K10" s="24">
        <v>7014300</v>
      </c>
      <c r="L10" s="24">
        <v>2530320</v>
      </c>
      <c r="M10" s="24">
        <v>6440730</v>
      </c>
      <c r="N10" s="24">
        <v>8882190</v>
      </c>
      <c r="O10" s="24">
        <v>11750540</v>
      </c>
      <c r="Q10" s="37">
        <f t="shared" si="16"/>
        <v>530</v>
      </c>
      <c r="R10" s="37">
        <f t="shared" si="17"/>
        <v>11350</v>
      </c>
      <c r="S10" s="37">
        <f t="shared" si="15"/>
        <v>0</v>
      </c>
      <c r="T10" s="37">
        <f t="shared" si="18"/>
        <v>1490</v>
      </c>
      <c r="U10" s="37">
        <f t="shared" si="19"/>
        <v>7490</v>
      </c>
      <c r="V10" s="37">
        <f t="shared" si="20"/>
        <v>4660</v>
      </c>
      <c r="W10" s="37">
        <f t="shared" si="21"/>
        <v>3140</v>
      </c>
      <c r="X10" s="37">
        <f t="shared" si="22"/>
        <v>4370</v>
      </c>
      <c r="Y10" s="37">
        <f t="shared" si="23"/>
        <v>5400</v>
      </c>
      <c r="Z10" s="37">
        <f t="shared" si="24"/>
        <v>3010</v>
      </c>
      <c r="AA10" s="37">
        <f t="shared" si="25"/>
        <v>4040</v>
      </c>
      <c r="AB10" s="37">
        <f t="shared" si="26"/>
        <v>7310</v>
      </c>
      <c r="AC10" s="37">
        <f t="shared" si="27"/>
        <v>14950</v>
      </c>
      <c r="AD10" s="35">
        <f t="shared" si="28"/>
        <v>67740</v>
      </c>
      <c r="AF10" s="20">
        <f t="shared" si="1"/>
        <v>2.65</v>
      </c>
      <c r="AG10" s="20">
        <f t="shared" si="2"/>
        <v>56.75</v>
      </c>
      <c r="AH10" s="20">
        <f t="shared" si="3"/>
        <v>0</v>
      </c>
      <c r="AI10" s="20">
        <f t="shared" si="4"/>
        <v>7.45</v>
      </c>
      <c r="AJ10" s="20">
        <f t="shared" si="5"/>
        <v>37.450000000000003</v>
      </c>
      <c r="AK10" s="20">
        <f t="shared" si="6"/>
        <v>23.3</v>
      </c>
      <c r="AL10" s="20">
        <f t="shared" si="7"/>
        <v>15.700000000000001</v>
      </c>
      <c r="AM10" s="20">
        <f t="shared" si="8"/>
        <v>21.85</v>
      </c>
      <c r="AN10" s="20">
        <f t="shared" si="9"/>
        <v>27</v>
      </c>
      <c r="AO10" s="20">
        <f t="shared" si="10"/>
        <v>15.05</v>
      </c>
      <c r="AP10" s="20">
        <f t="shared" si="11"/>
        <v>20.2</v>
      </c>
      <c r="AQ10" s="20">
        <f t="shared" si="12"/>
        <v>36.550000000000004</v>
      </c>
      <c r="AR10" s="20">
        <f t="shared" si="13"/>
        <v>74.75</v>
      </c>
      <c r="AS10" s="35">
        <f t="shared" si="29"/>
        <v>338.7</v>
      </c>
      <c r="AU10" s="47">
        <v>723547</v>
      </c>
      <c r="AV10" s="37">
        <f t="shared" ref="AV10:AV26" si="31">IF((AU10-AU9&lt;0),"0",AU10-AU9)</f>
        <v>1500</v>
      </c>
      <c r="AW10" s="35">
        <f t="shared" si="30"/>
        <v>3</v>
      </c>
    </row>
    <row r="11" spans="1:49" x14ac:dyDescent="0.25">
      <c r="A11" s="23">
        <v>43835</v>
      </c>
      <c r="B11" s="40">
        <v>158</v>
      </c>
      <c r="C11" s="24">
        <v>5925270</v>
      </c>
      <c r="D11" s="24">
        <v>12456100</v>
      </c>
      <c r="E11" s="24">
        <v>1470310</v>
      </c>
      <c r="F11" s="24">
        <v>2652560</v>
      </c>
      <c r="G11" s="24">
        <v>8133240</v>
      </c>
      <c r="H11" s="24">
        <v>3906730</v>
      </c>
      <c r="I11" s="24">
        <v>3851130</v>
      </c>
      <c r="J11" s="24">
        <v>4382560</v>
      </c>
      <c r="K11" s="24">
        <v>7019370</v>
      </c>
      <c r="L11" s="24">
        <v>2533030</v>
      </c>
      <c r="M11" s="24">
        <v>6444280</v>
      </c>
      <c r="N11" s="24">
        <v>8889310</v>
      </c>
      <c r="O11" s="24">
        <v>11765530</v>
      </c>
      <c r="Q11" s="37">
        <f t="shared" si="16"/>
        <v>510</v>
      </c>
      <c r="R11" s="37">
        <f t="shared" si="17"/>
        <v>10230</v>
      </c>
      <c r="S11" s="37">
        <f t="shared" si="15"/>
        <v>0</v>
      </c>
      <c r="T11" s="37">
        <f t="shared" si="18"/>
        <v>1440</v>
      </c>
      <c r="U11" s="37">
        <f t="shared" si="19"/>
        <v>6990</v>
      </c>
      <c r="V11" s="37">
        <f t="shared" si="20"/>
        <v>4440</v>
      </c>
      <c r="W11" s="37">
        <f t="shared" si="21"/>
        <v>2640</v>
      </c>
      <c r="X11" s="37">
        <f t="shared" si="22"/>
        <v>4130</v>
      </c>
      <c r="Y11" s="37">
        <f t="shared" si="23"/>
        <v>5070</v>
      </c>
      <c r="Z11" s="37">
        <f t="shared" si="24"/>
        <v>2710</v>
      </c>
      <c r="AA11" s="37">
        <f t="shared" si="25"/>
        <v>3550</v>
      </c>
      <c r="AB11" s="37">
        <f t="shared" si="26"/>
        <v>7120</v>
      </c>
      <c r="AC11" s="37">
        <f t="shared" si="27"/>
        <v>14990</v>
      </c>
      <c r="AD11" s="35">
        <f t="shared" si="28"/>
        <v>63820</v>
      </c>
      <c r="AF11" s="20">
        <f t="shared" si="1"/>
        <v>2.5500000000000003</v>
      </c>
      <c r="AG11" s="20">
        <f t="shared" si="2"/>
        <v>51.15</v>
      </c>
      <c r="AH11" s="20">
        <f t="shared" si="3"/>
        <v>0</v>
      </c>
      <c r="AI11" s="20">
        <f t="shared" si="4"/>
        <v>7.2</v>
      </c>
      <c r="AJ11" s="20">
        <f t="shared" si="5"/>
        <v>34.950000000000003</v>
      </c>
      <c r="AK11" s="20">
        <f t="shared" si="6"/>
        <v>22.2</v>
      </c>
      <c r="AL11" s="20">
        <f t="shared" si="7"/>
        <v>13.200000000000001</v>
      </c>
      <c r="AM11" s="20">
        <f t="shared" si="8"/>
        <v>20.650000000000002</v>
      </c>
      <c r="AN11" s="20">
        <f t="shared" si="9"/>
        <v>25.35</v>
      </c>
      <c r="AO11" s="20">
        <f t="shared" si="10"/>
        <v>13.55</v>
      </c>
      <c r="AP11" s="20">
        <f t="shared" si="11"/>
        <v>17.75</v>
      </c>
      <c r="AQ11" s="20">
        <f t="shared" si="12"/>
        <v>35.6</v>
      </c>
      <c r="AR11" s="20">
        <f t="shared" si="13"/>
        <v>74.95</v>
      </c>
      <c r="AS11" s="35">
        <f t="shared" si="29"/>
        <v>319.10000000000002</v>
      </c>
      <c r="AU11" s="47">
        <v>725350</v>
      </c>
      <c r="AV11" s="37">
        <f t="shared" si="31"/>
        <v>1803</v>
      </c>
      <c r="AW11" s="35">
        <f t="shared" si="30"/>
        <v>3.6059999999999999</v>
      </c>
    </row>
    <row r="12" spans="1:49" x14ac:dyDescent="0.25">
      <c r="A12" s="23">
        <v>43836</v>
      </c>
      <c r="B12" s="40">
        <v>170</v>
      </c>
      <c r="C12" s="49">
        <v>5925800</v>
      </c>
      <c r="D12" s="24">
        <v>12466900</v>
      </c>
      <c r="E12" s="24">
        <v>1470310</v>
      </c>
      <c r="F12" s="24">
        <v>2654030</v>
      </c>
      <c r="G12" s="24">
        <v>8140230</v>
      </c>
      <c r="H12" s="24">
        <v>3911450</v>
      </c>
      <c r="I12" s="24">
        <v>3853910</v>
      </c>
      <c r="J12" s="24">
        <v>4386940</v>
      </c>
      <c r="K12" s="24">
        <v>7024510</v>
      </c>
      <c r="L12" s="24">
        <v>2535890</v>
      </c>
      <c r="M12" s="24">
        <v>6447960</v>
      </c>
      <c r="N12" s="24">
        <v>8896630</v>
      </c>
      <c r="O12" s="24">
        <v>11781180</v>
      </c>
      <c r="Q12" s="37">
        <f t="shared" si="16"/>
        <v>530</v>
      </c>
      <c r="R12" s="37">
        <f t="shared" si="17"/>
        <v>10800</v>
      </c>
      <c r="S12" s="37">
        <f t="shared" si="15"/>
        <v>0</v>
      </c>
      <c r="T12" s="37">
        <f t="shared" ref="T12:W14" si="32">IF((F12-F11&lt;0), "0",F12-F11)</f>
        <v>1470</v>
      </c>
      <c r="U12" s="37">
        <f t="shared" si="32"/>
        <v>6990</v>
      </c>
      <c r="V12" s="37">
        <f t="shared" si="32"/>
        <v>4720</v>
      </c>
      <c r="W12" s="37">
        <f t="shared" si="32"/>
        <v>2780</v>
      </c>
      <c r="X12" s="37">
        <f t="shared" si="22"/>
        <v>4380</v>
      </c>
      <c r="Y12" s="37">
        <f t="shared" si="23"/>
        <v>5140</v>
      </c>
      <c r="Z12" s="37">
        <f>IF((L12-L11&lt;0), "0",L12-L11)</f>
        <v>2860</v>
      </c>
      <c r="AA12" s="37">
        <f t="shared" si="25"/>
        <v>3680</v>
      </c>
      <c r="AB12" s="37">
        <f t="shared" si="26"/>
        <v>7320</v>
      </c>
      <c r="AC12" s="37">
        <f t="shared" si="27"/>
        <v>15650</v>
      </c>
      <c r="AD12" s="35">
        <f t="shared" si="28"/>
        <v>66320</v>
      </c>
      <c r="AF12" s="20">
        <f t="shared" si="1"/>
        <v>2.65</v>
      </c>
      <c r="AG12" s="20">
        <f t="shared" si="2"/>
        <v>54</v>
      </c>
      <c r="AH12" s="20">
        <f t="shared" si="3"/>
        <v>0</v>
      </c>
      <c r="AI12" s="20">
        <f t="shared" si="4"/>
        <v>7.3500000000000005</v>
      </c>
      <c r="AJ12" s="20">
        <f t="shared" si="5"/>
        <v>34.950000000000003</v>
      </c>
      <c r="AK12" s="20">
        <f t="shared" si="6"/>
        <v>23.6</v>
      </c>
      <c r="AL12" s="20">
        <f t="shared" si="7"/>
        <v>13.9</v>
      </c>
      <c r="AM12" s="20">
        <f t="shared" si="8"/>
        <v>21.900000000000002</v>
      </c>
      <c r="AN12" s="20">
        <f t="shared" si="9"/>
        <v>25.7</v>
      </c>
      <c r="AO12" s="20">
        <f t="shared" si="10"/>
        <v>14.3</v>
      </c>
      <c r="AP12" s="20">
        <f t="shared" si="11"/>
        <v>18.400000000000002</v>
      </c>
      <c r="AQ12" s="20">
        <f t="shared" si="12"/>
        <v>36.6</v>
      </c>
      <c r="AR12" s="20">
        <f t="shared" si="13"/>
        <v>78.25</v>
      </c>
      <c r="AS12" s="35">
        <f t="shared" si="29"/>
        <v>331.6</v>
      </c>
      <c r="AU12" s="47">
        <v>727150</v>
      </c>
      <c r="AV12" s="37">
        <f t="shared" si="31"/>
        <v>1800</v>
      </c>
      <c r="AW12" s="35">
        <f t="shared" si="30"/>
        <v>3.6</v>
      </c>
    </row>
    <row r="13" spans="1:49" x14ac:dyDescent="0.25">
      <c r="A13" s="23">
        <v>43837</v>
      </c>
      <c r="B13" s="40">
        <v>181</v>
      </c>
      <c r="C13" s="24">
        <v>5926320</v>
      </c>
      <c r="D13" s="24">
        <v>12477730</v>
      </c>
      <c r="E13" s="24">
        <v>1470310</v>
      </c>
      <c r="F13" s="24">
        <v>2655500</v>
      </c>
      <c r="G13" s="24">
        <v>8146990</v>
      </c>
      <c r="H13" s="24">
        <v>3916140</v>
      </c>
      <c r="I13" s="24">
        <v>3856640</v>
      </c>
      <c r="J13" s="24">
        <v>4391190</v>
      </c>
      <c r="K13" s="24">
        <v>7029840</v>
      </c>
      <c r="L13" s="24">
        <v>2538720</v>
      </c>
      <c r="M13" s="24">
        <v>6451580</v>
      </c>
      <c r="N13" s="24">
        <v>8903910</v>
      </c>
      <c r="O13" s="24">
        <v>11796910</v>
      </c>
      <c r="Q13" s="37">
        <f t="shared" si="16"/>
        <v>520</v>
      </c>
      <c r="R13" s="37">
        <f t="shared" si="17"/>
        <v>10830</v>
      </c>
      <c r="S13" s="37">
        <f t="shared" si="15"/>
        <v>0</v>
      </c>
      <c r="T13" s="37">
        <f t="shared" si="32"/>
        <v>1470</v>
      </c>
      <c r="U13" s="37">
        <f t="shared" si="32"/>
        <v>6760</v>
      </c>
      <c r="V13" s="37">
        <f t="shared" si="32"/>
        <v>4690</v>
      </c>
      <c r="W13" s="37">
        <f t="shared" si="32"/>
        <v>2730</v>
      </c>
      <c r="X13" s="37">
        <f t="shared" si="22"/>
        <v>4250</v>
      </c>
      <c r="Y13" s="37">
        <f t="shared" si="23"/>
        <v>5330</v>
      </c>
      <c r="Z13" s="37">
        <f>IF((L13-L12&lt;0), "0",L13-L12)</f>
        <v>2830</v>
      </c>
      <c r="AA13" s="37">
        <f t="shared" si="25"/>
        <v>3620</v>
      </c>
      <c r="AB13" s="37">
        <f t="shared" si="26"/>
        <v>7280</v>
      </c>
      <c r="AC13" s="37">
        <f t="shared" si="27"/>
        <v>15730</v>
      </c>
      <c r="AD13" s="35">
        <f t="shared" si="28"/>
        <v>66040</v>
      </c>
      <c r="AF13" s="20">
        <f t="shared" si="1"/>
        <v>2.6</v>
      </c>
      <c r="AG13" s="20">
        <f t="shared" si="2"/>
        <v>54.15</v>
      </c>
      <c r="AH13" s="20">
        <f t="shared" si="3"/>
        <v>0</v>
      </c>
      <c r="AI13" s="20">
        <f t="shared" si="4"/>
        <v>7.3500000000000005</v>
      </c>
      <c r="AJ13" s="20">
        <f t="shared" si="5"/>
        <v>33.799999999999997</v>
      </c>
      <c r="AK13" s="20">
        <f t="shared" si="6"/>
        <v>23.45</v>
      </c>
      <c r="AL13" s="20">
        <f t="shared" si="7"/>
        <v>13.65</v>
      </c>
      <c r="AM13" s="20">
        <f t="shared" si="8"/>
        <v>21.25</v>
      </c>
      <c r="AN13" s="20">
        <f t="shared" si="9"/>
        <v>26.650000000000002</v>
      </c>
      <c r="AO13" s="20">
        <f t="shared" si="10"/>
        <v>14.15</v>
      </c>
      <c r="AP13" s="20">
        <f t="shared" si="11"/>
        <v>18.100000000000001</v>
      </c>
      <c r="AQ13" s="20">
        <f t="shared" si="12"/>
        <v>36.4</v>
      </c>
      <c r="AR13" s="20">
        <f t="shared" si="13"/>
        <v>78.650000000000006</v>
      </c>
      <c r="AS13" s="35">
        <f t="shared" si="29"/>
        <v>330.20000000000005</v>
      </c>
      <c r="AU13" s="47">
        <v>728207</v>
      </c>
      <c r="AV13" s="37">
        <f t="shared" si="31"/>
        <v>1057</v>
      </c>
      <c r="AW13" s="35">
        <f t="shared" si="30"/>
        <v>2.1139999999999999</v>
      </c>
    </row>
    <row r="14" spans="1:49" x14ac:dyDescent="0.25">
      <c r="A14" s="23">
        <v>43838</v>
      </c>
      <c r="B14" s="40">
        <v>188</v>
      </c>
      <c r="C14" s="24">
        <v>5926830</v>
      </c>
      <c r="D14" s="24">
        <v>12488020</v>
      </c>
      <c r="E14" s="24">
        <v>1470310</v>
      </c>
      <c r="F14" s="24">
        <v>2656920</v>
      </c>
      <c r="G14" s="24">
        <v>8153680</v>
      </c>
      <c r="H14" s="24">
        <v>3920650</v>
      </c>
      <c r="I14" s="24">
        <v>3859290</v>
      </c>
      <c r="J14" s="24">
        <v>4395460</v>
      </c>
      <c r="K14" s="24">
        <v>7035000</v>
      </c>
      <c r="L14" s="24">
        <v>2541460</v>
      </c>
      <c r="M14" s="24">
        <v>6455020</v>
      </c>
      <c r="N14" s="24">
        <v>8910950</v>
      </c>
      <c r="O14" s="24">
        <v>11811640</v>
      </c>
      <c r="Q14" s="37">
        <f t="shared" si="16"/>
        <v>510</v>
      </c>
      <c r="R14" s="37">
        <f t="shared" si="17"/>
        <v>10290</v>
      </c>
      <c r="S14" s="37">
        <f t="shared" si="15"/>
        <v>0</v>
      </c>
      <c r="T14" s="37">
        <f t="shared" si="32"/>
        <v>1420</v>
      </c>
      <c r="U14" s="37">
        <f t="shared" si="32"/>
        <v>6690</v>
      </c>
      <c r="V14" s="37">
        <f t="shared" si="32"/>
        <v>4510</v>
      </c>
      <c r="W14" s="37">
        <f t="shared" si="32"/>
        <v>2650</v>
      </c>
      <c r="X14" s="37">
        <f t="shared" si="22"/>
        <v>4270</v>
      </c>
      <c r="Y14" s="37">
        <f t="shared" si="23"/>
        <v>5160</v>
      </c>
      <c r="Z14" s="37">
        <f>IF((L14-L13&lt;0), "0",L14-L13)</f>
        <v>2740</v>
      </c>
      <c r="AA14" s="37">
        <f t="shared" si="25"/>
        <v>3440</v>
      </c>
      <c r="AB14" s="37">
        <f t="shared" si="26"/>
        <v>7040</v>
      </c>
      <c r="AC14" s="37">
        <f t="shared" si="27"/>
        <v>14730</v>
      </c>
      <c r="AD14" s="35">
        <f t="shared" si="28"/>
        <v>63450</v>
      </c>
      <c r="AF14" s="20">
        <f t="shared" si="1"/>
        <v>2.5500000000000003</v>
      </c>
      <c r="AG14" s="20">
        <f t="shared" si="2"/>
        <v>51.45</v>
      </c>
      <c r="AH14" s="20">
        <f t="shared" si="3"/>
        <v>0</v>
      </c>
      <c r="AI14" s="20">
        <f t="shared" si="4"/>
        <v>7.1000000000000005</v>
      </c>
      <c r="AJ14" s="20">
        <f t="shared" si="5"/>
        <v>33.450000000000003</v>
      </c>
      <c r="AK14" s="20">
        <f t="shared" si="6"/>
        <v>22.55</v>
      </c>
      <c r="AL14" s="20">
        <f t="shared" si="7"/>
        <v>13.25</v>
      </c>
      <c r="AM14" s="20">
        <f t="shared" si="8"/>
        <v>21.35</v>
      </c>
      <c r="AN14" s="20">
        <f t="shared" si="9"/>
        <v>25.8</v>
      </c>
      <c r="AO14" s="20">
        <f t="shared" si="10"/>
        <v>13.700000000000001</v>
      </c>
      <c r="AP14" s="20">
        <f t="shared" si="11"/>
        <v>17.2</v>
      </c>
      <c r="AQ14" s="20">
        <f t="shared" si="12"/>
        <v>35.200000000000003</v>
      </c>
      <c r="AR14" s="20">
        <f t="shared" si="13"/>
        <v>73.650000000000006</v>
      </c>
      <c r="AS14" s="35">
        <f t="shared" si="29"/>
        <v>317.25</v>
      </c>
      <c r="AU14" s="47">
        <v>729732</v>
      </c>
      <c r="AV14" s="37">
        <f t="shared" si="31"/>
        <v>1525</v>
      </c>
      <c r="AW14" s="35">
        <f t="shared" si="30"/>
        <v>3.0500000000000003</v>
      </c>
    </row>
    <row r="15" spans="1:49" x14ac:dyDescent="0.25">
      <c r="A15" s="23">
        <v>43839</v>
      </c>
      <c r="B15" s="40">
        <v>212</v>
      </c>
      <c r="C15" s="24">
        <v>5927370</v>
      </c>
      <c r="D15" s="24">
        <v>12498720</v>
      </c>
      <c r="E15" s="24">
        <v>1470310</v>
      </c>
      <c r="F15" s="24">
        <v>2658420</v>
      </c>
      <c r="G15" s="24">
        <v>8160810</v>
      </c>
      <c r="H15" s="24">
        <v>3925590</v>
      </c>
      <c r="I15" s="24">
        <v>3862330</v>
      </c>
      <c r="J15" s="24">
        <v>4400030</v>
      </c>
      <c r="K15" s="24">
        <v>7040470</v>
      </c>
      <c r="L15" s="24">
        <v>2544430</v>
      </c>
      <c r="M15" s="24">
        <v>6458780</v>
      </c>
      <c r="N15" s="24">
        <v>8918160</v>
      </c>
      <c r="O15" s="24">
        <v>11827440</v>
      </c>
      <c r="Q15" s="37">
        <f t="shared" si="16"/>
        <v>540</v>
      </c>
      <c r="R15" s="37">
        <f t="shared" si="17"/>
        <v>10700</v>
      </c>
      <c r="S15" s="37">
        <f t="shared" si="15"/>
        <v>0</v>
      </c>
      <c r="T15" s="37">
        <f t="shared" si="18"/>
        <v>1500</v>
      </c>
      <c r="U15" s="37">
        <f t="shared" si="19"/>
        <v>7130</v>
      </c>
      <c r="V15" s="37">
        <f t="shared" si="20"/>
        <v>4940</v>
      </c>
      <c r="W15" s="37">
        <f t="shared" si="21"/>
        <v>3040</v>
      </c>
      <c r="X15" s="37">
        <f t="shared" si="22"/>
        <v>4570</v>
      </c>
      <c r="Y15" s="37">
        <f t="shared" si="23"/>
        <v>5470</v>
      </c>
      <c r="Z15" s="37">
        <f t="shared" si="24"/>
        <v>2970</v>
      </c>
      <c r="AA15" s="37">
        <f t="shared" si="25"/>
        <v>3760</v>
      </c>
      <c r="AB15" s="37">
        <f t="shared" si="26"/>
        <v>7210</v>
      </c>
      <c r="AC15" s="37">
        <f t="shared" si="27"/>
        <v>15800</v>
      </c>
      <c r="AD15" s="35">
        <f t="shared" si="28"/>
        <v>67630</v>
      </c>
      <c r="AF15" s="20">
        <f t="shared" si="1"/>
        <v>2.7</v>
      </c>
      <c r="AG15" s="20">
        <f t="shared" si="2"/>
        <v>53.5</v>
      </c>
      <c r="AH15" s="20">
        <f t="shared" si="3"/>
        <v>0</v>
      </c>
      <c r="AI15" s="20">
        <f t="shared" si="4"/>
        <v>7.5</v>
      </c>
      <c r="AJ15" s="20">
        <f t="shared" si="5"/>
        <v>35.65</v>
      </c>
      <c r="AK15" s="20">
        <f t="shared" si="6"/>
        <v>24.7</v>
      </c>
      <c r="AL15" s="20">
        <f t="shared" si="7"/>
        <v>15.200000000000001</v>
      </c>
      <c r="AM15" s="20">
        <f t="shared" si="8"/>
        <v>22.85</v>
      </c>
      <c r="AN15" s="20">
        <f t="shared" si="9"/>
        <v>27.35</v>
      </c>
      <c r="AO15" s="20">
        <f t="shared" si="10"/>
        <v>14.85</v>
      </c>
      <c r="AP15" s="20">
        <f t="shared" si="11"/>
        <v>18.8</v>
      </c>
      <c r="AQ15" s="20">
        <f t="shared" si="12"/>
        <v>36.050000000000004</v>
      </c>
      <c r="AR15" s="20">
        <f t="shared" si="13"/>
        <v>79</v>
      </c>
      <c r="AS15" s="35">
        <f t="shared" si="29"/>
        <v>338.15</v>
      </c>
      <c r="AU15" s="47">
        <v>731401</v>
      </c>
      <c r="AV15" s="37">
        <f t="shared" si="31"/>
        <v>1669</v>
      </c>
      <c r="AW15" s="35">
        <f t="shared" si="30"/>
        <v>3.3380000000000001</v>
      </c>
    </row>
    <row r="16" spans="1:49" x14ac:dyDescent="0.25">
      <c r="A16" s="23">
        <v>43840</v>
      </c>
      <c r="B16" s="40">
        <v>221</v>
      </c>
      <c r="C16" s="24">
        <v>5927890</v>
      </c>
      <c r="D16" s="24">
        <v>12509000</v>
      </c>
      <c r="E16" s="24">
        <v>1470310</v>
      </c>
      <c r="F16" s="24">
        <v>2659850</v>
      </c>
      <c r="G16" s="24">
        <v>8167690</v>
      </c>
      <c r="H16" s="24">
        <v>3930480</v>
      </c>
      <c r="I16" s="24">
        <v>3865590</v>
      </c>
      <c r="J16" s="24">
        <v>4404310</v>
      </c>
      <c r="K16" s="24">
        <v>7046050</v>
      </c>
      <c r="L16" s="24">
        <v>2547300</v>
      </c>
      <c r="M16" s="24">
        <v>6462610</v>
      </c>
      <c r="N16" s="24">
        <v>8925220</v>
      </c>
      <c r="O16" s="24">
        <v>11842570</v>
      </c>
      <c r="Q16" s="37">
        <f t="shared" si="16"/>
        <v>520</v>
      </c>
      <c r="R16" s="37">
        <f t="shared" si="17"/>
        <v>10280</v>
      </c>
      <c r="S16" s="37">
        <f t="shared" si="15"/>
        <v>0</v>
      </c>
      <c r="T16" s="37">
        <f t="shared" si="18"/>
        <v>1430</v>
      </c>
      <c r="U16" s="37">
        <f t="shared" si="19"/>
        <v>6880</v>
      </c>
      <c r="V16" s="37">
        <f t="shared" si="20"/>
        <v>4890</v>
      </c>
      <c r="W16" s="37">
        <f t="shared" si="21"/>
        <v>3260</v>
      </c>
      <c r="X16" s="37">
        <f t="shared" si="22"/>
        <v>4280</v>
      </c>
      <c r="Y16" s="37">
        <f t="shared" si="23"/>
        <v>5580</v>
      </c>
      <c r="Z16" s="37">
        <f t="shared" si="24"/>
        <v>2870</v>
      </c>
      <c r="AA16" s="37">
        <f t="shared" si="25"/>
        <v>3830</v>
      </c>
      <c r="AB16" s="37">
        <f t="shared" si="26"/>
        <v>7060</v>
      </c>
      <c r="AC16" s="37">
        <f t="shared" si="27"/>
        <v>15130</v>
      </c>
      <c r="AD16" s="35">
        <f t="shared" si="28"/>
        <v>66010</v>
      </c>
      <c r="AF16" s="20">
        <f t="shared" si="1"/>
        <v>2.6</v>
      </c>
      <c r="AG16" s="20">
        <f t="shared" si="2"/>
        <v>51.4</v>
      </c>
      <c r="AH16" s="20">
        <f t="shared" si="3"/>
        <v>0</v>
      </c>
      <c r="AI16" s="20">
        <f t="shared" si="4"/>
        <v>7.15</v>
      </c>
      <c r="AJ16" s="20">
        <f t="shared" si="5"/>
        <v>34.4</v>
      </c>
      <c r="AK16" s="20">
        <f t="shared" si="6"/>
        <v>24.45</v>
      </c>
      <c r="AL16" s="20">
        <f t="shared" si="7"/>
        <v>16.3</v>
      </c>
      <c r="AM16" s="20">
        <f t="shared" si="8"/>
        <v>21.400000000000002</v>
      </c>
      <c r="AN16" s="20">
        <f t="shared" si="9"/>
        <v>27.900000000000002</v>
      </c>
      <c r="AO16" s="20">
        <f t="shared" si="10"/>
        <v>14.35</v>
      </c>
      <c r="AP16" s="20">
        <f t="shared" si="11"/>
        <v>19.150000000000002</v>
      </c>
      <c r="AQ16" s="20">
        <f t="shared" si="12"/>
        <v>35.300000000000004</v>
      </c>
      <c r="AR16" s="20">
        <f t="shared" si="13"/>
        <v>75.650000000000006</v>
      </c>
      <c r="AS16" s="35">
        <f t="shared" si="29"/>
        <v>330.05000000000007</v>
      </c>
      <c r="AU16" s="47">
        <v>732760</v>
      </c>
      <c r="AV16" s="37">
        <f t="shared" si="31"/>
        <v>1359</v>
      </c>
      <c r="AW16" s="35">
        <f t="shared" si="30"/>
        <v>2.718</v>
      </c>
    </row>
    <row r="17" spans="1:49" x14ac:dyDescent="0.25">
      <c r="A17" s="23">
        <v>43841</v>
      </c>
      <c r="B17" s="40">
        <v>148</v>
      </c>
      <c r="C17" s="24">
        <v>5928420</v>
      </c>
      <c r="D17" s="24">
        <v>12519020</v>
      </c>
      <c r="E17" s="24">
        <v>1470310</v>
      </c>
      <c r="F17" s="24">
        <v>2661300</v>
      </c>
      <c r="G17" s="24">
        <v>8174580</v>
      </c>
      <c r="H17" s="24">
        <v>3935390</v>
      </c>
      <c r="I17" s="24">
        <v>3868880</v>
      </c>
      <c r="J17" s="24">
        <v>4408870</v>
      </c>
      <c r="K17" s="24">
        <v>7051580</v>
      </c>
      <c r="L17" s="24">
        <v>2550220</v>
      </c>
      <c r="M17" s="24">
        <v>6466410</v>
      </c>
      <c r="N17" s="24">
        <v>8932360</v>
      </c>
      <c r="O17" s="24">
        <v>11857850</v>
      </c>
      <c r="Q17" s="37">
        <f t="shared" si="16"/>
        <v>530</v>
      </c>
      <c r="R17" s="37">
        <f t="shared" si="17"/>
        <v>10020</v>
      </c>
      <c r="S17" s="37">
        <f t="shared" si="15"/>
        <v>0</v>
      </c>
      <c r="T17" s="37">
        <f t="shared" si="18"/>
        <v>1450</v>
      </c>
      <c r="U17" s="37">
        <f t="shared" si="19"/>
        <v>6890</v>
      </c>
      <c r="V17" s="37">
        <f t="shared" si="20"/>
        <v>4910</v>
      </c>
      <c r="W17" s="37">
        <f t="shared" si="21"/>
        <v>3290</v>
      </c>
      <c r="X17" s="37">
        <f t="shared" si="22"/>
        <v>4560</v>
      </c>
      <c r="Y17" s="37">
        <f t="shared" si="23"/>
        <v>5530</v>
      </c>
      <c r="Z17" s="37">
        <f t="shared" si="24"/>
        <v>2920</v>
      </c>
      <c r="AA17" s="37">
        <f t="shared" si="25"/>
        <v>3800</v>
      </c>
      <c r="AB17" s="37">
        <f t="shared" si="26"/>
        <v>7140</v>
      </c>
      <c r="AC17" s="37">
        <f t="shared" si="27"/>
        <v>15280</v>
      </c>
      <c r="AD17" s="35">
        <f t="shared" si="28"/>
        <v>66320</v>
      </c>
      <c r="AF17" s="20">
        <f t="shared" si="1"/>
        <v>2.65</v>
      </c>
      <c r="AG17" s="20">
        <f t="shared" si="2"/>
        <v>50.1</v>
      </c>
      <c r="AH17" s="20">
        <f t="shared" si="3"/>
        <v>0</v>
      </c>
      <c r="AI17" s="20">
        <f t="shared" si="4"/>
        <v>7.25</v>
      </c>
      <c r="AJ17" s="20">
        <f t="shared" si="5"/>
        <v>34.450000000000003</v>
      </c>
      <c r="AK17" s="20">
        <f t="shared" si="6"/>
        <v>24.55</v>
      </c>
      <c r="AL17" s="20">
        <f t="shared" si="7"/>
        <v>16.45</v>
      </c>
      <c r="AM17" s="20">
        <f t="shared" si="8"/>
        <v>22.8</v>
      </c>
      <c r="AN17" s="20">
        <f t="shared" si="9"/>
        <v>27.650000000000002</v>
      </c>
      <c r="AO17" s="20">
        <f t="shared" si="10"/>
        <v>14.6</v>
      </c>
      <c r="AP17" s="20">
        <f t="shared" si="11"/>
        <v>19</v>
      </c>
      <c r="AQ17" s="20">
        <f t="shared" si="12"/>
        <v>35.700000000000003</v>
      </c>
      <c r="AR17" s="20">
        <f t="shared" si="13"/>
        <v>76.400000000000006</v>
      </c>
      <c r="AS17" s="35">
        <f t="shared" si="29"/>
        <v>331.6</v>
      </c>
      <c r="AU17" s="47">
        <v>734210</v>
      </c>
      <c r="AV17" s="37">
        <f t="shared" si="31"/>
        <v>1450</v>
      </c>
      <c r="AW17" s="35">
        <f t="shared" si="30"/>
        <v>2.9</v>
      </c>
    </row>
    <row r="18" spans="1:49" x14ac:dyDescent="0.25">
      <c r="A18" s="23">
        <v>43842</v>
      </c>
      <c r="B18" s="40">
        <v>161</v>
      </c>
      <c r="C18" s="24">
        <v>5928950</v>
      </c>
      <c r="D18" s="24">
        <v>12528470</v>
      </c>
      <c r="E18" s="24">
        <v>1470310</v>
      </c>
      <c r="F18" s="24">
        <v>2662760</v>
      </c>
      <c r="G18" s="24">
        <v>8181450</v>
      </c>
      <c r="H18" s="24">
        <v>3940320</v>
      </c>
      <c r="I18" s="24">
        <v>3871820</v>
      </c>
      <c r="J18" s="24">
        <v>4413420</v>
      </c>
      <c r="K18" s="24">
        <v>7056820</v>
      </c>
      <c r="L18" s="24">
        <v>2553120</v>
      </c>
      <c r="M18" s="24">
        <v>6470060</v>
      </c>
      <c r="N18" s="24">
        <v>8939320</v>
      </c>
      <c r="O18" s="24">
        <v>11873010</v>
      </c>
      <c r="Q18" s="37">
        <f t="shared" si="16"/>
        <v>530</v>
      </c>
      <c r="R18" s="37">
        <f t="shared" si="17"/>
        <v>9450</v>
      </c>
      <c r="S18" s="37">
        <f t="shared" si="15"/>
        <v>0</v>
      </c>
      <c r="T18" s="37">
        <f t="shared" si="18"/>
        <v>1460</v>
      </c>
      <c r="U18" s="37">
        <f t="shared" si="19"/>
        <v>6870</v>
      </c>
      <c r="V18" s="37">
        <f t="shared" si="20"/>
        <v>4930</v>
      </c>
      <c r="W18" s="37">
        <f t="shared" si="21"/>
        <v>2940</v>
      </c>
      <c r="X18" s="37">
        <f t="shared" si="22"/>
        <v>4550</v>
      </c>
      <c r="Y18" s="37">
        <f t="shared" si="23"/>
        <v>5240</v>
      </c>
      <c r="Z18" s="37">
        <f t="shared" si="24"/>
        <v>2900</v>
      </c>
      <c r="AA18" s="37">
        <f t="shared" si="25"/>
        <v>3650</v>
      </c>
      <c r="AB18" s="37">
        <f t="shared" si="26"/>
        <v>6960</v>
      </c>
      <c r="AC18" s="37">
        <f t="shared" si="27"/>
        <v>15160</v>
      </c>
      <c r="AD18" s="35">
        <f t="shared" si="28"/>
        <v>64640</v>
      </c>
      <c r="AF18" s="20">
        <f t="shared" si="1"/>
        <v>2.65</v>
      </c>
      <c r="AG18" s="20">
        <f t="shared" si="2"/>
        <v>47.25</v>
      </c>
      <c r="AH18" s="20">
        <f t="shared" si="3"/>
        <v>0</v>
      </c>
      <c r="AI18" s="20">
        <f t="shared" si="4"/>
        <v>7.3</v>
      </c>
      <c r="AJ18" s="20">
        <f t="shared" si="5"/>
        <v>34.35</v>
      </c>
      <c r="AK18" s="20">
        <f t="shared" si="6"/>
        <v>24.650000000000002</v>
      </c>
      <c r="AL18" s="20">
        <f t="shared" si="7"/>
        <v>14.700000000000001</v>
      </c>
      <c r="AM18" s="20">
        <f t="shared" si="8"/>
        <v>22.75</v>
      </c>
      <c r="AN18" s="20">
        <f t="shared" si="9"/>
        <v>26.2</v>
      </c>
      <c r="AO18" s="20">
        <f t="shared" si="10"/>
        <v>14.5</v>
      </c>
      <c r="AP18" s="20">
        <f t="shared" si="11"/>
        <v>18.25</v>
      </c>
      <c r="AQ18" s="20">
        <f t="shared" si="12"/>
        <v>34.800000000000004</v>
      </c>
      <c r="AR18" s="20">
        <f t="shared" si="13"/>
        <v>75.8</v>
      </c>
      <c r="AS18" s="35">
        <f t="shared" si="29"/>
        <v>323.2</v>
      </c>
      <c r="AU18" s="47">
        <v>736074</v>
      </c>
      <c r="AV18" s="37">
        <f t="shared" si="31"/>
        <v>1864</v>
      </c>
      <c r="AW18" s="35">
        <f t="shared" si="30"/>
        <v>3.7280000000000002</v>
      </c>
    </row>
    <row r="19" spans="1:49" x14ac:dyDescent="0.25">
      <c r="A19" s="23">
        <v>43843</v>
      </c>
      <c r="B19" s="40">
        <v>178</v>
      </c>
      <c r="C19" s="24">
        <v>5929470</v>
      </c>
      <c r="D19" s="24">
        <v>12538330</v>
      </c>
      <c r="E19" s="24">
        <v>1470310</v>
      </c>
      <c r="F19" s="24">
        <v>2664260</v>
      </c>
      <c r="G19" s="24">
        <v>8188190</v>
      </c>
      <c r="H19" s="24">
        <v>3945120</v>
      </c>
      <c r="I19" s="24">
        <v>3875000</v>
      </c>
      <c r="J19" s="24">
        <v>4417910</v>
      </c>
      <c r="K19" s="24">
        <v>7061860</v>
      </c>
      <c r="L19" s="24">
        <v>2556040</v>
      </c>
      <c r="M19" s="24">
        <v>6473600</v>
      </c>
      <c r="N19" s="24">
        <v>8946490</v>
      </c>
      <c r="O19" s="24">
        <v>11889190</v>
      </c>
      <c r="Q19" s="37">
        <f t="shared" si="16"/>
        <v>520</v>
      </c>
      <c r="R19" s="37">
        <f t="shared" si="17"/>
        <v>9860</v>
      </c>
      <c r="S19" s="37">
        <f t="shared" si="15"/>
        <v>0</v>
      </c>
      <c r="T19" s="37">
        <f t="shared" si="18"/>
        <v>1500</v>
      </c>
      <c r="U19" s="37">
        <f t="shared" si="19"/>
        <v>6740</v>
      </c>
      <c r="V19" s="37">
        <f t="shared" si="20"/>
        <v>4800</v>
      </c>
      <c r="W19" s="37">
        <f t="shared" si="21"/>
        <v>3180</v>
      </c>
      <c r="X19" s="37">
        <f t="shared" si="22"/>
        <v>4490</v>
      </c>
      <c r="Y19" s="37">
        <f t="shared" si="23"/>
        <v>5040</v>
      </c>
      <c r="Z19" s="37">
        <f t="shared" si="24"/>
        <v>2920</v>
      </c>
      <c r="AA19" s="37">
        <f t="shared" si="25"/>
        <v>3540</v>
      </c>
      <c r="AB19" s="37">
        <f t="shared" si="26"/>
        <v>7170</v>
      </c>
      <c r="AC19" s="37">
        <f t="shared" si="27"/>
        <v>16180</v>
      </c>
      <c r="AD19" s="35">
        <f t="shared" si="28"/>
        <v>65940</v>
      </c>
      <c r="AF19" s="20">
        <f t="shared" si="1"/>
        <v>2.6</v>
      </c>
      <c r="AG19" s="20">
        <f t="shared" si="2"/>
        <v>49.300000000000004</v>
      </c>
      <c r="AH19" s="20">
        <f t="shared" si="3"/>
        <v>0</v>
      </c>
      <c r="AI19" s="20">
        <f t="shared" si="4"/>
        <v>7.5</v>
      </c>
      <c r="AJ19" s="20">
        <f t="shared" si="5"/>
        <v>33.700000000000003</v>
      </c>
      <c r="AK19" s="20">
        <f t="shared" si="6"/>
        <v>24</v>
      </c>
      <c r="AL19" s="20">
        <f t="shared" si="7"/>
        <v>15.9</v>
      </c>
      <c r="AM19" s="20">
        <f t="shared" si="8"/>
        <v>22.45</v>
      </c>
      <c r="AN19" s="20">
        <f t="shared" si="9"/>
        <v>25.2</v>
      </c>
      <c r="AO19" s="20">
        <f t="shared" si="10"/>
        <v>14.6</v>
      </c>
      <c r="AP19" s="20">
        <f t="shared" si="11"/>
        <v>17.7</v>
      </c>
      <c r="AQ19" s="20">
        <f t="shared" si="12"/>
        <v>35.85</v>
      </c>
      <c r="AR19" s="20">
        <f t="shared" si="13"/>
        <v>80.900000000000006</v>
      </c>
      <c r="AS19" s="35">
        <f t="shared" si="29"/>
        <v>329.69999999999993</v>
      </c>
      <c r="AU19" s="47">
        <v>737715</v>
      </c>
      <c r="AV19" s="37">
        <f t="shared" si="31"/>
        <v>1641</v>
      </c>
      <c r="AW19" s="35">
        <f t="shared" si="30"/>
        <v>3.282</v>
      </c>
    </row>
    <row r="20" spans="1:49" x14ac:dyDescent="0.25">
      <c r="A20" s="23">
        <v>43844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 t="str">
        <f t="shared" si="16"/>
        <v>0</v>
      </c>
      <c r="R20" s="37" t="str">
        <f t="shared" si="17"/>
        <v>0</v>
      </c>
      <c r="S20" s="37" t="str">
        <f t="shared" si="15"/>
        <v>0</v>
      </c>
      <c r="T20" s="37" t="str">
        <f t="shared" si="18"/>
        <v>0</v>
      </c>
      <c r="U20" s="37" t="str">
        <f t="shared" si="19"/>
        <v>0</v>
      </c>
      <c r="V20" s="37" t="str">
        <f t="shared" si="20"/>
        <v>0</v>
      </c>
      <c r="W20" s="37" t="str">
        <f t="shared" si="21"/>
        <v>0</v>
      </c>
      <c r="X20" s="37" t="str">
        <f t="shared" si="22"/>
        <v>0</v>
      </c>
      <c r="Y20" s="37" t="str">
        <f t="shared" si="23"/>
        <v>0</v>
      </c>
      <c r="Z20" s="37" t="str">
        <f t="shared" si="24"/>
        <v>0</v>
      </c>
      <c r="AA20" s="37" t="str">
        <f t="shared" si="25"/>
        <v>0</v>
      </c>
      <c r="AB20" s="37" t="str">
        <f t="shared" si="26"/>
        <v>0</v>
      </c>
      <c r="AC20" s="37" t="str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 t="str">
        <f t="shared" si="31"/>
        <v>0</v>
      </c>
      <c r="AW20" s="35">
        <f t="shared" si="30"/>
        <v>0</v>
      </c>
    </row>
    <row r="21" spans="1:49" x14ac:dyDescent="0.25">
      <c r="A21" s="23">
        <v>43845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43846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43847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43848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43849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43850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43851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43852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43853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43854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43855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43856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43857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43858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43859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43860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35"/>
        <v>0</v>
      </c>
      <c r="AC36" s="37">
        <f t="shared" si="35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43861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ref="AB37" si="49">IF((N37-N36&lt;0), "0",N37-N36)</f>
        <v>0</v>
      </c>
      <c r="AC37" s="37">
        <f t="shared" ref="AC37" si="50">IF((O37-O36&lt;0), "0",O37-O36)</f>
        <v>0</v>
      </c>
      <c r="AD37" s="35">
        <f>SUM(Q37:AC37)</f>
        <v>0</v>
      </c>
      <c r="AF37" s="20">
        <f t="shared" ref="AF37" si="51">Q37*$D$39</f>
        <v>0</v>
      </c>
      <c r="AG37" s="20">
        <f t="shared" ref="AG37" si="52">R37*$D$39</f>
        <v>0</v>
      </c>
      <c r="AH37" s="20">
        <f t="shared" ref="AH37" si="53">S37*$D$39</f>
        <v>0</v>
      </c>
      <c r="AI37" s="20">
        <f t="shared" ref="AI37" si="54">T37*$D$39</f>
        <v>0</v>
      </c>
      <c r="AJ37" s="20">
        <f t="shared" ref="AJ37" si="55">U37*$D$39</f>
        <v>0</v>
      </c>
      <c r="AK37" s="20">
        <f t="shared" ref="AK37" si="56">V37*$D$39</f>
        <v>0</v>
      </c>
      <c r="AL37" s="20">
        <f t="shared" ref="AL37" si="57">W37*$D$39</f>
        <v>0</v>
      </c>
      <c r="AM37" s="20">
        <f t="shared" ref="AM37" si="58">X37*$D$39</f>
        <v>0</v>
      </c>
      <c r="AN37" s="20">
        <f t="shared" ref="AN37" si="59">Y37*$D$39</f>
        <v>0</v>
      </c>
      <c r="AO37" s="20">
        <f t="shared" ref="AO37" si="60">Z37*$D$39</f>
        <v>0</v>
      </c>
      <c r="AP37" s="20">
        <f t="shared" ref="AP37" si="61">AA37*$D$39</f>
        <v>0</v>
      </c>
      <c r="AQ37" s="20">
        <f t="shared" ref="AQ37" si="62">AB37*$D$39</f>
        <v>0</v>
      </c>
      <c r="AR37" s="20">
        <f t="shared" ref="AR37" si="63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4">SUM(Q7:Q34)</f>
        <v>6820</v>
      </c>
      <c r="R38" s="30">
        <f t="shared" si="64"/>
        <v>137650</v>
      </c>
      <c r="S38" s="30">
        <f t="shared" si="64"/>
        <v>10</v>
      </c>
      <c r="T38" s="30">
        <f t="shared" si="64"/>
        <v>19080</v>
      </c>
      <c r="U38" s="30">
        <f t="shared" si="64"/>
        <v>92940</v>
      </c>
      <c r="V38" s="30">
        <f t="shared" si="64"/>
        <v>61680</v>
      </c>
      <c r="W38" s="30">
        <f t="shared" si="64"/>
        <v>39240</v>
      </c>
      <c r="X38" s="30">
        <f t="shared" si="64"/>
        <v>58820</v>
      </c>
      <c r="Y38" s="30">
        <f t="shared" si="64"/>
        <v>69720</v>
      </c>
      <c r="Z38" s="30">
        <f t="shared" si="64"/>
        <v>38290</v>
      </c>
      <c r="AA38" s="30">
        <f t="shared" si="64"/>
        <v>48700</v>
      </c>
      <c r="AB38" s="30">
        <f t="shared" si="64"/>
        <v>94080</v>
      </c>
      <c r="AC38" s="30">
        <f t="shared" si="64"/>
        <v>199230</v>
      </c>
      <c r="AD38" s="35">
        <f t="shared" si="64"/>
        <v>866260</v>
      </c>
      <c r="AF38" s="35">
        <f t="shared" ref="AF38:AS38" si="65">SUM(AF7:AF34)</f>
        <v>34.1</v>
      </c>
      <c r="AG38" s="35">
        <f t="shared" si="65"/>
        <v>688.24999999999989</v>
      </c>
      <c r="AH38" s="35">
        <f t="shared" si="65"/>
        <v>0.05</v>
      </c>
      <c r="AI38" s="35">
        <f t="shared" si="65"/>
        <v>95.4</v>
      </c>
      <c r="AJ38" s="35">
        <f t="shared" si="65"/>
        <v>464.69999999999993</v>
      </c>
      <c r="AK38" s="35">
        <f t="shared" si="65"/>
        <v>308.39999999999998</v>
      </c>
      <c r="AL38" s="35">
        <f t="shared" si="65"/>
        <v>196.20000000000002</v>
      </c>
      <c r="AM38" s="35">
        <f t="shared" si="65"/>
        <v>294.10000000000002</v>
      </c>
      <c r="AN38" s="35">
        <f t="shared" si="65"/>
        <v>348.59999999999997</v>
      </c>
      <c r="AO38" s="35">
        <f t="shared" si="65"/>
        <v>191.45</v>
      </c>
      <c r="AP38" s="35">
        <f t="shared" si="65"/>
        <v>243.5</v>
      </c>
      <c r="AQ38" s="35">
        <f t="shared" si="65"/>
        <v>470.40000000000003</v>
      </c>
      <c r="AR38" s="35">
        <f t="shared" si="65"/>
        <v>996.14999999999986</v>
      </c>
      <c r="AS38" s="35">
        <f t="shared" si="65"/>
        <v>4331.3</v>
      </c>
      <c r="AU38" s="48"/>
      <c r="AV38" s="35">
        <f>SUM(AV7:AV34)</f>
        <v>20907</v>
      </c>
      <c r="AW38" s="35">
        <f>SUM(AW7:AW34)</f>
        <v>34.978000000000002</v>
      </c>
    </row>
    <row r="39" spans="1:49" x14ac:dyDescent="0.25">
      <c r="D39">
        <v>5.0000000000000001E-3</v>
      </c>
      <c r="AV39" s="36">
        <f>AV38*0.00378541*1000</f>
        <v>79141.566869999995</v>
      </c>
    </row>
    <row r="40" spans="1:49" x14ac:dyDescent="0.25">
      <c r="D40">
        <v>2E-3</v>
      </c>
      <c r="AV40">
        <f>AV39/31</f>
        <v>2552.9537699999996</v>
      </c>
    </row>
    <row r="41" spans="1:49" x14ac:dyDescent="0.25">
      <c r="AV41">
        <f>AV38*0.00378541</f>
        <v>79.141566869999991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2020-01-14T06:58:08Z</dcterms:modified>
</cp:coreProperties>
</file>