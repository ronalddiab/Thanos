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filterPrivacy="1"/>
  <xr:revisionPtr revIDLastSave="0" documentId="13_ncr:1_{6B68A617-499B-4B8E-B4B6-8D343B0D7D29}" xr6:coauthVersionLast="46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OTAL" sheetId="4" r:id="rId1"/>
    <sheet name="Electricity" sheetId="1" r:id="rId2"/>
    <sheet name="Water" sheetId="3" r:id="rId3"/>
  </sheets>
  <calcPr calcId="19102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W40" i="3" l="1"/>
  <c r="AV40" i="3"/>
  <c r="AT40" i="3"/>
  <c r="AR40" i="3"/>
  <c r="AP40" i="3"/>
  <c r="AJ40" i="3"/>
  <c r="AL40" i="3"/>
  <c r="AN40" i="3"/>
  <c r="AH40" i="3"/>
  <c r="AD40" i="3"/>
  <c r="AB40" i="3"/>
  <c r="Y40" i="3"/>
  <c r="W40" i="3"/>
  <c r="C40" i="3"/>
  <c r="E40" i="3"/>
  <c r="G40" i="3"/>
  <c r="I40" i="3"/>
  <c r="K40" i="3"/>
  <c r="M40" i="3"/>
  <c r="O40" i="3"/>
  <c r="Q40" i="3"/>
  <c r="S40" i="3"/>
  <c r="U40" i="3"/>
  <c r="I43" i="1" l="1"/>
  <c r="I40" i="1"/>
  <c r="J39" i="1"/>
  <c r="I39" i="1"/>
  <c r="I42" i="1" s="1"/>
  <c r="I44" i="1" s="1"/>
  <c r="H39" i="1"/>
  <c r="G39" i="1"/>
  <c r="F39" i="1"/>
  <c r="E39" i="1"/>
  <c r="D39" i="1"/>
  <c r="C39" i="1"/>
  <c r="B39" i="1"/>
  <c r="I45" i="1" l="1"/>
  <c r="I46" i="1" s="1"/>
  <c r="K32" i="4" l="1"/>
  <c r="J32" i="4"/>
  <c r="I32" i="4"/>
  <c r="G32" i="4"/>
  <c r="F32" i="4"/>
  <c r="E32" i="4"/>
  <c r="B32" i="4"/>
  <c r="G2" i="4" l="1"/>
  <c r="G3" i="4"/>
  <c r="I15" i="4" l="1"/>
  <c r="I16" i="4"/>
  <c r="I17" i="4"/>
  <c r="J15" i="4"/>
  <c r="J16" i="4"/>
  <c r="I3" i="4" l="1"/>
  <c r="J3" i="4"/>
  <c r="K3" i="4"/>
  <c r="I4" i="4"/>
  <c r="J4" i="4"/>
  <c r="K4" i="4"/>
  <c r="I5" i="4"/>
  <c r="J5" i="4"/>
  <c r="K5" i="4"/>
  <c r="I6" i="4"/>
  <c r="J6" i="4"/>
  <c r="K6" i="4"/>
  <c r="I7" i="4"/>
  <c r="J7" i="4"/>
  <c r="K7" i="4"/>
  <c r="I8" i="4"/>
  <c r="J8" i="4"/>
  <c r="K8" i="4"/>
  <c r="I9" i="4"/>
  <c r="J9" i="4"/>
  <c r="K9" i="4"/>
  <c r="I10" i="4"/>
  <c r="J10" i="4"/>
  <c r="K10" i="4"/>
  <c r="I11" i="4"/>
  <c r="J11" i="4"/>
  <c r="K11" i="4"/>
  <c r="I12" i="4"/>
  <c r="J12" i="4"/>
  <c r="K12" i="4"/>
  <c r="I13" i="4"/>
  <c r="J13" i="4"/>
  <c r="K13" i="4"/>
  <c r="I14" i="4"/>
  <c r="J14" i="4"/>
  <c r="K14" i="4"/>
  <c r="K15" i="4"/>
  <c r="K16" i="4"/>
  <c r="J17" i="4"/>
  <c r="K17" i="4"/>
  <c r="I18" i="4"/>
  <c r="J18" i="4"/>
  <c r="K18" i="4"/>
  <c r="I19" i="4"/>
  <c r="J19" i="4"/>
  <c r="K19" i="4"/>
  <c r="I20" i="4"/>
  <c r="J20" i="4"/>
  <c r="K20" i="4"/>
  <c r="I21" i="4"/>
  <c r="J21" i="4"/>
  <c r="K21" i="4"/>
  <c r="I22" i="4"/>
  <c r="J22" i="4"/>
  <c r="K22" i="4"/>
  <c r="I23" i="4"/>
  <c r="J23" i="4"/>
  <c r="K23" i="4"/>
  <c r="I24" i="4"/>
  <c r="J24" i="4"/>
  <c r="K24" i="4"/>
  <c r="I25" i="4"/>
  <c r="J25" i="4"/>
  <c r="K25" i="4"/>
  <c r="I26" i="4"/>
  <c r="J26" i="4"/>
  <c r="K26" i="4"/>
  <c r="I27" i="4"/>
  <c r="J27" i="4"/>
  <c r="K27" i="4"/>
  <c r="I28" i="4"/>
  <c r="J28" i="4"/>
  <c r="K28" i="4"/>
  <c r="I29" i="4"/>
  <c r="J29" i="4"/>
  <c r="K29" i="4"/>
  <c r="I30" i="4"/>
  <c r="J30" i="4"/>
  <c r="K30" i="4"/>
  <c r="I31" i="4"/>
  <c r="J31" i="4"/>
  <c r="K31" i="4"/>
  <c r="K2" i="4"/>
  <c r="J2" i="4"/>
  <c r="I2" i="4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G31" i="4" l="1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E2" i="4" l="1"/>
  <c r="F10" i="4" l="1"/>
  <c r="F2" i="4"/>
  <c r="E3" i="4"/>
  <c r="F3" i="4"/>
  <c r="E4" i="4"/>
  <c r="F4" i="4"/>
  <c r="E5" i="4"/>
  <c r="E6" i="4"/>
  <c r="F6" i="4"/>
  <c r="E7" i="4"/>
  <c r="F7" i="4"/>
  <c r="E8" i="4"/>
  <c r="F8" i="4"/>
  <c r="E9" i="4"/>
  <c r="E10" i="4"/>
  <c r="E11" i="4"/>
  <c r="F11" i="4"/>
  <c r="E12" i="4"/>
  <c r="F12" i="4"/>
  <c r="E13" i="4"/>
  <c r="E14" i="4"/>
  <c r="F14" i="4"/>
  <c r="E15" i="4"/>
  <c r="F15" i="4"/>
  <c r="E16" i="4"/>
  <c r="F16" i="4"/>
  <c r="E17" i="4"/>
  <c r="E18" i="4"/>
  <c r="F18" i="4"/>
  <c r="E19" i="4"/>
  <c r="F19" i="4"/>
  <c r="E20" i="4"/>
  <c r="E21" i="4"/>
  <c r="E22" i="4"/>
  <c r="E23" i="4"/>
  <c r="E24" i="4"/>
  <c r="F24" i="4"/>
  <c r="E25" i="4"/>
  <c r="E26" i="4"/>
  <c r="E27" i="4"/>
  <c r="E28" i="4"/>
  <c r="F28" i="4"/>
  <c r="E29" i="4"/>
  <c r="E30" i="4"/>
  <c r="E31" i="4"/>
  <c r="F20" i="4"/>
  <c r="F21" i="4"/>
  <c r="F25" i="4"/>
  <c r="F29" i="4"/>
  <c r="F5" i="4"/>
  <c r="F9" i="4"/>
  <c r="F13" i="4"/>
  <c r="F17" i="4"/>
  <c r="F22" i="4"/>
  <c r="F26" i="4"/>
  <c r="F30" i="4"/>
  <c r="F23" i="4"/>
  <c r="F27" i="4"/>
  <c r="F3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M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 residence guest </t>
        </r>
      </text>
    </comment>
    <comment ref="N4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incude outsider</t>
        </r>
      </text>
    </comment>
    <comment ref="F6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rate update on nov-2018</t>
        </r>
      </text>
    </comment>
    <comment ref="G6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rate update on nov-2018</t>
        </r>
      </text>
    </comment>
    <comment ref="H6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rate update on nov-2018</t>
        </r>
      </text>
    </comment>
    <comment ref="J6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basim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C7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change meter 26/5/18
</t>
        </r>
      </text>
    </comment>
    <comment ref="AI7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นำจะส่งไปใช้ 2ที่คือ สปากับอรายเวอร์ศาลาตั้งแต่ปากทางออกไปถึงถนนใหญ่</t>
        </r>
      </text>
    </comment>
    <comment ref="S8" authorId="0" shapeId="0" xr:uid="{B7D12E13-3E25-48C1-97B5-8FA978568AD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HK left 703 bathtub tap open since 21 Jan</t>
        </r>
      </text>
    </comment>
    <comment ref="I16" authorId="0" shapeId="0" xr:uid="{E5C53072-0E65-4AFB-B413-F89B40440FFD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Fill Water Villa 205</t>
        </r>
      </text>
    </comment>
  </commentList>
</comments>
</file>

<file path=xl/sharedStrings.xml><?xml version="1.0" encoding="utf-8"?>
<sst xmlns="http://schemas.openxmlformats.org/spreadsheetml/2006/main" count="196" uniqueCount="77">
  <si>
    <t>Site Name</t>
  </si>
  <si>
    <t>Day</t>
  </si>
  <si>
    <t>Month</t>
  </si>
  <si>
    <t>Year</t>
  </si>
  <si>
    <t>Total Electricity Kwh</t>
  </si>
  <si>
    <t>Electricity Tariff ($/Kwh)</t>
  </si>
  <si>
    <r>
      <t xml:space="preserve">Water Utility </t>
    </r>
    <r>
      <rPr>
        <b/>
        <sz val="11"/>
        <color rgb="FFFF0000"/>
        <rFont val="Calibri"/>
        <family val="2"/>
        <scheme val="minor"/>
      </rPr>
      <t>Supply</t>
    </r>
    <r>
      <rPr>
        <b/>
        <sz val="11"/>
        <color theme="1"/>
        <rFont val="Calibri"/>
        <family val="2"/>
        <scheme val="minor"/>
      </rPr>
      <t xml:space="preserve"> (m3) m3</t>
    </r>
  </si>
  <si>
    <t>Water Utility Supply (m3) $/m3</t>
  </si>
  <si>
    <t xml:space="preserve">Room Nights </t>
  </si>
  <si>
    <t>Total Guests</t>
  </si>
  <si>
    <t>Food Covers</t>
  </si>
  <si>
    <t>Koh Samui</t>
  </si>
  <si>
    <t>Power Distribution log Sheet</t>
  </si>
  <si>
    <t>Villa</t>
  </si>
  <si>
    <t xml:space="preserve">Date </t>
  </si>
  <si>
    <t>Kwh A</t>
  </si>
  <si>
    <t>Kwh B</t>
  </si>
  <si>
    <t>Kwh C</t>
  </si>
  <si>
    <t>Total</t>
  </si>
  <si>
    <t>Cost A</t>
  </si>
  <si>
    <t>Cost B</t>
  </si>
  <si>
    <t>Cost C</t>
  </si>
  <si>
    <t>Cost/Day</t>
  </si>
  <si>
    <t>FT.Cost</t>
  </si>
  <si>
    <t>Room Nights</t>
  </si>
  <si>
    <t>On Peak</t>
  </si>
  <si>
    <t>Off  Peak</t>
  </si>
  <si>
    <t>Holiday</t>
  </si>
  <si>
    <t>Kwh</t>
  </si>
  <si>
    <t xml:space="preserve"> </t>
  </si>
  <si>
    <t>Date</t>
  </si>
  <si>
    <t>***</t>
  </si>
  <si>
    <t>ค่า FT ที่ติดลบจะนำมาเป็นส่วนลดในการจ่ายค่าไฟ แต่ละเดือน ข้อมูลนี้ได้มาจากการไฟฟ้า สมุยแจ้งมา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</si>
  <si>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</si>
  <si>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Engineering Department</t>
  </si>
  <si>
    <t>Water Meter  Log Sheet Villas Zone</t>
  </si>
  <si>
    <t xml:space="preserve">Every Sunday HK Drain all Villas &amp; PA </t>
  </si>
  <si>
    <t>**new**</t>
  </si>
  <si>
    <t>old name coco rum</t>
  </si>
  <si>
    <t>Main Kit</t>
  </si>
  <si>
    <t>Unit</t>
  </si>
  <si>
    <t>Arrival sala</t>
  </si>
  <si>
    <t>Soi   100</t>
  </si>
  <si>
    <t>Soi 200</t>
  </si>
  <si>
    <t>Soi 300</t>
  </si>
  <si>
    <t>Soi 400</t>
  </si>
  <si>
    <t>Soi 500</t>
  </si>
  <si>
    <t>Soi 600</t>
  </si>
  <si>
    <t>Soi 700</t>
  </si>
  <si>
    <t xml:space="preserve">      Soi 800     3 room</t>
  </si>
  <si>
    <t>soi 900-901</t>
  </si>
  <si>
    <t>soi 902-907</t>
  </si>
  <si>
    <t xml:space="preserve">soi 908-910 Water supply from Soi 500 </t>
  </si>
  <si>
    <r>
      <t>All Soi Consumption M</t>
    </r>
    <r>
      <rPr>
        <b/>
        <vertAlign val="superscript"/>
        <sz val="10"/>
        <rFont val="Calibri"/>
        <family val="2"/>
        <scheme val="minor"/>
      </rPr>
      <t>3</t>
    </r>
  </si>
  <si>
    <t>Pla Pla</t>
  </si>
  <si>
    <t>Pla Pla2</t>
  </si>
  <si>
    <t xml:space="preserve">(Meter Tag Coco rum ) under CoCoRum for the Bar &amp; MP </t>
  </si>
  <si>
    <t>Spa</t>
  </si>
  <si>
    <t>Beach House &amp; kid club</t>
  </si>
  <si>
    <t xml:space="preserve"> GM Executive  Office </t>
  </si>
  <si>
    <t xml:space="preserve">Library Toilets </t>
  </si>
  <si>
    <t>Fitness</t>
  </si>
  <si>
    <t xml:space="preserve">Retail Shop Toielts </t>
  </si>
  <si>
    <t>Main Pool</t>
  </si>
  <si>
    <t xml:space="preserve">Total Villa Consumption </t>
  </si>
  <si>
    <t>Occ%</t>
  </si>
  <si>
    <t>Zero</t>
  </si>
  <si>
    <t>IXORA</t>
  </si>
  <si>
    <t>Remark</t>
  </si>
  <si>
    <t>Peak Demand</t>
  </si>
  <si>
    <t xml:space="preserve">             Peak Demand</t>
  </si>
  <si>
    <t>Time</t>
  </si>
  <si>
    <t xml:space="preserve">Service  </t>
  </si>
  <si>
    <t xml:space="preserve">Electric Cost </t>
  </si>
  <si>
    <t>FT cost</t>
  </si>
  <si>
    <t>Baht</t>
  </si>
  <si>
    <t>Vat  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</si>
</sst>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B1mmm\-yy"/>
    <numFmt numFmtId="165" formatCode="_-* #,##0.00_-;\-* #,##0.00_-;_-* &quot;-&quot;??_-;_-@_-"/>
    <numFmt numFmtId="166" formatCode="_-* #,##0.0000_-;\-* #,##0.0000_-;_-* &quot;-&quot;??_-;_-@_-"/>
    <numFmt numFmtId="167" formatCode="[$-1010409]d\ mmmm\ yyyy;@"/>
    <numFmt numFmtId="168" formatCode="_(* #,##0_);_(* \(#,##0\);_(* &quot;-&quot;??_);_(@_)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4"/>
      <color indexed="8"/>
      <name val="Arial"/>
      <family val="2"/>
    </font>
    <font>
      <b/>
      <u/>
      <sz val="10"/>
      <color indexed="8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sz val="10"/>
      <color indexed="8"/>
      <name val="Arial"/>
      <family val="2"/>
    </font>
    <font>
      <b/>
      <sz val="10"/>
      <color indexed="10"/>
      <name val="Arial"/>
      <family val="2"/>
    </font>
    <font>
      <b/>
      <sz val="10"/>
      <name val="Arial"/>
      <family val="2"/>
    </font>
    <font>
      <sz val="10"/>
      <color theme="1"/>
      <name val="Verdana"/>
      <family val="2"/>
    </font>
    <font>
      <b/>
      <sz val="10"/>
      <color rgb="FF0000FF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8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0000FF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FF"/>
      <name val="Calibri"/>
      <family val="2"/>
      <scheme val="minor"/>
    </font>
    <font>
      <sz val="11"/>
      <color indexed="8"/>
      <name val="Calibri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b/>
      <sz val="9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75BA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B8CCE4"/>
        <bgColor rgb="FF000000"/>
      </patternFill>
    </fill>
    <fill>
      <patternFill patternType="solid">
        <fgColor rgb="FFE6B8B7"/>
        <bgColor rgb="FF000000"/>
      </patternFill>
    </fill>
    <fill>
      <patternFill patternType="solid">
        <fgColor rgb="FFCCC0DA"/>
        <bgColor rgb="FF000000"/>
      </patternFill>
    </fill>
    <fill>
      <patternFill patternType="solid">
        <fgColor rgb="FFEBF1DE"/>
        <bgColor rgb="FF000000"/>
      </patternFill>
    </fill>
    <fill>
      <patternFill patternType="solid">
        <fgColor rgb="FFFDE9D9"/>
        <bgColor rgb="FF000000"/>
      </patternFill>
    </fill>
  </fills>
  <borders count="3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</cellStyleXfs>
  <cellXfs count="168">
    <xf numFmtId="0" fontId="0" fillId="0" borderId="0" xfId="0"/>
    <xf numFmtId="0" fontId="3" fillId="0" borderId="0" xfId="2" applyFont="1"/>
    <xf numFmtId="0" fontId="5" fillId="0" borderId="0" xfId="2" applyFont="1" applyAlignment="1">
      <alignment horizontal="center"/>
    </xf>
    <xf numFmtId="0" fontId="3" fillId="5" borderId="2" xfId="2" applyFont="1" applyFill="1" applyBorder="1" applyAlignment="1">
      <alignment horizontal="center" vertical="center"/>
    </xf>
    <xf numFmtId="0" fontId="3" fillId="5" borderId="6" xfId="2" applyFont="1" applyFill="1" applyBorder="1" applyAlignment="1">
      <alignment horizontal="center" vertical="center"/>
    </xf>
    <xf numFmtId="0" fontId="3" fillId="4" borderId="10" xfId="2" applyFont="1" applyFill="1" applyBorder="1" applyAlignment="1">
      <alignment horizontal="center" vertical="center"/>
    </xf>
    <xf numFmtId="0" fontId="3" fillId="5" borderId="10" xfId="2" applyFont="1" applyFill="1" applyBorder="1" applyAlignment="1">
      <alignment horizontal="center" vertical="center"/>
    </xf>
    <xf numFmtId="166" fontId="3" fillId="7" borderId="12" xfId="1" applyNumberFormat="1" applyFont="1" applyFill="1" applyBorder="1" applyAlignment="1">
      <alignment horizontal="center" vertical="center"/>
    </xf>
    <xf numFmtId="0" fontId="3" fillId="8" borderId="13" xfId="2" applyFont="1" applyFill="1" applyBorder="1" applyAlignment="1">
      <alignment horizontal="center" vertical="center"/>
    </xf>
    <xf numFmtId="0" fontId="9" fillId="0" borderId="0" xfId="2" applyFont="1"/>
    <xf numFmtId="0" fontId="8" fillId="0" borderId="0" xfId="2" applyFont="1"/>
    <xf numFmtId="165" fontId="8" fillId="0" borderId="0" xfId="1" applyNumberFormat="1" applyFont="1"/>
    <xf numFmtId="0" fontId="3" fillId="0" borderId="0" xfId="2" applyFont="1" applyAlignment="1">
      <alignment horizontal="center"/>
    </xf>
    <xf numFmtId="165" fontId="8" fillId="0" borderId="0" xfId="2" applyNumberFormat="1" applyFont="1"/>
    <xf numFmtId="0" fontId="3" fillId="0" borderId="6" xfId="2" applyFont="1" applyBorder="1" applyAlignment="1">
      <alignment horizontal="center"/>
    </xf>
    <xf numFmtId="165" fontId="3" fillId="0" borderId="6" xfId="1" applyNumberFormat="1" applyFont="1" applyBorder="1" applyAlignment="1">
      <alignment horizontal="center"/>
    </xf>
    <xf numFmtId="165" fontId="3" fillId="0" borderId="6" xfId="1" quotePrefix="1" applyNumberFormat="1" applyFont="1" applyBorder="1" applyAlignment="1"/>
    <xf numFmtId="0" fontId="8" fillId="0" borderId="0" xfId="2" quotePrefix="1" applyFont="1"/>
    <xf numFmtId="165" fontId="3" fillId="0" borderId="0" xfId="1" applyNumberFormat="1" applyFont="1" applyAlignment="1"/>
    <xf numFmtId="9" fontId="3" fillId="0" borderId="0" xfId="2" applyNumberFormat="1" applyFont="1" applyAlignment="1">
      <alignment horizontal="center"/>
    </xf>
    <xf numFmtId="165" fontId="3" fillId="13" borderId="0" xfId="2" applyNumberFormat="1" applyFont="1" applyFill="1"/>
    <xf numFmtId="0" fontId="12" fillId="0" borderId="0" xfId="2" applyFont="1" applyAlignment="1">
      <alignment horizontal="right"/>
    </xf>
    <xf numFmtId="0" fontId="12" fillId="0" borderId="0" xfId="2" applyFont="1"/>
    <xf numFmtId="0" fontId="18" fillId="0" borderId="0" xfId="0" applyFont="1" applyAlignment="1">
      <alignment horizontal="center"/>
    </xf>
    <xf numFmtId="0" fontId="18" fillId="0" borderId="0" xfId="0" applyFont="1"/>
    <xf numFmtId="0" fontId="19" fillId="0" borderId="0" xfId="0" applyFont="1" applyAlignment="1">
      <alignment horizontal="left"/>
    </xf>
    <xf numFmtId="0" fontId="18" fillId="0" borderId="0" xfId="0" applyFont="1" applyAlignment="1">
      <alignment horizontal="left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center" vertical="center"/>
    </xf>
    <xf numFmtId="0" fontId="22" fillId="14" borderId="0" xfId="0" applyFont="1" applyFill="1" applyAlignment="1">
      <alignment horizontal="center"/>
    </xf>
    <xf numFmtId="0" fontId="23" fillId="0" borderId="0" xfId="0" applyFont="1" applyAlignment="1">
      <alignment horizontal="center"/>
    </xf>
    <xf numFmtId="0" fontId="24" fillId="0" borderId="0" xfId="0" applyFont="1" applyAlignment="1">
      <alignment wrapText="1"/>
    </xf>
    <xf numFmtId="0" fontId="22" fillId="13" borderId="0" xfId="0" applyFont="1" applyFill="1" applyAlignment="1">
      <alignment horizontal="center" wrapText="1"/>
    </xf>
    <xf numFmtId="0" fontId="25" fillId="2" borderId="16" xfId="0" applyFont="1" applyFill="1" applyBorder="1" applyAlignment="1">
      <alignment horizontal="center" vertical="center" wrapText="1"/>
    </xf>
    <xf numFmtId="0" fontId="25" fillId="15" borderId="16" xfId="0" applyFont="1" applyFill="1" applyBorder="1" applyAlignment="1">
      <alignment horizontal="center" vertical="center" wrapText="1"/>
    </xf>
    <xf numFmtId="0" fontId="25" fillId="13" borderId="16" xfId="0" applyFont="1" applyFill="1" applyBorder="1" applyAlignment="1">
      <alignment horizontal="center" vertical="center" wrapText="1"/>
    </xf>
    <xf numFmtId="0" fontId="25" fillId="8" borderId="16" xfId="0" applyFont="1" applyFill="1" applyBorder="1" applyAlignment="1">
      <alignment horizontal="center" vertical="center" wrapText="1"/>
    </xf>
    <xf numFmtId="0" fontId="25" fillId="10" borderId="16" xfId="0" applyFont="1" applyFill="1" applyBorder="1" applyAlignment="1">
      <alignment horizontal="center" vertical="center" wrapText="1"/>
    </xf>
    <xf numFmtId="0" fontId="25" fillId="11" borderId="16" xfId="0" applyFont="1" applyFill="1" applyBorder="1" applyAlignment="1">
      <alignment horizontal="center" vertical="center" wrapText="1"/>
    </xf>
    <xf numFmtId="0" fontId="25" fillId="12" borderId="16" xfId="0" applyFont="1" applyFill="1" applyBorder="1" applyAlignment="1">
      <alignment horizontal="center" vertical="center" wrapText="1"/>
    </xf>
    <xf numFmtId="0" fontId="25" fillId="9" borderId="16" xfId="0" applyFont="1" applyFill="1" applyBorder="1" applyAlignment="1">
      <alignment horizontal="center" vertical="center" wrapText="1"/>
    </xf>
    <xf numFmtId="0" fontId="25" fillId="16" borderId="16" xfId="0" applyFont="1" applyFill="1" applyBorder="1" applyAlignment="1">
      <alignment horizontal="center" vertical="center" wrapText="1"/>
    </xf>
    <xf numFmtId="0" fontId="25" fillId="17" borderId="16" xfId="0" applyFont="1" applyFill="1" applyBorder="1" applyAlignment="1">
      <alignment horizontal="center" vertical="center" wrapText="1"/>
    </xf>
    <xf numFmtId="0" fontId="25" fillId="18" borderId="16" xfId="0" applyFont="1" applyFill="1" applyBorder="1" applyAlignment="1">
      <alignment horizontal="center" vertical="center" wrapText="1"/>
    </xf>
    <xf numFmtId="0" fontId="25" fillId="19" borderId="16" xfId="0" applyFont="1" applyFill="1" applyBorder="1" applyAlignment="1">
      <alignment horizontal="center" vertical="center" wrapText="1"/>
    </xf>
    <xf numFmtId="0" fontId="25" fillId="20" borderId="16" xfId="0" applyFont="1" applyFill="1" applyBorder="1" applyAlignment="1">
      <alignment horizontal="center" vertical="center" wrapText="1"/>
    </xf>
    <xf numFmtId="0" fontId="25" fillId="20" borderId="17" xfId="0" applyFont="1" applyFill="1" applyBorder="1" applyAlignment="1">
      <alignment horizontal="center" vertical="center" wrapText="1"/>
    </xf>
    <xf numFmtId="0" fontId="25" fillId="21" borderId="16" xfId="0" applyFont="1" applyFill="1" applyBorder="1" applyAlignment="1">
      <alignment horizontal="center" vertical="center" wrapText="1"/>
    </xf>
    <xf numFmtId="0" fontId="26" fillId="22" borderId="16" xfId="0" applyFont="1" applyFill="1" applyBorder="1" applyAlignment="1">
      <alignment horizontal="left" vertical="center" wrapText="1" indent="1"/>
    </xf>
    <xf numFmtId="0" fontId="25" fillId="22" borderId="16" xfId="0" applyFont="1" applyFill="1" applyBorder="1" applyAlignment="1">
      <alignment horizontal="center" vertical="center" wrapText="1"/>
    </xf>
    <xf numFmtId="0" fontId="25" fillId="23" borderId="16" xfId="0" applyFont="1" applyFill="1" applyBorder="1" applyAlignment="1">
      <alignment horizontal="center" vertical="center" wrapText="1"/>
    </xf>
    <xf numFmtId="0" fontId="25" fillId="24" borderId="16" xfId="0" applyFont="1" applyFill="1" applyBorder="1" applyAlignment="1">
      <alignment horizontal="center" vertical="center" wrapText="1"/>
    </xf>
    <xf numFmtId="0" fontId="25" fillId="25" borderId="16" xfId="0" applyFont="1" applyFill="1" applyBorder="1" applyAlignment="1">
      <alignment horizontal="center" vertical="center" wrapText="1"/>
    </xf>
    <xf numFmtId="0" fontId="25" fillId="2" borderId="18" xfId="0" applyFont="1" applyFill="1" applyBorder="1" applyAlignment="1">
      <alignment horizontal="center" vertical="center" wrapText="1"/>
    </xf>
    <xf numFmtId="0" fontId="18" fillId="13" borderId="19" xfId="0" applyFont="1" applyFill="1" applyBorder="1" applyAlignment="1">
      <alignment horizontal="center" vertical="center" wrapText="1"/>
    </xf>
    <xf numFmtId="0" fontId="18" fillId="0" borderId="0" xfId="0" applyFont="1" applyAlignment="1">
      <alignment vertical="center" wrapText="1"/>
    </xf>
    <xf numFmtId="0" fontId="15" fillId="26" borderId="16" xfId="0" applyFont="1" applyFill="1" applyBorder="1" applyAlignment="1">
      <alignment horizontal="center"/>
    </xf>
    <xf numFmtId="0" fontId="15" fillId="26" borderId="20" xfId="0" applyFont="1" applyFill="1" applyBorder="1" applyAlignment="1">
      <alignment horizontal="center"/>
    </xf>
    <xf numFmtId="2" fontId="15" fillId="26" borderId="21" xfId="0" applyNumberFormat="1" applyFont="1" applyFill="1" applyBorder="1" applyAlignment="1">
      <alignment horizontal="center" vertical="center"/>
    </xf>
    <xf numFmtId="0" fontId="15" fillId="0" borderId="0" xfId="0" applyFont="1"/>
    <xf numFmtId="0" fontId="18" fillId="2" borderId="22" xfId="0" applyFont="1" applyFill="1" applyBorder="1" applyAlignment="1">
      <alignment horizontal="center"/>
    </xf>
    <xf numFmtId="2" fontId="18" fillId="0" borderId="23" xfId="0" applyNumberFormat="1" applyFont="1" applyBorder="1" applyAlignment="1">
      <alignment horizontal="center" vertical="center"/>
    </xf>
    <xf numFmtId="0" fontId="18" fillId="0" borderId="6" xfId="0" applyFont="1" applyBorder="1"/>
    <xf numFmtId="0" fontId="18" fillId="2" borderId="20" xfId="0" applyFont="1" applyFill="1" applyBorder="1" applyAlignment="1">
      <alignment horizontal="center"/>
    </xf>
    <xf numFmtId="0" fontId="30" fillId="0" borderId="0" xfId="0" applyFont="1" applyAlignment="1">
      <alignment horizontal="left"/>
    </xf>
    <xf numFmtId="0" fontId="31" fillId="0" borderId="0" xfId="0" applyFont="1" applyAlignment="1">
      <alignment horizontal="left"/>
    </xf>
    <xf numFmtId="0" fontId="32" fillId="0" borderId="0" xfId="0" applyFont="1" applyAlignment="1">
      <alignment horizontal="left"/>
    </xf>
    <xf numFmtId="0" fontId="33" fillId="0" borderId="0" xfId="0" applyFont="1" applyAlignment="1">
      <alignment horizontal="center"/>
    </xf>
    <xf numFmtId="0" fontId="33" fillId="0" borderId="0" xfId="0" applyFont="1" applyAlignment="1">
      <alignment horizontal="left"/>
    </xf>
    <xf numFmtId="0" fontId="34" fillId="0" borderId="0" xfId="0" applyFont="1" applyAlignment="1">
      <alignment horizontal="left"/>
    </xf>
    <xf numFmtId="0" fontId="28" fillId="0" borderId="0" xfId="0" applyFont="1" applyAlignment="1">
      <alignment horizontal="center"/>
    </xf>
    <xf numFmtId="0" fontId="35" fillId="0" borderId="0" xfId="0" applyFont="1" applyAlignment="1">
      <alignment horizontal="left"/>
    </xf>
    <xf numFmtId="0" fontId="36" fillId="0" borderId="0" xfId="0" applyFont="1" applyAlignment="1">
      <alignment horizontal="left"/>
    </xf>
    <xf numFmtId="0" fontId="35" fillId="0" borderId="0" xfId="0" applyFont="1" applyAlignment="1">
      <alignment horizontal="center"/>
    </xf>
    <xf numFmtId="0" fontId="17" fillId="0" borderId="6" xfId="3" applyFont="1" applyBorder="1" applyAlignment="1">
      <alignment horizontal="center" vertical="center"/>
    </xf>
    <xf numFmtId="0" fontId="20" fillId="0" borderId="6" xfId="3" applyFont="1" applyBorder="1" applyAlignment="1">
      <alignment horizontal="center" vertical="center"/>
    </xf>
    <xf numFmtId="0" fontId="17" fillId="0" borderId="6" xfId="3" applyFont="1" applyBorder="1" applyAlignment="1">
      <alignment horizontal="center" vertical="center" wrapText="1"/>
    </xf>
    <xf numFmtId="2" fontId="20" fillId="0" borderId="6" xfId="3" applyNumberFormat="1" applyFont="1" applyBorder="1" applyAlignment="1">
      <alignment horizontal="center" vertical="center" wrapText="1"/>
    </xf>
    <xf numFmtId="0" fontId="20" fillId="0" borderId="6" xfId="3" applyFont="1" applyBorder="1" applyAlignment="1">
      <alignment horizontal="center" vertical="center" wrapText="1"/>
    </xf>
    <xf numFmtId="0" fontId="2" fillId="0" borderId="0" xfId="3"/>
    <xf numFmtId="0" fontId="37" fillId="0" borderId="6" xfId="3" applyFont="1" applyBorder="1" applyAlignment="1">
      <alignment horizontal="center"/>
    </xf>
    <xf numFmtId="0" fontId="17" fillId="0" borderId="6" xfId="3" applyFont="1" applyBorder="1" applyAlignment="1">
      <alignment horizontal="center"/>
    </xf>
    <xf numFmtId="0" fontId="20" fillId="0" borderId="6" xfId="3" applyFont="1" applyBorder="1" applyAlignment="1">
      <alignment horizontal="center"/>
    </xf>
    <xf numFmtId="1" fontId="2" fillId="0" borderId="6" xfId="3" applyNumberFormat="1" applyBorder="1" applyAlignment="1">
      <alignment horizontal="center"/>
    </xf>
    <xf numFmtId="2" fontId="16" fillId="0" borderId="6" xfId="3" applyNumberFormat="1" applyFont="1" applyBorder="1" applyAlignment="1">
      <alignment horizontal="center"/>
    </xf>
    <xf numFmtId="1" fontId="16" fillId="0" borderId="6" xfId="3" applyNumberFormat="1" applyFont="1" applyBorder="1" applyAlignment="1">
      <alignment horizontal="center"/>
    </xf>
    <xf numFmtId="4" fontId="7" fillId="16" borderId="6" xfId="2" applyNumberFormat="1" applyFont="1" applyFill="1" applyBorder="1" applyAlignment="1">
      <alignment horizontal="center"/>
    </xf>
    <xf numFmtId="4" fontId="2" fillId="16" borderId="13" xfId="2" applyNumberFormat="1" applyFill="1" applyBorder="1" applyAlignment="1">
      <alignment horizontal="center" wrapText="1"/>
    </xf>
    <xf numFmtId="4" fontId="2" fillId="16" borderId="6" xfId="2" applyNumberFormat="1" applyFill="1" applyBorder="1" applyAlignment="1">
      <alignment horizontal="center" wrapText="1"/>
    </xf>
    <xf numFmtId="4" fontId="2" fillId="16" borderId="6" xfId="2" applyNumberFormat="1" applyFill="1" applyBorder="1" applyAlignment="1">
      <alignment horizontal="center" vertical="center" wrapText="1"/>
    </xf>
    <xf numFmtId="4" fontId="2" fillId="16" borderId="6" xfId="2" applyNumberFormat="1" applyFill="1" applyBorder="1" applyAlignment="1">
      <alignment horizontal="center"/>
    </xf>
    <xf numFmtId="4" fontId="11" fillId="14" borderId="0" xfId="2" applyNumberFormat="1" applyFont="1" applyFill="1" applyAlignment="1">
      <alignment horizontal="center"/>
    </xf>
    <xf numFmtId="4" fontId="2" fillId="14" borderId="0" xfId="2" applyNumberFormat="1" applyFill="1" applyAlignment="1">
      <alignment horizontal="center" wrapText="1"/>
    </xf>
    <xf numFmtId="4" fontId="2" fillId="14" borderId="0" xfId="2" applyNumberFormat="1" applyFill="1" applyAlignment="1">
      <alignment horizontal="center"/>
    </xf>
    <xf numFmtId="165" fontId="3" fillId="14" borderId="0" xfId="1" applyNumberFormat="1" applyFont="1" applyFill="1" applyBorder="1"/>
    <xf numFmtId="165" fontId="8" fillId="14" borderId="0" xfId="1" applyNumberFormat="1" applyFont="1" applyFill="1" applyBorder="1" applyAlignment="1">
      <alignment horizontal="center" vertical="center"/>
    </xf>
    <xf numFmtId="165" fontId="2" fillId="14" borderId="0" xfId="1" applyNumberFormat="1" applyFont="1" applyFill="1" applyBorder="1"/>
    <xf numFmtId="0" fontId="3" fillId="14" borderId="0" xfId="2" applyFont="1" applyFill="1"/>
    <xf numFmtId="4" fontId="3" fillId="14" borderId="7" xfId="2" applyNumberFormat="1" applyFont="1" applyFill="1" applyBorder="1"/>
    <xf numFmtId="0" fontId="28" fillId="0" borderId="25" xfId="0" applyFont="1" applyBorder="1" applyAlignment="1">
      <alignment horizontal="center"/>
    </xf>
    <xf numFmtId="4" fontId="3" fillId="0" borderId="0" xfId="2" applyNumberFormat="1" applyFont="1"/>
    <xf numFmtId="0" fontId="28" fillId="0" borderId="28" xfId="0" applyFont="1" applyBorder="1" applyAlignment="1">
      <alignment horizontal="center"/>
    </xf>
    <xf numFmtId="4" fontId="38" fillId="29" borderId="30" xfId="0" applyNumberFormat="1" applyFont="1" applyFill="1" applyBorder="1"/>
    <xf numFmtId="4" fontId="38" fillId="30" borderId="30" xfId="0" applyNumberFormat="1" applyFont="1" applyFill="1" applyBorder="1"/>
    <xf numFmtId="0" fontId="38" fillId="30" borderId="30" xfId="0" applyFont="1" applyFill="1" applyBorder="1"/>
    <xf numFmtId="4" fontId="7" fillId="31" borderId="30" xfId="0" applyNumberFormat="1" applyFont="1" applyFill="1" applyBorder="1" applyAlignment="1">
      <alignment horizontal="center" vertical="center"/>
    </xf>
    <xf numFmtId="0" fontId="2" fillId="32" borderId="30" xfId="0" applyFont="1" applyFill="1" applyBorder="1"/>
    <xf numFmtId="4" fontId="38" fillId="29" borderId="24" xfId="0" applyNumberFormat="1" applyFont="1" applyFill="1" applyBorder="1"/>
    <xf numFmtId="4" fontId="38" fillId="30" borderId="24" xfId="0" applyNumberFormat="1" applyFont="1" applyFill="1" applyBorder="1"/>
    <xf numFmtId="0" fontId="38" fillId="30" borderId="24" xfId="0" applyFont="1" applyFill="1" applyBorder="1"/>
    <xf numFmtId="4" fontId="7" fillId="31" borderId="24" xfId="0" applyNumberFormat="1" applyFont="1" applyFill="1" applyBorder="1" applyAlignment="1">
      <alignment horizontal="center" vertical="center"/>
    </xf>
    <xf numFmtId="0" fontId="2" fillId="32" borderId="24" xfId="0" applyFont="1" applyFill="1" applyBorder="1"/>
    <xf numFmtId="4" fontId="10" fillId="29" borderId="24" xfId="0" applyNumberFormat="1" applyFont="1" applyFill="1" applyBorder="1"/>
    <xf numFmtId="0" fontId="28" fillId="0" borderId="27" xfId="0" applyFont="1" applyBorder="1" applyAlignment="1">
      <alignment horizontal="center"/>
    </xf>
    <xf numFmtId="4" fontId="2" fillId="28" borderId="24" xfId="0" applyNumberFormat="1" applyFont="1" applyFill="1" applyBorder="1" applyAlignment="1">
      <alignment horizontal="right"/>
    </xf>
    <xf numFmtId="0" fontId="2" fillId="28" borderId="24" xfId="0" applyFont="1" applyFill="1" applyBorder="1" applyAlignment="1">
      <alignment horizontal="right" wrapText="1"/>
    </xf>
    <xf numFmtId="0" fontId="2" fillId="28" borderId="24" xfId="0" applyFont="1" applyFill="1" applyBorder="1" applyAlignment="1">
      <alignment horizontal="right"/>
    </xf>
    <xf numFmtId="4" fontId="2" fillId="28" borderId="24" xfId="0" applyNumberFormat="1" applyFont="1" applyFill="1" applyBorder="1" applyAlignment="1">
      <alignment horizontal="right" wrapText="1"/>
    </xf>
    <xf numFmtId="0" fontId="2" fillId="28" borderId="26" xfId="0" applyFont="1" applyFill="1" applyBorder="1" applyAlignment="1">
      <alignment horizontal="right"/>
    </xf>
    <xf numFmtId="0" fontId="2" fillId="28" borderId="30" xfId="0" applyFont="1" applyFill="1" applyBorder="1" applyAlignment="1">
      <alignment horizontal="right"/>
    </xf>
    <xf numFmtId="4" fontId="2" fillId="28" borderId="30" xfId="0" applyNumberFormat="1" applyFont="1" applyFill="1" applyBorder="1" applyAlignment="1">
      <alignment horizontal="right" wrapText="1"/>
    </xf>
    <xf numFmtId="0" fontId="2" fillId="28" borderId="24" xfId="0" applyFont="1" applyFill="1" applyBorder="1" applyAlignment="1">
      <alignment horizontal="right" vertical="center" wrapText="1"/>
    </xf>
    <xf numFmtId="168" fontId="2" fillId="27" borderId="25" xfId="1" applyNumberFormat="1" applyFont="1" applyFill="1" applyBorder="1" applyAlignment="1">
      <alignment horizontal="center"/>
    </xf>
    <xf numFmtId="168" fontId="2" fillId="27" borderId="27" xfId="1" applyNumberFormat="1" applyFont="1" applyFill="1" applyBorder="1" applyAlignment="1">
      <alignment horizontal="center"/>
    </xf>
    <xf numFmtId="168" fontId="2" fillId="27" borderId="29" xfId="1" applyNumberFormat="1" applyFont="1" applyFill="1" applyBorder="1" applyAlignment="1">
      <alignment horizontal="center"/>
    </xf>
    <xf numFmtId="168" fontId="39" fillId="27" borderId="29" xfId="1" applyNumberFormat="1" applyFont="1" applyFill="1" applyBorder="1" applyAlignment="1">
      <alignment horizontal="center"/>
    </xf>
    <xf numFmtId="168" fontId="39" fillId="27" borderId="25" xfId="1" applyNumberFormat="1" applyFont="1" applyFill="1" applyBorder="1" applyAlignment="1">
      <alignment horizontal="center"/>
    </xf>
    <xf numFmtId="168" fontId="25" fillId="0" borderId="29" xfId="0" applyNumberFormat="1" applyFont="1" applyBorder="1" applyAlignment="1">
      <alignment horizontal="center"/>
    </xf>
    <xf numFmtId="0" fontId="40" fillId="20" borderId="16" xfId="0" applyFont="1" applyFill="1" applyBorder="1" applyAlignment="1">
      <alignment horizontal="center" vertical="center" wrapText="1"/>
    </xf>
    <xf numFmtId="168" fontId="18" fillId="0" borderId="0" xfId="0" applyNumberFormat="1" applyFont="1" applyAlignment="1">
      <alignment horizontal="center"/>
    </xf>
    <xf numFmtId="14" fontId="3" fillId="0" borderId="14" xfId="2" applyNumberFormat="1" applyFont="1" applyBorder="1" applyAlignment="1">
      <alignment horizontal="center"/>
    </xf>
    <xf numFmtId="14" fontId="3" fillId="0" borderId="15" xfId="2" applyNumberFormat="1" applyFont="1" applyBorder="1" applyAlignment="1">
      <alignment horizontal="center"/>
    </xf>
    <xf numFmtId="43" fontId="3" fillId="0" borderId="14" xfId="1" applyFont="1" applyBorder="1" applyAlignment="1">
      <alignment horizontal="center" vertical="center"/>
    </xf>
    <xf numFmtId="43" fontId="3" fillId="0" borderId="15" xfId="1" applyFont="1" applyBorder="1" applyAlignment="1">
      <alignment horizontal="center" vertical="center"/>
    </xf>
    <xf numFmtId="167" fontId="3" fillId="0" borderId="14" xfId="2" applyNumberFormat="1" applyFont="1" applyBorder="1" applyAlignment="1">
      <alignment horizontal="center"/>
    </xf>
    <xf numFmtId="167" fontId="3" fillId="0" borderId="15" xfId="2" applyNumberFormat="1" applyFont="1" applyBorder="1" applyAlignment="1">
      <alignment horizontal="center"/>
    </xf>
    <xf numFmtId="0" fontId="3" fillId="4" borderId="2" xfId="2" applyFont="1" applyFill="1" applyBorder="1" applyAlignment="1">
      <alignment horizontal="center" vertical="center"/>
    </xf>
    <xf numFmtId="0" fontId="3" fillId="4" borderId="6" xfId="2" applyFont="1" applyFill="1" applyBorder="1" applyAlignment="1">
      <alignment horizontal="center" vertical="center"/>
    </xf>
    <xf numFmtId="164" fontId="4" fillId="0" borderId="0" xfId="2" applyNumberFormat="1" applyFont="1" applyAlignment="1">
      <alignment horizontal="center"/>
    </xf>
    <xf numFmtId="0" fontId="3" fillId="2" borderId="1" xfId="2" applyFont="1" applyFill="1" applyBorder="1" applyAlignment="1">
      <alignment horizontal="center" vertical="center"/>
    </xf>
    <xf numFmtId="0" fontId="3" fillId="2" borderId="5" xfId="2" applyFont="1" applyFill="1" applyBorder="1" applyAlignment="1">
      <alignment horizontal="center" vertical="center"/>
    </xf>
    <xf numFmtId="0" fontId="3" fillId="2" borderId="9" xfId="2" applyFont="1" applyFill="1" applyBorder="1" applyAlignment="1">
      <alignment horizontal="center" vertical="center"/>
    </xf>
    <xf numFmtId="0" fontId="3" fillId="3" borderId="2" xfId="2" applyFont="1" applyFill="1" applyBorder="1" applyAlignment="1">
      <alignment horizontal="center" vertical="center"/>
    </xf>
    <xf numFmtId="0" fontId="3" fillId="3" borderId="6" xfId="2" applyFont="1" applyFill="1" applyBorder="1" applyAlignment="1">
      <alignment horizontal="center" vertical="center"/>
    </xf>
    <xf numFmtId="0" fontId="3" fillId="3" borderId="10" xfId="2" applyFont="1" applyFill="1" applyBorder="1" applyAlignment="1">
      <alignment horizontal="center" vertical="center"/>
    </xf>
    <xf numFmtId="0" fontId="6" fillId="3" borderId="2" xfId="2" applyFont="1" applyFill="1" applyBorder="1" applyAlignment="1">
      <alignment horizontal="center" vertical="center"/>
    </xf>
    <xf numFmtId="0" fontId="6" fillId="3" borderId="6" xfId="2" applyFont="1" applyFill="1" applyBorder="1" applyAlignment="1">
      <alignment horizontal="center" vertical="center"/>
    </xf>
    <xf numFmtId="0" fontId="6" fillId="3" borderId="10" xfId="2" applyFont="1" applyFill="1" applyBorder="1" applyAlignment="1">
      <alignment horizontal="center" vertical="center"/>
    </xf>
    <xf numFmtId="0" fontId="3" fillId="16" borderId="3" xfId="2" applyFont="1" applyFill="1" applyBorder="1" applyAlignment="1">
      <alignment horizontal="center" vertical="center"/>
    </xf>
    <xf numFmtId="0" fontId="3" fillId="16" borderId="7" xfId="2" applyFont="1" applyFill="1" applyBorder="1" applyAlignment="1">
      <alignment horizontal="center" vertical="center"/>
    </xf>
    <xf numFmtId="0" fontId="3" fillId="16" borderId="11" xfId="2" applyFont="1" applyFill="1" applyBorder="1" applyAlignment="1">
      <alignment horizontal="center" vertical="center"/>
    </xf>
    <xf numFmtId="0" fontId="3" fillId="6" borderId="3" xfId="2" applyFont="1" applyFill="1" applyBorder="1" applyAlignment="1">
      <alignment horizontal="center" vertical="center"/>
    </xf>
    <xf numFmtId="0" fontId="3" fillId="6" borderId="7" xfId="2" applyFont="1" applyFill="1" applyBorder="1" applyAlignment="1">
      <alignment horizontal="center" vertical="center"/>
    </xf>
    <xf numFmtId="0" fontId="3" fillId="6" borderId="11" xfId="2" applyFont="1" applyFill="1" applyBorder="1" applyAlignment="1">
      <alignment horizontal="center" vertical="center"/>
    </xf>
    <xf numFmtId="165" fontId="3" fillId="7" borderId="4" xfId="1" applyNumberFormat="1" applyFont="1" applyFill="1" applyBorder="1" applyAlignment="1">
      <alignment horizontal="center" vertical="center"/>
    </xf>
    <xf numFmtId="165" fontId="3" fillId="7" borderId="8" xfId="1" applyNumberFormat="1" applyFont="1" applyFill="1" applyBorder="1" applyAlignment="1">
      <alignment horizontal="center" vertical="center"/>
    </xf>
    <xf numFmtId="0" fontId="20" fillId="13" borderId="6" xfId="0" applyFont="1" applyFill="1" applyBorder="1" applyAlignment="1">
      <alignment horizontal="center"/>
    </xf>
    <xf numFmtId="164" fontId="21" fillId="0" borderId="0" xfId="0" applyNumberFormat="1" applyFont="1" applyAlignment="1">
      <alignment horizontal="left"/>
    </xf>
    <xf numFmtId="0" fontId="3" fillId="0" borderId="31" xfId="2" applyFont="1" applyBorder="1" applyAlignment="1">
      <alignment horizontal="center"/>
    </xf>
    <xf numFmtId="165" fontId="3" fillId="0" borderId="32" xfId="1" applyNumberFormat="1" applyFont="1" applyBorder="1"/>
    <xf numFmtId="165" fontId="6" fillId="0" borderId="32" xfId="1" applyNumberFormat="1" applyFont="1" applyBorder="1"/>
    <xf numFmtId="0" fontId="18" fillId="2" borderId="33" xfId="0" applyFont="1" applyFill="1" applyBorder="1" applyAlignment="1">
      <alignment horizontal="center"/>
    </xf>
    <xf numFmtId="0" fontId="28" fillId="0" borderId="34" xfId="0" applyFont="1" applyBorder="1" applyAlignment="1">
      <alignment horizontal="center"/>
    </xf>
    <xf numFmtId="168" fontId="2" fillId="27" borderId="34" xfId="1" applyNumberFormat="1" applyFont="1" applyFill="1" applyBorder="1" applyAlignment="1">
      <alignment horizontal="center"/>
    </xf>
    <xf numFmtId="168" fontId="25" fillId="0" borderId="33" xfId="0" applyNumberFormat="1" applyFont="1" applyBorder="1" applyAlignment="1">
      <alignment horizontal="center"/>
    </xf>
    <xf numFmtId="0" fontId="29" fillId="0" borderId="6" xfId="0" applyFont="1" applyBorder="1" applyAlignment="1">
      <alignment horizontal="center"/>
    </xf>
    <xf numFmtId="0" fontId="24" fillId="14" borderId="6" xfId="0" applyFont="1" applyFill="1" applyBorder="1" applyAlignment="1">
      <alignment horizontal="center"/>
    </xf>
    <xf numFmtId="0" fontId="18" fillId="0" borderId="6" xfId="0" applyFont="1" applyBorder="1" applyAlignment="1">
      <alignment horizontal="center"/>
    </xf>
  </cellXfs>
  <cellStyles count="4">
    <cellStyle name="Comma" xfId="1" builtinId="3"/>
    <cellStyle name="Normal" xfId="0" builtinId="0"/>
    <cellStyle name="Normal 2" xfId="3" xr:uid="{00000000-0005-0000-0000-000002000000}"/>
    <cellStyle name="Normal 3" xfId="2" xr:uid="{00000000-0005-0000-0000-000003000000}"/>
  </cellStyles>
  <dxfs count="28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36566</xdr:colOff>
      <xdr:row>1</xdr:row>
      <xdr:rowOff>44742</xdr:rowOff>
    </xdr:from>
    <xdr:to>
      <xdr:col>2</xdr:col>
      <xdr:colOff>531660</xdr:colOff>
      <xdr:row>5</xdr:row>
      <xdr:rowOff>23973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14693" b="8456"/>
        <a:stretch>
          <a:fillRect/>
        </a:stretch>
      </xdr:blipFill>
      <xdr:spPr bwMode="auto">
        <a:xfrm>
          <a:off x="36566" y="0"/>
          <a:ext cx="1495219" cy="23973"/>
        </a:xfrm>
        <a:prstGeom prst="rect">
          <a:avLst/>
        </a:prstGeom>
        <a:noFill/>
        <a:ln w="9525" algn="in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tabSelected="1" workbookViewId="0">
      <pane ySplit="1" topLeftCell="A2" activePane="bottomLeft" state="frozen"/>
      <selection pane="bottomLeft" activeCell="O12" sqref="O12"/>
    </sheetView>
  </sheetViews>
  <sheetFormatPr defaultRowHeight="12.75" x14ac:dyDescent="0.2"/>
  <cols>
    <col min="1" max="1" width="23" style="79" bestFit="1" customWidth="1"/>
    <col min="2" max="4" width="9.140625" style="79"/>
    <col min="5" max="5" width="10.7109375" style="79" customWidth="1"/>
    <col min="6" max="6" width="12.140625" style="79" customWidth="1"/>
    <col min="7" max="7" width="10.85546875" style="79" customWidth="1"/>
    <col min="8" max="8" width="11.28515625" style="79" customWidth="1"/>
    <col min="9" max="16384" width="9.140625" style="79"/>
  </cols>
  <sheetData>
    <row r="1" spans="1:11" ht="60" x14ac:dyDescent="0.2">
      <c r="A1" s="74" t="s">
        <v>0</v>
      </c>
      <c r="B1" s="74" t="s">
        <v>1</v>
      </c>
      <c r="C1" s="75" t="s">
        <v>2</v>
      </c>
      <c r="D1" s="74" t="s">
        <v>3</v>
      </c>
      <c r="E1" s="76" t="s">
        <v>4</v>
      </c>
      <c r="F1" s="77" t="s">
        <v>5</v>
      </c>
      <c r="G1" s="76" t="s">
        <v>6</v>
      </c>
      <c r="H1" s="78" t="s">
        <v>7</v>
      </c>
      <c r="I1" s="76" t="s">
        <v>8</v>
      </c>
      <c r="J1" s="76" t="s">
        <v>9</v>
      </c>
      <c r="K1" s="76" t="s">
        <v>10</v>
      </c>
    </row>
    <row r="2" spans="1:11" ht="15" x14ac:dyDescent="0.25">
      <c r="A2" s="80" t="s">
        <v>11</v>
      </c>
      <c r="B2" s="81">
        <v>1</v>
      </c>
      <c r="C2" s="82">
        <v>10</v>
      </c>
      <c r="D2" s="81">
        <v>2021</v>
      </c>
      <c r="E2" s="83">
        <f>Electricity!E7</f>
        <v>7799.43</v>
      </c>
      <c r="F2" s="84">
        <f>Electricity!I7/Electricity!E7</f>
        <v>3.6297441409179902</v>
      </c>
      <c r="G2" s="83">
        <f>Water!AW9</f>
        <v>55</v>
      </c>
      <c r="H2" s="85">
        <v>60</v>
      </c>
      <c r="I2" s="83">
        <f>Electricity!L7</f>
        <v>6</v>
      </c>
      <c r="J2" s="83">
        <f>Electricity!M7</f>
        <v>23</v>
      </c>
      <c r="K2" s="83">
        <f>Electricity!N7</f>
        <v>37</v>
      </c>
    </row>
    <row r="3" spans="1:11" ht="15" x14ac:dyDescent="0.25">
      <c r="A3" s="80" t="s">
        <v>11</v>
      </c>
      <c r="B3" s="81">
        <f>B2+1</f>
        <v>2</v>
      </c>
      <c r="C3" s="82">
        <v>10</v>
      </c>
      <c r="D3" s="81">
        <v>2021</v>
      </c>
      <c r="E3" s="83">
        <f>Electricity!E8</f>
        <v>7511.81</v>
      </c>
      <c r="F3" s="84">
        <f>Electricity!I8/Electricity!E8</f>
        <v>2.6036999999999999</v>
      </c>
      <c r="G3" s="83">
        <f>Water!AW10</f>
        <v>37</v>
      </c>
      <c r="H3" s="85">
        <v>60</v>
      </c>
      <c r="I3" s="83">
        <f>Electricity!L8</f>
        <v>9</v>
      </c>
      <c r="J3" s="83">
        <f>Electricity!M8</f>
        <v>24</v>
      </c>
      <c r="K3" s="83">
        <f>Electricity!N8</f>
        <v>48</v>
      </c>
    </row>
    <row r="4" spans="1:11" ht="15" x14ac:dyDescent="0.25">
      <c r="A4" s="80" t="s">
        <v>11</v>
      </c>
      <c r="B4" s="81">
        <f t="shared" ref="B4:B32" si="0">B3+1</f>
        <v>3</v>
      </c>
      <c r="C4" s="82">
        <v>10</v>
      </c>
      <c r="D4" s="81">
        <v>2021</v>
      </c>
      <c r="E4" s="83">
        <f>Electricity!E9</f>
        <v>7711.4</v>
      </c>
      <c r="F4" s="84">
        <f>Electricity!I9/Electricity!E9</f>
        <v>2.6036999999999999</v>
      </c>
      <c r="G4" s="83">
        <f>Water!AW11</f>
        <v>54</v>
      </c>
      <c r="H4" s="85">
        <v>60</v>
      </c>
      <c r="I4" s="83">
        <f>Electricity!L9</f>
        <v>9</v>
      </c>
      <c r="J4" s="83">
        <f>Electricity!M9</f>
        <v>20</v>
      </c>
      <c r="K4" s="83">
        <f>Electricity!N9</f>
        <v>50</v>
      </c>
    </row>
    <row r="5" spans="1:11" ht="15" x14ac:dyDescent="0.25">
      <c r="A5" s="80" t="s">
        <v>11</v>
      </c>
      <c r="B5" s="81">
        <f t="shared" si="0"/>
        <v>4</v>
      </c>
      <c r="C5" s="82">
        <v>10</v>
      </c>
      <c r="D5" s="81">
        <v>2021</v>
      </c>
      <c r="E5" s="83">
        <f>Electricity!E10</f>
        <v>8283.1299999999992</v>
      </c>
      <c r="F5" s="84">
        <f>Electricity!I10/Electricity!E10</f>
        <v>3.6308043409918715</v>
      </c>
      <c r="G5" s="83">
        <f>Water!AW12</f>
        <v>30</v>
      </c>
      <c r="H5" s="85">
        <v>60</v>
      </c>
      <c r="I5" s="83">
        <f>Electricity!L10</f>
        <v>12</v>
      </c>
      <c r="J5" s="83">
        <f>Electricity!M10</f>
        <v>28</v>
      </c>
      <c r="K5" s="83">
        <f>Electricity!N10</f>
        <v>46</v>
      </c>
    </row>
    <row r="6" spans="1:11" ht="15" x14ac:dyDescent="0.25">
      <c r="A6" s="80" t="s">
        <v>11</v>
      </c>
      <c r="B6" s="81">
        <f t="shared" si="0"/>
        <v>5</v>
      </c>
      <c r="C6" s="82">
        <v>10</v>
      </c>
      <c r="D6" s="81">
        <v>2021</v>
      </c>
      <c r="E6" s="83">
        <f>Electricity!E11</f>
        <v>8150.9400000000005</v>
      </c>
      <c r="F6" s="84">
        <f>Electricity!I11/Electricity!E11</f>
        <v>3.6025290707574831</v>
      </c>
      <c r="G6" s="83">
        <f>Water!AW13</f>
        <v>34</v>
      </c>
      <c r="H6" s="85">
        <v>60</v>
      </c>
      <c r="I6" s="83">
        <f>Electricity!L11</f>
        <v>11</v>
      </c>
      <c r="J6" s="83">
        <f>Electricity!M11</f>
        <v>27</v>
      </c>
      <c r="K6" s="83">
        <f>Electricity!N11</f>
        <v>39</v>
      </c>
    </row>
    <row r="7" spans="1:11" ht="15" x14ac:dyDescent="0.25">
      <c r="A7" s="80" t="s">
        <v>11</v>
      </c>
      <c r="B7" s="81">
        <f t="shared" si="0"/>
        <v>6</v>
      </c>
      <c r="C7" s="82">
        <v>10</v>
      </c>
      <c r="D7" s="81">
        <v>2021</v>
      </c>
      <c r="E7" s="83">
        <f>Electricity!E12</f>
        <v>7579.5300000000007</v>
      </c>
      <c r="F7" s="84">
        <f>Electricity!I12/Electricity!E12</f>
        <v>3.5787855543813403</v>
      </c>
      <c r="G7" s="83">
        <f>Water!AW14</f>
        <v>40</v>
      </c>
      <c r="H7" s="85">
        <v>60</v>
      </c>
      <c r="I7" s="83">
        <f>Electricity!L12</f>
        <v>6</v>
      </c>
      <c r="J7" s="83">
        <f>Electricity!M12</f>
        <v>15</v>
      </c>
      <c r="K7" s="83">
        <f>Electricity!N12</f>
        <v>36</v>
      </c>
    </row>
    <row r="8" spans="1:11" ht="15" x14ac:dyDescent="0.25">
      <c r="A8" s="80" t="s">
        <v>11</v>
      </c>
      <c r="B8" s="81">
        <f t="shared" si="0"/>
        <v>7</v>
      </c>
      <c r="C8" s="82">
        <v>10</v>
      </c>
      <c r="D8" s="81">
        <v>2021</v>
      </c>
      <c r="E8" s="83">
        <f>Electricity!E13</f>
        <v>7899.79</v>
      </c>
      <c r="F8" s="84">
        <f>Electricity!I13/Electricity!E13</f>
        <v>3.6273307641089199</v>
      </c>
      <c r="G8" s="83">
        <f>Water!AW15</f>
        <v>54</v>
      </c>
      <c r="H8" s="85">
        <v>60</v>
      </c>
      <c r="I8" s="83">
        <f>Electricity!L13</f>
        <v>8</v>
      </c>
      <c r="J8" s="83">
        <f>Electricity!M13</f>
        <v>29</v>
      </c>
      <c r="K8" s="83">
        <f>Electricity!N13</f>
        <v>40</v>
      </c>
    </row>
    <row r="9" spans="1:11" ht="15" x14ac:dyDescent="0.25">
      <c r="A9" s="80" t="s">
        <v>11</v>
      </c>
      <c r="B9" s="81">
        <f t="shared" si="0"/>
        <v>8</v>
      </c>
      <c r="C9" s="82">
        <v>10</v>
      </c>
      <c r="D9" s="81">
        <v>2021</v>
      </c>
      <c r="E9" s="83">
        <f>Electricity!E14</f>
        <v>7959.6399999999994</v>
      </c>
      <c r="F9" s="84">
        <f>Electricity!I14/Electricity!E14</f>
        <v>3.592495314109684</v>
      </c>
      <c r="G9" s="83">
        <f>Water!AW16</f>
        <v>46</v>
      </c>
      <c r="H9" s="85">
        <v>60</v>
      </c>
      <c r="I9" s="83">
        <f>Electricity!L14</f>
        <v>16</v>
      </c>
      <c r="J9" s="83">
        <f>Electricity!M14</f>
        <v>45</v>
      </c>
      <c r="K9" s="83">
        <f>Electricity!N14</f>
        <v>63</v>
      </c>
    </row>
    <row r="10" spans="1:11" ht="15" x14ac:dyDescent="0.25">
      <c r="A10" s="80" t="s">
        <v>11</v>
      </c>
      <c r="B10" s="81">
        <f t="shared" si="0"/>
        <v>9</v>
      </c>
      <c r="C10" s="82">
        <v>10</v>
      </c>
      <c r="D10" s="81">
        <v>2021</v>
      </c>
      <c r="E10" s="83">
        <f>Electricity!E15</f>
        <v>9137.4599999999991</v>
      </c>
      <c r="F10" s="84">
        <f>Electricity!I15/Electricity!E15</f>
        <v>2.6036999999999999</v>
      </c>
      <c r="G10" s="83">
        <f>Water!AW17</f>
        <v>64</v>
      </c>
      <c r="H10" s="85">
        <v>60</v>
      </c>
      <c r="I10" s="83">
        <f>Electricity!L15</f>
        <v>23</v>
      </c>
      <c r="J10" s="83">
        <f>Electricity!M15</f>
        <v>62</v>
      </c>
      <c r="K10" s="83">
        <f>Electricity!N15</f>
        <v>104</v>
      </c>
    </row>
    <row r="11" spans="1:11" ht="15" x14ac:dyDescent="0.25">
      <c r="A11" s="80" t="s">
        <v>11</v>
      </c>
      <c r="B11" s="81">
        <f t="shared" si="0"/>
        <v>10</v>
      </c>
      <c r="C11" s="82">
        <v>10</v>
      </c>
      <c r="D11" s="81">
        <v>2021</v>
      </c>
      <c r="E11" s="83">
        <f>Electricity!E16</f>
        <v>9893.85</v>
      </c>
      <c r="F11" s="84">
        <f>Electricity!I16/Electricity!E16</f>
        <v>2.6036999999999999</v>
      </c>
      <c r="G11" s="83">
        <f>Water!AW18</f>
        <v>63</v>
      </c>
      <c r="H11" s="85">
        <v>60</v>
      </c>
      <c r="I11" s="83">
        <f>Electricity!L16</f>
        <v>19</v>
      </c>
      <c r="J11" s="83">
        <f>Electricity!M16</f>
        <v>49</v>
      </c>
      <c r="K11" s="83">
        <f>Electricity!N16</f>
        <v>96</v>
      </c>
    </row>
    <row r="12" spans="1:11" ht="15" x14ac:dyDescent="0.25">
      <c r="A12" s="80" t="s">
        <v>11</v>
      </c>
      <c r="B12" s="81">
        <f t="shared" si="0"/>
        <v>11</v>
      </c>
      <c r="C12" s="82">
        <v>10</v>
      </c>
      <c r="D12" s="81">
        <v>2021</v>
      </c>
      <c r="E12" s="83">
        <f>Electricity!E17</f>
        <v>9250.7900000000009</v>
      </c>
      <c r="F12" s="84">
        <f>Electricity!I17/Electricity!E17</f>
        <v>3.6056952646206435</v>
      </c>
      <c r="G12" s="83">
        <f>Water!AW19</f>
        <v>112</v>
      </c>
      <c r="H12" s="85">
        <v>60</v>
      </c>
      <c r="I12" s="83">
        <f>Electricity!L17</f>
        <v>15</v>
      </c>
      <c r="J12" s="83">
        <f>Electricity!M17</f>
        <v>37</v>
      </c>
      <c r="K12" s="83">
        <f>Electricity!N17</f>
        <v>71</v>
      </c>
    </row>
    <row r="13" spans="1:11" ht="15" x14ac:dyDescent="0.25">
      <c r="A13" s="80" t="s">
        <v>11</v>
      </c>
      <c r="B13" s="81">
        <f t="shared" si="0"/>
        <v>12</v>
      </c>
      <c r="C13" s="82">
        <v>10</v>
      </c>
      <c r="D13" s="81">
        <v>2021</v>
      </c>
      <c r="E13" s="83">
        <f>Electricity!E18</f>
        <v>7965.79</v>
      </c>
      <c r="F13" s="84">
        <f>Electricity!I18/Electricity!E18</f>
        <v>3.5828031312650723</v>
      </c>
      <c r="G13" s="83">
        <f>Water!AW20</f>
        <v>51</v>
      </c>
      <c r="H13" s="85">
        <v>60</v>
      </c>
      <c r="I13" s="83">
        <f>Electricity!L18</f>
        <v>10</v>
      </c>
      <c r="J13" s="83">
        <f>Electricity!M18</f>
        <v>32</v>
      </c>
      <c r="K13" s="83">
        <f>Electricity!N18</f>
        <v>45</v>
      </c>
    </row>
    <row r="14" spans="1:11" ht="15" x14ac:dyDescent="0.25">
      <c r="A14" s="80" t="s">
        <v>11</v>
      </c>
      <c r="B14" s="81">
        <f t="shared" si="0"/>
        <v>13</v>
      </c>
      <c r="C14" s="82">
        <v>10</v>
      </c>
      <c r="D14" s="81">
        <v>2021</v>
      </c>
      <c r="E14" s="83">
        <f>Electricity!E19</f>
        <v>5064.25</v>
      </c>
      <c r="F14" s="84">
        <f>Electricity!I19/Electricity!E19</f>
        <v>2.6036999999999999</v>
      </c>
      <c r="G14" s="83">
        <f>Water!AW21</f>
        <v>44</v>
      </c>
      <c r="H14" s="85">
        <v>60</v>
      </c>
      <c r="I14" s="83">
        <f>Electricity!L19</f>
        <v>15</v>
      </c>
      <c r="J14" s="83">
        <f>Electricity!M19</f>
        <v>49</v>
      </c>
      <c r="K14" s="83">
        <f>Electricity!N19</f>
        <v>95</v>
      </c>
    </row>
    <row r="15" spans="1:11" ht="15" x14ac:dyDescent="0.25">
      <c r="A15" s="80" t="s">
        <v>11</v>
      </c>
      <c r="B15" s="81">
        <f t="shared" si="0"/>
        <v>14</v>
      </c>
      <c r="C15" s="82">
        <v>10</v>
      </c>
      <c r="D15" s="81">
        <v>2021</v>
      </c>
      <c r="E15" s="83">
        <f>Electricity!E20</f>
        <v>9862.75</v>
      </c>
      <c r="F15" s="84">
        <f>Electricity!I20/Electricity!E20</f>
        <v>3.6122241673975308</v>
      </c>
      <c r="G15" s="83">
        <f>Water!AW22</f>
        <v>53</v>
      </c>
      <c r="H15" s="85">
        <v>60</v>
      </c>
      <c r="I15" s="83">
        <f>Electricity!L20</f>
        <v>27</v>
      </c>
      <c r="J15" s="83">
        <f>Electricity!M20</f>
        <v>79</v>
      </c>
      <c r="K15" s="83">
        <f>Electricity!N20</f>
        <v>111</v>
      </c>
    </row>
    <row r="16" spans="1:11" ht="15" x14ac:dyDescent="0.25">
      <c r="A16" s="80" t="s">
        <v>11</v>
      </c>
      <c r="B16" s="81">
        <f t="shared" si="0"/>
        <v>15</v>
      </c>
      <c r="C16" s="82">
        <v>10</v>
      </c>
      <c r="D16" s="81">
        <v>2021</v>
      </c>
      <c r="E16" s="83">
        <f>Electricity!E21</f>
        <v>10340.98</v>
      </c>
      <c r="F16" s="84">
        <f>Electricity!I21/Electricity!E21</f>
        <v>3.6402664451531677</v>
      </c>
      <c r="G16" s="83">
        <f>Water!AW23</f>
        <v>81</v>
      </c>
      <c r="H16" s="85">
        <v>60</v>
      </c>
      <c r="I16" s="83">
        <f>Electricity!L21</f>
        <v>35</v>
      </c>
      <c r="J16" s="83">
        <f>Electricity!M21</f>
        <v>92</v>
      </c>
      <c r="K16" s="83">
        <f>Electricity!N21</f>
        <v>136</v>
      </c>
    </row>
    <row r="17" spans="1:11" ht="15" x14ac:dyDescent="0.25">
      <c r="A17" s="80" t="s">
        <v>11</v>
      </c>
      <c r="B17" s="81">
        <f t="shared" si="0"/>
        <v>16</v>
      </c>
      <c r="C17" s="82">
        <v>10</v>
      </c>
      <c r="D17" s="81">
        <v>2021</v>
      </c>
      <c r="E17" s="83">
        <f>Electricity!E22</f>
        <v>10238.34</v>
      </c>
      <c r="F17" s="84">
        <f>Electricity!I22/Electricity!E22</f>
        <v>2.6036999999999999</v>
      </c>
      <c r="G17" s="83">
        <f>Water!AW24</f>
        <v>57</v>
      </c>
      <c r="H17" s="85">
        <v>60</v>
      </c>
      <c r="I17" s="83">
        <f>Electricity!L22</f>
        <v>26</v>
      </c>
      <c r="J17" s="83">
        <f>Electricity!M21</f>
        <v>92</v>
      </c>
      <c r="K17" s="83">
        <f>Electricity!N22</f>
        <v>174</v>
      </c>
    </row>
    <row r="18" spans="1:11" ht="15" x14ac:dyDescent="0.25">
      <c r="A18" s="80" t="s">
        <v>11</v>
      </c>
      <c r="B18" s="81">
        <f t="shared" si="0"/>
        <v>17</v>
      </c>
      <c r="C18" s="82">
        <v>10</v>
      </c>
      <c r="D18" s="81">
        <v>2021</v>
      </c>
      <c r="E18" s="83">
        <f>Electricity!E23</f>
        <v>9868.49</v>
      </c>
      <c r="F18" s="84">
        <f>Electricity!I23/Electricity!E23</f>
        <v>2.6036999999999999</v>
      </c>
      <c r="G18" s="83">
        <f>Water!AW25</f>
        <v>62</v>
      </c>
      <c r="H18" s="85">
        <v>60</v>
      </c>
      <c r="I18" s="83">
        <f>Electricity!L23</f>
        <v>31</v>
      </c>
      <c r="J18" s="83">
        <f>Electricity!M23</f>
        <v>83</v>
      </c>
      <c r="K18" s="83">
        <f>Electricity!N23</f>
        <v>170</v>
      </c>
    </row>
    <row r="19" spans="1:11" ht="15" x14ac:dyDescent="0.25">
      <c r="A19" s="80" t="s">
        <v>11</v>
      </c>
      <c r="B19" s="81">
        <f t="shared" si="0"/>
        <v>18</v>
      </c>
      <c r="C19" s="82">
        <v>10</v>
      </c>
      <c r="D19" s="81">
        <v>2021</v>
      </c>
      <c r="E19" s="83">
        <f>Electricity!E24</f>
        <v>9469.86</v>
      </c>
      <c r="F19" s="84">
        <f>Electricity!I24/Electricity!E24</f>
        <v>3.6254620796928356</v>
      </c>
      <c r="G19" s="83">
        <f>Water!AW26</f>
        <v>73</v>
      </c>
      <c r="H19" s="85">
        <v>60</v>
      </c>
      <c r="I19" s="83">
        <f>Electricity!L24</f>
        <v>20</v>
      </c>
      <c r="J19" s="83">
        <f>Electricity!M24</f>
        <v>60</v>
      </c>
      <c r="K19" s="83">
        <f>Electricity!N24</f>
        <v>170</v>
      </c>
    </row>
    <row r="20" spans="1:11" ht="15" x14ac:dyDescent="0.25">
      <c r="A20" s="80" t="s">
        <v>11</v>
      </c>
      <c r="B20" s="81">
        <f t="shared" si="0"/>
        <v>19</v>
      </c>
      <c r="C20" s="82">
        <v>10</v>
      </c>
      <c r="D20" s="81">
        <v>2021</v>
      </c>
      <c r="E20" s="83">
        <f>Electricity!E25</f>
        <v>9864.2000000000007</v>
      </c>
      <c r="F20" s="84">
        <f>Electricity!I25/Electricity!E25</f>
        <v>3.6382742827598786</v>
      </c>
      <c r="G20" s="83">
        <f>Water!AW27</f>
        <v>75</v>
      </c>
      <c r="H20" s="85">
        <v>60</v>
      </c>
      <c r="I20" s="83">
        <f>Electricity!L25</f>
        <v>28</v>
      </c>
      <c r="J20" s="83">
        <f>Electricity!M25</f>
        <v>84</v>
      </c>
      <c r="K20" s="83">
        <f>Electricity!N25</f>
        <v>144</v>
      </c>
    </row>
    <row r="21" spans="1:11" ht="15" x14ac:dyDescent="0.25">
      <c r="A21" s="80" t="s">
        <v>11</v>
      </c>
      <c r="B21" s="81">
        <f t="shared" si="0"/>
        <v>20</v>
      </c>
      <c r="C21" s="82">
        <v>10</v>
      </c>
      <c r="D21" s="81">
        <v>2021</v>
      </c>
      <c r="E21" s="83">
        <f>Electricity!E26</f>
        <v>10200.24</v>
      </c>
      <c r="F21" s="84">
        <f>Electricity!I26/Electricity!E26</f>
        <v>3.6295664894159358</v>
      </c>
      <c r="G21" s="83">
        <f>Water!AW28</f>
        <v>93</v>
      </c>
      <c r="H21" s="85">
        <v>60</v>
      </c>
      <c r="I21" s="83">
        <f>Electricity!L26</f>
        <v>32</v>
      </c>
      <c r="J21" s="83">
        <f>Electricity!M26</f>
        <v>90</v>
      </c>
      <c r="K21" s="83">
        <f>Electricity!N26</f>
        <v>157</v>
      </c>
    </row>
    <row r="22" spans="1:11" ht="15" x14ac:dyDescent="0.25">
      <c r="A22" s="80" t="s">
        <v>11</v>
      </c>
      <c r="B22" s="81">
        <f t="shared" si="0"/>
        <v>21</v>
      </c>
      <c r="C22" s="82">
        <v>10</v>
      </c>
      <c r="D22" s="81">
        <v>2021</v>
      </c>
      <c r="E22" s="83">
        <f>Electricity!E27</f>
        <v>10196.540000000001</v>
      </c>
      <c r="F22" s="84">
        <f>Electricity!I27/Electricity!E27</f>
        <v>3.5956600140832085</v>
      </c>
      <c r="G22" s="83">
        <f>Water!AW29</f>
        <v>86</v>
      </c>
      <c r="H22" s="85">
        <v>60</v>
      </c>
      <c r="I22" s="83">
        <f>Electricity!L27</f>
        <v>28</v>
      </c>
      <c r="J22" s="83">
        <f>Electricity!M27</f>
        <v>92</v>
      </c>
      <c r="K22" s="83">
        <f>Electricity!N27</f>
        <v>156</v>
      </c>
    </row>
    <row r="23" spans="1:11" ht="15" x14ac:dyDescent="0.25">
      <c r="A23" s="80" t="s">
        <v>11</v>
      </c>
      <c r="B23" s="81">
        <f t="shared" si="0"/>
        <v>22</v>
      </c>
      <c r="C23" s="82">
        <v>10</v>
      </c>
      <c r="D23" s="81">
        <v>2021</v>
      </c>
      <c r="E23" s="83">
        <f>Electricity!E28</f>
        <v>10258.34</v>
      </c>
      <c r="F23" s="84">
        <f>Electricity!I28/Electricity!E28</f>
        <v>3.6110495031359857</v>
      </c>
      <c r="G23" s="83">
        <f>Water!AW30</f>
        <v>80</v>
      </c>
      <c r="H23" s="85">
        <v>60</v>
      </c>
      <c r="I23" s="83">
        <f>Electricity!L28</f>
        <v>44</v>
      </c>
      <c r="J23" s="83">
        <f>Electricity!M28</f>
        <v>130</v>
      </c>
      <c r="K23" s="83">
        <f>Electricity!N28</f>
        <v>238</v>
      </c>
    </row>
    <row r="24" spans="1:11" ht="15" x14ac:dyDescent="0.25">
      <c r="A24" s="80" t="s">
        <v>11</v>
      </c>
      <c r="B24" s="81">
        <f t="shared" si="0"/>
        <v>23</v>
      </c>
      <c r="C24" s="82">
        <v>10</v>
      </c>
      <c r="D24" s="81">
        <v>2021</v>
      </c>
      <c r="E24" s="83">
        <f>Electricity!E29</f>
        <v>10078.719999999999</v>
      </c>
      <c r="F24" s="84">
        <f>Electricity!I29/Electricity!E29</f>
        <v>2.6036999999999999</v>
      </c>
      <c r="G24" s="83">
        <f>Water!AW31</f>
        <v>78</v>
      </c>
      <c r="H24" s="85">
        <v>60</v>
      </c>
      <c r="I24" s="83">
        <f>Electricity!L29</f>
        <v>43</v>
      </c>
      <c r="J24" s="83">
        <f>Electricity!M29</f>
        <v>130</v>
      </c>
      <c r="K24" s="83">
        <f>Electricity!N29</f>
        <v>239</v>
      </c>
    </row>
    <row r="25" spans="1:11" ht="15" x14ac:dyDescent="0.25">
      <c r="A25" s="80" t="s">
        <v>11</v>
      </c>
      <c r="B25" s="81">
        <f t="shared" si="0"/>
        <v>24</v>
      </c>
      <c r="C25" s="82">
        <v>10</v>
      </c>
      <c r="D25" s="81">
        <v>2021</v>
      </c>
      <c r="E25" s="83">
        <f>Electricity!E30</f>
        <v>10215.26</v>
      </c>
      <c r="F25" s="84">
        <f>Electricity!I30/Electricity!E30</f>
        <v>2.6036999999999999</v>
      </c>
      <c r="G25" s="83">
        <f>Water!AW32</f>
        <v>86</v>
      </c>
      <c r="H25" s="85">
        <v>60</v>
      </c>
      <c r="I25" s="83">
        <f>Electricity!L30</f>
        <v>36</v>
      </c>
      <c r="J25" s="83">
        <f>Electricity!M30</f>
        <v>125</v>
      </c>
      <c r="K25" s="83">
        <f>Electricity!N30</f>
        <v>353</v>
      </c>
    </row>
    <row r="26" spans="1:11" ht="15" x14ac:dyDescent="0.25">
      <c r="A26" s="80" t="s">
        <v>11</v>
      </c>
      <c r="B26" s="81">
        <f>B25+1</f>
        <v>25</v>
      </c>
      <c r="C26" s="82">
        <v>10</v>
      </c>
      <c r="D26" s="81">
        <v>2021</v>
      </c>
      <c r="E26" s="83">
        <f>Electricity!E31</f>
        <v>9600.9699999999993</v>
      </c>
      <c r="F26" s="84">
        <f>Electricity!I31/Electricity!E31</f>
        <v>3.6038902297372042</v>
      </c>
      <c r="G26" s="83">
        <f>Water!AW33</f>
        <v>59</v>
      </c>
      <c r="H26" s="85">
        <v>60</v>
      </c>
      <c r="I26" s="83">
        <f>Electricity!L31</f>
        <v>21</v>
      </c>
      <c r="J26" s="83">
        <f>Electricity!M31</f>
        <v>70</v>
      </c>
      <c r="K26" s="83">
        <f>Electricity!N31</f>
        <v>196</v>
      </c>
    </row>
    <row r="27" spans="1:11" ht="15" x14ac:dyDescent="0.25">
      <c r="A27" s="80" t="s">
        <v>11</v>
      </c>
      <c r="B27" s="81">
        <f t="shared" si="0"/>
        <v>26</v>
      </c>
      <c r="C27" s="82">
        <v>10</v>
      </c>
      <c r="D27" s="81">
        <v>2021</v>
      </c>
      <c r="E27" s="83">
        <f>Electricity!E32</f>
        <v>9226.9699999999993</v>
      </c>
      <c r="F27" s="84">
        <f>Electricity!I32/Electricity!E32</f>
        <v>3.6003372813610541</v>
      </c>
      <c r="G27" s="83">
        <f>Water!AW34</f>
        <v>40</v>
      </c>
      <c r="H27" s="85">
        <v>60</v>
      </c>
      <c r="I27" s="83">
        <f>Electricity!L32</f>
        <v>25</v>
      </c>
      <c r="J27" s="83">
        <f>Electricity!M32</f>
        <v>76</v>
      </c>
      <c r="K27" s="83">
        <f>Electricity!N32</f>
        <v>131</v>
      </c>
    </row>
    <row r="28" spans="1:11" ht="15" x14ac:dyDescent="0.25">
      <c r="A28" s="80" t="s">
        <v>11</v>
      </c>
      <c r="B28" s="81">
        <f t="shared" si="0"/>
        <v>27</v>
      </c>
      <c r="C28" s="82">
        <v>10</v>
      </c>
      <c r="D28" s="81">
        <v>2021</v>
      </c>
      <c r="E28" s="83">
        <f>Electricity!E33</f>
        <v>9436.17</v>
      </c>
      <c r="F28" s="84">
        <f>Electricity!I33/Electricity!E33</f>
        <v>3.5980341561247835</v>
      </c>
      <c r="G28" s="83">
        <f>Water!AW35</f>
        <v>60</v>
      </c>
      <c r="H28" s="85">
        <v>60</v>
      </c>
      <c r="I28" s="83">
        <f>Electricity!L33</f>
        <v>18</v>
      </c>
      <c r="J28" s="83">
        <f>Electricity!M33</f>
        <v>39</v>
      </c>
      <c r="K28" s="83">
        <f>Electricity!N33</f>
        <v>140</v>
      </c>
    </row>
    <row r="29" spans="1:11" ht="15" x14ac:dyDescent="0.25">
      <c r="A29" s="80" t="s">
        <v>11</v>
      </c>
      <c r="B29" s="81">
        <f t="shared" si="0"/>
        <v>28</v>
      </c>
      <c r="C29" s="82">
        <v>10</v>
      </c>
      <c r="D29" s="81">
        <v>2021</v>
      </c>
      <c r="E29" s="83">
        <f>Electricity!E34</f>
        <v>8467.26</v>
      </c>
      <c r="F29" s="84">
        <f>Electricity!I34/Electricity!E34</f>
        <v>3.6159431329615481</v>
      </c>
      <c r="G29" s="83">
        <f>Water!AW36</f>
        <v>81</v>
      </c>
      <c r="H29" s="85">
        <v>60</v>
      </c>
      <c r="I29" s="83">
        <f>Electricity!L34</f>
        <v>15</v>
      </c>
      <c r="J29" s="83">
        <f>Electricity!M34</f>
        <v>32</v>
      </c>
      <c r="K29" s="83">
        <f>Electricity!N34</f>
        <v>79</v>
      </c>
    </row>
    <row r="30" spans="1:11" ht="15" x14ac:dyDescent="0.25">
      <c r="A30" s="80" t="s">
        <v>11</v>
      </c>
      <c r="B30" s="81">
        <f t="shared" si="0"/>
        <v>29</v>
      </c>
      <c r="C30" s="82">
        <v>10</v>
      </c>
      <c r="D30" s="81">
        <v>2021</v>
      </c>
      <c r="E30" s="83">
        <f>Electricity!E35</f>
        <v>8610.99</v>
      </c>
      <c r="F30" s="84">
        <f>Electricity!I35/Electricity!E35</f>
        <v>3.6177102508538512</v>
      </c>
      <c r="G30" s="83">
        <f>Water!AW37</f>
        <v>43</v>
      </c>
      <c r="H30" s="85">
        <v>60</v>
      </c>
      <c r="I30" s="83">
        <f>Electricity!L35</f>
        <v>13</v>
      </c>
      <c r="J30" s="83">
        <f>Electricity!M35</f>
        <v>27</v>
      </c>
      <c r="K30" s="83">
        <f>Electricity!N35</f>
        <v>72</v>
      </c>
    </row>
    <row r="31" spans="1:11" ht="15" x14ac:dyDescent="0.25">
      <c r="A31" s="80" t="s">
        <v>11</v>
      </c>
      <c r="B31" s="81">
        <f t="shared" si="0"/>
        <v>30</v>
      </c>
      <c r="C31" s="82">
        <v>10</v>
      </c>
      <c r="D31" s="81">
        <v>2021</v>
      </c>
      <c r="E31" s="83">
        <f>Electricity!E36</f>
        <v>8472.16</v>
      </c>
      <c r="F31" s="84">
        <f>Electricity!I36/Electricity!E36</f>
        <v>2.6036999999999999</v>
      </c>
      <c r="G31" s="83">
        <f>Water!AW38</f>
        <v>66</v>
      </c>
      <c r="H31" s="85">
        <v>60</v>
      </c>
      <c r="I31" s="83">
        <f>Electricity!L36</f>
        <v>17</v>
      </c>
      <c r="J31" s="83">
        <f>Electricity!M36</f>
        <v>39</v>
      </c>
      <c r="K31" s="83">
        <f>Electricity!N36</f>
        <v>81</v>
      </c>
    </row>
    <row r="32" spans="1:11" ht="15" x14ac:dyDescent="0.25">
      <c r="A32" s="80" t="s">
        <v>11</v>
      </c>
      <c r="B32" s="81">
        <f t="shared" si="0"/>
        <v>31</v>
      </c>
      <c r="C32" s="82">
        <v>10</v>
      </c>
      <c r="D32" s="81">
        <v>2021</v>
      </c>
      <c r="E32" s="83">
        <f>Electricity!E37</f>
        <v>8041.32</v>
      </c>
      <c r="F32" s="84">
        <f>Electricity!I37/Electricity!E37</f>
        <v>2.6036999999999999</v>
      </c>
      <c r="G32" s="83">
        <f>Water!AW39</f>
        <v>60</v>
      </c>
      <c r="H32" s="85">
        <v>60</v>
      </c>
      <c r="I32" s="83">
        <f>Electricity!L37</f>
        <v>10</v>
      </c>
      <c r="J32" s="83">
        <f>Electricity!M37</f>
        <v>24</v>
      </c>
      <c r="K32" s="83">
        <f>Electricity!N37</f>
        <v>66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2:N49"/>
  <sheetViews>
    <sheetView zoomScaleNormal="100" workbookViewId="0">
      <pane ySplit="6" topLeftCell="A7" activePane="bottomLeft" state="frozen"/>
      <selection pane="bottomLeft" activeCell="N43" sqref="N43"/>
    </sheetView>
  </sheetViews>
  <sheetFormatPr defaultRowHeight="12.75" x14ac:dyDescent="0.2"/>
  <cols>
    <col min="1" max="1" width="7.28515625" style="1" customWidth="1"/>
    <col min="2" max="8" width="13.140625" style="1" customWidth="1"/>
    <col min="9" max="9" width="13.85546875" style="1" bestFit="1" customWidth="1"/>
    <col min="10" max="10" width="13.140625" style="1" customWidth="1"/>
    <col min="11" max="11" width="9.140625" style="1"/>
    <col min="12" max="14" width="12.5703125" style="1" bestFit="1" customWidth="1"/>
    <col min="15" max="16384" width="9.140625" style="1"/>
  </cols>
  <sheetData>
    <row r="2" spans="1:14" x14ac:dyDescent="0.2">
      <c r="A2" s="1" t="s">
        <v>12</v>
      </c>
    </row>
    <row r="3" spans="1:14" ht="19.5" customHeight="1" x14ac:dyDescent="0.25">
      <c r="A3" s="138">
        <v>44470</v>
      </c>
      <c r="B3" s="138"/>
      <c r="J3" s="2" t="s">
        <v>13</v>
      </c>
    </row>
    <row r="4" spans="1:14" x14ac:dyDescent="0.2">
      <c r="A4" s="139" t="s">
        <v>14</v>
      </c>
      <c r="B4" s="142" t="s">
        <v>15</v>
      </c>
      <c r="C4" s="142" t="s">
        <v>16</v>
      </c>
      <c r="D4" s="145" t="s">
        <v>17</v>
      </c>
      <c r="E4" s="136" t="s">
        <v>18</v>
      </c>
      <c r="F4" s="3" t="s">
        <v>19</v>
      </c>
      <c r="G4" s="3" t="s">
        <v>20</v>
      </c>
      <c r="H4" s="3" t="s">
        <v>21</v>
      </c>
      <c r="I4" s="151" t="s">
        <v>22</v>
      </c>
      <c r="J4" s="154" t="s">
        <v>23</v>
      </c>
      <c r="L4" s="148" t="s">
        <v>24</v>
      </c>
      <c r="M4" s="148" t="s">
        <v>9</v>
      </c>
      <c r="N4" s="148" t="s">
        <v>10</v>
      </c>
    </row>
    <row r="5" spans="1:14" x14ac:dyDescent="0.2">
      <c r="A5" s="140"/>
      <c r="B5" s="143"/>
      <c r="C5" s="143"/>
      <c r="D5" s="146"/>
      <c r="E5" s="137"/>
      <c r="F5" s="4" t="s">
        <v>25</v>
      </c>
      <c r="G5" s="4" t="s">
        <v>26</v>
      </c>
      <c r="H5" s="4" t="s">
        <v>27</v>
      </c>
      <c r="I5" s="152"/>
      <c r="J5" s="155"/>
      <c r="L5" s="149"/>
      <c r="M5" s="149"/>
      <c r="N5" s="149"/>
    </row>
    <row r="6" spans="1:14" ht="13.5" thickBot="1" x14ac:dyDescent="0.25">
      <c r="A6" s="141"/>
      <c r="B6" s="144"/>
      <c r="C6" s="144"/>
      <c r="D6" s="147"/>
      <c r="E6" s="5" t="s">
        <v>28</v>
      </c>
      <c r="F6" s="6">
        <v>4.1839000000000004</v>
      </c>
      <c r="G6" s="6">
        <v>2.6036999999999999</v>
      </c>
      <c r="H6" s="6">
        <v>2.0603699999999998</v>
      </c>
      <c r="I6" s="153"/>
      <c r="J6" s="7">
        <v>-0.12429999999999999</v>
      </c>
      <c r="L6" s="150"/>
      <c r="M6" s="150"/>
      <c r="N6" s="150"/>
    </row>
    <row r="7" spans="1:14" x14ac:dyDescent="0.2">
      <c r="A7" s="8">
        <v>1</v>
      </c>
      <c r="B7" s="119">
        <v>5064.2700000000004</v>
      </c>
      <c r="C7" s="119">
        <v>2735.16</v>
      </c>
      <c r="D7" s="120"/>
      <c r="E7" s="102">
        <v>7799.43</v>
      </c>
      <c r="F7" s="104">
        <v>21188.399253000003</v>
      </c>
      <c r="G7" s="104">
        <v>7121.5360919999994</v>
      </c>
      <c r="H7" s="103">
        <v>0</v>
      </c>
      <c r="I7" s="105">
        <v>28309.935345000002</v>
      </c>
      <c r="J7" s="106">
        <v>-969.46914900000002</v>
      </c>
      <c r="L7" s="86">
        <v>6</v>
      </c>
      <c r="M7" s="86">
        <v>23</v>
      </c>
      <c r="N7" s="87">
        <v>37</v>
      </c>
    </row>
    <row r="8" spans="1:14" x14ac:dyDescent="0.2">
      <c r="A8" s="8">
        <v>2</v>
      </c>
      <c r="B8" s="114"/>
      <c r="C8" s="114"/>
      <c r="D8" s="115">
        <v>7511.81</v>
      </c>
      <c r="E8" s="107">
        <v>7511.81</v>
      </c>
      <c r="F8" s="108">
        <v>0</v>
      </c>
      <c r="G8" s="108">
        <v>0</v>
      </c>
      <c r="H8" s="109">
        <v>19558.499696999999</v>
      </c>
      <c r="I8" s="110">
        <v>19558.499696999999</v>
      </c>
      <c r="J8" s="111">
        <v>-933.717983</v>
      </c>
      <c r="L8" s="86">
        <v>9</v>
      </c>
      <c r="M8" s="86">
        <v>24</v>
      </c>
      <c r="N8" s="88">
        <v>48</v>
      </c>
    </row>
    <row r="9" spans="1:14" ht="12.75" customHeight="1" x14ac:dyDescent="0.2">
      <c r="A9" s="8">
        <v>3</v>
      </c>
      <c r="B9" s="114"/>
      <c r="C9" s="114"/>
      <c r="D9" s="121">
        <v>7711.4</v>
      </c>
      <c r="E9" s="112">
        <v>7711.4</v>
      </c>
      <c r="F9" s="108">
        <v>0</v>
      </c>
      <c r="G9" s="108">
        <v>0</v>
      </c>
      <c r="H9" s="109">
        <v>20078.172179999998</v>
      </c>
      <c r="I9" s="110">
        <v>20078.172179999998</v>
      </c>
      <c r="J9" s="111">
        <v>-958.52701999999988</v>
      </c>
      <c r="L9" s="86">
        <v>9</v>
      </c>
      <c r="M9" s="86">
        <v>20</v>
      </c>
      <c r="N9" s="89">
        <v>50</v>
      </c>
    </row>
    <row r="10" spans="1:14" ht="12.75" customHeight="1" x14ac:dyDescent="0.2">
      <c r="A10" s="8">
        <v>4</v>
      </c>
      <c r="B10" s="114">
        <v>5383.9</v>
      </c>
      <c r="C10" s="114">
        <v>2899.23</v>
      </c>
      <c r="D10" s="116"/>
      <c r="E10" s="112">
        <v>8283.1299999999992</v>
      </c>
      <c r="F10" s="108">
        <v>22525.699209999999</v>
      </c>
      <c r="G10" s="108">
        <v>7548.7251509999996</v>
      </c>
      <c r="H10" s="109">
        <v>0</v>
      </c>
      <c r="I10" s="110">
        <v>30074.424360999998</v>
      </c>
      <c r="J10" s="111">
        <v>-1029.5930589999998</v>
      </c>
      <c r="L10" s="86">
        <v>12</v>
      </c>
      <c r="M10" s="86">
        <v>28</v>
      </c>
      <c r="N10" s="86">
        <v>46</v>
      </c>
    </row>
    <row r="11" spans="1:14" x14ac:dyDescent="0.2">
      <c r="A11" s="8">
        <v>5</v>
      </c>
      <c r="B11" s="114">
        <v>5152.13</v>
      </c>
      <c r="C11" s="114">
        <v>2998.81</v>
      </c>
      <c r="D11" s="115"/>
      <c r="E11" s="112">
        <v>8150.9400000000005</v>
      </c>
      <c r="F11" s="108">
        <v>21555.996707000002</v>
      </c>
      <c r="G11" s="108">
        <v>7808.0015969999995</v>
      </c>
      <c r="H11" s="109">
        <v>0</v>
      </c>
      <c r="I11" s="110">
        <v>29363.998304000001</v>
      </c>
      <c r="J11" s="111">
        <v>-1013.161842</v>
      </c>
      <c r="L11" s="86">
        <v>11</v>
      </c>
      <c r="M11" s="86">
        <v>27</v>
      </c>
      <c r="N11" s="88">
        <v>39</v>
      </c>
    </row>
    <row r="12" spans="1:14" x14ac:dyDescent="0.2">
      <c r="A12" s="8">
        <v>6</v>
      </c>
      <c r="B12" s="114">
        <v>4677.0600000000004</v>
      </c>
      <c r="C12" s="114">
        <v>2902.47</v>
      </c>
      <c r="D12" s="115"/>
      <c r="E12" s="112">
        <v>7579.5300000000007</v>
      </c>
      <c r="F12" s="108">
        <v>19568.351334000003</v>
      </c>
      <c r="G12" s="108">
        <v>7557.1611389999989</v>
      </c>
      <c r="H12" s="109">
        <v>0</v>
      </c>
      <c r="I12" s="110">
        <v>27125.512473000003</v>
      </c>
      <c r="J12" s="111">
        <v>-942.13557900000001</v>
      </c>
      <c r="L12" s="88">
        <v>6</v>
      </c>
      <c r="M12" s="88">
        <v>15</v>
      </c>
      <c r="N12" s="88">
        <v>36</v>
      </c>
    </row>
    <row r="13" spans="1:14" x14ac:dyDescent="0.2">
      <c r="A13" s="8">
        <v>7</v>
      </c>
      <c r="B13" s="116">
        <v>5117.37</v>
      </c>
      <c r="C13" s="116">
        <v>2782.42</v>
      </c>
      <c r="D13" s="117"/>
      <c r="E13" s="112">
        <v>7899.79</v>
      </c>
      <c r="F13" s="109">
        <v>21410.564343000002</v>
      </c>
      <c r="G13" s="109">
        <v>7244.5869540000003</v>
      </c>
      <c r="H13" s="108">
        <v>0</v>
      </c>
      <c r="I13" s="110">
        <v>28655.151297000004</v>
      </c>
      <c r="J13" s="111">
        <v>-981.94389699999999</v>
      </c>
      <c r="L13" s="88">
        <v>8</v>
      </c>
      <c r="M13" s="88">
        <v>29</v>
      </c>
      <c r="N13" s="88">
        <v>40</v>
      </c>
    </row>
    <row r="14" spans="1:14" x14ac:dyDescent="0.2">
      <c r="A14" s="8">
        <v>8</v>
      </c>
      <c r="B14" s="116">
        <v>4980.67</v>
      </c>
      <c r="C14" s="116">
        <v>2978.97</v>
      </c>
      <c r="D14" s="117"/>
      <c r="E14" s="112">
        <v>7959.6399999999994</v>
      </c>
      <c r="F14" s="109">
        <v>20838.625213000003</v>
      </c>
      <c r="G14" s="109">
        <v>7756.3441889999995</v>
      </c>
      <c r="H14" s="108">
        <v>0</v>
      </c>
      <c r="I14" s="110">
        <v>28594.969402000002</v>
      </c>
      <c r="J14" s="111">
        <v>-989.38325199999986</v>
      </c>
      <c r="L14" s="88">
        <v>16</v>
      </c>
      <c r="M14" s="88">
        <v>45</v>
      </c>
      <c r="N14" s="88">
        <v>63</v>
      </c>
    </row>
    <row r="15" spans="1:14" x14ac:dyDescent="0.2">
      <c r="A15" s="8">
        <v>9</v>
      </c>
      <c r="B15" s="114"/>
      <c r="C15" s="114"/>
      <c r="D15" s="116">
        <v>9137.4599999999991</v>
      </c>
      <c r="E15" s="112">
        <v>9137.4599999999991</v>
      </c>
      <c r="F15" s="108">
        <v>0</v>
      </c>
      <c r="G15" s="108">
        <v>0</v>
      </c>
      <c r="H15" s="109">
        <v>23791.204601999998</v>
      </c>
      <c r="I15" s="110">
        <v>23791.204601999998</v>
      </c>
      <c r="J15" s="111">
        <v>-1135.7862779999998</v>
      </c>
      <c r="L15" s="88">
        <v>23</v>
      </c>
      <c r="M15" s="88">
        <v>62</v>
      </c>
      <c r="N15" s="90">
        <v>104</v>
      </c>
    </row>
    <row r="16" spans="1:14" x14ac:dyDescent="0.2">
      <c r="A16" s="8">
        <v>10</v>
      </c>
      <c r="B16" s="114"/>
      <c r="C16" s="114"/>
      <c r="D16" s="115">
        <v>9893.85</v>
      </c>
      <c r="E16" s="112">
        <v>9893.85</v>
      </c>
      <c r="F16" s="108">
        <v>0</v>
      </c>
      <c r="G16" s="108">
        <v>0</v>
      </c>
      <c r="H16" s="109">
        <v>25760.617245000001</v>
      </c>
      <c r="I16" s="110">
        <v>25760.617245000001</v>
      </c>
      <c r="J16" s="111">
        <v>-1229.8055549999999</v>
      </c>
      <c r="L16" s="88">
        <v>19</v>
      </c>
      <c r="M16" s="88">
        <v>49</v>
      </c>
      <c r="N16" s="88">
        <v>96</v>
      </c>
    </row>
    <row r="17" spans="1:14" x14ac:dyDescent="0.2">
      <c r="A17" s="8">
        <v>11</v>
      </c>
      <c r="B17" s="114">
        <v>5865.87</v>
      </c>
      <c r="C17" s="114">
        <v>3384.92</v>
      </c>
      <c r="D17" s="116"/>
      <c r="E17" s="107">
        <v>9250.7900000000009</v>
      </c>
      <c r="F17" s="108">
        <v>24542.213493000003</v>
      </c>
      <c r="G17" s="108">
        <v>8813.3162040000007</v>
      </c>
      <c r="H17" s="109">
        <v>0</v>
      </c>
      <c r="I17" s="110">
        <v>33355.529697000005</v>
      </c>
      <c r="J17" s="111">
        <v>-1149.8731970000001</v>
      </c>
      <c r="L17" s="88">
        <v>15</v>
      </c>
      <c r="M17" s="88">
        <v>37</v>
      </c>
      <c r="N17" s="88">
        <v>71</v>
      </c>
    </row>
    <row r="18" spans="1:14" s="9" customFormat="1" x14ac:dyDescent="0.2">
      <c r="A18" s="8">
        <v>12</v>
      </c>
      <c r="B18" s="116">
        <v>4935.66</v>
      </c>
      <c r="C18" s="116">
        <v>3030.13</v>
      </c>
      <c r="D18" s="114"/>
      <c r="E18" s="107">
        <v>7965.79</v>
      </c>
      <c r="F18" s="109">
        <v>20650.307874000002</v>
      </c>
      <c r="G18" s="109">
        <v>7889.549481</v>
      </c>
      <c r="H18" s="108">
        <v>0</v>
      </c>
      <c r="I18" s="110">
        <v>28539.857355</v>
      </c>
      <c r="J18" s="111">
        <v>-990.14769699999999</v>
      </c>
      <c r="L18" s="88">
        <v>10</v>
      </c>
      <c r="M18" s="88">
        <v>32</v>
      </c>
      <c r="N18" s="88">
        <v>45</v>
      </c>
    </row>
    <row r="19" spans="1:14" s="9" customFormat="1" x14ac:dyDescent="0.2">
      <c r="A19" s="8">
        <v>13</v>
      </c>
      <c r="B19" s="114">
        <v>0</v>
      </c>
      <c r="C19" s="114">
        <v>0</v>
      </c>
      <c r="D19" s="115">
        <v>5064.25</v>
      </c>
      <c r="E19" s="112">
        <v>5064.25</v>
      </c>
      <c r="F19" s="108">
        <v>0</v>
      </c>
      <c r="G19" s="108">
        <v>0</v>
      </c>
      <c r="H19" s="109">
        <v>13185.787725</v>
      </c>
      <c r="I19" s="110">
        <v>13185.787725</v>
      </c>
      <c r="J19" s="111">
        <v>-629.48627499999998</v>
      </c>
      <c r="L19" s="86">
        <v>15</v>
      </c>
      <c r="M19" s="86">
        <v>49</v>
      </c>
      <c r="N19" s="88">
        <v>95</v>
      </c>
    </row>
    <row r="20" spans="1:14" s="9" customFormat="1" x14ac:dyDescent="0.2">
      <c r="A20" s="8">
        <v>14</v>
      </c>
      <c r="B20" s="116">
        <v>6294.66</v>
      </c>
      <c r="C20" s="116">
        <v>3568.09</v>
      </c>
      <c r="D20" s="117"/>
      <c r="E20" s="112">
        <v>9862.75</v>
      </c>
      <c r="F20" s="109">
        <v>26336.227974000001</v>
      </c>
      <c r="G20" s="109">
        <v>9290.2359329999999</v>
      </c>
      <c r="H20" s="108">
        <v>0</v>
      </c>
      <c r="I20" s="110">
        <v>35626.463906999998</v>
      </c>
      <c r="J20" s="111">
        <v>-1225.9398249999999</v>
      </c>
      <c r="L20" s="88">
        <v>27</v>
      </c>
      <c r="M20" s="88">
        <v>79</v>
      </c>
      <c r="N20" s="88">
        <v>111</v>
      </c>
    </row>
    <row r="21" spans="1:14" s="9" customFormat="1" x14ac:dyDescent="0.2">
      <c r="A21" s="8">
        <v>15</v>
      </c>
      <c r="B21" s="116">
        <v>6783.39</v>
      </c>
      <c r="C21" s="116">
        <v>3557.59</v>
      </c>
      <c r="D21" s="117"/>
      <c r="E21" s="112">
        <v>10340.98</v>
      </c>
      <c r="F21" s="109">
        <v>28381.025421000006</v>
      </c>
      <c r="G21" s="109">
        <v>9262.8970829999998</v>
      </c>
      <c r="H21" s="108">
        <v>0</v>
      </c>
      <c r="I21" s="110">
        <v>37643.922504000002</v>
      </c>
      <c r="J21" s="111">
        <v>-1285.3838139999998</v>
      </c>
      <c r="L21" s="90">
        <v>35</v>
      </c>
      <c r="M21" s="90">
        <v>92</v>
      </c>
      <c r="N21" s="88">
        <v>136</v>
      </c>
    </row>
    <row r="22" spans="1:14" x14ac:dyDescent="0.2">
      <c r="A22" s="8">
        <v>16</v>
      </c>
      <c r="B22" s="114"/>
      <c r="C22" s="114"/>
      <c r="D22" s="116">
        <v>10238.34</v>
      </c>
      <c r="E22" s="112">
        <v>10238.34</v>
      </c>
      <c r="F22" s="108">
        <v>0</v>
      </c>
      <c r="G22" s="108">
        <v>0</v>
      </c>
      <c r="H22" s="109">
        <v>26657.565857999998</v>
      </c>
      <c r="I22" s="110">
        <v>26657.565857999998</v>
      </c>
      <c r="J22" s="111">
        <v>-1272.6256619999999</v>
      </c>
      <c r="L22" s="90">
        <v>26</v>
      </c>
      <c r="M22" s="90">
        <v>67</v>
      </c>
      <c r="N22" s="90">
        <v>174</v>
      </c>
    </row>
    <row r="23" spans="1:14" x14ac:dyDescent="0.2">
      <c r="A23" s="8">
        <v>17</v>
      </c>
      <c r="B23" s="114"/>
      <c r="C23" s="114"/>
      <c r="D23" s="116">
        <v>9868.49</v>
      </c>
      <c r="E23" s="112">
        <v>9868.49</v>
      </c>
      <c r="F23" s="108">
        <v>0</v>
      </c>
      <c r="G23" s="108">
        <v>0</v>
      </c>
      <c r="H23" s="109">
        <v>25694.587412999997</v>
      </c>
      <c r="I23" s="110">
        <v>25694.587412999997</v>
      </c>
      <c r="J23" s="111">
        <v>-1226.6533069999998</v>
      </c>
      <c r="L23" s="86">
        <v>31</v>
      </c>
      <c r="M23" s="86">
        <v>83</v>
      </c>
      <c r="N23" s="90">
        <v>170</v>
      </c>
    </row>
    <row r="24" spans="1:14" x14ac:dyDescent="0.2">
      <c r="A24" s="8">
        <v>18</v>
      </c>
      <c r="B24" s="114">
        <v>6123.24</v>
      </c>
      <c r="C24" s="114">
        <v>3346.62</v>
      </c>
      <c r="D24" s="118"/>
      <c r="E24" s="107">
        <v>9469.86</v>
      </c>
      <c r="F24" s="108">
        <v>25619.023836</v>
      </c>
      <c r="G24" s="108">
        <v>8713.594493999999</v>
      </c>
      <c r="H24" s="109">
        <v>0</v>
      </c>
      <c r="I24" s="110">
        <v>34332.618329999998</v>
      </c>
      <c r="J24" s="111">
        <v>-1177.1035979999999</v>
      </c>
      <c r="L24" s="86">
        <v>20</v>
      </c>
      <c r="M24" s="86">
        <v>60</v>
      </c>
      <c r="N24" s="90">
        <v>170</v>
      </c>
    </row>
    <row r="25" spans="1:14" x14ac:dyDescent="0.2">
      <c r="A25" s="8">
        <v>19</v>
      </c>
      <c r="B25" s="114">
        <v>6458.2</v>
      </c>
      <c r="C25" s="114">
        <v>3406</v>
      </c>
      <c r="D25" s="115"/>
      <c r="E25" s="107">
        <v>9864.2000000000007</v>
      </c>
      <c r="F25" s="108">
        <v>27020.46298</v>
      </c>
      <c r="G25" s="108">
        <v>8868.2021999999997</v>
      </c>
      <c r="H25" s="109">
        <v>0</v>
      </c>
      <c r="I25" s="110">
        <v>35888.665179999996</v>
      </c>
      <c r="J25" s="111">
        <v>-1226.12006</v>
      </c>
      <c r="L25" s="86">
        <v>28</v>
      </c>
      <c r="M25" s="86">
        <v>84</v>
      </c>
      <c r="N25" s="90">
        <v>144</v>
      </c>
    </row>
    <row r="26" spans="1:14" x14ac:dyDescent="0.2">
      <c r="A26" s="8">
        <v>20</v>
      </c>
      <c r="B26" s="114">
        <v>6622</v>
      </c>
      <c r="C26" s="114">
        <v>3578.24</v>
      </c>
      <c r="D26" s="116"/>
      <c r="E26" s="107">
        <v>10200.24</v>
      </c>
      <c r="F26" s="108">
        <v>27705.785800000001</v>
      </c>
      <c r="G26" s="108">
        <v>9316.6634879999983</v>
      </c>
      <c r="H26" s="109">
        <v>0</v>
      </c>
      <c r="I26" s="110">
        <v>37022.449288000003</v>
      </c>
      <c r="J26" s="111">
        <v>-1267.8898319999998</v>
      </c>
      <c r="L26" s="88">
        <v>32</v>
      </c>
      <c r="M26" s="88">
        <v>90</v>
      </c>
      <c r="N26" s="88">
        <v>157</v>
      </c>
    </row>
    <row r="27" spans="1:14" x14ac:dyDescent="0.2">
      <c r="A27" s="8">
        <v>21</v>
      </c>
      <c r="B27" s="116">
        <v>6400.81</v>
      </c>
      <c r="C27" s="116">
        <v>3795.73</v>
      </c>
      <c r="D27" s="114"/>
      <c r="E27" s="107">
        <v>10196.540000000001</v>
      </c>
      <c r="F27" s="109">
        <v>26780.348959000003</v>
      </c>
      <c r="G27" s="109">
        <v>9882.9422009999998</v>
      </c>
      <c r="H27" s="108">
        <v>0</v>
      </c>
      <c r="I27" s="110">
        <v>36663.291160000001</v>
      </c>
      <c r="J27" s="111">
        <v>-1267.429922</v>
      </c>
      <c r="K27" s="1" t="s">
        <v>29</v>
      </c>
      <c r="L27" s="90">
        <v>28</v>
      </c>
      <c r="M27" s="90">
        <v>92</v>
      </c>
      <c r="N27" s="88">
        <v>156</v>
      </c>
    </row>
    <row r="28" spans="1:14" x14ac:dyDescent="0.2">
      <c r="A28" s="8">
        <v>22</v>
      </c>
      <c r="B28" s="116">
        <v>6539.51</v>
      </c>
      <c r="C28" s="116">
        <v>3718.83</v>
      </c>
      <c r="D28" s="117"/>
      <c r="E28" s="107">
        <v>10258.34</v>
      </c>
      <c r="F28" s="109">
        <v>27360.655889000005</v>
      </c>
      <c r="G28" s="109">
        <v>9682.7176710000003</v>
      </c>
      <c r="H28" s="108">
        <v>0</v>
      </c>
      <c r="I28" s="110">
        <v>37043.373560000007</v>
      </c>
      <c r="J28" s="111">
        <v>-1275.111662</v>
      </c>
      <c r="L28" s="86">
        <v>44</v>
      </c>
      <c r="M28" s="90">
        <v>130</v>
      </c>
      <c r="N28" s="90">
        <v>238</v>
      </c>
    </row>
    <row r="29" spans="1:14" x14ac:dyDescent="0.2">
      <c r="A29" s="8">
        <v>23</v>
      </c>
      <c r="B29" s="114"/>
      <c r="C29" s="114"/>
      <c r="D29" s="118">
        <v>10078.719999999999</v>
      </c>
      <c r="E29" s="112">
        <v>10078.719999999999</v>
      </c>
      <c r="F29" s="108">
        <v>0</v>
      </c>
      <c r="G29" s="108">
        <v>0</v>
      </c>
      <c r="H29" s="109">
        <v>26241.963263999998</v>
      </c>
      <c r="I29" s="110">
        <v>26241.963263999998</v>
      </c>
      <c r="J29" s="111">
        <v>-1252.7848959999999</v>
      </c>
      <c r="L29" s="88">
        <v>43</v>
      </c>
      <c r="M29" s="88">
        <v>130</v>
      </c>
      <c r="N29" s="90">
        <v>239</v>
      </c>
    </row>
    <row r="30" spans="1:14" x14ac:dyDescent="0.2">
      <c r="A30" s="8">
        <v>24</v>
      </c>
      <c r="B30" s="114"/>
      <c r="C30" s="114"/>
      <c r="D30" s="116">
        <v>10215.26</v>
      </c>
      <c r="E30" s="112">
        <v>10215.26</v>
      </c>
      <c r="F30" s="108">
        <v>0</v>
      </c>
      <c r="G30" s="108">
        <v>0</v>
      </c>
      <c r="H30" s="109">
        <v>26597.472461999998</v>
      </c>
      <c r="I30" s="110">
        <v>26597.472461999998</v>
      </c>
      <c r="J30" s="111">
        <v>-1269.7568180000001</v>
      </c>
      <c r="L30" s="88">
        <v>36</v>
      </c>
      <c r="M30" s="88">
        <v>125</v>
      </c>
      <c r="N30" s="90">
        <v>353</v>
      </c>
    </row>
    <row r="31" spans="1:14" x14ac:dyDescent="0.2">
      <c r="A31" s="8">
        <v>25</v>
      </c>
      <c r="B31" s="114">
        <v>6076.95</v>
      </c>
      <c r="C31" s="114">
        <v>3524.02</v>
      </c>
      <c r="D31" s="116"/>
      <c r="E31" s="107">
        <v>9600.9699999999993</v>
      </c>
      <c r="F31" s="108">
        <v>25425.351105000002</v>
      </c>
      <c r="G31" s="108">
        <v>9175.4908739999992</v>
      </c>
      <c r="H31" s="109">
        <v>0</v>
      </c>
      <c r="I31" s="110">
        <v>34600.841979000004</v>
      </c>
      <c r="J31" s="111">
        <v>-1193.4005709999999</v>
      </c>
      <c r="L31" s="88">
        <v>21</v>
      </c>
      <c r="M31" s="88">
        <v>70</v>
      </c>
      <c r="N31" s="90">
        <v>196</v>
      </c>
    </row>
    <row r="32" spans="1:14" x14ac:dyDescent="0.2">
      <c r="A32" s="8">
        <v>26</v>
      </c>
      <c r="B32" s="114">
        <v>5819.48</v>
      </c>
      <c r="C32" s="114">
        <v>3407.49</v>
      </c>
      <c r="D32" s="115"/>
      <c r="E32" s="107">
        <v>9226.9699999999993</v>
      </c>
      <c r="F32" s="108">
        <v>24348.122372000002</v>
      </c>
      <c r="G32" s="108">
        <v>8872.0817129999996</v>
      </c>
      <c r="H32" s="109">
        <v>0</v>
      </c>
      <c r="I32" s="110">
        <v>33220.204085000005</v>
      </c>
      <c r="J32" s="111">
        <v>-1146.9123709999999</v>
      </c>
      <c r="L32" s="88">
        <v>25</v>
      </c>
      <c r="M32" s="88">
        <v>76</v>
      </c>
      <c r="N32" s="90">
        <v>131</v>
      </c>
    </row>
    <row r="33" spans="1:14" x14ac:dyDescent="0.2">
      <c r="A33" s="8">
        <v>27</v>
      </c>
      <c r="B33" s="114">
        <v>5937.67</v>
      </c>
      <c r="C33" s="114">
        <v>3498.5</v>
      </c>
      <c r="D33" s="115"/>
      <c r="E33" s="107">
        <v>9436.17</v>
      </c>
      <c r="F33" s="108">
        <v>24842.617513000001</v>
      </c>
      <c r="G33" s="108">
        <v>9109.0444499999994</v>
      </c>
      <c r="H33" s="109">
        <v>0</v>
      </c>
      <c r="I33" s="110">
        <v>33951.661962999999</v>
      </c>
      <c r="J33" s="111">
        <v>-1172.915931</v>
      </c>
      <c r="L33" s="88">
        <v>18</v>
      </c>
      <c r="M33" s="88">
        <v>39</v>
      </c>
      <c r="N33" s="90">
        <v>140</v>
      </c>
    </row>
    <row r="34" spans="1:14" x14ac:dyDescent="0.2">
      <c r="A34" s="8">
        <v>28</v>
      </c>
      <c r="B34" s="114">
        <v>5423.95</v>
      </c>
      <c r="C34" s="114">
        <v>3043.31</v>
      </c>
      <c r="D34" s="115"/>
      <c r="E34" s="107">
        <v>8467.26</v>
      </c>
      <c r="F34" s="108">
        <v>22693.264405000002</v>
      </c>
      <c r="G34" s="108">
        <v>7923.8662469999999</v>
      </c>
      <c r="H34" s="109">
        <v>0</v>
      </c>
      <c r="I34" s="110">
        <v>30617.130652</v>
      </c>
      <c r="J34" s="111">
        <v>-1052.4804179999999</v>
      </c>
      <c r="L34" s="88">
        <v>15</v>
      </c>
      <c r="M34" s="88">
        <v>32</v>
      </c>
      <c r="N34" s="90">
        <v>79</v>
      </c>
    </row>
    <row r="35" spans="1:14" x14ac:dyDescent="0.2">
      <c r="A35" s="8">
        <v>29</v>
      </c>
      <c r="B35" s="114">
        <v>5525.65</v>
      </c>
      <c r="C35" s="114">
        <v>3085.34</v>
      </c>
      <c r="D35" s="115"/>
      <c r="E35" s="107">
        <v>8610.99</v>
      </c>
      <c r="F35" s="108">
        <v>23118.767035000001</v>
      </c>
      <c r="G35" s="108">
        <v>8033.2997580000001</v>
      </c>
      <c r="H35" s="109">
        <v>0</v>
      </c>
      <c r="I35" s="110">
        <v>31152.066793000002</v>
      </c>
      <c r="J35" s="111">
        <v>-1070.346057</v>
      </c>
      <c r="L35" s="88">
        <v>13</v>
      </c>
      <c r="M35" s="88">
        <v>27</v>
      </c>
      <c r="N35" s="88">
        <v>72</v>
      </c>
    </row>
    <row r="36" spans="1:14" x14ac:dyDescent="0.2">
      <c r="A36" s="8">
        <v>30</v>
      </c>
      <c r="B36" s="114"/>
      <c r="C36" s="114"/>
      <c r="D36" s="115">
        <v>8472.16</v>
      </c>
      <c r="E36" s="107">
        <v>8472.16</v>
      </c>
      <c r="F36" s="108">
        <v>0</v>
      </c>
      <c r="G36" s="108">
        <v>0</v>
      </c>
      <c r="H36" s="109">
        <v>22058.962991999997</v>
      </c>
      <c r="I36" s="110">
        <v>22058.962991999997</v>
      </c>
      <c r="J36" s="111">
        <v>-1053.0894879999998</v>
      </c>
      <c r="L36" s="88">
        <v>17</v>
      </c>
      <c r="M36" s="88">
        <v>39</v>
      </c>
      <c r="N36" s="88">
        <v>81</v>
      </c>
    </row>
    <row r="37" spans="1:14" x14ac:dyDescent="0.2">
      <c r="A37" s="8">
        <v>31</v>
      </c>
      <c r="B37" s="114"/>
      <c r="C37" s="114"/>
      <c r="D37" s="115">
        <v>8041.32</v>
      </c>
      <c r="E37" s="107">
        <v>8041.32</v>
      </c>
      <c r="F37" s="108">
        <v>0</v>
      </c>
      <c r="G37" s="108">
        <v>0</v>
      </c>
      <c r="H37" s="109">
        <v>20937.184883999998</v>
      </c>
      <c r="I37" s="110">
        <v>20937.184883999998</v>
      </c>
      <c r="J37" s="111">
        <v>-999.53607599999987</v>
      </c>
      <c r="K37" s="97"/>
      <c r="L37" s="88">
        <v>10</v>
      </c>
      <c r="M37" s="88">
        <v>24</v>
      </c>
      <c r="N37" s="88">
        <v>66</v>
      </c>
    </row>
    <row r="38" spans="1:14" x14ac:dyDescent="0.2">
      <c r="A38" s="8"/>
      <c r="B38" s="91"/>
      <c r="C38" s="92"/>
      <c r="D38" s="93"/>
      <c r="E38" s="98"/>
      <c r="F38" s="94"/>
      <c r="G38" s="94"/>
      <c r="H38" s="94"/>
      <c r="I38" s="95"/>
      <c r="J38" s="96"/>
      <c r="K38" s="97"/>
      <c r="L38" s="91"/>
      <c r="M38" s="93"/>
      <c r="N38" s="93"/>
    </row>
    <row r="39" spans="1:14" ht="13.5" thickBot="1" x14ac:dyDescent="0.25">
      <c r="A39" s="158" t="s">
        <v>18</v>
      </c>
      <c r="B39" s="159">
        <f t="shared" ref="B39:J39" si="0">SUM(B7:B37)</f>
        <v>115182.43999999999</v>
      </c>
      <c r="C39" s="159">
        <f t="shared" si="0"/>
        <v>65241.869999999995</v>
      </c>
      <c r="D39" s="160">
        <f t="shared" si="0"/>
        <v>96233.06</v>
      </c>
      <c r="E39" s="159">
        <f t="shared" si="0"/>
        <v>276657.37</v>
      </c>
      <c r="F39" s="159">
        <f>SUM(F7:F37)</f>
        <v>481911.81071600009</v>
      </c>
      <c r="G39" s="159">
        <f>SUM(G7:G37)</f>
        <v>169870.25691899998</v>
      </c>
      <c r="H39" s="159">
        <f>SUM(H7:H37)</f>
        <v>250562.01832199996</v>
      </c>
      <c r="I39" s="159">
        <f>SUM(I7:I37)</f>
        <v>902344.08595699992</v>
      </c>
      <c r="J39" s="159">
        <f t="shared" si="0"/>
        <v>-34388.511090999993</v>
      </c>
      <c r="M39" s="100"/>
    </row>
    <row r="40" spans="1:14" ht="13.5" thickTop="1" x14ac:dyDescent="0.2">
      <c r="A40" s="10"/>
      <c r="B40" s="10"/>
      <c r="C40" s="10"/>
      <c r="D40" s="10"/>
      <c r="E40" s="11"/>
      <c r="F40" s="10"/>
      <c r="G40" s="12" t="s">
        <v>69</v>
      </c>
      <c r="H40" s="12"/>
      <c r="I40" s="13">
        <f>A42*132.93</f>
        <v>0</v>
      </c>
      <c r="J40" s="10"/>
    </row>
    <row r="41" spans="1:14" x14ac:dyDescent="0.2">
      <c r="A41" s="14" t="s">
        <v>70</v>
      </c>
      <c r="B41" s="14"/>
      <c r="C41" s="130" t="s">
        <v>30</v>
      </c>
      <c r="D41" s="131"/>
      <c r="E41" s="15" t="s">
        <v>71</v>
      </c>
      <c r="F41" s="10"/>
      <c r="G41" s="12" t="s">
        <v>72</v>
      </c>
      <c r="H41" s="12"/>
      <c r="I41" s="13">
        <v>312.24</v>
      </c>
      <c r="J41" s="11"/>
    </row>
    <row r="42" spans="1:14" x14ac:dyDescent="0.2">
      <c r="A42" s="132"/>
      <c r="B42" s="133"/>
      <c r="C42" s="134"/>
      <c r="D42" s="135"/>
      <c r="E42" s="16">
        <v>18.3</v>
      </c>
      <c r="F42" s="10"/>
      <c r="G42" s="12" t="s">
        <v>73</v>
      </c>
      <c r="H42" s="12"/>
      <c r="I42" s="13">
        <f>SUM(I39:I41)</f>
        <v>902656.32595699991</v>
      </c>
      <c r="J42" s="11"/>
    </row>
    <row r="43" spans="1:14" x14ac:dyDescent="0.2">
      <c r="A43" s="12"/>
      <c r="B43" s="12"/>
      <c r="C43" s="12"/>
      <c r="E43" s="10"/>
      <c r="F43" s="10"/>
      <c r="G43" s="12" t="s">
        <v>74</v>
      </c>
      <c r="H43" s="12"/>
      <c r="I43" s="13">
        <f>J39</f>
        <v>-34388.511090999993</v>
      </c>
      <c r="J43" s="10"/>
    </row>
    <row r="44" spans="1:14" x14ac:dyDescent="0.2">
      <c r="D44" s="17"/>
      <c r="E44" s="18"/>
      <c r="F44" s="10"/>
      <c r="G44" s="12" t="s">
        <v>75</v>
      </c>
      <c r="H44" s="12"/>
      <c r="I44" s="13">
        <f>SUM(I42:I43)</f>
        <v>868267.81486599986</v>
      </c>
      <c r="J44" s="11"/>
    </row>
    <row r="45" spans="1:14" x14ac:dyDescent="0.2">
      <c r="A45" s="10"/>
      <c r="B45" s="10"/>
      <c r="C45" s="10"/>
      <c r="D45" s="10"/>
      <c r="E45" s="11"/>
      <c r="F45" s="10"/>
      <c r="G45" s="19" t="s">
        <v>76</v>
      </c>
      <c r="H45" s="12"/>
      <c r="I45" s="13">
        <f>I44*0.07</f>
        <v>60778.747040619994</v>
      </c>
      <c r="J45" s="11"/>
    </row>
    <row r="46" spans="1:14" x14ac:dyDescent="0.2">
      <c r="A46" s="10"/>
      <c r="B46" s="10"/>
      <c r="C46" s="10"/>
      <c r="D46" s="10"/>
      <c r="E46" s="11"/>
      <c r="F46" s="10"/>
      <c r="G46" s="12" t="s">
        <v>18</v>
      </c>
      <c r="H46" s="12"/>
      <c r="I46" s="20">
        <f>SUM(I44:I45)</f>
        <v>929046.56190661981</v>
      </c>
      <c r="J46" s="11"/>
    </row>
    <row r="48" spans="1:14" x14ac:dyDescent="0.2">
      <c r="C48" s="21" t="s">
        <v>31</v>
      </c>
      <c r="D48" s="22" t="s">
        <v>32</v>
      </c>
      <c r="E48" s="22"/>
      <c r="F48" s="22"/>
      <c r="G48" s="22"/>
      <c r="H48" s="22"/>
      <c r="I48" s="22"/>
    </row>
    <row r="49" spans="3:3" x14ac:dyDescent="0.2">
      <c r="C49" s="1" t="s">
        <v>29</v>
      </c>
    </row>
  </sheetData>
  <mergeCells count="14">
    <mergeCell ref="L4:L6"/>
    <mergeCell ref="M4:M6"/>
    <mergeCell ref="N4:N6"/>
    <mergeCell ref="I4:I6"/>
    <mergeCell ref="J4:J5"/>
    <mergeCell ref="C41:D41"/>
    <mergeCell ref="A42:B42"/>
    <mergeCell ref="C42:D42"/>
    <mergeCell ref="E4:E5"/>
    <mergeCell ref="A3:B3"/>
    <mergeCell ref="A4:A6"/>
    <mergeCell ref="B4:B6"/>
    <mergeCell ref="C4:C6"/>
    <mergeCell ref="D4:D6"/>
  </mergeCells>
  <pageMargins left="0.7" right="0.7" top="0.75" bottom="0.75" header="0.3" footer="0.3"/>
  <pageSetup paperSize="9" scale="135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AY54"/>
  <sheetViews>
    <sheetView topLeftCell="A6" zoomScale="70" zoomScaleNormal="70" workbookViewId="0">
      <pane xSplit="1" ySplit="3" topLeftCell="V27" activePane="bottomRight" state="frozen"/>
      <selection pane="topRight" activeCell="B6" sqref="B6"/>
      <selection pane="bottomLeft" activeCell="A9" sqref="A9"/>
      <selection pane="bottomRight" activeCell="C43" sqref="C43"/>
    </sheetView>
  </sheetViews>
  <sheetFormatPr defaultColWidth="9.85546875" defaultRowHeight="15" x14ac:dyDescent="0.25"/>
  <cols>
    <col min="1" max="1" width="5.85546875" style="23" customWidth="1"/>
    <col min="2" max="2" width="9.140625" style="23" customWidth="1"/>
    <col min="3" max="3" width="10" style="23" customWidth="1"/>
    <col min="4" max="4" width="9.140625" style="23" customWidth="1"/>
    <col min="5" max="5" width="10" style="23" customWidth="1"/>
    <col min="6" max="19" width="9.140625" style="23" customWidth="1"/>
    <col min="20" max="20" width="8.140625" style="23" customWidth="1"/>
    <col min="21" max="25" width="9.140625" style="23" customWidth="1"/>
    <col min="26" max="26" width="11.42578125" style="23" customWidth="1"/>
    <col min="27" max="27" width="9.140625" style="23" customWidth="1"/>
    <col min="28" max="28" width="12.28515625" style="23" customWidth="1"/>
    <col min="29" max="30" width="9.140625" style="23" customWidth="1"/>
    <col min="31" max="32" width="7.7109375" style="23" hidden="1" customWidth="1"/>
    <col min="33" max="33" width="12.42578125" style="23" customWidth="1"/>
    <col min="34" max="36" width="9.140625" style="23" customWidth="1"/>
    <col min="37" max="37" width="10.42578125" style="23" customWidth="1"/>
    <col min="38" max="48" width="9.140625" style="23" customWidth="1"/>
    <col min="49" max="49" width="16.42578125" style="23" customWidth="1"/>
    <col min="50" max="50" width="9.140625" style="24" hidden="1" customWidth="1"/>
    <col min="51" max="51" width="0" hidden="1" customWidth="1"/>
    <col min="52" max="16384" width="9.85546875" style="24"/>
  </cols>
  <sheetData>
    <row r="1" spans="1:51" ht="15" hidden="1" customHeight="1" x14ac:dyDescent="0.25"/>
    <row r="2" spans="1:51" ht="15" hidden="1" customHeight="1" x14ac:dyDescent="0.25">
      <c r="A2" s="23" t="s">
        <v>33</v>
      </c>
    </row>
    <row r="3" spans="1:51" ht="15" hidden="1" customHeight="1" x14ac:dyDescent="0.25">
      <c r="D3" s="25" t="s">
        <v>34</v>
      </c>
      <c r="E3" s="26"/>
      <c r="F3" s="24"/>
    </row>
    <row r="4" spans="1:51" ht="15" hidden="1" customHeight="1" x14ac:dyDescent="0.25">
      <c r="D4" s="25" t="s">
        <v>35</v>
      </c>
      <c r="E4" s="26"/>
      <c r="F4" s="24"/>
      <c r="I4" s="156" t="s">
        <v>36</v>
      </c>
      <c r="J4" s="156"/>
      <c r="K4" s="156"/>
      <c r="L4" s="156"/>
      <c r="M4" s="156"/>
      <c r="N4" s="156"/>
      <c r="O4" s="156"/>
      <c r="P4" s="156"/>
      <c r="Q4" s="156"/>
      <c r="R4" s="156"/>
    </row>
    <row r="5" spans="1:51" ht="15" hidden="1" customHeight="1" x14ac:dyDescent="0.25"/>
    <row r="6" spans="1:51" ht="28.5" customHeight="1" thickBot="1" x14ac:dyDescent="0.35">
      <c r="D6" s="157">
        <v>44470</v>
      </c>
      <c r="E6" s="157"/>
      <c r="F6" s="157"/>
      <c r="G6" s="27"/>
      <c r="H6" s="27"/>
      <c r="I6" s="27"/>
      <c r="J6" s="27"/>
      <c r="K6" s="28"/>
      <c r="L6" s="27"/>
      <c r="M6" s="27"/>
      <c r="N6" s="27"/>
      <c r="O6" s="27"/>
      <c r="P6" s="29"/>
      <c r="Q6" s="27"/>
      <c r="R6" s="29"/>
      <c r="S6" s="27"/>
      <c r="T6" s="29"/>
      <c r="U6" s="27"/>
      <c r="V6" s="29"/>
      <c r="W6" s="27"/>
      <c r="X6" s="29"/>
      <c r="Y6" s="27"/>
      <c r="Z6" s="29"/>
      <c r="AA6" s="27"/>
      <c r="AB6" s="27"/>
      <c r="AC6" s="29"/>
      <c r="AD6" s="27"/>
      <c r="AE6" s="29"/>
      <c r="AF6" s="27"/>
      <c r="AG6" s="30" t="s">
        <v>37</v>
      </c>
      <c r="AI6" s="27"/>
      <c r="AJ6" s="27"/>
      <c r="AK6" s="31"/>
      <c r="AL6" s="31"/>
      <c r="AU6" s="32" t="s">
        <v>38</v>
      </c>
      <c r="AV6" s="27"/>
    </row>
    <row r="7" spans="1:51" s="55" customFormat="1" ht="81.75" customHeight="1" thickBot="1" x14ac:dyDescent="0.3">
      <c r="A7" s="33" t="s">
        <v>30</v>
      </c>
      <c r="B7" s="34" t="s">
        <v>39</v>
      </c>
      <c r="C7" s="34" t="s">
        <v>40</v>
      </c>
      <c r="D7" s="35" t="s">
        <v>41</v>
      </c>
      <c r="E7" s="35" t="s">
        <v>40</v>
      </c>
      <c r="F7" s="36" t="s">
        <v>42</v>
      </c>
      <c r="G7" s="36" t="s">
        <v>40</v>
      </c>
      <c r="H7" s="37" t="s">
        <v>43</v>
      </c>
      <c r="I7" s="37" t="s">
        <v>40</v>
      </c>
      <c r="J7" s="38" t="s">
        <v>44</v>
      </c>
      <c r="K7" s="38" t="s">
        <v>40</v>
      </c>
      <c r="L7" s="39" t="s">
        <v>45</v>
      </c>
      <c r="M7" s="39" t="s">
        <v>40</v>
      </c>
      <c r="N7" s="40" t="s">
        <v>46</v>
      </c>
      <c r="O7" s="40" t="s">
        <v>40</v>
      </c>
      <c r="P7" s="41" t="s">
        <v>47</v>
      </c>
      <c r="Q7" s="41" t="s">
        <v>40</v>
      </c>
      <c r="R7" s="42" t="s">
        <v>48</v>
      </c>
      <c r="S7" s="42" t="s">
        <v>40</v>
      </c>
      <c r="T7" s="43" t="s">
        <v>49</v>
      </c>
      <c r="U7" s="43" t="s">
        <v>40</v>
      </c>
      <c r="V7" s="44" t="s">
        <v>50</v>
      </c>
      <c r="W7" s="44" t="s">
        <v>40</v>
      </c>
      <c r="X7" s="41" t="s">
        <v>51</v>
      </c>
      <c r="Y7" s="41" t="s">
        <v>40</v>
      </c>
      <c r="Z7" s="128" t="s">
        <v>52</v>
      </c>
      <c r="AA7" s="45" t="s">
        <v>40</v>
      </c>
      <c r="AB7" s="46" t="s">
        <v>53</v>
      </c>
      <c r="AC7" s="34" t="s">
        <v>54</v>
      </c>
      <c r="AD7" s="34" t="s">
        <v>40</v>
      </c>
      <c r="AE7" s="47" t="s">
        <v>55</v>
      </c>
      <c r="AF7" s="47" t="s">
        <v>40</v>
      </c>
      <c r="AG7" s="48" t="s">
        <v>56</v>
      </c>
      <c r="AH7" s="49" t="s">
        <v>40</v>
      </c>
      <c r="AI7" s="50" t="s">
        <v>57</v>
      </c>
      <c r="AJ7" s="50" t="s">
        <v>40</v>
      </c>
      <c r="AK7" s="33" t="s">
        <v>58</v>
      </c>
      <c r="AL7" s="33" t="s">
        <v>40</v>
      </c>
      <c r="AM7" s="51" t="s">
        <v>59</v>
      </c>
      <c r="AN7" s="51" t="s">
        <v>40</v>
      </c>
      <c r="AO7" s="37" t="s">
        <v>60</v>
      </c>
      <c r="AP7" s="37" t="s">
        <v>40</v>
      </c>
      <c r="AQ7" s="41" t="s">
        <v>61</v>
      </c>
      <c r="AR7" s="41" t="s">
        <v>40</v>
      </c>
      <c r="AS7" s="52" t="s">
        <v>62</v>
      </c>
      <c r="AT7" s="52" t="s">
        <v>40</v>
      </c>
      <c r="AU7" s="35" t="s">
        <v>63</v>
      </c>
      <c r="AV7" s="35" t="s">
        <v>40</v>
      </c>
      <c r="AW7" s="53" t="s">
        <v>64</v>
      </c>
      <c r="AX7" s="54" t="s">
        <v>65</v>
      </c>
    </row>
    <row r="8" spans="1:51" s="59" customFormat="1" ht="15.75" customHeight="1" thickBot="1" x14ac:dyDescent="0.3">
      <c r="A8" s="56">
        <v>30</v>
      </c>
      <c r="B8" s="56">
        <v>27735</v>
      </c>
      <c r="C8" s="56"/>
      <c r="D8" s="56">
        <v>12567</v>
      </c>
      <c r="E8" s="56"/>
      <c r="F8" s="56">
        <v>32602</v>
      </c>
      <c r="G8" s="56"/>
      <c r="H8" s="56">
        <v>25848</v>
      </c>
      <c r="I8" s="56"/>
      <c r="J8" s="56">
        <v>21336</v>
      </c>
      <c r="K8" s="56"/>
      <c r="L8" s="56">
        <v>15900</v>
      </c>
      <c r="M8" s="56"/>
      <c r="N8" s="56">
        <v>14365</v>
      </c>
      <c r="O8" s="56"/>
      <c r="P8" s="56">
        <v>21007</v>
      </c>
      <c r="Q8" s="56"/>
      <c r="R8" s="56">
        <v>25277</v>
      </c>
      <c r="S8" s="56"/>
      <c r="T8" s="56">
        <v>1263</v>
      </c>
      <c r="U8" s="56"/>
      <c r="V8" s="56">
        <v>3244</v>
      </c>
      <c r="W8" s="56"/>
      <c r="X8" s="56">
        <v>30848</v>
      </c>
      <c r="Y8" s="56"/>
      <c r="Z8" s="56">
        <v>12893</v>
      </c>
      <c r="AA8" s="56"/>
      <c r="AB8" s="56"/>
      <c r="AC8" s="56">
        <v>13381</v>
      </c>
      <c r="AD8" s="56"/>
      <c r="AE8" s="56">
        <v>4962</v>
      </c>
      <c r="AF8" s="56"/>
      <c r="AG8" s="56">
        <v>5042</v>
      </c>
      <c r="AH8" s="56"/>
      <c r="AI8" s="56">
        <v>39345</v>
      </c>
      <c r="AJ8" s="56"/>
      <c r="AK8" s="56">
        <v>4601</v>
      </c>
      <c r="AL8" s="56"/>
      <c r="AM8" s="56">
        <v>1343</v>
      </c>
      <c r="AN8" s="56"/>
      <c r="AO8" s="56">
        <v>1485</v>
      </c>
      <c r="AP8" s="56"/>
      <c r="AQ8" s="56">
        <v>527</v>
      </c>
      <c r="AR8" s="56"/>
      <c r="AS8" s="56">
        <v>1382</v>
      </c>
      <c r="AT8" s="56"/>
      <c r="AU8" s="56">
        <v>9829</v>
      </c>
      <c r="AV8" s="56"/>
      <c r="AW8" s="57">
        <v>48</v>
      </c>
      <c r="AX8" s="58"/>
    </row>
    <row r="9" spans="1:51" ht="15.75" customHeight="1" x14ac:dyDescent="0.2">
      <c r="A9" s="60">
        <v>1</v>
      </c>
      <c r="B9" s="101">
        <v>27741</v>
      </c>
      <c r="C9" s="124">
        <v>6</v>
      </c>
      <c r="D9" s="101">
        <v>12571</v>
      </c>
      <c r="E9" s="124">
        <v>4</v>
      </c>
      <c r="F9" s="101">
        <v>32608</v>
      </c>
      <c r="G9" s="124">
        <v>6</v>
      </c>
      <c r="H9" s="101">
        <v>25853</v>
      </c>
      <c r="I9" s="124">
        <v>5</v>
      </c>
      <c r="J9" s="101">
        <v>21337</v>
      </c>
      <c r="K9" s="124">
        <v>1</v>
      </c>
      <c r="L9" s="101">
        <v>15904</v>
      </c>
      <c r="M9" s="124">
        <v>4</v>
      </c>
      <c r="N9" s="101">
        <v>14371</v>
      </c>
      <c r="O9" s="124">
        <v>6</v>
      </c>
      <c r="P9" s="101">
        <v>21009</v>
      </c>
      <c r="Q9" s="124">
        <v>2</v>
      </c>
      <c r="R9" s="101">
        <v>25277</v>
      </c>
      <c r="S9" s="124">
        <v>0</v>
      </c>
      <c r="T9" s="101">
        <v>1264</v>
      </c>
      <c r="U9" s="124">
        <v>1</v>
      </c>
      <c r="V9" s="101">
        <v>3244</v>
      </c>
      <c r="W9" s="124">
        <v>0</v>
      </c>
      <c r="X9" s="101">
        <v>30853</v>
      </c>
      <c r="Y9" s="124">
        <v>5</v>
      </c>
      <c r="Z9" s="101">
        <v>12893</v>
      </c>
      <c r="AA9" s="124">
        <v>0</v>
      </c>
      <c r="AB9" s="124">
        <v>24</v>
      </c>
      <c r="AC9" s="101">
        <v>13384</v>
      </c>
      <c r="AD9" s="125">
        <v>3</v>
      </c>
      <c r="AE9" s="101"/>
      <c r="AF9" s="122"/>
      <c r="AG9" s="101">
        <v>5044</v>
      </c>
      <c r="AH9" s="122">
        <v>2</v>
      </c>
      <c r="AI9" s="101">
        <v>39346</v>
      </c>
      <c r="AJ9" s="124">
        <v>1</v>
      </c>
      <c r="AK9" s="101">
        <v>4602</v>
      </c>
      <c r="AL9" s="124">
        <v>1</v>
      </c>
      <c r="AM9" s="101">
        <v>1344</v>
      </c>
      <c r="AN9" s="124">
        <v>1</v>
      </c>
      <c r="AO9" s="101">
        <v>1487</v>
      </c>
      <c r="AP9" s="124">
        <v>2</v>
      </c>
      <c r="AQ9" s="101">
        <v>527</v>
      </c>
      <c r="AR9" s="124">
        <v>0</v>
      </c>
      <c r="AS9" s="101">
        <v>1383</v>
      </c>
      <c r="AT9" s="124">
        <v>1</v>
      </c>
      <c r="AU9" s="101">
        <v>9833</v>
      </c>
      <c r="AV9" s="124">
        <v>4</v>
      </c>
      <c r="AW9" s="127">
        <v>55</v>
      </c>
      <c r="AX9" s="61" t="s">
        <v>66</v>
      </c>
      <c r="AY9" s="62" t="s">
        <v>67</v>
      </c>
    </row>
    <row r="10" spans="1:51" ht="15.75" customHeight="1" x14ac:dyDescent="0.2">
      <c r="A10" s="63">
        <v>2</v>
      </c>
      <c r="B10" s="101">
        <v>27746</v>
      </c>
      <c r="C10" s="122">
        <v>5</v>
      </c>
      <c r="D10" s="99">
        <v>12571</v>
      </c>
      <c r="E10" s="122">
        <v>0</v>
      </c>
      <c r="F10" s="99">
        <v>32610</v>
      </c>
      <c r="G10" s="122">
        <v>2</v>
      </c>
      <c r="H10" s="99">
        <v>25862</v>
      </c>
      <c r="I10" s="122">
        <v>9</v>
      </c>
      <c r="J10" s="99">
        <v>21337</v>
      </c>
      <c r="K10" s="122">
        <v>0</v>
      </c>
      <c r="L10" s="99">
        <v>15906</v>
      </c>
      <c r="M10" s="122">
        <v>2</v>
      </c>
      <c r="N10" s="99">
        <v>14375</v>
      </c>
      <c r="O10" s="122">
        <v>4</v>
      </c>
      <c r="P10" s="99">
        <v>21010</v>
      </c>
      <c r="Q10" s="122">
        <v>1</v>
      </c>
      <c r="R10" s="99">
        <v>25280</v>
      </c>
      <c r="S10" s="122">
        <v>3</v>
      </c>
      <c r="T10" s="99">
        <v>1265</v>
      </c>
      <c r="U10" s="122">
        <v>1</v>
      </c>
      <c r="V10" s="99">
        <v>3244</v>
      </c>
      <c r="W10" s="122">
        <v>0</v>
      </c>
      <c r="X10" s="99">
        <v>30855</v>
      </c>
      <c r="Y10" s="122">
        <v>2</v>
      </c>
      <c r="Z10" s="99">
        <v>12893</v>
      </c>
      <c r="AA10" s="122">
        <v>0</v>
      </c>
      <c r="AB10" s="122">
        <v>22</v>
      </c>
      <c r="AC10" s="99">
        <v>13385</v>
      </c>
      <c r="AD10" s="126">
        <v>1</v>
      </c>
      <c r="AE10" s="99"/>
      <c r="AF10" s="122"/>
      <c r="AG10" s="99">
        <v>5044</v>
      </c>
      <c r="AH10" s="122">
        <v>0</v>
      </c>
      <c r="AI10" s="99">
        <v>39347</v>
      </c>
      <c r="AJ10" s="122">
        <v>1</v>
      </c>
      <c r="AK10" s="99">
        <v>4602</v>
      </c>
      <c r="AL10" s="122">
        <v>0</v>
      </c>
      <c r="AM10" s="99">
        <v>1346</v>
      </c>
      <c r="AN10" s="122">
        <v>2</v>
      </c>
      <c r="AO10" s="99">
        <v>1487</v>
      </c>
      <c r="AP10" s="122">
        <v>0</v>
      </c>
      <c r="AQ10" s="99">
        <v>527</v>
      </c>
      <c r="AR10" s="122">
        <v>0</v>
      </c>
      <c r="AS10" s="99">
        <v>1383</v>
      </c>
      <c r="AT10" s="122">
        <v>0</v>
      </c>
      <c r="AU10" s="99">
        <v>9837</v>
      </c>
      <c r="AV10" s="122">
        <v>4</v>
      </c>
      <c r="AW10" s="127">
        <v>37</v>
      </c>
      <c r="AX10" s="61" t="s">
        <v>66</v>
      </c>
      <c r="AY10" s="62" t="s">
        <v>67</v>
      </c>
    </row>
    <row r="11" spans="1:51" ht="15.75" customHeight="1" x14ac:dyDescent="0.2">
      <c r="A11" s="63">
        <v>3</v>
      </c>
      <c r="B11" s="99">
        <v>27751</v>
      </c>
      <c r="C11" s="122">
        <v>5</v>
      </c>
      <c r="D11" s="99">
        <v>12576</v>
      </c>
      <c r="E11" s="122">
        <v>5</v>
      </c>
      <c r="F11" s="99">
        <v>32616</v>
      </c>
      <c r="G11" s="122">
        <v>6</v>
      </c>
      <c r="H11" s="99">
        <v>25866</v>
      </c>
      <c r="I11" s="122">
        <v>4</v>
      </c>
      <c r="J11" s="99">
        <v>21342</v>
      </c>
      <c r="K11" s="122">
        <v>5</v>
      </c>
      <c r="L11" s="99">
        <v>15909</v>
      </c>
      <c r="M11" s="122">
        <v>3</v>
      </c>
      <c r="N11" s="99">
        <v>14381</v>
      </c>
      <c r="O11" s="122">
        <v>6</v>
      </c>
      <c r="P11" s="99">
        <v>21011</v>
      </c>
      <c r="Q11" s="122">
        <v>1</v>
      </c>
      <c r="R11" s="99">
        <v>25282</v>
      </c>
      <c r="S11" s="122">
        <v>2</v>
      </c>
      <c r="T11" s="99">
        <v>1266</v>
      </c>
      <c r="U11" s="122">
        <v>1</v>
      </c>
      <c r="V11" s="99">
        <v>3244</v>
      </c>
      <c r="W11" s="122">
        <v>0</v>
      </c>
      <c r="X11" s="99">
        <v>30859</v>
      </c>
      <c r="Y11" s="122">
        <v>4</v>
      </c>
      <c r="Z11" s="99">
        <v>12893</v>
      </c>
      <c r="AA11" s="122">
        <v>0</v>
      </c>
      <c r="AB11" s="122">
        <v>26</v>
      </c>
      <c r="AC11" s="99">
        <v>13387</v>
      </c>
      <c r="AD11" s="126">
        <v>2</v>
      </c>
      <c r="AE11" s="99"/>
      <c r="AF11" s="122"/>
      <c r="AG11" s="99">
        <v>5044</v>
      </c>
      <c r="AH11" s="122">
        <v>0</v>
      </c>
      <c r="AI11" s="99">
        <v>39349</v>
      </c>
      <c r="AJ11" s="122">
        <v>2</v>
      </c>
      <c r="AK11" s="99">
        <v>4602</v>
      </c>
      <c r="AL11" s="122">
        <v>0</v>
      </c>
      <c r="AM11" s="99">
        <v>1348</v>
      </c>
      <c r="AN11" s="122">
        <v>2</v>
      </c>
      <c r="AO11" s="99">
        <v>1488</v>
      </c>
      <c r="AP11" s="122">
        <v>1</v>
      </c>
      <c r="AQ11" s="99">
        <v>527</v>
      </c>
      <c r="AR11" s="122">
        <v>0</v>
      </c>
      <c r="AS11" s="99">
        <v>1383</v>
      </c>
      <c r="AT11" s="122">
        <v>0</v>
      </c>
      <c r="AU11" s="99">
        <v>9842</v>
      </c>
      <c r="AV11" s="122">
        <v>5</v>
      </c>
      <c r="AW11" s="127">
        <v>54</v>
      </c>
      <c r="AX11" s="61" t="s">
        <v>66</v>
      </c>
      <c r="AY11" s="62" t="s">
        <v>67</v>
      </c>
    </row>
    <row r="12" spans="1:51" ht="15.75" customHeight="1" x14ac:dyDescent="0.2">
      <c r="A12" s="60">
        <v>4</v>
      </c>
      <c r="B12" s="99">
        <v>27755</v>
      </c>
      <c r="C12" s="122">
        <v>4</v>
      </c>
      <c r="D12" s="99">
        <v>12577</v>
      </c>
      <c r="E12" s="122">
        <v>1</v>
      </c>
      <c r="F12" s="99">
        <v>32619</v>
      </c>
      <c r="G12" s="122">
        <v>3</v>
      </c>
      <c r="H12" s="99">
        <v>25871</v>
      </c>
      <c r="I12" s="122">
        <v>5</v>
      </c>
      <c r="J12" s="99">
        <v>21343</v>
      </c>
      <c r="K12" s="122">
        <v>1</v>
      </c>
      <c r="L12" s="99">
        <v>15911</v>
      </c>
      <c r="M12" s="122">
        <v>2</v>
      </c>
      <c r="N12" s="99">
        <v>14382</v>
      </c>
      <c r="O12" s="122">
        <v>1</v>
      </c>
      <c r="P12" s="99">
        <v>21013</v>
      </c>
      <c r="Q12" s="122">
        <v>2</v>
      </c>
      <c r="R12" s="99">
        <v>25284</v>
      </c>
      <c r="S12" s="122">
        <v>2</v>
      </c>
      <c r="T12" s="99">
        <v>1268</v>
      </c>
      <c r="U12" s="122">
        <v>2</v>
      </c>
      <c r="V12" s="99">
        <v>3244</v>
      </c>
      <c r="W12" s="122">
        <v>0</v>
      </c>
      <c r="X12" s="99">
        <v>30860</v>
      </c>
      <c r="Y12" s="122">
        <v>1</v>
      </c>
      <c r="Z12" s="99">
        <v>12893</v>
      </c>
      <c r="AA12" s="122">
        <v>0</v>
      </c>
      <c r="AB12" s="122">
        <v>16</v>
      </c>
      <c r="AC12" s="99">
        <v>13390</v>
      </c>
      <c r="AD12" s="122">
        <v>3</v>
      </c>
      <c r="AE12" s="99"/>
      <c r="AF12" s="122"/>
      <c r="AG12" s="99">
        <v>5045</v>
      </c>
      <c r="AH12" s="122">
        <v>1</v>
      </c>
      <c r="AI12" s="99">
        <v>39350</v>
      </c>
      <c r="AJ12" s="122">
        <v>1</v>
      </c>
      <c r="AK12" s="99">
        <v>4602</v>
      </c>
      <c r="AL12" s="122">
        <v>0</v>
      </c>
      <c r="AM12" s="99">
        <v>1349</v>
      </c>
      <c r="AN12" s="122">
        <v>1</v>
      </c>
      <c r="AO12" s="99">
        <v>1488</v>
      </c>
      <c r="AP12" s="122">
        <v>0</v>
      </c>
      <c r="AQ12" s="99">
        <v>527</v>
      </c>
      <c r="AR12" s="122">
        <v>0</v>
      </c>
      <c r="AS12" s="99">
        <v>1383</v>
      </c>
      <c r="AT12" s="122">
        <v>0</v>
      </c>
      <c r="AU12" s="99">
        <v>9847</v>
      </c>
      <c r="AV12" s="122">
        <v>0</v>
      </c>
      <c r="AW12" s="127">
        <v>30</v>
      </c>
      <c r="AX12" s="61" t="s">
        <v>66</v>
      </c>
      <c r="AY12" s="62" t="s">
        <v>67</v>
      </c>
    </row>
    <row r="13" spans="1:51" ht="15.75" customHeight="1" x14ac:dyDescent="0.2">
      <c r="A13" s="63">
        <v>5</v>
      </c>
      <c r="B13" s="99">
        <v>27761</v>
      </c>
      <c r="C13" s="122">
        <v>6</v>
      </c>
      <c r="D13" s="99">
        <v>12577</v>
      </c>
      <c r="E13" s="122">
        <v>0</v>
      </c>
      <c r="F13" s="99">
        <v>32622</v>
      </c>
      <c r="G13" s="122">
        <v>3</v>
      </c>
      <c r="H13" s="99">
        <v>25876</v>
      </c>
      <c r="I13" s="122">
        <v>5</v>
      </c>
      <c r="J13" s="99">
        <v>21345</v>
      </c>
      <c r="K13" s="122">
        <v>2</v>
      </c>
      <c r="L13" s="99">
        <v>15914</v>
      </c>
      <c r="M13" s="122">
        <v>3</v>
      </c>
      <c r="N13" s="99">
        <v>14383</v>
      </c>
      <c r="O13" s="122">
        <v>1</v>
      </c>
      <c r="P13" s="99">
        <v>21014</v>
      </c>
      <c r="Q13" s="122">
        <v>1</v>
      </c>
      <c r="R13" s="99">
        <v>25285</v>
      </c>
      <c r="S13" s="122">
        <v>1</v>
      </c>
      <c r="T13" s="99">
        <v>1271</v>
      </c>
      <c r="U13" s="122">
        <v>3</v>
      </c>
      <c r="V13" s="99">
        <v>3244</v>
      </c>
      <c r="W13" s="122">
        <v>0</v>
      </c>
      <c r="X13" s="99">
        <v>30862</v>
      </c>
      <c r="Y13" s="122">
        <v>2</v>
      </c>
      <c r="Z13" s="99">
        <v>12893</v>
      </c>
      <c r="AA13" s="122">
        <v>0</v>
      </c>
      <c r="AB13" s="122">
        <v>18</v>
      </c>
      <c r="AC13" s="99">
        <v>13391</v>
      </c>
      <c r="AD13" s="122">
        <v>1</v>
      </c>
      <c r="AE13" s="99"/>
      <c r="AF13" s="122"/>
      <c r="AG13" s="99">
        <v>5048</v>
      </c>
      <c r="AH13" s="122">
        <v>3</v>
      </c>
      <c r="AI13" s="99">
        <v>39351</v>
      </c>
      <c r="AJ13" s="122">
        <v>1</v>
      </c>
      <c r="AK13" s="99">
        <v>4602</v>
      </c>
      <c r="AL13" s="122">
        <v>0</v>
      </c>
      <c r="AM13" s="99">
        <v>1351</v>
      </c>
      <c r="AN13" s="122">
        <v>2</v>
      </c>
      <c r="AO13" s="99">
        <v>1488</v>
      </c>
      <c r="AP13" s="122">
        <v>0</v>
      </c>
      <c r="AQ13" s="99">
        <v>527</v>
      </c>
      <c r="AR13" s="122">
        <v>0</v>
      </c>
      <c r="AS13" s="99">
        <v>1383</v>
      </c>
      <c r="AT13" s="122">
        <v>0</v>
      </c>
      <c r="AU13" s="99">
        <v>9854</v>
      </c>
      <c r="AV13" s="122">
        <v>0</v>
      </c>
      <c r="AW13" s="127">
        <v>34</v>
      </c>
      <c r="AX13" s="61" t="s">
        <v>66</v>
      </c>
      <c r="AY13" s="62" t="s">
        <v>67</v>
      </c>
    </row>
    <row r="14" spans="1:51" ht="15.75" customHeight="1" x14ac:dyDescent="0.2">
      <c r="A14" s="63">
        <v>6</v>
      </c>
      <c r="B14" s="99">
        <v>27766</v>
      </c>
      <c r="C14" s="122">
        <v>5</v>
      </c>
      <c r="D14" s="99">
        <v>12579</v>
      </c>
      <c r="E14" s="122">
        <v>2</v>
      </c>
      <c r="F14" s="99">
        <v>32628</v>
      </c>
      <c r="G14" s="122">
        <v>6</v>
      </c>
      <c r="H14" s="99">
        <v>25883</v>
      </c>
      <c r="I14" s="122">
        <v>7</v>
      </c>
      <c r="J14" s="99">
        <v>21349</v>
      </c>
      <c r="K14" s="122">
        <v>4</v>
      </c>
      <c r="L14" s="99">
        <v>15917</v>
      </c>
      <c r="M14" s="122">
        <v>3</v>
      </c>
      <c r="N14" s="99">
        <v>14384</v>
      </c>
      <c r="O14" s="122">
        <v>1</v>
      </c>
      <c r="P14" s="99">
        <v>21016</v>
      </c>
      <c r="Q14" s="122">
        <v>2</v>
      </c>
      <c r="R14" s="99">
        <v>25286</v>
      </c>
      <c r="S14" s="122">
        <v>1</v>
      </c>
      <c r="T14" s="99">
        <v>1273</v>
      </c>
      <c r="U14" s="122">
        <v>2</v>
      </c>
      <c r="V14" s="99">
        <v>3244</v>
      </c>
      <c r="W14" s="122">
        <v>0</v>
      </c>
      <c r="X14" s="99">
        <v>30862</v>
      </c>
      <c r="Y14" s="122">
        <v>0</v>
      </c>
      <c r="Z14" s="99">
        <v>12893</v>
      </c>
      <c r="AA14" s="122">
        <v>0</v>
      </c>
      <c r="AB14" s="122">
        <v>20</v>
      </c>
      <c r="AC14" s="99">
        <v>13392</v>
      </c>
      <c r="AD14" s="122">
        <v>1</v>
      </c>
      <c r="AE14" s="99"/>
      <c r="AF14" s="122"/>
      <c r="AG14" s="99">
        <v>5052</v>
      </c>
      <c r="AH14" s="122">
        <v>4</v>
      </c>
      <c r="AI14" s="99">
        <v>39352</v>
      </c>
      <c r="AJ14" s="122">
        <v>1</v>
      </c>
      <c r="AK14" s="99">
        <v>4603</v>
      </c>
      <c r="AL14" s="122">
        <v>1</v>
      </c>
      <c r="AM14" s="99">
        <v>1351</v>
      </c>
      <c r="AN14" s="122">
        <v>0</v>
      </c>
      <c r="AO14" s="99">
        <v>1488</v>
      </c>
      <c r="AP14" s="122">
        <v>0</v>
      </c>
      <c r="AQ14" s="99">
        <v>527</v>
      </c>
      <c r="AR14" s="122">
        <v>0</v>
      </c>
      <c r="AS14" s="99">
        <v>1383</v>
      </c>
      <c r="AT14" s="122">
        <v>0</v>
      </c>
      <c r="AU14" s="99">
        <v>9861</v>
      </c>
      <c r="AV14" s="122">
        <v>0</v>
      </c>
      <c r="AW14" s="127">
        <v>40</v>
      </c>
      <c r="AX14" s="61" t="s">
        <v>66</v>
      </c>
      <c r="AY14" s="62" t="s">
        <v>67</v>
      </c>
    </row>
    <row r="15" spans="1:51" ht="15.75" customHeight="1" x14ac:dyDescent="0.2">
      <c r="A15" s="60">
        <v>7</v>
      </c>
      <c r="B15" s="99">
        <v>27770</v>
      </c>
      <c r="C15" s="122">
        <v>4</v>
      </c>
      <c r="D15" s="99">
        <v>12583</v>
      </c>
      <c r="E15" s="122">
        <v>4</v>
      </c>
      <c r="F15" s="99">
        <v>32635</v>
      </c>
      <c r="G15" s="122">
        <v>7</v>
      </c>
      <c r="H15" s="99">
        <v>25890</v>
      </c>
      <c r="I15" s="122">
        <v>7</v>
      </c>
      <c r="J15" s="99">
        <v>21352</v>
      </c>
      <c r="K15" s="122">
        <v>3</v>
      </c>
      <c r="L15" s="99">
        <v>15919</v>
      </c>
      <c r="M15" s="122">
        <v>2</v>
      </c>
      <c r="N15" s="99">
        <v>14386</v>
      </c>
      <c r="O15" s="122">
        <v>2</v>
      </c>
      <c r="P15" s="99">
        <v>21019</v>
      </c>
      <c r="Q15" s="122">
        <v>3</v>
      </c>
      <c r="R15" s="99">
        <v>25287</v>
      </c>
      <c r="S15" s="122">
        <v>1</v>
      </c>
      <c r="T15" s="23">
        <v>1276</v>
      </c>
      <c r="U15" s="122">
        <v>3</v>
      </c>
      <c r="V15" s="99">
        <v>3244</v>
      </c>
      <c r="W15" s="122">
        <v>0</v>
      </c>
      <c r="X15" s="99">
        <v>30863</v>
      </c>
      <c r="Y15" s="122">
        <v>1</v>
      </c>
      <c r="Z15" s="99">
        <v>12893</v>
      </c>
      <c r="AA15" s="122">
        <v>0</v>
      </c>
      <c r="AB15" s="122">
        <v>22</v>
      </c>
      <c r="AC15" s="99">
        <v>13392</v>
      </c>
      <c r="AD15" s="122">
        <v>0</v>
      </c>
      <c r="AE15" s="99"/>
      <c r="AF15" s="122"/>
      <c r="AG15" s="99">
        <v>5057</v>
      </c>
      <c r="AH15" s="122">
        <v>5</v>
      </c>
      <c r="AI15" s="99">
        <v>39361</v>
      </c>
      <c r="AJ15" s="122">
        <v>9</v>
      </c>
      <c r="AK15" s="99">
        <v>4603</v>
      </c>
      <c r="AL15" s="122">
        <v>0</v>
      </c>
      <c r="AM15" s="99">
        <v>1352</v>
      </c>
      <c r="AN15" s="122">
        <v>1</v>
      </c>
      <c r="AO15" s="99">
        <v>1489</v>
      </c>
      <c r="AP15" s="122">
        <v>1</v>
      </c>
      <c r="AQ15" s="99">
        <v>527</v>
      </c>
      <c r="AR15" s="122">
        <v>0</v>
      </c>
      <c r="AS15" s="99">
        <v>1384</v>
      </c>
      <c r="AT15" s="122">
        <v>1</v>
      </c>
      <c r="AU15" s="99">
        <v>9868</v>
      </c>
      <c r="AV15" s="122">
        <v>0</v>
      </c>
      <c r="AW15" s="127">
        <v>54</v>
      </c>
      <c r="AX15" s="61" t="s">
        <v>66</v>
      </c>
      <c r="AY15" s="62" t="s">
        <v>67</v>
      </c>
    </row>
    <row r="16" spans="1:51" ht="15.75" customHeight="1" x14ac:dyDescent="0.2">
      <c r="A16" s="63">
        <v>8</v>
      </c>
      <c r="B16" s="99">
        <v>27775</v>
      </c>
      <c r="C16" s="122">
        <v>5</v>
      </c>
      <c r="D16" s="99">
        <v>12584</v>
      </c>
      <c r="E16" s="122">
        <v>1</v>
      </c>
      <c r="F16" s="99">
        <v>32639</v>
      </c>
      <c r="G16" s="122">
        <v>4</v>
      </c>
      <c r="H16" s="99">
        <v>25897</v>
      </c>
      <c r="I16" s="122">
        <v>7</v>
      </c>
      <c r="J16" s="99">
        <v>21354</v>
      </c>
      <c r="K16" s="122">
        <v>2</v>
      </c>
      <c r="L16" s="99">
        <v>15921</v>
      </c>
      <c r="M16" s="122">
        <v>2</v>
      </c>
      <c r="N16" s="99">
        <v>14388</v>
      </c>
      <c r="O16" s="122">
        <v>2</v>
      </c>
      <c r="P16" s="99">
        <v>21023</v>
      </c>
      <c r="Q16" s="122">
        <v>4</v>
      </c>
      <c r="R16" s="99">
        <v>25288</v>
      </c>
      <c r="S16" s="122">
        <v>1</v>
      </c>
      <c r="T16" s="99">
        <v>1283</v>
      </c>
      <c r="U16" s="122">
        <v>7</v>
      </c>
      <c r="V16" s="99">
        <v>3244</v>
      </c>
      <c r="W16" s="122">
        <v>0</v>
      </c>
      <c r="X16" s="99">
        <v>30864</v>
      </c>
      <c r="Y16" s="122">
        <v>1</v>
      </c>
      <c r="Z16" s="99">
        <v>12893</v>
      </c>
      <c r="AA16" s="122">
        <v>0</v>
      </c>
      <c r="AB16" s="122">
        <v>26</v>
      </c>
      <c r="AC16" s="99">
        <v>13393</v>
      </c>
      <c r="AD16" s="122">
        <v>1</v>
      </c>
      <c r="AE16" s="99"/>
      <c r="AF16" s="122"/>
      <c r="AG16" s="99">
        <v>5060</v>
      </c>
      <c r="AH16" s="122">
        <v>3</v>
      </c>
      <c r="AI16" s="99">
        <v>39362</v>
      </c>
      <c r="AJ16" s="122">
        <v>1</v>
      </c>
      <c r="AK16" s="99">
        <v>4605</v>
      </c>
      <c r="AL16" s="122">
        <v>2</v>
      </c>
      <c r="AM16" s="99">
        <v>1353</v>
      </c>
      <c r="AN16" s="122">
        <v>1</v>
      </c>
      <c r="AO16" s="99">
        <v>1491</v>
      </c>
      <c r="AP16" s="122">
        <v>2</v>
      </c>
      <c r="AQ16" s="99">
        <v>527</v>
      </c>
      <c r="AR16" s="122">
        <v>0</v>
      </c>
      <c r="AS16" s="99">
        <v>1384</v>
      </c>
      <c r="AT16" s="122">
        <v>0</v>
      </c>
      <c r="AU16" s="99">
        <v>9874</v>
      </c>
      <c r="AV16" s="122">
        <v>0</v>
      </c>
      <c r="AW16" s="127">
        <v>46</v>
      </c>
      <c r="AX16" s="61" t="s">
        <v>66</v>
      </c>
      <c r="AY16" s="62" t="s">
        <v>67</v>
      </c>
    </row>
    <row r="17" spans="1:51" ht="15.75" customHeight="1" x14ac:dyDescent="0.2">
      <c r="A17" s="63">
        <v>9</v>
      </c>
      <c r="B17" s="99">
        <v>27781</v>
      </c>
      <c r="C17" s="122">
        <v>6</v>
      </c>
      <c r="D17" s="99">
        <v>12588</v>
      </c>
      <c r="E17" s="122">
        <v>4</v>
      </c>
      <c r="F17" s="99">
        <v>32646</v>
      </c>
      <c r="G17" s="122">
        <v>7</v>
      </c>
      <c r="H17" s="99">
        <v>25905</v>
      </c>
      <c r="I17" s="122">
        <v>8</v>
      </c>
      <c r="J17" s="99">
        <v>21357</v>
      </c>
      <c r="K17" s="122">
        <v>3</v>
      </c>
      <c r="L17" s="99">
        <v>15923</v>
      </c>
      <c r="M17" s="122">
        <v>2</v>
      </c>
      <c r="N17" s="99">
        <v>14390</v>
      </c>
      <c r="O17" s="122">
        <v>2</v>
      </c>
      <c r="P17" s="99">
        <v>21026</v>
      </c>
      <c r="Q17" s="122">
        <v>3</v>
      </c>
      <c r="R17" s="99">
        <v>25291</v>
      </c>
      <c r="S17" s="122">
        <v>3</v>
      </c>
      <c r="T17" s="99">
        <v>1285</v>
      </c>
      <c r="U17" s="122">
        <v>2</v>
      </c>
      <c r="V17" s="99">
        <v>3244</v>
      </c>
      <c r="W17" s="122">
        <v>0</v>
      </c>
      <c r="X17" s="99">
        <v>30865</v>
      </c>
      <c r="Y17" s="122">
        <v>1</v>
      </c>
      <c r="Z17" s="99">
        <v>12893</v>
      </c>
      <c r="AA17" s="122">
        <v>0</v>
      </c>
      <c r="AB17" s="122">
        <v>24</v>
      </c>
      <c r="AC17" s="99">
        <v>13393</v>
      </c>
      <c r="AD17" s="122">
        <v>0</v>
      </c>
      <c r="AE17" s="99"/>
      <c r="AF17" s="122"/>
      <c r="AG17" s="99">
        <v>5064</v>
      </c>
      <c r="AH17" s="122">
        <v>4</v>
      </c>
      <c r="AI17" s="99">
        <v>39369</v>
      </c>
      <c r="AJ17" s="122">
        <v>7</v>
      </c>
      <c r="AK17" s="99">
        <v>4615</v>
      </c>
      <c r="AL17" s="122">
        <v>10</v>
      </c>
      <c r="AM17" s="99">
        <v>1353</v>
      </c>
      <c r="AN17" s="122">
        <v>0</v>
      </c>
      <c r="AO17" s="99">
        <v>1493</v>
      </c>
      <c r="AP17" s="122">
        <v>2</v>
      </c>
      <c r="AQ17" s="99">
        <v>527</v>
      </c>
      <c r="AR17" s="122">
        <v>0</v>
      </c>
      <c r="AS17" s="99">
        <v>1384</v>
      </c>
      <c r="AT17" s="122">
        <v>0</v>
      </c>
      <c r="AU17" s="99">
        <v>9879</v>
      </c>
      <c r="AV17" s="122">
        <v>0</v>
      </c>
      <c r="AW17" s="127">
        <v>64</v>
      </c>
      <c r="AX17" s="61" t="s">
        <v>66</v>
      </c>
      <c r="AY17" s="62" t="s">
        <v>67</v>
      </c>
    </row>
    <row r="18" spans="1:51" ht="15.75" customHeight="1" x14ac:dyDescent="0.2">
      <c r="A18" s="60">
        <v>10</v>
      </c>
      <c r="B18" s="99">
        <v>27787</v>
      </c>
      <c r="C18" s="122">
        <v>6</v>
      </c>
      <c r="D18" s="99">
        <v>12594</v>
      </c>
      <c r="E18" s="122">
        <v>6</v>
      </c>
      <c r="F18" s="99">
        <v>32654</v>
      </c>
      <c r="G18" s="122">
        <v>8</v>
      </c>
      <c r="H18" s="99">
        <v>25911</v>
      </c>
      <c r="I18" s="122">
        <v>6</v>
      </c>
      <c r="J18" s="99">
        <v>21359</v>
      </c>
      <c r="K18" s="122">
        <v>2</v>
      </c>
      <c r="L18" s="99">
        <v>15927</v>
      </c>
      <c r="M18" s="122">
        <v>4</v>
      </c>
      <c r="N18" s="99">
        <v>14391</v>
      </c>
      <c r="O18" s="122">
        <v>1</v>
      </c>
      <c r="P18" s="99">
        <v>21030</v>
      </c>
      <c r="Q18" s="122">
        <v>4</v>
      </c>
      <c r="R18" s="99">
        <v>25294</v>
      </c>
      <c r="S18" s="122">
        <v>3</v>
      </c>
      <c r="T18" s="99">
        <v>1287</v>
      </c>
      <c r="U18" s="122">
        <v>2</v>
      </c>
      <c r="V18" s="99">
        <v>3244</v>
      </c>
      <c r="W18" s="122">
        <v>0</v>
      </c>
      <c r="X18" s="99">
        <v>30870</v>
      </c>
      <c r="Y18" s="122">
        <v>5</v>
      </c>
      <c r="Z18" s="99">
        <v>12893</v>
      </c>
      <c r="AA18" s="122">
        <v>0</v>
      </c>
      <c r="AB18" s="122">
        <v>27</v>
      </c>
      <c r="AC18" s="99">
        <v>13393</v>
      </c>
      <c r="AD18" s="122">
        <v>0</v>
      </c>
      <c r="AE18" s="99"/>
      <c r="AF18" s="122"/>
      <c r="AG18" s="99">
        <v>5068</v>
      </c>
      <c r="AH18" s="122">
        <v>4</v>
      </c>
      <c r="AI18" s="99">
        <v>39376</v>
      </c>
      <c r="AJ18" s="122">
        <v>7</v>
      </c>
      <c r="AK18" s="99">
        <v>4617</v>
      </c>
      <c r="AL18" s="122">
        <v>2</v>
      </c>
      <c r="AM18" s="99">
        <v>1355</v>
      </c>
      <c r="AN18" s="122">
        <v>2</v>
      </c>
      <c r="AO18" s="99">
        <v>1494</v>
      </c>
      <c r="AP18" s="122">
        <v>1</v>
      </c>
      <c r="AQ18" s="99">
        <v>527</v>
      </c>
      <c r="AR18" s="122">
        <v>0</v>
      </c>
      <c r="AS18" s="99">
        <v>1384</v>
      </c>
      <c r="AT18" s="122">
        <v>0</v>
      </c>
      <c r="AU18" s="99">
        <v>9885</v>
      </c>
      <c r="AV18" s="122">
        <v>0</v>
      </c>
      <c r="AW18" s="127">
        <v>63</v>
      </c>
      <c r="AX18" s="61" t="s">
        <v>66</v>
      </c>
      <c r="AY18" s="62" t="s">
        <v>67</v>
      </c>
    </row>
    <row r="19" spans="1:51" ht="15.75" customHeight="1" x14ac:dyDescent="0.2">
      <c r="A19" s="63">
        <v>11</v>
      </c>
      <c r="B19" s="99">
        <v>27792</v>
      </c>
      <c r="C19" s="122">
        <v>5</v>
      </c>
      <c r="D19" s="99">
        <v>12600</v>
      </c>
      <c r="E19" s="122">
        <v>6</v>
      </c>
      <c r="F19" s="99">
        <v>32666</v>
      </c>
      <c r="G19" s="122">
        <v>12</v>
      </c>
      <c r="H19" s="99">
        <v>25919</v>
      </c>
      <c r="I19" s="122">
        <v>8</v>
      </c>
      <c r="J19" s="99">
        <v>21362</v>
      </c>
      <c r="K19" s="122">
        <v>3</v>
      </c>
      <c r="L19" s="99">
        <v>15931</v>
      </c>
      <c r="M19" s="122">
        <v>4</v>
      </c>
      <c r="N19" s="99">
        <v>14394</v>
      </c>
      <c r="O19" s="122">
        <v>3</v>
      </c>
      <c r="P19" s="99">
        <v>21036</v>
      </c>
      <c r="Q19" s="122">
        <v>6</v>
      </c>
      <c r="R19" s="99">
        <v>25297</v>
      </c>
      <c r="S19" s="122">
        <v>3</v>
      </c>
      <c r="T19" s="99">
        <v>1288</v>
      </c>
      <c r="U19" s="122">
        <v>1</v>
      </c>
      <c r="V19" s="99">
        <v>3244</v>
      </c>
      <c r="W19" s="122">
        <v>0</v>
      </c>
      <c r="X19" s="99">
        <v>30910</v>
      </c>
      <c r="Y19" s="122">
        <v>40</v>
      </c>
      <c r="Z19" s="99">
        <v>12893</v>
      </c>
      <c r="AA19" s="122">
        <v>0</v>
      </c>
      <c r="AB19" s="122">
        <v>68</v>
      </c>
      <c r="AC19" s="99">
        <v>13394</v>
      </c>
      <c r="AD19" s="122">
        <v>1</v>
      </c>
      <c r="AE19" s="99"/>
      <c r="AF19" s="122"/>
      <c r="AG19" s="99">
        <v>5071</v>
      </c>
      <c r="AH19" s="122">
        <v>3</v>
      </c>
      <c r="AI19" s="99">
        <v>39384</v>
      </c>
      <c r="AJ19" s="122">
        <v>8</v>
      </c>
      <c r="AK19" s="99">
        <v>4618</v>
      </c>
      <c r="AL19" s="122">
        <v>1</v>
      </c>
      <c r="AM19" s="99">
        <v>1356</v>
      </c>
      <c r="AN19" s="122">
        <v>1</v>
      </c>
      <c r="AO19" s="99">
        <v>1496</v>
      </c>
      <c r="AP19" s="122">
        <v>2</v>
      </c>
      <c r="AQ19" s="99">
        <v>527</v>
      </c>
      <c r="AR19" s="122">
        <v>0</v>
      </c>
      <c r="AS19" s="99">
        <v>1384</v>
      </c>
      <c r="AT19" s="122">
        <v>0</v>
      </c>
      <c r="AU19" s="99">
        <v>9890</v>
      </c>
      <c r="AV19" s="122">
        <v>5</v>
      </c>
      <c r="AW19" s="127">
        <v>112</v>
      </c>
      <c r="AX19" s="61" t="s">
        <v>66</v>
      </c>
      <c r="AY19" s="62" t="s">
        <v>67</v>
      </c>
    </row>
    <row r="20" spans="1:51" ht="15.75" customHeight="1" x14ac:dyDescent="0.2">
      <c r="A20" s="63">
        <v>12</v>
      </c>
      <c r="B20" s="99">
        <v>27798</v>
      </c>
      <c r="C20" s="122">
        <v>6</v>
      </c>
      <c r="D20" s="99">
        <v>12601</v>
      </c>
      <c r="E20" s="122">
        <v>1</v>
      </c>
      <c r="F20" s="99">
        <v>32669</v>
      </c>
      <c r="G20" s="122">
        <v>3</v>
      </c>
      <c r="H20" s="99">
        <v>25922</v>
      </c>
      <c r="I20" s="122">
        <v>3</v>
      </c>
      <c r="J20" s="99">
        <v>21364</v>
      </c>
      <c r="K20" s="122">
        <v>2</v>
      </c>
      <c r="L20" s="99">
        <v>15936</v>
      </c>
      <c r="M20" s="122">
        <v>5</v>
      </c>
      <c r="N20" s="99">
        <v>14397</v>
      </c>
      <c r="O20" s="122">
        <v>3</v>
      </c>
      <c r="P20" s="99">
        <v>21039</v>
      </c>
      <c r="Q20" s="122">
        <v>3</v>
      </c>
      <c r="R20" s="99">
        <v>25299</v>
      </c>
      <c r="S20" s="122">
        <v>2</v>
      </c>
      <c r="T20" s="99">
        <v>1289</v>
      </c>
      <c r="U20" s="122">
        <v>1</v>
      </c>
      <c r="V20" s="99">
        <v>3245</v>
      </c>
      <c r="W20" s="122">
        <v>1</v>
      </c>
      <c r="X20" s="99">
        <v>30917</v>
      </c>
      <c r="Y20" s="122">
        <v>7</v>
      </c>
      <c r="Z20" s="99">
        <v>12893</v>
      </c>
      <c r="AA20" s="122">
        <v>0</v>
      </c>
      <c r="AB20" s="122">
        <v>27</v>
      </c>
      <c r="AC20" s="99">
        <v>13395</v>
      </c>
      <c r="AD20" s="122">
        <v>1</v>
      </c>
      <c r="AE20" s="99"/>
      <c r="AF20" s="122"/>
      <c r="AG20" s="99">
        <v>5073</v>
      </c>
      <c r="AH20" s="122">
        <v>2</v>
      </c>
      <c r="AI20" s="99">
        <v>39387</v>
      </c>
      <c r="AJ20" s="122">
        <v>3</v>
      </c>
      <c r="AK20" s="99">
        <v>4619</v>
      </c>
      <c r="AL20" s="122">
        <v>1</v>
      </c>
      <c r="AM20" s="99">
        <v>1356</v>
      </c>
      <c r="AN20" s="122">
        <v>0</v>
      </c>
      <c r="AO20" s="99">
        <v>1499</v>
      </c>
      <c r="AP20" s="122">
        <v>3</v>
      </c>
      <c r="AQ20" s="99">
        <v>527</v>
      </c>
      <c r="AR20" s="122">
        <v>0</v>
      </c>
      <c r="AS20" s="99">
        <v>1384</v>
      </c>
      <c r="AT20" s="122">
        <v>0</v>
      </c>
      <c r="AU20" s="99">
        <v>9894</v>
      </c>
      <c r="AV20" s="122">
        <v>4</v>
      </c>
      <c r="AW20" s="127">
        <v>51</v>
      </c>
      <c r="AX20" s="61" t="s">
        <v>66</v>
      </c>
      <c r="AY20" s="62" t="s">
        <v>67</v>
      </c>
    </row>
    <row r="21" spans="1:51" ht="15.75" customHeight="1" x14ac:dyDescent="0.2">
      <c r="A21" s="60">
        <v>13</v>
      </c>
      <c r="B21" s="99">
        <v>27802</v>
      </c>
      <c r="C21" s="122">
        <v>4</v>
      </c>
      <c r="D21" s="99">
        <v>12603</v>
      </c>
      <c r="E21" s="122">
        <v>2</v>
      </c>
      <c r="F21" s="99">
        <v>32672</v>
      </c>
      <c r="G21" s="122">
        <v>3</v>
      </c>
      <c r="H21" s="99">
        <v>25926</v>
      </c>
      <c r="I21" s="122">
        <v>4</v>
      </c>
      <c r="J21" s="99">
        <v>21365</v>
      </c>
      <c r="K21" s="122">
        <v>1</v>
      </c>
      <c r="L21" s="99">
        <v>15937</v>
      </c>
      <c r="M21" s="122">
        <v>1</v>
      </c>
      <c r="N21" s="99">
        <v>14400</v>
      </c>
      <c r="O21" s="122">
        <v>3</v>
      </c>
      <c r="P21" s="99">
        <v>21042</v>
      </c>
      <c r="Q21" s="122">
        <v>3</v>
      </c>
      <c r="R21" s="99">
        <v>25303</v>
      </c>
      <c r="S21" s="122">
        <v>4</v>
      </c>
      <c r="T21" s="99">
        <v>1290</v>
      </c>
      <c r="U21" s="122">
        <v>1</v>
      </c>
      <c r="V21" s="99">
        <v>3246</v>
      </c>
      <c r="W21" s="122">
        <v>1</v>
      </c>
      <c r="X21" s="99">
        <v>30919</v>
      </c>
      <c r="Y21" s="122">
        <v>2</v>
      </c>
      <c r="Z21" s="99">
        <v>12893</v>
      </c>
      <c r="AA21" s="122">
        <v>0</v>
      </c>
      <c r="AB21" s="122">
        <v>20</v>
      </c>
      <c r="AC21" s="99">
        <v>13395</v>
      </c>
      <c r="AD21" s="122">
        <v>0</v>
      </c>
      <c r="AE21" s="99"/>
      <c r="AF21" s="122"/>
      <c r="AG21" s="99">
        <v>5074</v>
      </c>
      <c r="AH21" s="122">
        <v>1</v>
      </c>
      <c r="AI21" s="99">
        <v>39387</v>
      </c>
      <c r="AJ21" s="122">
        <v>0</v>
      </c>
      <c r="AK21" s="99">
        <v>4630</v>
      </c>
      <c r="AL21" s="122">
        <v>11</v>
      </c>
      <c r="AM21" s="99">
        <v>1357</v>
      </c>
      <c r="AN21" s="122">
        <v>1</v>
      </c>
      <c r="AO21" s="99">
        <v>1500</v>
      </c>
      <c r="AP21" s="122">
        <v>1</v>
      </c>
      <c r="AQ21" s="99">
        <v>527</v>
      </c>
      <c r="AR21" s="122">
        <v>0</v>
      </c>
      <c r="AS21" s="99">
        <v>1384</v>
      </c>
      <c r="AT21" s="122">
        <v>0</v>
      </c>
      <c r="AU21" s="99">
        <v>9895</v>
      </c>
      <c r="AV21" s="122">
        <v>1</v>
      </c>
      <c r="AW21" s="127">
        <v>44</v>
      </c>
      <c r="AX21" s="61" t="s">
        <v>66</v>
      </c>
      <c r="AY21" s="62" t="s">
        <v>67</v>
      </c>
    </row>
    <row r="22" spans="1:51" ht="15.75" customHeight="1" x14ac:dyDescent="0.2">
      <c r="A22" s="63">
        <v>14</v>
      </c>
      <c r="B22" s="99">
        <v>27809</v>
      </c>
      <c r="C22" s="122">
        <v>7</v>
      </c>
      <c r="D22" s="99">
        <v>12607</v>
      </c>
      <c r="E22" s="122">
        <v>4</v>
      </c>
      <c r="F22" s="99">
        <v>32679</v>
      </c>
      <c r="G22" s="122">
        <v>7</v>
      </c>
      <c r="H22" s="99">
        <v>25930</v>
      </c>
      <c r="I22" s="122">
        <v>4</v>
      </c>
      <c r="J22" s="99">
        <v>21366</v>
      </c>
      <c r="K22" s="122">
        <v>1</v>
      </c>
      <c r="L22" s="99">
        <v>15939</v>
      </c>
      <c r="M22" s="122">
        <v>2</v>
      </c>
      <c r="N22" s="99">
        <v>14403</v>
      </c>
      <c r="O22" s="122">
        <v>3</v>
      </c>
      <c r="P22" s="99">
        <v>21045</v>
      </c>
      <c r="Q22" s="122">
        <v>3</v>
      </c>
      <c r="R22" s="99">
        <v>25306</v>
      </c>
      <c r="S22" s="122">
        <v>3</v>
      </c>
      <c r="T22" s="99">
        <v>1292</v>
      </c>
      <c r="U22" s="122">
        <v>2</v>
      </c>
      <c r="V22" s="99">
        <v>3248</v>
      </c>
      <c r="W22" s="122">
        <v>2</v>
      </c>
      <c r="X22" s="99">
        <v>30923</v>
      </c>
      <c r="Y22" s="122">
        <v>4</v>
      </c>
      <c r="Z22" s="99">
        <v>12893</v>
      </c>
      <c r="AA22" s="122">
        <v>0</v>
      </c>
      <c r="AB22" s="122">
        <v>24</v>
      </c>
      <c r="AC22" s="99">
        <v>13395</v>
      </c>
      <c r="AD22" s="122">
        <v>0</v>
      </c>
      <c r="AE22" s="99"/>
      <c r="AF22" s="122"/>
      <c r="AG22" s="99">
        <v>5077</v>
      </c>
      <c r="AH22" s="122">
        <v>3</v>
      </c>
      <c r="AI22" s="99">
        <v>39389</v>
      </c>
      <c r="AJ22" s="122">
        <v>2</v>
      </c>
      <c r="AK22" s="99">
        <v>4630</v>
      </c>
      <c r="AL22" s="122">
        <v>0</v>
      </c>
      <c r="AM22" s="99">
        <v>1357</v>
      </c>
      <c r="AN22" s="122">
        <v>0</v>
      </c>
      <c r="AO22" s="99">
        <v>1500</v>
      </c>
      <c r="AP22" s="122">
        <v>0</v>
      </c>
      <c r="AQ22" s="99">
        <v>528</v>
      </c>
      <c r="AR22" s="122">
        <v>1</v>
      </c>
      <c r="AS22" s="99">
        <v>1385</v>
      </c>
      <c r="AT22" s="122">
        <v>1</v>
      </c>
      <c r="AU22" s="99">
        <v>9899</v>
      </c>
      <c r="AV22" s="122">
        <v>4</v>
      </c>
      <c r="AW22" s="127">
        <v>53</v>
      </c>
      <c r="AX22" s="61" t="s">
        <v>66</v>
      </c>
      <c r="AY22" s="62" t="s">
        <v>67</v>
      </c>
    </row>
    <row r="23" spans="1:51" ht="15.75" customHeight="1" x14ac:dyDescent="0.2">
      <c r="A23" s="63">
        <v>15</v>
      </c>
      <c r="B23" s="99">
        <v>27815</v>
      </c>
      <c r="C23" s="122">
        <v>6</v>
      </c>
      <c r="D23" s="99">
        <v>12609</v>
      </c>
      <c r="E23" s="122">
        <v>2</v>
      </c>
      <c r="F23" s="99">
        <v>32685</v>
      </c>
      <c r="G23" s="122">
        <v>6</v>
      </c>
      <c r="H23" s="99">
        <v>25940</v>
      </c>
      <c r="I23" s="122">
        <v>10</v>
      </c>
      <c r="J23" s="99">
        <v>21369</v>
      </c>
      <c r="K23" s="122">
        <v>3</v>
      </c>
      <c r="L23" s="99">
        <v>15943</v>
      </c>
      <c r="M23" s="122">
        <v>4</v>
      </c>
      <c r="N23" s="99">
        <v>14407</v>
      </c>
      <c r="O23" s="122">
        <v>4</v>
      </c>
      <c r="P23" s="99">
        <v>21051</v>
      </c>
      <c r="Q23" s="122">
        <v>6</v>
      </c>
      <c r="R23" s="99">
        <v>25311</v>
      </c>
      <c r="S23" s="122">
        <v>5</v>
      </c>
      <c r="T23" s="99">
        <v>1295</v>
      </c>
      <c r="U23" s="122">
        <v>3</v>
      </c>
      <c r="V23" s="99">
        <v>3249</v>
      </c>
      <c r="W23" s="122">
        <v>1</v>
      </c>
      <c r="X23" s="99">
        <v>30927</v>
      </c>
      <c r="Y23" s="122">
        <v>4</v>
      </c>
      <c r="Z23" s="99">
        <v>12893</v>
      </c>
      <c r="AA23" s="122">
        <v>0</v>
      </c>
      <c r="AB23" s="122">
        <v>40</v>
      </c>
      <c r="AC23" s="99">
        <v>13395</v>
      </c>
      <c r="AD23" s="122">
        <v>0</v>
      </c>
      <c r="AE23" s="99"/>
      <c r="AF23" s="122"/>
      <c r="AG23" s="99">
        <v>5080</v>
      </c>
      <c r="AH23" s="122">
        <v>3</v>
      </c>
      <c r="AI23" s="99">
        <v>39391</v>
      </c>
      <c r="AJ23" s="122">
        <v>2</v>
      </c>
      <c r="AK23" s="99">
        <v>4644</v>
      </c>
      <c r="AL23" s="122">
        <v>14</v>
      </c>
      <c r="AM23" s="99">
        <v>1358</v>
      </c>
      <c r="AN23" s="122">
        <v>1</v>
      </c>
      <c r="AO23" s="99">
        <v>1503</v>
      </c>
      <c r="AP23" s="122">
        <v>3</v>
      </c>
      <c r="AQ23" s="99">
        <v>528</v>
      </c>
      <c r="AR23" s="122">
        <v>0</v>
      </c>
      <c r="AS23" s="99">
        <v>1385</v>
      </c>
      <c r="AT23" s="122">
        <v>0</v>
      </c>
      <c r="AU23" s="99">
        <v>9903</v>
      </c>
      <c r="AV23" s="122">
        <v>4</v>
      </c>
      <c r="AW23" s="127">
        <v>81</v>
      </c>
      <c r="AX23" s="61" t="s">
        <v>66</v>
      </c>
      <c r="AY23" s="62" t="s">
        <v>67</v>
      </c>
    </row>
    <row r="24" spans="1:51" ht="15.75" customHeight="1" x14ac:dyDescent="0.2">
      <c r="A24" s="60">
        <v>16</v>
      </c>
      <c r="B24" s="99">
        <v>27820</v>
      </c>
      <c r="C24" s="122">
        <v>5</v>
      </c>
      <c r="D24" s="99">
        <v>12611</v>
      </c>
      <c r="E24" s="122">
        <v>2</v>
      </c>
      <c r="F24" s="99">
        <v>32691</v>
      </c>
      <c r="G24" s="122">
        <v>6</v>
      </c>
      <c r="H24" s="99">
        <v>25947</v>
      </c>
      <c r="I24" s="122">
        <v>7</v>
      </c>
      <c r="J24" s="99">
        <v>21372</v>
      </c>
      <c r="K24" s="122">
        <v>3</v>
      </c>
      <c r="L24" s="99">
        <v>15947</v>
      </c>
      <c r="M24" s="122">
        <v>4</v>
      </c>
      <c r="N24" s="99">
        <v>14409</v>
      </c>
      <c r="O24" s="122">
        <v>2</v>
      </c>
      <c r="P24" s="99">
        <v>21056</v>
      </c>
      <c r="Q24" s="122">
        <v>5</v>
      </c>
      <c r="R24" s="99">
        <v>25315</v>
      </c>
      <c r="S24" s="122">
        <v>4</v>
      </c>
      <c r="T24" s="99">
        <v>1298</v>
      </c>
      <c r="U24" s="122">
        <v>3</v>
      </c>
      <c r="V24" s="99">
        <v>3250</v>
      </c>
      <c r="W24" s="122">
        <v>1</v>
      </c>
      <c r="X24" s="99">
        <v>30931</v>
      </c>
      <c r="Y24" s="122">
        <v>4</v>
      </c>
      <c r="Z24" s="99">
        <v>12893</v>
      </c>
      <c r="AA24" s="122">
        <v>0</v>
      </c>
      <c r="AB24" s="122">
        <v>33</v>
      </c>
      <c r="AC24" s="99">
        <v>13395</v>
      </c>
      <c r="AD24" s="122">
        <v>0</v>
      </c>
      <c r="AE24" s="99"/>
      <c r="AF24" s="122"/>
      <c r="AG24" s="99">
        <v>5084</v>
      </c>
      <c r="AH24" s="122">
        <v>4</v>
      </c>
      <c r="AI24" s="99">
        <v>39393</v>
      </c>
      <c r="AJ24" s="122">
        <v>2</v>
      </c>
      <c r="AK24" s="99">
        <v>4645</v>
      </c>
      <c r="AL24" s="122">
        <v>1</v>
      </c>
      <c r="AM24" s="99">
        <v>1358</v>
      </c>
      <c r="AN24" s="122">
        <v>0</v>
      </c>
      <c r="AO24" s="99">
        <v>1503</v>
      </c>
      <c r="AP24" s="122">
        <v>0</v>
      </c>
      <c r="AQ24" s="99">
        <v>528</v>
      </c>
      <c r="AR24" s="122">
        <v>0</v>
      </c>
      <c r="AS24" s="99">
        <v>1385</v>
      </c>
      <c r="AT24" s="122">
        <v>0</v>
      </c>
      <c r="AU24" s="99">
        <v>9907</v>
      </c>
      <c r="AV24" s="122">
        <v>4</v>
      </c>
      <c r="AW24" s="127">
        <v>57</v>
      </c>
      <c r="AX24" s="61" t="s">
        <v>66</v>
      </c>
      <c r="AY24" s="62" t="s">
        <v>67</v>
      </c>
    </row>
    <row r="25" spans="1:51" ht="15.75" customHeight="1" x14ac:dyDescent="0.2">
      <c r="A25" s="63">
        <v>17</v>
      </c>
      <c r="B25" s="99">
        <v>27827</v>
      </c>
      <c r="C25" s="122">
        <v>7</v>
      </c>
      <c r="D25" s="99">
        <v>12612</v>
      </c>
      <c r="E25" s="122">
        <v>1</v>
      </c>
      <c r="F25" s="99">
        <v>32700</v>
      </c>
      <c r="G25" s="122">
        <v>9</v>
      </c>
      <c r="H25" s="99">
        <v>25954</v>
      </c>
      <c r="I25" s="122">
        <v>7</v>
      </c>
      <c r="J25" s="99">
        <v>21376</v>
      </c>
      <c r="K25" s="122">
        <v>4</v>
      </c>
      <c r="L25" s="99">
        <v>15950</v>
      </c>
      <c r="M25" s="122">
        <v>3</v>
      </c>
      <c r="N25" s="99">
        <v>14409</v>
      </c>
      <c r="O25" s="122">
        <v>0</v>
      </c>
      <c r="P25" s="99">
        <v>21062</v>
      </c>
      <c r="Q25" s="122">
        <v>6</v>
      </c>
      <c r="R25" s="99">
        <v>25320</v>
      </c>
      <c r="S25" s="122">
        <v>5</v>
      </c>
      <c r="T25" s="99">
        <v>1301</v>
      </c>
      <c r="U25" s="122">
        <v>3</v>
      </c>
      <c r="V25" s="99">
        <v>3251</v>
      </c>
      <c r="W25" s="122">
        <v>1</v>
      </c>
      <c r="X25" s="99">
        <v>30935</v>
      </c>
      <c r="Y25" s="122">
        <v>4</v>
      </c>
      <c r="Z25" s="99">
        <v>12893</v>
      </c>
      <c r="AA25" s="122">
        <v>0</v>
      </c>
      <c r="AB25" s="122">
        <v>33</v>
      </c>
      <c r="AC25" s="99">
        <v>13395</v>
      </c>
      <c r="AD25" s="122">
        <v>0</v>
      </c>
      <c r="AE25" s="99"/>
      <c r="AF25" s="122"/>
      <c r="AG25" s="99">
        <v>5085</v>
      </c>
      <c r="AH25" s="122">
        <v>1</v>
      </c>
      <c r="AI25" s="99">
        <v>39395</v>
      </c>
      <c r="AJ25" s="122">
        <v>2</v>
      </c>
      <c r="AK25" s="99">
        <v>4645</v>
      </c>
      <c r="AL25" s="122">
        <v>0</v>
      </c>
      <c r="AM25" s="99">
        <v>1364</v>
      </c>
      <c r="AN25" s="122">
        <v>6</v>
      </c>
      <c r="AO25" s="99">
        <v>1504</v>
      </c>
      <c r="AP25" s="122">
        <v>1</v>
      </c>
      <c r="AQ25" s="99">
        <v>528</v>
      </c>
      <c r="AR25" s="122">
        <v>0</v>
      </c>
      <c r="AS25" s="99">
        <v>1386</v>
      </c>
      <c r="AT25" s="122">
        <v>1</v>
      </c>
      <c r="AU25" s="99">
        <v>9908</v>
      </c>
      <c r="AV25" s="122">
        <v>1</v>
      </c>
      <c r="AW25" s="127">
        <v>62</v>
      </c>
      <c r="AX25" s="61" t="s">
        <v>66</v>
      </c>
      <c r="AY25" s="62" t="s">
        <v>67</v>
      </c>
    </row>
    <row r="26" spans="1:51" ht="15.75" customHeight="1" x14ac:dyDescent="0.2">
      <c r="A26" s="63">
        <v>18</v>
      </c>
      <c r="B26" s="99">
        <v>27835</v>
      </c>
      <c r="C26" s="122">
        <v>8</v>
      </c>
      <c r="D26" s="99">
        <v>12614</v>
      </c>
      <c r="E26" s="122">
        <v>2</v>
      </c>
      <c r="F26" s="99">
        <v>32712</v>
      </c>
      <c r="G26" s="122">
        <v>12</v>
      </c>
      <c r="H26" s="99">
        <v>25964</v>
      </c>
      <c r="I26" s="122">
        <v>10</v>
      </c>
      <c r="J26" s="99">
        <v>21379</v>
      </c>
      <c r="K26" s="122">
        <v>3</v>
      </c>
      <c r="L26" s="99">
        <v>15960</v>
      </c>
      <c r="M26" s="122">
        <v>10</v>
      </c>
      <c r="N26" s="99">
        <v>14410</v>
      </c>
      <c r="O26" s="122">
        <v>1</v>
      </c>
      <c r="P26" s="99">
        <v>21066</v>
      </c>
      <c r="Q26" s="122">
        <v>4</v>
      </c>
      <c r="R26" s="99">
        <v>25326</v>
      </c>
      <c r="S26" s="122">
        <v>6</v>
      </c>
      <c r="T26" s="99">
        <v>1304</v>
      </c>
      <c r="U26" s="122">
        <v>3</v>
      </c>
      <c r="V26" s="99">
        <v>3251</v>
      </c>
      <c r="W26" s="122">
        <v>0</v>
      </c>
      <c r="X26" s="99">
        <v>30941</v>
      </c>
      <c r="Y26" s="122">
        <v>6</v>
      </c>
      <c r="Z26" s="99">
        <v>12893</v>
      </c>
      <c r="AA26" s="122">
        <v>0</v>
      </c>
      <c r="AB26" s="122">
        <v>43</v>
      </c>
      <c r="AC26" s="99">
        <v>13395</v>
      </c>
      <c r="AD26" s="122">
        <v>0</v>
      </c>
      <c r="AE26" s="99"/>
      <c r="AF26" s="122"/>
      <c r="AG26" s="99">
        <v>5085</v>
      </c>
      <c r="AH26" s="122">
        <v>0</v>
      </c>
      <c r="AI26" s="99">
        <v>39398</v>
      </c>
      <c r="AJ26" s="122">
        <v>3</v>
      </c>
      <c r="AK26" s="99">
        <v>4648</v>
      </c>
      <c r="AL26" s="122">
        <v>3</v>
      </c>
      <c r="AM26" s="99">
        <v>1364</v>
      </c>
      <c r="AN26" s="122">
        <v>0</v>
      </c>
      <c r="AO26" s="99">
        <v>1505</v>
      </c>
      <c r="AP26" s="122">
        <v>1</v>
      </c>
      <c r="AQ26" s="99">
        <v>528</v>
      </c>
      <c r="AR26" s="122">
        <v>0</v>
      </c>
      <c r="AS26" s="99">
        <v>1386</v>
      </c>
      <c r="AT26" s="122">
        <v>0</v>
      </c>
      <c r="AU26" s="99">
        <v>9909</v>
      </c>
      <c r="AV26" s="122">
        <v>1</v>
      </c>
      <c r="AW26" s="127">
        <v>73</v>
      </c>
      <c r="AX26" s="61" t="s">
        <v>66</v>
      </c>
      <c r="AY26" s="62" t="s">
        <v>67</v>
      </c>
    </row>
    <row r="27" spans="1:51" ht="15.75" customHeight="1" x14ac:dyDescent="0.2">
      <c r="A27" s="60">
        <v>19</v>
      </c>
      <c r="B27" s="99">
        <v>27843</v>
      </c>
      <c r="C27" s="122">
        <v>8</v>
      </c>
      <c r="D27" s="99">
        <v>12615</v>
      </c>
      <c r="E27" s="122">
        <v>1</v>
      </c>
      <c r="F27" s="99">
        <v>32719</v>
      </c>
      <c r="G27" s="122">
        <v>7</v>
      </c>
      <c r="H27" s="99">
        <v>25970</v>
      </c>
      <c r="I27" s="122">
        <v>6</v>
      </c>
      <c r="J27" s="99">
        <v>21381</v>
      </c>
      <c r="K27" s="122">
        <v>2</v>
      </c>
      <c r="L27" s="99">
        <v>15976</v>
      </c>
      <c r="M27" s="122">
        <v>16</v>
      </c>
      <c r="N27" s="99">
        <v>14415</v>
      </c>
      <c r="O27" s="122">
        <v>5</v>
      </c>
      <c r="P27" s="99">
        <v>21069</v>
      </c>
      <c r="Q27" s="122">
        <v>3</v>
      </c>
      <c r="R27" s="99">
        <v>25332</v>
      </c>
      <c r="S27" s="122">
        <v>6</v>
      </c>
      <c r="T27" s="99">
        <v>1311</v>
      </c>
      <c r="U27" s="122">
        <v>7</v>
      </c>
      <c r="V27" s="99">
        <v>3251</v>
      </c>
      <c r="W27" s="122">
        <v>0</v>
      </c>
      <c r="X27" s="99">
        <v>30943</v>
      </c>
      <c r="Y27" s="122">
        <v>2</v>
      </c>
      <c r="Z27" s="99">
        <v>12893</v>
      </c>
      <c r="AA27" s="122">
        <v>0</v>
      </c>
      <c r="AB27" s="122">
        <v>47</v>
      </c>
      <c r="AC27" s="99">
        <v>13395</v>
      </c>
      <c r="AD27" s="122">
        <v>0</v>
      </c>
      <c r="AE27" s="99"/>
      <c r="AF27" s="122"/>
      <c r="AG27" s="99">
        <v>5087</v>
      </c>
      <c r="AH27" s="122">
        <v>2</v>
      </c>
      <c r="AI27" s="99">
        <v>39400</v>
      </c>
      <c r="AJ27" s="122">
        <v>2</v>
      </c>
      <c r="AK27" s="99">
        <v>4649</v>
      </c>
      <c r="AL27" s="122">
        <v>1</v>
      </c>
      <c r="AM27" s="99">
        <v>1366</v>
      </c>
      <c r="AN27" s="122">
        <v>2</v>
      </c>
      <c r="AO27" s="99">
        <v>1507</v>
      </c>
      <c r="AP27" s="122">
        <v>2</v>
      </c>
      <c r="AQ27" s="99">
        <v>528</v>
      </c>
      <c r="AR27" s="122">
        <v>0</v>
      </c>
      <c r="AS27" s="99">
        <v>1386</v>
      </c>
      <c r="AT27" s="122">
        <v>0</v>
      </c>
      <c r="AU27" s="99">
        <v>9912</v>
      </c>
      <c r="AV27" s="122">
        <v>3</v>
      </c>
      <c r="AW27" s="127">
        <v>75</v>
      </c>
      <c r="AX27" s="61" t="s">
        <v>66</v>
      </c>
      <c r="AY27" s="62" t="s">
        <v>67</v>
      </c>
    </row>
    <row r="28" spans="1:51" ht="15.75" customHeight="1" x14ac:dyDescent="0.2">
      <c r="A28" s="63">
        <v>20</v>
      </c>
      <c r="B28" s="99">
        <v>27852</v>
      </c>
      <c r="C28" s="122">
        <v>9</v>
      </c>
      <c r="D28" s="99">
        <v>12618</v>
      </c>
      <c r="E28" s="122">
        <v>3</v>
      </c>
      <c r="F28" s="99">
        <v>32724</v>
      </c>
      <c r="G28" s="122">
        <v>5</v>
      </c>
      <c r="H28" s="99">
        <v>25977</v>
      </c>
      <c r="I28" s="122">
        <v>7</v>
      </c>
      <c r="J28" s="99">
        <v>21385</v>
      </c>
      <c r="K28" s="122">
        <v>4</v>
      </c>
      <c r="L28" s="99">
        <v>15993</v>
      </c>
      <c r="M28" s="122">
        <v>17</v>
      </c>
      <c r="N28" s="99">
        <v>14420</v>
      </c>
      <c r="O28" s="122">
        <v>5</v>
      </c>
      <c r="P28" s="99">
        <v>21075</v>
      </c>
      <c r="Q28" s="122">
        <v>6</v>
      </c>
      <c r="R28" s="99">
        <v>25337</v>
      </c>
      <c r="S28" s="122">
        <v>5</v>
      </c>
      <c r="T28" s="99">
        <v>1315</v>
      </c>
      <c r="U28" s="122">
        <v>4</v>
      </c>
      <c r="V28" s="99">
        <v>3251</v>
      </c>
      <c r="W28" s="122">
        <v>0</v>
      </c>
      <c r="X28" s="99">
        <v>30947</v>
      </c>
      <c r="Y28" s="122">
        <v>4</v>
      </c>
      <c r="Z28" s="99">
        <v>12893</v>
      </c>
      <c r="AA28" s="122">
        <v>0</v>
      </c>
      <c r="AB28" s="122">
        <v>52</v>
      </c>
      <c r="AC28" s="99">
        <v>13395</v>
      </c>
      <c r="AD28" s="122">
        <v>0</v>
      </c>
      <c r="AE28" s="99"/>
      <c r="AF28" s="122"/>
      <c r="AG28" s="99">
        <v>5090</v>
      </c>
      <c r="AH28" s="122">
        <v>3</v>
      </c>
      <c r="AI28" s="99">
        <v>39403</v>
      </c>
      <c r="AJ28" s="122">
        <v>3</v>
      </c>
      <c r="AK28" s="99">
        <v>4649</v>
      </c>
      <c r="AL28" s="122">
        <v>0</v>
      </c>
      <c r="AM28" s="99">
        <v>1373</v>
      </c>
      <c r="AN28" s="122">
        <v>7</v>
      </c>
      <c r="AO28" s="99">
        <v>1512</v>
      </c>
      <c r="AP28" s="122">
        <v>5</v>
      </c>
      <c r="AQ28" s="99">
        <v>528</v>
      </c>
      <c r="AR28" s="122">
        <v>0</v>
      </c>
      <c r="AS28" s="99">
        <v>1387</v>
      </c>
      <c r="AT28" s="122">
        <v>1</v>
      </c>
      <c r="AU28" s="99">
        <v>9917</v>
      </c>
      <c r="AV28" s="122">
        <v>5</v>
      </c>
      <c r="AW28" s="127">
        <v>93</v>
      </c>
      <c r="AX28" s="61" t="s">
        <v>66</v>
      </c>
      <c r="AY28" s="62" t="s">
        <v>67</v>
      </c>
    </row>
    <row r="29" spans="1:51" ht="15.75" customHeight="1" x14ac:dyDescent="0.2">
      <c r="A29" s="63">
        <v>21</v>
      </c>
      <c r="B29" s="99">
        <v>27861</v>
      </c>
      <c r="C29" s="122">
        <v>9</v>
      </c>
      <c r="D29" s="99">
        <v>12620</v>
      </c>
      <c r="E29" s="122">
        <v>2</v>
      </c>
      <c r="F29" s="99">
        <v>32736</v>
      </c>
      <c r="G29" s="122">
        <v>12</v>
      </c>
      <c r="H29" s="99">
        <v>25986</v>
      </c>
      <c r="I29" s="122">
        <v>9</v>
      </c>
      <c r="J29" s="99">
        <v>21389</v>
      </c>
      <c r="K29" s="122">
        <v>4</v>
      </c>
      <c r="L29" s="99">
        <v>16011</v>
      </c>
      <c r="M29" s="122">
        <v>18</v>
      </c>
      <c r="N29" s="99">
        <v>14423</v>
      </c>
      <c r="O29" s="122">
        <v>3</v>
      </c>
      <c r="P29" s="99">
        <v>21080</v>
      </c>
      <c r="Q29" s="122">
        <v>5</v>
      </c>
      <c r="R29" s="99">
        <v>25341</v>
      </c>
      <c r="S29" s="122">
        <v>4</v>
      </c>
      <c r="T29" s="99">
        <v>1318</v>
      </c>
      <c r="U29" s="122">
        <v>3</v>
      </c>
      <c r="V29" s="99">
        <v>3251</v>
      </c>
      <c r="W29" s="122">
        <v>0</v>
      </c>
      <c r="X29" s="99">
        <v>30948</v>
      </c>
      <c r="Y29" s="122">
        <v>1</v>
      </c>
      <c r="Z29" s="99">
        <v>12893</v>
      </c>
      <c r="AA29" s="122">
        <v>0</v>
      </c>
      <c r="AB29" s="122">
        <v>47</v>
      </c>
      <c r="AC29" s="99">
        <v>13395</v>
      </c>
      <c r="AD29" s="122">
        <v>0</v>
      </c>
      <c r="AE29" s="99"/>
      <c r="AF29" s="122"/>
      <c r="AG29" s="99">
        <v>5094</v>
      </c>
      <c r="AH29" s="122">
        <v>4</v>
      </c>
      <c r="AI29" s="99">
        <v>39408</v>
      </c>
      <c r="AJ29" s="122">
        <v>5</v>
      </c>
      <c r="AK29" s="99">
        <v>4649</v>
      </c>
      <c r="AL29" s="122">
        <v>0</v>
      </c>
      <c r="AM29" s="99">
        <v>1375</v>
      </c>
      <c r="AN29" s="122">
        <v>2</v>
      </c>
      <c r="AO29" s="99">
        <v>1513</v>
      </c>
      <c r="AP29" s="122">
        <v>1</v>
      </c>
      <c r="AQ29" s="99">
        <v>528</v>
      </c>
      <c r="AR29" s="122">
        <v>0</v>
      </c>
      <c r="AS29" s="99">
        <v>1387</v>
      </c>
      <c r="AT29" s="122">
        <v>0</v>
      </c>
      <c r="AU29" s="99">
        <v>9921</v>
      </c>
      <c r="AV29" s="122">
        <v>4</v>
      </c>
      <c r="AW29" s="127">
        <v>86</v>
      </c>
      <c r="AX29" s="61" t="s">
        <v>66</v>
      </c>
      <c r="AY29" s="62" t="s">
        <v>67</v>
      </c>
    </row>
    <row r="30" spans="1:51" ht="15.75" customHeight="1" x14ac:dyDescent="0.2">
      <c r="A30" s="60">
        <v>22</v>
      </c>
      <c r="B30" s="99">
        <v>27870</v>
      </c>
      <c r="C30" s="122">
        <v>9</v>
      </c>
      <c r="D30" s="99">
        <v>12621</v>
      </c>
      <c r="E30" s="122">
        <v>1</v>
      </c>
      <c r="F30" s="99">
        <v>32761</v>
      </c>
      <c r="G30" s="122">
        <v>25</v>
      </c>
      <c r="H30" s="99">
        <v>25992</v>
      </c>
      <c r="I30" s="122">
        <v>6</v>
      </c>
      <c r="J30" s="99">
        <v>21390</v>
      </c>
      <c r="K30" s="122">
        <v>1</v>
      </c>
      <c r="L30" s="99">
        <v>16022</v>
      </c>
      <c r="M30" s="122">
        <v>11</v>
      </c>
      <c r="N30" s="99">
        <v>14426</v>
      </c>
      <c r="O30" s="122">
        <v>3</v>
      </c>
      <c r="P30" s="99">
        <v>21084</v>
      </c>
      <c r="Q30" s="122">
        <v>4</v>
      </c>
      <c r="R30" s="99">
        <v>25344</v>
      </c>
      <c r="S30" s="122">
        <v>3</v>
      </c>
      <c r="T30" s="99">
        <v>1320</v>
      </c>
      <c r="U30" s="122">
        <v>2</v>
      </c>
      <c r="V30" s="99">
        <v>3252</v>
      </c>
      <c r="W30" s="122">
        <v>1</v>
      </c>
      <c r="X30" s="99">
        <v>30950</v>
      </c>
      <c r="Y30" s="122">
        <v>2</v>
      </c>
      <c r="Z30" s="99">
        <v>12893</v>
      </c>
      <c r="AA30" s="122">
        <v>0</v>
      </c>
      <c r="AB30" s="122">
        <v>33</v>
      </c>
      <c r="AC30" s="99">
        <v>13395</v>
      </c>
      <c r="AD30" s="122">
        <v>0</v>
      </c>
      <c r="AE30" s="99"/>
      <c r="AF30" s="122"/>
      <c r="AG30" s="99">
        <v>5097</v>
      </c>
      <c r="AH30" s="122">
        <v>3</v>
      </c>
      <c r="AI30" s="99">
        <v>39409</v>
      </c>
      <c r="AJ30" s="122">
        <v>1</v>
      </c>
      <c r="AK30" s="99">
        <v>4650</v>
      </c>
      <c r="AL30" s="122">
        <v>1</v>
      </c>
      <c r="AM30" s="99">
        <v>1377</v>
      </c>
      <c r="AN30" s="122">
        <v>2</v>
      </c>
      <c r="AO30" s="99">
        <v>1514</v>
      </c>
      <c r="AP30" s="122">
        <v>1</v>
      </c>
      <c r="AQ30" s="99">
        <v>529</v>
      </c>
      <c r="AR30" s="122">
        <v>1</v>
      </c>
      <c r="AS30" s="99">
        <v>1387</v>
      </c>
      <c r="AT30" s="122">
        <v>0</v>
      </c>
      <c r="AU30" s="99">
        <v>9924</v>
      </c>
      <c r="AV30" s="122">
        <v>3</v>
      </c>
      <c r="AW30" s="127">
        <v>80</v>
      </c>
      <c r="AX30" s="61" t="s">
        <v>66</v>
      </c>
      <c r="AY30" s="62" t="s">
        <v>67</v>
      </c>
    </row>
    <row r="31" spans="1:51" ht="15.75" customHeight="1" x14ac:dyDescent="0.2">
      <c r="A31" s="63">
        <v>23</v>
      </c>
      <c r="B31" s="99">
        <v>27880</v>
      </c>
      <c r="C31" s="122">
        <v>10</v>
      </c>
      <c r="D31" s="99">
        <v>12621</v>
      </c>
      <c r="E31" s="122">
        <v>0</v>
      </c>
      <c r="F31" s="99">
        <v>32774</v>
      </c>
      <c r="G31" s="122">
        <v>13</v>
      </c>
      <c r="H31" s="99">
        <v>26000</v>
      </c>
      <c r="I31" s="122">
        <v>8</v>
      </c>
      <c r="J31" s="99">
        <v>21408</v>
      </c>
      <c r="K31" s="122">
        <v>18</v>
      </c>
      <c r="L31" s="99">
        <v>16025</v>
      </c>
      <c r="M31" s="122">
        <v>3</v>
      </c>
      <c r="N31" s="99">
        <v>14431</v>
      </c>
      <c r="O31" s="122">
        <v>5</v>
      </c>
      <c r="P31" s="99">
        <v>21087</v>
      </c>
      <c r="Q31" s="122">
        <v>3</v>
      </c>
      <c r="R31" s="99">
        <v>25349</v>
      </c>
      <c r="S31" s="122">
        <v>5</v>
      </c>
      <c r="T31" s="99">
        <v>1323</v>
      </c>
      <c r="U31" s="122">
        <v>3</v>
      </c>
      <c r="V31" s="99">
        <v>3253</v>
      </c>
      <c r="W31" s="122">
        <v>1</v>
      </c>
      <c r="X31" s="99">
        <v>30955</v>
      </c>
      <c r="Y31" s="122">
        <v>5</v>
      </c>
      <c r="Z31" s="99">
        <v>12893</v>
      </c>
      <c r="AA31" s="122">
        <v>0</v>
      </c>
      <c r="AB31" s="122">
        <v>51</v>
      </c>
      <c r="AC31" s="99">
        <v>13395</v>
      </c>
      <c r="AD31" s="122">
        <v>0</v>
      </c>
      <c r="AE31" s="99"/>
      <c r="AF31" s="122"/>
      <c r="AG31" s="99">
        <v>5097</v>
      </c>
      <c r="AH31" s="122">
        <v>0</v>
      </c>
      <c r="AI31" s="99">
        <v>39411</v>
      </c>
      <c r="AJ31" s="122">
        <v>2</v>
      </c>
      <c r="AK31" s="99">
        <v>4650</v>
      </c>
      <c r="AL31" s="122">
        <v>0</v>
      </c>
      <c r="AM31" s="99">
        <v>1378</v>
      </c>
      <c r="AN31" s="122">
        <v>1</v>
      </c>
      <c r="AO31" s="99">
        <v>1514</v>
      </c>
      <c r="AP31" s="122">
        <v>0</v>
      </c>
      <c r="AQ31" s="99">
        <v>529</v>
      </c>
      <c r="AR31" s="122">
        <v>0</v>
      </c>
      <c r="AS31" s="99">
        <v>1388</v>
      </c>
      <c r="AT31" s="122">
        <v>1</v>
      </c>
      <c r="AU31" s="99">
        <v>9924</v>
      </c>
      <c r="AV31" s="122">
        <v>0</v>
      </c>
      <c r="AW31" s="127">
        <v>78</v>
      </c>
      <c r="AX31" s="61" t="s">
        <v>66</v>
      </c>
      <c r="AY31" s="62" t="s">
        <v>67</v>
      </c>
    </row>
    <row r="32" spans="1:51" ht="15.75" customHeight="1" x14ac:dyDescent="0.2">
      <c r="A32" s="63">
        <v>24</v>
      </c>
      <c r="B32" s="99">
        <v>27893</v>
      </c>
      <c r="C32" s="122">
        <v>13</v>
      </c>
      <c r="D32" s="99">
        <v>12624</v>
      </c>
      <c r="E32" s="122">
        <v>3</v>
      </c>
      <c r="F32" s="99">
        <v>32788</v>
      </c>
      <c r="G32" s="122">
        <v>14</v>
      </c>
      <c r="H32" s="99">
        <v>26008</v>
      </c>
      <c r="I32" s="122">
        <v>8</v>
      </c>
      <c r="J32" s="99">
        <v>21412</v>
      </c>
      <c r="K32" s="122">
        <v>4</v>
      </c>
      <c r="L32" s="99">
        <v>16030</v>
      </c>
      <c r="M32" s="122">
        <v>5</v>
      </c>
      <c r="N32" s="99">
        <v>14438</v>
      </c>
      <c r="O32" s="122">
        <v>7</v>
      </c>
      <c r="P32" s="99">
        <v>21093</v>
      </c>
      <c r="Q32" s="122">
        <v>6</v>
      </c>
      <c r="R32" s="99">
        <v>25354</v>
      </c>
      <c r="S32" s="122">
        <v>5</v>
      </c>
      <c r="T32" s="99">
        <v>1326</v>
      </c>
      <c r="U32" s="122">
        <v>3</v>
      </c>
      <c r="V32" s="99">
        <v>3255</v>
      </c>
      <c r="W32" s="122">
        <v>2</v>
      </c>
      <c r="X32" s="99">
        <v>30961</v>
      </c>
      <c r="Y32" s="122">
        <v>6</v>
      </c>
      <c r="Z32" s="99">
        <v>12893</v>
      </c>
      <c r="AA32" s="122">
        <v>0</v>
      </c>
      <c r="AB32" s="122">
        <v>46</v>
      </c>
      <c r="AC32" s="99">
        <v>13395</v>
      </c>
      <c r="AD32" s="122">
        <v>0</v>
      </c>
      <c r="AE32" s="99"/>
      <c r="AF32" s="122"/>
      <c r="AG32" s="99">
        <v>5097</v>
      </c>
      <c r="AH32" s="122">
        <v>0</v>
      </c>
      <c r="AI32" s="99">
        <v>39413</v>
      </c>
      <c r="AJ32" s="122">
        <v>2</v>
      </c>
      <c r="AK32" s="99">
        <v>4650</v>
      </c>
      <c r="AL32" s="122">
        <v>0</v>
      </c>
      <c r="AM32" s="99">
        <v>1383</v>
      </c>
      <c r="AN32" s="122">
        <v>5</v>
      </c>
      <c r="AO32" s="99">
        <v>1516</v>
      </c>
      <c r="AP32" s="122">
        <v>2</v>
      </c>
      <c r="AQ32" s="99">
        <v>529</v>
      </c>
      <c r="AR32" s="122">
        <v>0</v>
      </c>
      <c r="AS32" s="99">
        <v>1388</v>
      </c>
      <c r="AT32" s="122">
        <v>0</v>
      </c>
      <c r="AU32" s="99">
        <v>9925</v>
      </c>
      <c r="AV32" s="122">
        <v>1</v>
      </c>
      <c r="AW32" s="127">
        <v>86</v>
      </c>
      <c r="AX32" s="61" t="s">
        <v>66</v>
      </c>
      <c r="AY32" s="62" t="s">
        <v>67</v>
      </c>
    </row>
    <row r="33" spans="1:51" ht="15.75" customHeight="1" x14ac:dyDescent="0.2">
      <c r="A33" s="60">
        <v>25</v>
      </c>
      <c r="B33" s="99">
        <v>27904</v>
      </c>
      <c r="C33" s="122">
        <v>11</v>
      </c>
      <c r="D33" s="99">
        <v>12626</v>
      </c>
      <c r="E33" s="122">
        <v>2</v>
      </c>
      <c r="F33" s="99">
        <v>32793</v>
      </c>
      <c r="G33" s="122">
        <v>5</v>
      </c>
      <c r="H33" s="99">
        <v>26014</v>
      </c>
      <c r="I33" s="122">
        <v>6</v>
      </c>
      <c r="J33" s="99">
        <v>21415</v>
      </c>
      <c r="K33" s="122">
        <v>3</v>
      </c>
      <c r="L33" s="99">
        <v>16035</v>
      </c>
      <c r="M33" s="122">
        <v>5</v>
      </c>
      <c r="N33" s="99">
        <v>14441</v>
      </c>
      <c r="O33" s="122">
        <v>3</v>
      </c>
      <c r="P33" s="99">
        <v>21098</v>
      </c>
      <c r="Q33" s="122">
        <v>5</v>
      </c>
      <c r="R33" s="99">
        <v>25356</v>
      </c>
      <c r="S33" s="122">
        <v>2</v>
      </c>
      <c r="T33" s="99">
        <v>1329</v>
      </c>
      <c r="U33" s="122">
        <v>3</v>
      </c>
      <c r="V33" s="99">
        <v>3257</v>
      </c>
      <c r="W33" s="122">
        <v>2</v>
      </c>
      <c r="X33" s="99">
        <v>30965</v>
      </c>
      <c r="Y33" s="122">
        <v>4</v>
      </c>
      <c r="Z33" s="99">
        <v>12893</v>
      </c>
      <c r="AA33" s="122">
        <v>0</v>
      </c>
      <c r="AB33" s="122">
        <v>33</v>
      </c>
      <c r="AC33" s="99">
        <v>13395</v>
      </c>
      <c r="AD33" s="122">
        <v>0</v>
      </c>
      <c r="AE33" s="99"/>
      <c r="AF33" s="122"/>
      <c r="AG33" s="99">
        <v>5097</v>
      </c>
      <c r="AH33" s="122">
        <v>0</v>
      </c>
      <c r="AI33" s="99">
        <v>39415</v>
      </c>
      <c r="AJ33" s="122">
        <v>2</v>
      </c>
      <c r="AK33" s="99">
        <v>4651</v>
      </c>
      <c r="AL33" s="122">
        <v>1</v>
      </c>
      <c r="AM33" s="99">
        <v>1385</v>
      </c>
      <c r="AN33" s="122">
        <v>2</v>
      </c>
      <c r="AO33" s="99">
        <v>1517</v>
      </c>
      <c r="AP33" s="122">
        <v>1</v>
      </c>
      <c r="AQ33" s="99">
        <v>529</v>
      </c>
      <c r="AR33" s="122">
        <v>0</v>
      </c>
      <c r="AS33" s="99">
        <v>1389</v>
      </c>
      <c r="AT33" s="122">
        <v>1</v>
      </c>
      <c r="AU33" s="99">
        <v>9926</v>
      </c>
      <c r="AV33" s="122">
        <v>1</v>
      </c>
      <c r="AW33" s="127">
        <v>59</v>
      </c>
      <c r="AX33" s="61" t="s">
        <v>66</v>
      </c>
      <c r="AY33" s="62" t="s">
        <v>67</v>
      </c>
    </row>
    <row r="34" spans="1:51" ht="15.75" customHeight="1" x14ac:dyDescent="0.2">
      <c r="A34" s="63">
        <v>26</v>
      </c>
      <c r="B34" s="99">
        <v>27912</v>
      </c>
      <c r="C34" s="122">
        <v>8</v>
      </c>
      <c r="D34" s="99">
        <v>12627</v>
      </c>
      <c r="E34" s="122">
        <v>1</v>
      </c>
      <c r="F34" s="99">
        <v>32796</v>
      </c>
      <c r="G34" s="122">
        <v>3</v>
      </c>
      <c r="H34" s="99">
        <v>26020</v>
      </c>
      <c r="I34" s="122">
        <v>6</v>
      </c>
      <c r="J34" s="99">
        <v>21416</v>
      </c>
      <c r="K34" s="122">
        <v>1</v>
      </c>
      <c r="L34" s="99">
        <v>16038</v>
      </c>
      <c r="M34" s="122">
        <v>3</v>
      </c>
      <c r="N34" s="99">
        <v>14444</v>
      </c>
      <c r="O34" s="122">
        <v>3</v>
      </c>
      <c r="P34" s="99">
        <v>21100</v>
      </c>
      <c r="Q34" s="122">
        <v>2</v>
      </c>
      <c r="R34" s="99">
        <v>25359</v>
      </c>
      <c r="S34" s="122">
        <v>3</v>
      </c>
      <c r="T34" s="99">
        <v>1332</v>
      </c>
      <c r="U34" s="122">
        <v>3</v>
      </c>
      <c r="V34" s="99">
        <v>3257</v>
      </c>
      <c r="W34" s="122">
        <v>0</v>
      </c>
      <c r="X34" s="99">
        <v>30968</v>
      </c>
      <c r="Y34" s="122">
        <v>3</v>
      </c>
      <c r="Z34" s="99">
        <v>12893</v>
      </c>
      <c r="AA34" s="122">
        <v>0</v>
      </c>
      <c r="AB34" s="122">
        <v>24</v>
      </c>
      <c r="AC34" s="99">
        <v>13395</v>
      </c>
      <c r="AD34" s="122">
        <v>0</v>
      </c>
      <c r="AE34" s="99"/>
      <c r="AF34" s="122"/>
      <c r="AG34" s="99">
        <v>5097</v>
      </c>
      <c r="AH34" s="122">
        <v>0</v>
      </c>
      <c r="AI34" s="99">
        <v>39416</v>
      </c>
      <c r="AJ34" s="122">
        <v>1</v>
      </c>
      <c r="AK34" s="99">
        <v>4651</v>
      </c>
      <c r="AL34" s="122">
        <v>0</v>
      </c>
      <c r="AM34" s="99">
        <v>1386</v>
      </c>
      <c r="AN34" s="122">
        <v>1</v>
      </c>
      <c r="AO34" s="99">
        <v>1518</v>
      </c>
      <c r="AP34" s="122">
        <v>1</v>
      </c>
      <c r="AQ34" s="99">
        <v>530</v>
      </c>
      <c r="AR34" s="122">
        <v>1</v>
      </c>
      <c r="AS34" s="99">
        <v>1389</v>
      </c>
      <c r="AT34" s="122">
        <v>0</v>
      </c>
      <c r="AU34" s="99">
        <v>9926</v>
      </c>
      <c r="AV34" s="122">
        <v>0</v>
      </c>
      <c r="AW34" s="127">
        <v>40</v>
      </c>
      <c r="AX34" s="61" t="s">
        <v>66</v>
      </c>
      <c r="AY34" s="62" t="s">
        <v>67</v>
      </c>
    </row>
    <row r="35" spans="1:51" ht="15.75" customHeight="1" x14ac:dyDescent="0.2">
      <c r="A35" s="63">
        <v>27</v>
      </c>
      <c r="B35" s="99">
        <v>27922</v>
      </c>
      <c r="C35" s="122">
        <v>10</v>
      </c>
      <c r="D35" s="99">
        <v>12629</v>
      </c>
      <c r="E35" s="122">
        <v>2</v>
      </c>
      <c r="F35" s="99">
        <v>32801</v>
      </c>
      <c r="G35" s="122">
        <v>5</v>
      </c>
      <c r="H35" s="99">
        <v>26026</v>
      </c>
      <c r="I35" s="122">
        <v>6</v>
      </c>
      <c r="J35" s="99">
        <v>21423</v>
      </c>
      <c r="K35" s="122">
        <v>7</v>
      </c>
      <c r="L35" s="99">
        <v>16042</v>
      </c>
      <c r="M35" s="122">
        <v>4</v>
      </c>
      <c r="N35" s="99">
        <v>14448</v>
      </c>
      <c r="O35" s="122">
        <v>4</v>
      </c>
      <c r="P35" s="99">
        <v>21106</v>
      </c>
      <c r="Q35" s="122">
        <v>6</v>
      </c>
      <c r="R35" s="99">
        <v>25361</v>
      </c>
      <c r="S35" s="122">
        <v>2</v>
      </c>
      <c r="T35" s="99">
        <v>1335</v>
      </c>
      <c r="U35" s="122">
        <v>3</v>
      </c>
      <c r="V35" s="99">
        <v>3257</v>
      </c>
      <c r="W35" s="122">
        <v>0</v>
      </c>
      <c r="X35" s="99">
        <v>30972</v>
      </c>
      <c r="Y35" s="122">
        <v>4</v>
      </c>
      <c r="Z35" s="99">
        <v>12893</v>
      </c>
      <c r="AA35" s="122">
        <v>0</v>
      </c>
      <c r="AB35" s="122">
        <v>36</v>
      </c>
      <c r="AC35" s="99">
        <v>13395</v>
      </c>
      <c r="AD35" s="122">
        <v>0</v>
      </c>
      <c r="AE35" s="99"/>
      <c r="AF35" s="122"/>
      <c r="AG35" s="99">
        <v>5097</v>
      </c>
      <c r="AH35" s="122">
        <v>0</v>
      </c>
      <c r="AI35" s="99">
        <v>39418</v>
      </c>
      <c r="AJ35" s="122">
        <v>2</v>
      </c>
      <c r="AK35" s="99">
        <v>4652</v>
      </c>
      <c r="AL35" s="122">
        <v>1</v>
      </c>
      <c r="AM35" s="99">
        <v>1387</v>
      </c>
      <c r="AN35" s="122">
        <v>1</v>
      </c>
      <c r="AO35" s="99">
        <v>1519</v>
      </c>
      <c r="AP35" s="122">
        <v>1</v>
      </c>
      <c r="AQ35" s="99">
        <v>530</v>
      </c>
      <c r="AR35" s="122">
        <v>0</v>
      </c>
      <c r="AS35" s="99">
        <v>1390</v>
      </c>
      <c r="AT35" s="122">
        <v>1</v>
      </c>
      <c r="AU35" s="99">
        <v>9927</v>
      </c>
      <c r="AV35" s="122">
        <v>1</v>
      </c>
      <c r="AW35" s="127">
        <v>60</v>
      </c>
      <c r="AX35" s="61" t="s">
        <v>66</v>
      </c>
      <c r="AY35" s="62" t="s">
        <v>67</v>
      </c>
    </row>
    <row r="36" spans="1:51" ht="15.75" customHeight="1" x14ac:dyDescent="0.2">
      <c r="A36" s="60">
        <v>28</v>
      </c>
      <c r="B36" s="99">
        <v>27929</v>
      </c>
      <c r="C36" s="122">
        <v>7</v>
      </c>
      <c r="D36" s="99">
        <v>12636</v>
      </c>
      <c r="E36" s="122">
        <v>7</v>
      </c>
      <c r="F36" s="99">
        <v>32816</v>
      </c>
      <c r="G36" s="122">
        <v>15</v>
      </c>
      <c r="H36" s="99">
        <v>26033</v>
      </c>
      <c r="I36" s="122">
        <v>7</v>
      </c>
      <c r="J36" s="99">
        <v>21429</v>
      </c>
      <c r="K36" s="122">
        <v>6</v>
      </c>
      <c r="L36" s="99">
        <v>16056</v>
      </c>
      <c r="M36" s="122">
        <v>14</v>
      </c>
      <c r="N36" s="99">
        <v>14453</v>
      </c>
      <c r="O36" s="122">
        <v>5</v>
      </c>
      <c r="P36" s="99">
        <v>21113</v>
      </c>
      <c r="Q36" s="122">
        <v>7</v>
      </c>
      <c r="R36" s="99">
        <v>25363</v>
      </c>
      <c r="S36" s="122">
        <v>2</v>
      </c>
      <c r="T36" s="99">
        <v>1339</v>
      </c>
      <c r="U36" s="122">
        <v>4</v>
      </c>
      <c r="V36" s="99">
        <v>3258</v>
      </c>
      <c r="W36" s="122">
        <v>1</v>
      </c>
      <c r="X36" s="99">
        <v>30975</v>
      </c>
      <c r="Y36" s="122">
        <v>3</v>
      </c>
      <c r="Z36" s="99">
        <v>12893</v>
      </c>
      <c r="AA36" s="122">
        <v>0</v>
      </c>
      <c r="AB36" s="122">
        <v>49</v>
      </c>
      <c r="AC36" s="99">
        <v>13395</v>
      </c>
      <c r="AD36" s="122">
        <v>0</v>
      </c>
      <c r="AE36" s="99"/>
      <c r="AF36" s="122"/>
      <c r="AG36" s="99">
        <v>5097</v>
      </c>
      <c r="AH36" s="122">
        <v>0</v>
      </c>
      <c r="AI36" s="99">
        <v>39419</v>
      </c>
      <c r="AJ36" s="122">
        <v>1</v>
      </c>
      <c r="AK36" s="99">
        <v>4652</v>
      </c>
      <c r="AL36" s="122">
        <v>0</v>
      </c>
      <c r="AM36" s="99">
        <v>1387</v>
      </c>
      <c r="AN36" s="122">
        <v>0</v>
      </c>
      <c r="AO36" s="99">
        <v>1520</v>
      </c>
      <c r="AP36" s="122">
        <v>1</v>
      </c>
      <c r="AQ36" s="99">
        <v>530</v>
      </c>
      <c r="AR36" s="122">
        <v>0</v>
      </c>
      <c r="AS36" s="99">
        <v>1390</v>
      </c>
      <c r="AT36" s="122">
        <v>0</v>
      </c>
      <c r="AU36" s="99">
        <v>9928</v>
      </c>
      <c r="AV36" s="122">
        <v>1</v>
      </c>
      <c r="AW36" s="127">
        <v>81</v>
      </c>
      <c r="AX36" s="61" t="s">
        <v>66</v>
      </c>
      <c r="AY36" s="62" t="s">
        <v>67</v>
      </c>
    </row>
    <row r="37" spans="1:51" ht="15.75" customHeight="1" x14ac:dyDescent="0.2">
      <c r="A37" s="63">
        <v>29</v>
      </c>
      <c r="B37" s="99">
        <v>27936</v>
      </c>
      <c r="C37" s="122">
        <v>7</v>
      </c>
      <c r="D37" s="99">
        <v>12637</v>
      </c>
      <c r="E37" s="122">
        <v>1</v>
      </c>
      <c r="F37" s="99">
        <v>32819</v>
      </c>
      <c r="G37" s="122">
        <v>3</v>
      </c>
      <c r="H37" s="99">
        <v>26038</v>
      </c>
      <c r="I37" s="122">
        <v>5</v>
      </c>
      <c r="J37" s="99">
        <v>21431</v>
      </c>
      <c r="K37" s="122">
        <v>2</v>
      </c>
      <c r="L37" s="99">
        <v>16061</v>
      </c>
      <c r="M37" s="122">
        <v>5</v>
      </c>
      <c r="N37" s="99">
        <v>14458</v>
      </c>
      <c r="O37" s="122">
        <v>5</v>
      </c>
      <c r="P37" s="99">
        <v>21115</v>
      </c>
      <c r="Q37" s="122">
        <v>2</v>
      </c>
      <c r="R37" s="99">
        <v>25364</v>
      </c>
      <c r="S37" s="122">
        <v>1</v>
      </c>
      <c r="T37" s="99">
        <v>1342</v>
      </c>
      <c r="U37" s="122">
        <v>3</v>
      </c>
      <c r="V37" s="99">
        <v>3258</v>
      </c>
      <c r="W37" s="122">
        <v>0</v>
      </c>
      <c r="X37" s="99">
        <v>30977</v>
      </c>
      <c r="Y37" s="122">
        <v>2</v>
      </c>
      <c r="Z37" s="99">
        <v>12893</v>
      </c>
      <c r="AA37" s="122">
        <v>0</v>
      </c>
      <c r="AB37" s="122">
        <v>25</v>
      </c>
      <c r="AC37" s="99">
        <v>13395</v>
      </c>
      <c r="AD37" s="122">
        <v>0</v>
      </c>
      <c r="AE37" s="99"/>
      <c r="AF37" s="122"/>
      <c r="AG37" s="99">
        <v>5099</v>
      </c>
      <c r="AH37" s="122">
        <v>2</v>
      </c>
      <c r="AI37" s="99">
        <v>39420</v>
      </c>
      <c r="AJ37" s="122">
        <v>1</v>
      </c>
      <c r="AK37" s="99">
        <v>4652</v>
      </c>
      <c r="AL37" s="122">
        <v>0</v>
      </c>
      <c r="AM37" s="99">
        <v>1388</v>
      </c>
      <c r="AN37" s="122">
        <v>1</v>
      </c>
      <c r="AO37" s="99">
        <v>1521</v>
      </c>
      <c r="AP37" s="122">
        <v>1</v>
      </c>
      <c r="AQ37" s="99">
        <v>530</v>
      </c>
      <c r="AR37" s="122">
        <v>0</v>
      </c>
      <c r="AS37" s="99">
        <v>1390</v>
      </c>
      <c r="AT37" s="122">
        <v>0</v>
      </c>
      <c r="AU37" s="99">
        <v>9930</v>
      </c>
      <c r="AV37" s="122">
        <v>2</v>
      </c>
      <c r="AW37" s="127">
        <v>43</v>
      </c>
      <c r="AX37" s="61" t="s">
        <v>66</v>
      </c>
      <c r="AY37" s="62" t="s">
        <v>67</v>
      </c>
    </row>
    <row r="38" spans="1:51" ht="15.75" customHeight="1" x14ac:dyDescent="0.2">
      <c r="A38" s="63">
        <v>30</v>
      </c>
      <c r="B38" s="113">
        <v>27941</v>
      </c>
      <c r="C38" s="123">
        <v>5</v>
      </c>
      <c r="D38" s="113">
        <v>12638</v>
      </c>
      <c r="E38" s="123">
        <v>1</v>
      </c>
      <c r="F38" s="113">
        <v>32845</v>
      </c>
      <c r="G38" s="123">
        <v>26</v>
      </c>
      <c r="H38" s="113">
        <v>26046</v>
      </c>
      <c r="I38" s="123">
        <v>8</v>
      </c>
      <c r="J38" s="113">
        <v>21436</v>
      </c>
      <c r="K38" s="123">
        <v>5</v>
      </c>
      <c r="L38" s="113">
        <v>16066</v>
      </c>
      <c r="M38" s="123">
        <v>5</v>
      </c>
      <c r="N38" s="113">
        <v>14463</v>
      </c>
      <c r="O38" s="123">
        <v>5</v>
      </c>
      <c r="P38" s="113">
        <v>21116</v>
      </c>
      <c r="Q38" s="123">
        <v>1</v>
      </c>
      <c r="R38" s="113">
        <v>25366</v>
      </c>
      <c r="S38" s="123">
        <v>2</v>
      </c>
      <c r="T38" s="113">
        <v>1344</v>
      </c>
      <c r="U38" s="122">
        <v>2</v>
      </c>
      <c r="V38" s="113">
        <v>3258</v>
      </c>
      <c r="W38" s="123">
        <v>0</v>
      </c>
      <c r="X38" s="113">
        <v>30977</v>
      </c>
      <c r="Y38" s="123">
        <v>0</v>
      </c>
      <c r="Z38" s="113">
        <v>12893</v>
      </c>
      <c r="AA38" s="123">
        <v>0</v>
      </c>
      <c r="AB38" s="123">
        <v>28</v>
      </c>
      <c r="AC38" s="113">
        <v>13395</v>
      </c>
      <c r="AD38" s="123">
        <v>0</v>
      </c>
      <c r="AE38" s="113"/>
      <c r="AF38" s="123"/>
      <c r="AG38" s="113">
        <v>5101</v>
      </c>
      <c r="AH38" s="123">
        <v>2</v>
      </c>
      <c r="AI38" s="113">
        <v>39421</v>
      </c>
      <c r="AJ38" s="123">
        <v>1</v>
      </c>
      <c r="AK38" s="113">
        <v>4652</v>
      </c>
      <c r="AL38" s="123">
        <v>0</v>
      </c>
      <c r="AM38" s="113">
        <v>1389</v>
      </c>
      <c r="AN38" s="123">
        <v>1</v>
      </c>
      <c r="AO38" s="113">
        <v>1521</v>
      </c>
      <c r="AP38" s="123">
        <v>0</v>
      </c>
      <c r="AQ38" s="113">
        <v>530</v>
      </c>
      <c r="AR38" s="123">
        <v>0</v>
      </c>
      <c r="AS38" s="113">
        <v>1390</v>
      </c>
      <c r="AT38" s="123">
        <v>0</v>
      </c>
      <c r="AU38" s="113">
        <v>9932</v>
      </c>
      <c r="AV38" s="123">
        <v>2</v>
      </c>
      <c r="AW38" s="127">
        <v>66</v>
      </c>
      <c r="AX38" s="61" t="s">
        <v>66</v>
      </c>
      <c r="AY38" s="62" t="s">
        <v>67</v>
      </c>
    </row>
    <row r="39" spans="1:51" ht="15.75" customHeight="1" x14ac:dyDescent="0.2">
      <c r="A39" s="161">
        <v>31</v>
      </c>
      <c r="B39" s="162">
        <v>27949</v>
      </c>
      <c r="C39" s="163">
        <v>8</v>
      </c>
      <c r="D39" s="162">
        <v>12641</v>
      </c>
      <c r="E39" s="163">
        <v>3</v>
      </c>
      <c r="F39" s="162">
        <v>32849</v>
      </c>
      <c r="G39" s="163">
        <v>4</v>
      </c>
      <c r="H39" s="162">
        <v>26054</v>
      </c>
      <c r="I39" s="163">
        <v>8</v>
      </c>
      <c r="J39" s="162">
        <v>21446</v>
      </c>
      <c r="K39" s="163">
        <v>10</v>
      </c>
      <c r="L39" s="162">
        <v>16071</v>
      </c>
      <c r="M39" s="163">
        <v>5</v>
      </c>
      <c r="N39" s="162">
        <v>14470</v>
      </c>
      <c r="O39" s="163">
        <v>7</v>
      </c>
      <c r="P39" s="162">
        <v>21117</v>
      </c>
      <c r="Q39" s="163">
        <v>1</v>
      </c>
      <c r="R39" s="162">
        <v>25368</v>
      </c>
      <c r="S39" s="163">
        <v>2</v>
      </c>
      <c r="T39" s="162">
        <v>1346</v>
      </c>
      <c r="U39" s="163">
        <v>2</v>
      </c>
      <c r="V39" s="162">
        <v>3258</v>
      </c>
      <c r="W39" s="163">
        <v>0</v>
      </c>
      <c r="X39" s="162">
        <v>30978</v>
      </c>
      <c r="Y39" s="163">
        <v>1</v>
      </c>
      <c r="Z39" s="162">
        <v>12893</v>
      </c>
      <c r="AA39" s="163">
        <v>0</v>
      </c>
      <c r="AB39" s="163">
        <v>36</v>
      </c>
      <c r="AC39" s="162">
        <v>13395</v>
      </c>
      <c r="AD39" s="163">
        <v>0</v>
      </c>
      <c r="AE39" s="162"/>
      <c r="AF39" s="163"/>
      <c r="AG39" s="162">
        <v>5103</v>
      </c>
      <c r="AH39" s="163">
        <v>2</v>
      </c>
      <c r="AI39" s="162">
        <v>39422</v>
      </c>
      <c r="AJ39" s="163">
        <v>1</v>
      </c>
      <c r="AK39" s="162">
        <v>4652</v>
      </c>
      <c r="AL39" s="163">
        <v>0</v>
      </c>
      <c r="AM39" s="162">
        <v>1392</v>
      </c>
      <c r="AN39" s="163">
        <v>3</v>
      </c>
      <c r="AO39" s="162">
        <v>1521</v>
      </c>
      <c r="AP39" s="163">
        <v>0</v>
      </c>
      <c r="AQ39" s="162">
        <v>530</v>
      </c>
      <c r="AR39" s="163">
        <v>0</v>
      </c>
      <c r="AS39" s="162">
        <v>1391</v>
      </c>
      <c r="AT39" s="163">
        <v>1</v>
      </c>
      <c r="AU39" s="162">
        <v>9934</v>
      </c>
      <c r="AV39" s="163">
        <v>2</v>
      </c>
      <c r="AW39" s="164">
        <v>60</v>
      </c>
      <c r="AX39" s="61" t="s">
        <v>66</v>
      </c>
      <c r="AY39" s="62" t="s">
        <v>67</v>
      </c>
    </row>
    <row r="40" spans="1:51" ht="12.75" customHeight="1" x14ac:dyDescent="0.2">
      <c r="A40" s="165" t="s">
        <v>18</v>
      </c>
      <c r="B40" s="166"/>
      <c r="C40" s="167">
        <f>SUM(C9:C39)</f>
        <v>214</v>
      </c>
      <c r="D40" s="167"/>
      <c r="E40" s="167">
        <f>SUM(E9:E39)</f>
        <v>74</v>
      </c>
      <c r="F40" s="167"/>
      <c r="G40" s="167">
        <f>SUM(G9:G39)</f>
        <v>247</v>
      </c>
      <c r="H40" s="167"/>
      <c r="I40" s="167">
        <f>SUM(I9:I39)</f>
        <v>206</v>
      </c>
      <c r="J40" s="167"/>
      <c r="K40" s="167">
        <f>SUM(K9:K39)</f>
        <v>110</v>
      </c>
      <c r="L40" s="167"/>
      <c r="M40" s="167">
        <f>SUM(M9:M39)</f>
        <v>171</v>
      </c>
      <c r="N40" s="167"/>
      <c r="O40" s="167">
        <f>SUM(O9:O39)</f>
        <v>105</v>
      </c>
      <c r="P40" s="167"/>
      <c r="Q40" s="167">
        <f>SUM(Q9:Q39)</f>
        <v>110</v>
      </c>
      <c r="R40" s="167"/>
      <c r="S40" s="167">
        <f>SUM(S9:S39)</f>
        <v>91</v>
      </c>
      <c r="T40" s="167"/>
      <c r="U40" s="167">
        <f>SUM(U9:U39)</f>
        <v>83</v>
      </c>
      <c r="V40" s="167"/>
      <c r="W40" s="167">
        <f>SUM(W9:W39)</f>
        <v>14</v>
      </c>
      <c r="X40" s="167"/>
      <c r="Y40" s="167">
        <f>SUM(Y9:Y39)</f>
        <v>130</v>
      </c>
      <c r="Z40" s="167"/>
      <c r="AA40" s="167">
        <v>0</v>
      </c>
      <c r="AB40" s="167">
        <f>SUM(AB9:AB39)</f>
        <v>1020</v>
      </c>
      <c r="AC40" s="167"/>
      <c r="AD40" s="167">
        <f>SUM(AD9:AD39)</f>
        <v>14</v>
      </c>
      <c r="AE40" s="167"/>
      <c r="AF40" s="167"/>
      <c r="AG40" s="167"/>
      <c r="AH40" s="167">
        <f>SUM(AH9:AH39)</f>
        <v>61</v>
      </c>
      <c r="AI40" s="167"/>
      <c r="AJ40" s="167">
        <f>SUM(AJ9:AJ39)</f>
        <v>77</v>
      </c>
      <c r="AK40" s="167"/>
      <c r="AL40" s="167">
        <f>SUM(AL9:AL39)</f>
        <v>51</v>
      </c>
      <c r="AM40" s="167"/>
      <c r="AN40" s="167">
        <f>SUM(AN9:AN39)</f>
        <v>49</v>
      </c>
      <c r="AO40" s="167"/>
      <c r="AP40" s="167">
        <f>SUM(AP9:AP39)</f>
        <v>36</v>
      </c>
      <c r="AQ40" s="167"/>
      <c r="AR40" s="167">
        <f>SUM(AR9:AR39)</f>
        <v>3</v>
      </c>
      <c r="AS40" s="167"/>
      <c r="AT40" s="167">
        <f>SUM(AT9:AT39)</f>
        <v>9</v>
      </c>
      <c r="AU40" s="167"/>
      <c r="AV40" s="167">
        <f>SUM(AV9:AV39)</f>
        <v>62</v>
      </c>
      <c r="AW40" s="167">
        <f>SUM(AW9:AW39)</f>
        <v>1917</v>
      </c>
      <c r="AY40" s="24"/>
    </row>
    <row r="41" spans="1:51" ht="15" customHeight="1" x14ac:dyDescent="0.2">
      <c r="AH41" s="24"/>
      <c r="AW41" s="129"/>
      <c r="AY41" s="24"/>
    </row>
    <row r="42" spans="1:51" ht="18" customHeight="1" x14ac:dyDescent="0.3">
      <c r="A42" s="64" t="s">
        <v>68</v>
      </c>
      <c r="B42" s="65"/>
      <c r="C42" s="66"/>
      <c r="G42" s="26"/>
      <c r="AH42" s="24"/>
      <c r="AY42" s="24"/>
    </row>
    <row r="43" spans="1:51" ht="18" customHeight="1" x14ac:dyDescent="0.3">
      <c r="A43" s="67"/>
      <c r="B43" s="68"/>
      <c r="C43" s="69"/>
      <c r="D43" s="70"/>
      <c r="E43" s="70"/>
      <c r="F43" s="70"/>
      <c r="G43" s="26"/>
      <c r="AH43" s="24"/>
      <c r="AY43" s="24"/>
    </row>
    <row r="44" spans="1:51" ht="18" customHeight="1" x14ac:dyDescent="0.25">
      <c r="B44" s="71"/>
      <c r="G44" s="26"/>
      <c r="AH44" s="24"/>
    </row>
    <row r="45" spans="1:51" ht="18" customHeight="1" x14ac:dyDescent="0.25">
      <c r="B45" s="72"/>
      <c r="G45" s="26"/>
      <c r="AH45" s="24"/>
    </row>
    <row r="46" spans="1:51" ht="18" customHeight="1" x14ac:dyDescent="0.25">
      <c r="B46" s="71"/>
      <c r="AH46" s="24"/>
    </row>
    <row r="47" spans="1:51" ht="18" customHeight="1" x14ac:dyDescent="0.25">
      <c r="B47" s="73"/>
      <c r="AH47" s="24"/>
    </row>
    <row r="48" spans="1:51" ht="18" customHeight="1" x14ac:dyDescent="0.25">
      <c r="B48" s="73"/>
      <c r="AH48" s="24"/>
    </row>
    <row r="49" spans="34:34" ht="18" customHeight="1" x14ac:dyDescent="0.25">
      <c r="AH49" s="24"/>
    </row>
    <row r="50" spans="34:34" ht="18" customHeight="1" x14ac:dyDescent="0.25">
      <c r="AH50" s="24"/>
    </row>
    <row r="51" spans="34:34" ht="18" customHeight="1" x14ac:dyDescent="0.25">
      <c r="AH51" s="24"/>
    </row>
    <row r="52" spans="34:34" ht="18" customHeight="1" x14ac:dyDescent="0.25"/>
    <row r="53" spans="34:34" ht="18" customHeight="1" x14ac:dyDescent="0.25"/>
    <row r="54" spans="34:34" ht="18" customHeight="1" x14ac:dyDescent="0.25"/>
  </sheetData>
  <mergeCells count="2">
    <mergeCell ref="I4:R4"/>
    <mergeCell ref="D6:F6"/>
  </mergeCells>
  <conditionalFormatting sqref="O9:O38 M9:M38 W9:W38 Y9:Y38 C9:C38 E9:E38 G9:G38 K9:K38 S9:S38 Q9:Q38 I9:I38 U9:U38">
    <cfRule type="cellIs" dxfId="27" priority="28" operator="greaterThan">
      <formula>15</formula>
    </cfRule>
  </conditionalFormatting>
  <conditionalFormatting sqref="G29 E29 C9:C38 U9:U38">
    <cfRule type="cellIs" dxfId="26" priority="27" operator="greaterThan">
      <formula>15</formula>
    </cfRule>
  </conditionalFormatting>
  <conditionalFormatting sqref="Y9:Y38 C9:C38 S9:S38">
    <cfRule type="cellIs" dxfId="25" priority="25" operator="greaterThan">
      <formula>15</formula>
    </cfRule>
    <cfRule type="cellIs" dxfId="24" priority="26" operator="greaterThan">
      <formula>15</formula>
    </cfRule>
  </conditionalFormatting>
  <conditionalFormatting sqref="U9:U38">
    <cfRule type="cellIs" dxfId="23" priority="24" operator="greaterThan">
      <formula>10</formula>
    </cfRule>
  </conditionalFormatting>
  <conditionalFormatting sqref="C30">
    <cfRule type="cellIs" dxfId="22" priority="22" operator="greaterThan">
      <formula>15</formula>
    </cfRule>
    <cfRule type="cellIs" dxfId="21" priority="23" operator="greaterThan">
      <formula>" 20 15"</formula>
    </cfRule>
  </conditionalFormatting>
  <conditionalFormatting sqref="AF9:AF38 AA9:AA38 AD9:AD38">
    <cfRule type="cellIs" dxfId="20" priority="21" operator="greaterThan">
      <formula>15</formula>
    </cfRule>
  </conditionalFormatting>
  <conditionalFormatting sqref="AD9:AD38">
    <cfRule type="cellIs" dxfId="19" priority="20" operator="greaterThan">
      <formula>15</formula>
    </cfRule>
  </conditionalFormatting>
  <conditionalFormatting sqref="AD9:AD38">
    <cfRule type="cellIs" dxfId="18" priority="18" operator="greaterThan">
      <formula>15</formula>
    </cfRule>
    <cfRule type="cellIs" dxfId="17" priority="19" operator="greaterThan">
      <formula>15</formula>
    </cfRule>
  </conditionalFormatting>
  <conditionalFormatting sqref="AD17:AD29">
    <cfRule type="cellIs" dxfId="16" priority="17" operator="greaterThan">
      <formula>34</formula>
    </cfRule>
  </conditionalFormatting>
  <conditionalFormatting sqref="AJ9:AJ38 AH9:AH38">
    <cfRule type="cellIs" dxfId="15" priority="16" operator="greaterThan">
      <formula>15</formula>
    </cfRule>
  </conditionalFormatting>
  <conditionalFormatting sqref="AJ9:AJ38">
    <cfRule type="cellIs" dxfId="14" priority="15" operator="greaterThan">
      <formula>15</formula>
    </cfRule>
  </conditionalFormatting>
  <conditionalFormatting sqref="AJ17">
    <cfRule type="cellIs" dxfId="13" priority="14" operator="greaterThan">
      <formula>54</formula>
    </cfRule>
  </conditionalFormatting>
  <conditionalFormatting sqref="AV9:AV38">
    <cfRule type="cellIs" dxfId="12" priority="13" operator="greaterThan">
      <formula>15</formula>
    </cfRule>
  </conditionalFormatting>
  <conditionalFormatting sqref="O39 M39 W39 Y39 C39 E39 G39 K39 S39 Q39 I39 U39">
    <cfRule type="cellIs" dxfId="11" priority="12" operator="greaterThan">
      <formula>15</formula>
    </cfRule>
  </conditionalFormatting>
  <conditionalFormatting sqref="C39 U39">
    <cfRule type="cellIs" dxfId="10" priority="11" operator="greaterThan">
      <formula>15</formula>
    </cfRule>
  </conditionalFormatting>
  <conditionalFormatting sqref="Y39 C39 S39">
    <cfRule type="cellIs" dxfId="9" priority="9" operator="greaterThan">
      <formula>15</formula>
    </cfRule>
    <cfRule type="cellIs" dxfId="8" priority="10" operator="greaterThan">
      <formula>15</formula>
    </cfRule>
  </conditionalFormatting>
  <conditionalFormatting sqref="U39">
    <cfRule type="cellIs" dxfId="7" priority="8" operator="greaterThan">
      <formula>10</formula>
    </cfRule>
  </conditionalFormatting>
  <conditionalFormatting sqref="AF39 AA39 AD39">
    <cfRule type="cellIs" dxfId="6" priority="7" operator="greaterThan">
      <formula>15</formula>
    </cfRule>
  </conditionalFormatting>
  <conditionalFormatting sqref="AD39">
    <cfRule type="cellIs" dxfId="5" priority="6" operator="greaterThan">
      <formula>15</formula>
    </cfRule>
  </conditionalFormatting>
  <conditionalFormatting sqref="AD39">
    <cfRule type="cellIs" dxfId="4" priority="4" operator="greaterThan">
      <formula>15</formula>
    </cfRule>
    <cfRule type="cellIs" dxfId="3" priority="5" operator="greaterThan">
      <formula>15</formula>
    </cfRule>
  </conditionalFormatting>
  <conditionalFormatting sqref="AJ39 AH39">
    <cfRule type="cellIs" dxfId="2" priority="3" operator="greaterThan">
      <formula>15</formula>
    </cfRule>
  </conditionalFormatting>
  <conditionalFormatting sqref="AJ39">
    <cfRule type="cellIs" dxfId="1" priority="2" operator="greaterThan">
      <formula>15</formula>
    </cfRule>
  </conditionalFormatting>
  <conditionalFormatting sqref="AV39">
    <cfRule type="cellIs" dxfId="0" priority="1" operator="greaterThan">
      <formula>15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2" ma:contentTypeDescription="Create a new document." ma:contentTypeScope="" ma:versionID="56f4fc68a42881a191d14fb4ade58810">
  <xsd:schema xmlns:xsd="http://www.w3.org/2001/XMLSchema" xmlns:xs="http://www.w3.org/2001/XMLSchema" xmlns:p="http://schemas.microsoft.com/office/2006/metadata/properties" xmlns:ns2="eff43ebd-2a19-4bb7-a86e-e6d7ee257b8d" xmlns:ns3="7baf53ce-c784-4a12-8ee0-51f8f1a018ac" targetNamespace="http://schemas.microsoft.com/office/2006/metadata/properties" ma:root="true" ma:fieldsID="f7728ced4cf40371306f0b8e7d593d50" ns2:_="" ns3:_="">
    <xsd:import namespace="eff43ebd-2a19-4bb7-a86e-e6d7ee257b8d"/>
    <xsd:import namespace="7baf53ce-c784-4a12-8ee0-51f8f1a018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56C605E-F404-41B9-AD4E-490956F80F5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9CCE09C-85DF-404B-B66C-0F1598EF46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f43ebd-2a19-4bb7-a86e-e6d7ee257b8d"/>
    <ds:schemaRef ds:uri="7baf53ce-c784-4a12-8ee0-51f8f1a018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52A8884-40AE-4065-8513-5481A0A532D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Electricity</vt:lpstr>
      <vt:lpstr>Water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2021-11-08T05:21:52Z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</Properties>
</file>