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1819" documentId="11_3BED31AB7A40F8CCF12F63B4977459FD7BE6FFE9" xr6:coauthVersionLast="47" xr6:coauthVersionMax="47" xr10:uidLastSave="{13ED53A6-59B7-4952-AF78-C0A8D2C3BFAB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7" i="3" l="1"/>
  <c r="D37" i="3"/>
  <c r="E37" i="3"/>
  <c r="F37" i="3"/>
  <c r="G37" i="3"/>
  <c r="H37" i="3"/>
  <c r="I37" i="3"/>
  <c r="J37" i="3"/>
  <c r="B37" i="3"/>
  <c r="B38" i="3"/>
  <c r="L37" i="3"/>
  <c r="K37" i="3"/>
  <c r="E14" i="5"/>
  <c r="G5" i="6"/>
  <c r="D38" i="3"/>
  <c r="F38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<sst xmlns="http://schemas.openxmlformats.org/spreadsheetml/2006/main" count="101" uniqueCount="31">
  <si>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</si>
  <si>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</si>
  <si>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</si>
  <si>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</si>
  <si>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</si>
  <si>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</si>
  <si>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</si>
  <si>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</si>
  <si>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</si>
  <si>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</si>
  <si>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</si>
  <si>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</si>
  <si>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</si>
  <si>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</si>
  <si>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</si>
  <si>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</si>
  <si>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</si>
  <si>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</si>
  <si>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</si>
  <si>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</si>
  <si>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</si>
  <si>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</si>
  <si>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JUNE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</si>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</sst>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opLeftCell="A14" workbookViewId="0">
      <selection activeCell="D39" sqref="D39"/>
    </sheetView>
  </sheetViews>
  <sheetFormatPr defaultColWidth="11.5703125" defaultRowHeight="15"/>
  <cols>
    <col min="1" max="1" width="16" style="2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2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2" t="s">
        <v>12</v>
      </c>
      <c r="B2" s="11">
        <v>1</v>
      </c>
      <c r="C2" s="12">
        <v>6</v>
      </c>
      <c r="D2" s="12">
        <v>2022</v>
      </c>
      <c r="E2" s="13">
        <f>IF(('DAILY READINGS'!B7-'DAILY READINGS'!B6)&gt;0,('DAILY READINGS'!B7-'DAILY READINGS'!B6),0)</f>
        <v>7792</v>
      </c>
      <c r="F2" s="10">
        <v>0.31</v>
      </c>
      <c r="G2" s="13">
        <f>IF(('DAILY READINGS'!D7-'DAILY READINGS'!D6)+('DAILY READINGS'!E7-'DAILY READINGS'!E6)&gt;0,('DAILY READINGS'!D7-'DAILY READINGS'!D6)+('DAILY READINGS'!E7-'DAILY READINGS'!E6),0)</f>
        <v>236</v>
      </c>
      <c r="H2" s="10">
        <v>1.3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73</v>
      </c>
      <c r="J2" s="10">
        <v>1.45</v>
      </c>
      <c r="K2" s="13">
        <f>'DAILY READINGS'!K7</f>
        <v>42</v>
      </c>
      <c r="L2" s="8">
        <f>'DAILY READINGS'!L7</f>
        <v>77</v>
      </c>
    </row>
    <row r="3" spans="1:23">
      <c r="A3" s="2" t="s">
        <v>12</v>
      </c>
      <c r="B3" s="11">
        <f t="shared" ref="B3:B31" si="0">B2+1</f>
        <v>2</v>
      </c>
      <c r="C3" s="12">
        <v>6</v>
      </c>
      <c r="D3" s="12">
        <v>2022</v>
      </c>
      <c r="E3" s="13">
        <f>IF(('DAILY READINGS'!B8-'DAILY READINGS'!B7)&gt;0,('DAILY READINGS'!B8-'DAILY READINGS'!B7),0)</f>
        <v>7908</v>
      </c>
      <c r="F3" s="10">
        <v>0.31</v>
      </c>
      <c r="G3" s="13">
        <f>IF(('DAILY READINGS'!D8-'DAILY READINGS'!D7)+('DAILY READINGS'!E8-'DAILY READINGS'!E7)&gt;0,('DAILY READINGS'!D8-'DAILY READINGS'!D7)+('DAILY READINGS'!E8-'DAILY READINGS'!E7),0)</f>
        <v>185</v>
      </c>
      <c r="H3" s="10">
        <v>1.3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76</v>
      </c>
      <c r="J3" s="10">
        <v>1.45</v>
      </c>
      <c r="K3" s="13">
        <f>'DAILY READINGS'!K8</f>
        <v>54</v>
      </c>
      <c r="L3" s="8">
        <f>'DAILY READINGS'!L8</f>
        <v>76</v>
      </c>
      <c r="M3" s="13"/>
    </row>
    <row r="4" spans="1:23">
      <c r="A4" s="2" t="s">
        <v>12</v>
      </c>
      <c r="B4" s="11">
        <f t="shared" si="0"/>
        <v>3</v>
      </c>
      <c r="C4" s="12">
        <v>6</v>
      </c>
      <c r="D4" s="12">
        <v>2022</v>
      </c>
      <c r="E4" s="13">
        <f>IF(('DAILY READINGS'!B9-'DAILY READINGS'!B8)&gt;0,('DAILY READINGS'!B9-'DAILY READINGS'!B8),0)</f>
        <v>8618</v>
      </c>
      <c r="F4" s="10">
        <v>0.31</v>
      </c>
      <c r="G4" s="13">
        <f>IF(('DAILY READINGS'!D9-'DAILY READINGS'!D8)+('DAILY READINGS'!E9-'DAILY READINGS'!E8)&gt;0,('DAILY READINGS'!D9-'DAILY READINGS'!D8)+('DAILY READINGS'!E9-'DAILY READINGS'!E8),0)</f>
        <v>225</v>
      </c>
      <c r="H4" s="10">
        <v>1.3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66</v>
      </c>
      <c r="J4" s="10">
        <v>1.45</v>
      </c>
      <c r="K4" s="13">
        <f>'DAILY READINGS'!K9</f>
        <v>81</v>
      </c>
      <c r="L4" s="8">
        <f>'DAILY READINGS'!L9</f>
        <v>122</v>
      </c>
    </row>
    <row r="5" spans="1:23">
      <c r="A5" s="2" t="s">
        <v>12</v>
      </c>
      <c r="B5" s="11">
        <f t="shared" si="0"/>
        <v>4</v>
      </c>
      <c r="C5" s="12">
        <v>6</v>
      </c>
      <c r="D5" s="12">
        <v>2022</v>
      </c>
      <c r="E5" s="13">
        <f>IF(('DAILY READINGS'!B10-'DAILY READINGS'!B9)&gt;0,('DAILY READINGS'!B10-'DAILY READINGS'!B9),0)</f>
        <v>8678</v>
      </c>
      <c r="F5" s="10">
        <v>0.31</v>
      </c>
      <c r="G5" s="13">
        <f>IF(('DAILY READINGS'!D10-'DAILY READINGS'!D9)+('DAILY READINGS'!E10-'DAILY READINGS'!E9)&gt;0,('DAILY READINGS'!D10-'DAILY READINGS'!D9)+('DAILY READINGS'!E10-'DAILY READINGS'!E9),0)</f>
        <v>250</v>
      </c>
      <c r="H5" s="10">
        <v>1.3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117</v>
      </c>
      <c r="J5" s="10">
        <v>1.45</v>
      </c>
      <c r="K5" s="13">
        <f>'DAILY READINGS'!K10</f>
        <v>99</v>
      </c>
      <c r="L5" s="8">
        <f>'DAILY READINGS'!L10</f>
        <v>153</v>
      </c>
    </row>
    <row r="6" spans="1:23">
      <c r="A6" s="2" t="s">
        <v>12</v>
      </c>
      <c r="B6" s="11">
        <f t="shared" si="0"/>
        <v>5</v>
      </c>
      <c r="C6" s="12">
        <v>6</v>
      </c>
      <c r="D6" s="12">
        <v>2022</v>
      </c>
      <c r="E6" s="13">
        <f>IF(('DAILY READINGS'!B11-'DAILY READINGS'!B10)&gt;0,('DAILY READINGS'!B11-'DAILY READINGS'!B10),0)</f>
        <v>10726</v>
      </c>
      <c r="F6" s="10">
        <v>0.31</v>
      </c>
      <c r="G6" s="13">
        <f>IF(('DAILY READINGS'!D11-'DAILY READINGS'!D10)+('DAILY READINGS'!E11-'DAILY READINGS'!E10)&gt;0,('DAILY READINGS'!D11-'DAILY READINGS'!D10)+('DAILY READINGS'!E11-'DAILY READINGS'!E10),0)</f>
        <v>270</v>
      </c>
      <c r="H6" s="10">
        <v>1.3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105</v>
      </c>
      <c r="J6" s="10">
        <v>1.45</v>
      </c>
      <c r="K6" s="13">
        <f>'DAILY READINGS'!K11</f>
        <v>90</v>
      </c>
      <c r="L6" s="8">
        <f>'DAILY READINGS'!L11</f>
        <v>145</v>
      </c>
    </row>
    <row r="7" spans="1:23">
      <c r="A7" s="2" t="s">
        <v>12</v>
      </c>
      <c r="B7" s="11">
        <f t="shared" si="0"/>
        <v>6</v>
      </c>
      <c r="C7" s="12">
        <v>6</v>
      </c>
      <c r="D7" s="12">
        <v>2022</v>
      </c>
      <c r="E7" s="13">
        <f>IF(('DAILY READINGS'!B12-'DAILY READINGS'!B11)&gt;0,('DAILY READINGS'!B12-'DAILY READINGS'!B11),0)</f>
        <v>10719</v>
      </c>
      <c r="F7" s="10">
        <v>0.31</v>
      </c>
      <c r="G7" s="13">
        <f>IF(('DAILY READINGS'!D12-'DAILY READINGS'!D11)+('DAILY READINGS'!E12-'DAILY READINGS'!E11)&gt;0,('DAILY READINGS'!D12-'DAILY READINGS'!D11)+('DAILY READINGS'!E12-'DAILY READINGS'!E11),0)</f>
        <v>245</v>
      </c>
      <c r="H7" s="10">
        <v>1.3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137</v>
      </c>
      <c r="J7" s="10">
        <v>1.45</v>
      </c>
      <c r="K7" s="13">
        <f>'DAILY READINGS'!K12</f>
        <v>71</v>
      </c>
      <c r="L7" s="8">
        <f>'DAILY READINGS'!L12</f>
        <v>110</v>
      </c>
    </row>
    <row r="8" spans="1:23">
      <c r="A8" s="2" t="s">
        <v>12</v>
      </c>
      <c r="B8" s="11">
        <f t="shared" si="0"/>
        <v>7</v>
      </c>
      <c r="C8" s="12">
        <v>6</v>
      </c>
      <c r="D8" s="12">
        <v>2022</v>
      </c>
      <c r="E8" s="13">
        <f>IF(('DAILY READINGS'!B13-'DAILY READINGS'!B12)&gt;0,('DAILY READINGS'!B13-'DAILY READINGS'!B12),0)</f>
        <v>6851</v>
      </c>
      <c r="F8" s="10">
        <v>0.31</v>
      </c>
      <c r="G8" s="13">
        <f>IF(('DAILY READINGS'!D13-'DAILY READINGS'!D12)+('DAILY READINGS'!E13-'DAILY READINGS'!E12)&gt;0,('DAILY READINGS'!D13-'DAILY READINGS'!D12)+('DAILY READINGS'!E13-'DAILY READINGS'!E12),0)</f>
        <v>221</v>
      </c>
      <c r="H8" s="10">
        <v>1.3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98</v>
      </c>
      <c r="J8" s="10">
        <v>1.45</v>
      </c>
      <c r="K8" s="13">
        <f>'DAILY READINGS'!K13</f>
        <v>62</v>
      </c>
      <c r="L8" s="8">
        <f>'DAILY READINGS'!L13</f>
        <v>92</v>
      </c>
    </row>
    <row r="9" spans="1:23">
      <c r="A9" s="2" t="s">
        <v>12</v>
      </c>
      <c r="B9" s="11">
        <f t="shared" si="0"/>
        <v>8</v>
      </c>
      <c r="C9" s="12">
        <v>6</v>
      </c>
      <c r="D9" s="12">
        <v>2022</v>
      </c>
      <c r="E9" s="13">
        <f>IF(('DAILY READINGS'!B14-'DAILY READINGS'!B13)&gt;0,('DAILY READINGS'!B14-'DAILY READINGS'!B13),0)</f>
        <v>8848</v>
      </c>
      <c r="F9" s="10">
        <v>0.31</v>
      </c>
      <c r="G9" s="13">
        <f>IF(('DAILY READINGS'!D14-'DAILY READINGS'!D13)+('DAILY READINGS'!E14-'DAILY READINGS'!E13)&gt;0,('DAILY READINGS'!D14-'DAILY READINGS'!D13)+('DAILY READINGS'!E14-'DAILY READINGS'!E13),0)</f>
        <v>211</v>
      </c>
      <c r="H9" s="10">
        <v>1.3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93</v>
      </c>
      <c r="J9" s="10">
        <v>1.45</v>
      </c>
      <c r="K9" s="13">
        <f>'DAILY READINGS'!K14</f>
        <v>23</v>
      </c>
      <c r="L9" s="8">
        <f>'DAILY READINGS'!L14</f>
        <v>34</v>
      </c>
    </row>
    <row r="10" spans="1:23">
      <c r="A10" s="2" t="s">
        <v>12</v>
      </c>
      <c r="B10" s="11">
        <f t="shared" si="0"/>
        <v>9</v>
      </c>
      <c r="C10" s="12">
        <v>6</v>
      </c>
      <c r="D10" s="12">
        <v>2022</v>
      </c>
      <c r="E10" s="13">
        <f>IF(('DAILY READINGS'!B15-'DAILY READINGS'!B14)&gt;0,('DAILY READINGS'!B15-'DAILY READINGS'!B14),0)</f>
        <v>7290</v>
      </c>
      <c r="F10" s="10">
        <v>0.31</v>
      </c>
      <c r="G10" s="13">
        <f>IF(('DAILY READINGS'!D15-'DAILY READINGS'!D14)+('DAILY READINGS'!E15-'DAILY READINGS'!E14)&gt;0,('DAILY READINGS'!D15-'DAILY READINGS'!D14)+('DAILY READINGS'!E15-'DAILY READINGS'!E14),0)</f>
        <v>191</v>
      </c>
      <c r="H10" s="10">
        <v>1.3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74</v>
      </c>
      <c r="J10" s="10">
        <v>1.45</v>
      </c>
      <c r="K10" s="13">
        <f>'DAILY READINGS'!K15</f>
        <v>32</v>
      </c>
      <c r="L10" s="8">
        <f>'DAILY READINGS'!L15</f>
        <v>60</v>
      </c>
    </row>
    <row r="11" spans="1:23">
      <c r="A11" s="2" t="s">
        <v>12</v>
      </c>
      <c r="B11" s="11">
        <f t="shared" si="0"/>
        <v>10</v>
      </c>
      <c r="C11" s="12">
        <v>6</v>
      </c>
      <c r="D11" s="12">
        <v>2022</v>
      </c>
      <c r="E11" s="13">
        <f>IF(('DAILY READINGS'!B16-'DAILY READINGS'!B15)&gt;0,('DAILY READINGS'!B16-'DAILY READINGS'!B15),0)</f>
        <v>7210</v>
      </c>
      <c r="F11" s="10">
        <v>0.31</v>
      </c>
      <c r="G11" s="13">
        <f>IF(('DAILY READINGS'!D16-'DAILY READINGS'!D15)+('DAILY READINGS'!E16-'DAILY READINGS'!E15)&gt;0,('DAILY READINGS'!D16-'DAILY READINGS'!D15)+('DAILY READINGS'!E16-'DAILY READINGS'!E15),0)</f>
        <v>189</v>
      </c>
      <c r="H11" s="10">
        <v>1.3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86</v>
      </c>
      <c r="J11" s="10">
        <v>1.45</v>
      </c>
      <c r="K11" s="13">
        <f>'DAILY READINGS'!K16</f>
        <v>64</v>
      </c>
      <c r="L11" s="8">
        <f>'DAILY READINGS'!L16</f>
        <v>128</v>
      </c>
    </row>
    <row r="12" spans="1:23">
      <c r="A12" s="2" t="s">
        <v>12</v>
      </c>
      <c r="B12" s="11">
        <f t="shared" si="0"/>
        <v>11</v>
      </c>
      <c r="C12" s="12">
        <v>6</v>
      </c>
      <c r="D12" s="12">
        <v>2022</v>
      </c>
      <c r="E12" s="13">
        <f>IF(('DAILY READINGS'!B17-'DAILY READINGS'!B16)&gt;0,('DAILY READINGS'!B17-'DAILY READINGS'!B16),0)</f>
        <v>8002</v>
      </c>
      <c r="F12" s="10">
        <v>0.31</v>
      </c>
      <c r="G12" s="13">
        <f>IF(('DAILY READINGS'!D17-'DAILY READINGS'!D16)+('DAILY READINGS'!E17-'DAILY READINGS'!E16)&gt;0,('DAILY READINGS'!D17-'DAILY READINGS'!D16)+('DAILY READINGS'!E17-'DAILY READINGS'!E16),0)</f>
        <v>214</v>
      </c>
      <c r="H12" s="10">
        <v>1.3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101</v>
      </c>
      <c r="J12" s="10">
        <v>1.45</v>
      </c>
      <c r="K12" s="13">
        <f>'DAILY READINGS'!K17</f>
        <v>80</v>
      </c>
      <c r="L12" s="8">
        <f>'DAILY READINGS'!L17</f>
        <v>158</v>
      </c>
    </row>
    <row r="13" spans="1:23">
      <c r="A13" s="2" t="s">
        <v>12</v>
      </c>
      <c r="B13" s="11">
        <f t="shared" si="0"/>
        <v>12</v>
      </c>
      <c r="C13" s="12">
        <v>6</v>
      </c>
      <c r="D13" s="12">
        <v>2022</v>
      </c>
      <c r="E13" s="13">
        <f>IF(('DAILY READINGS'!B18-'DAILY READINGS'!B17)&gt;0,('DAILY READINGS'!B18-'DAILY READINGS'!B17),0)</f>
        <v>8102</v>
      </c>
      <c r="F13" s="10">
        <v>0.31</v>
      </c>
      <c r="G13" s="13">
        <f>IF(('DAILY READINGS'!D18-'DAILY READINGS'!D17)+('DAILY READINGS'!E18-'DAILY READINGS'!E17)&gt;0,('DAILY READINGS'!D18-'DAILY READINGS'!D17)+('DAILY READINGS'!E18-'DAILY READINGS'!E17),0)</f>
        <v>220</v>
      </c>
      <c r="H13" s="10">
        <v>1.3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111</v>
      </c>
      <c r="J13" s="10">
        <v>1.45</v>
      </c>
      <c r="K13" s="13">
        <f>'DAILY READINGS'!K18</f>
        <v>91</v>
      </c>
      <c r="L13" s="8">
        <f>'DAILY READINGS'!L18</f>
        <v>178</v>
      </c>
    </row>
    <row r="14" spans="1:23">
      <c r="A14" s="2" t="s">
        <v>12</v>
      </c>
      <c r="B14" s="11">
        <f t="shared" si="0"/>
        <v>13</v>
      </c>
      <c r="C14" s="12">
        <v>6</v>
      </c>
      <c r="D14" s="12">
        <v>2022</v>
      </c>
      <c r="E14" s="13">
        <f>IF(('DAILY READINGS'!B19-'DAILY READINGS'!B18)&gt;0,('DAILY READINGS'!B19-'DAILY READINGS'!B18),0)</f>
        <v>7752</v>
      </c>
      <c r="F14" s="10">
        <v>0.31</v>
      </c>
      <c r="G14" s="13">
        <f>IF(('DAILY READINGS'!D19-'DAILY READINGS'!D18)+('DAILY READINGS'!E19-'DAILY READINGS'!E18)&gt;0,('DAILY READINGS'!D19-'DAILY READINGS'!D18)+('DAILY READINGS'!E19-'DAILY READINGS'!E18),0)</f>
        <v>225</v>
      </c>
      <c r="H14" s="10">
        <v>1.3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112</v>
      </c>
      <c r="J14" s="10">
        <v>1.45</v>
      </c>
      <c r="K14" s="13">
        <v>82</v>
      </c>
      <c r="L14" s="8">
        <f>'DAILY READINGS'!L19</f>
        <v>170</v>
      </c>
    </row>
    <row r="15" spans="1:23">
      <c r="A15" s="2" t="s">
        <v>12</v>
      </c>
      <c r="B15" s="11">
        <f t="shared" si="0"/>
        <v>14</v>
      </c>
      <c r="C15" s="12">
        <v>6</v>
      </c>
      <c r="D15" s="12">
        <v>2022</v>
      </c>
      <c r="E15" s="13">
        <f>IF(('DAILY READINGS'!B20-'DAILY READINGS'!B19)&gt;0,('DAILY READINGS'!B20-'DAILY READINGS'!B19),0)</f>
        <v>7428</v>
      </c>
      <c r="F15" s="10">
        <v>0.31</v>
      </c>
      <c r="G15" s="13">
        <f>IF(('DAILY READINGS'!D20-'DAILY READINGS'!D19)+('DAILY READINGS'!E20-'DAILY READINGS'!E19)&gt;0,('DAILY READINGS'!D20-'DAILY READINGS'!D19)+('DAILY READINGS'!E20-'DAILY READINGS'!E19),0)</f>
        <v>207</v>
      </c>
      <c r="H15" s="10">
        <v>1.3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112</v>
      </c>
      <c r="J15" s="10">
        <v>1.45</v>
      </c>
      <c r="K15" s="13">
        <f>'DAILY READINGS'!K20</f>
        <v>80</v>
      </c>
      <c r="L15" s="8">
        <f>'DAILY READINGS'!L20</f>
        <v>159</v>
      </c>
    </row>
    <row r="16" spans="1:23">
      <c r="A16" s="2" t="s">
        <v>12</v>
      </c>
      <c r="B16" s="11">
        <f t="shared" si="0"/>
        <v>15</v>
      </c>
      <c r="C16" s="12">
        <v>6</v>
      </c>
      <c r="D16" s="12">
        <v>2022</v>
      </c>
      <c r="E16" s="13">
        <f>IF(('DAILY READINGS'!B21-'DAILY READINGS'!B20)&gt;0,('DAILY READINGS'!B21-'DAILY READINGS'!B20),0)</f>
        <v>8356</v>
      </c>
      <c r="F16" s="10">
        <v>0.31</v>
      </c>
      <c r="G16" s="13">
        <f>IF(('DAILY READINGS'!D21-'DAILY READINGS'!D20)+('DAILY READINGS'!E21-'DAILY READINGS'!E20)&gt;0,('DAILY READINGS'!D21-'DAILY READINGS'!D20)+('DAILY READINGS'!E21-'DAILY READINGS'!E20),0)</f>
        <v>264</v>
      </c>
      <c r="H16" s="10">
        <v>1.3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103</v>
      </c>
      <c r="J16" s="10">
        <v>1.45</v>
      </c>
      <c r="K16" s="13">
        <f>'DAILY READINGS'!K21</f>
        <v>82</v>
      </c>
      <c r="L16" s="8">
        <f>'DAILY READINGS'!L21</f>
        <v>161</v>
      </c>
    </row>
    <row r="17" spans="1:12">
      <c r="A17" s="2" t="s">
        <v>12</v>
      </c>
      <c r="B17" s="11">
        <f t="shared" si="0"/>
        <v>16</v>
      </c>
      <c r="C17" s="12">
        <v>6</v>
      </c>
      <c r="D17" s="12">
        <v>2022</v>
      </c>
      <c r="E17" s="13">
        <f>IF(('DAILY READINGS'!B22-'DAILY READINGS'!B21)&gt;0,('DAILY READINGS'!B22-'DAILY READINGS'!B21),0)</f>
        <v>7674</v>
      </c>
      <c r="F17" s="10">
        <v>0.31</v>
      </c>
      <c r="G17" s="13">
        <f>IF(('DAILY READINGS'!D22-'DAILY READINGS'!D21)+('DAILY READINGS'!E22-'DAILY READINGS'!E21)&gt;0,('DAILY READINGS'!D22-'DAILY READINGS'!D21)+('DAILY READINGS'!E22-'DAILY READINGS'!E21),0)</f>
        <v>254</v>
      </c>
      <c r="H17" s="10">
        <v>1.3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72</v>
      </c>
      <c r="J17" s="10">
        <v>1.45</v>
      </c>
      <c r="K17" s="13">
        <f>'DAILY READINGS'!K22</f>
        <v>75</v>
      </c>
      <c r="L17" s="8">
        <f>'DAILY READINGS'!L22</f>
        <v>144</v>
      </c>
    </row>
    <row r="18" spans="1:12">
      <c r="A18" s="2" t="s">
        <v>12</v>
      </c>
      <c r="B18" s="11">
        <f t="shared" si="0"/>
        <v>17</v>
      </c>
      <c r="C18" s="12">
        <v>6</v>
      </c>
      <c r="D18" s="12">
        <v>2022</v>
      </c>
      <c r="E18" s="13">
        <f>IF(('DAILY READINGS'!B23-'DAILY READINGS'!B22)&gt;0,('DAILY READINGS'!B23-'DAILY READINGS'!B22),0)</f>
        <v>7562</v>
      </c>
      <c r="F18" s="10">
        <v>0.31</v>
      </c>
      <c r="G18" s="13">
        <f>IF(('DAILY READINGS'!D23-'DAILY READINGS'!D22)+('DAILY READINGS'!E23-'DAILY READINGS'!E22)&gt;0,('DAILY READINGS'!D23-'DAILY READINGS'!D22)+('DAILY READINGS'!E23-'DAILY READINGS'!E22),0)</f>
        <v>247</v>
      </c>
      <c r="H18" s="10">
        <v>1.3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78</v>
      </c>
      <c r="J18" s="10">
        <v>1.45</v>
      </c>
      <c r="K18" s="13">
        <f>'DAILY READINGS'!K23</f>
        <v>82</v>
      </c>
      <c r="L18" s="8">
        <f>'DAILY READINGS'!L23</f>
        <v>165</v>
      </c>
    </row>
    <row r="19" spans="1:12">
      <c r="A19" s="2" t="s">
        <v>12</v>
      </c>
      <c r="B19" s="11">
        <f t="shared" si="0"/>
        <v>18</v>
      </c>
      <c r="C19" s="12">
        <v>6</v>
      </c>
      <c r="D19" s="12">
        <v>2022</v>
      </c>
      <c r="E19" s="13">
        <f>IF(('DAILY READINGS'!B24-'DAILY READINGS'!B23)&gt;0,('DAILY READINGS'!B24-'DAILY READINGS'!B23),0)</f>
        <v>8328</v>
      </c>
      <c r="F19" s="10">
        <v>0.31</v>
      </c>
      <c r="G19" s="13">
        <f>IF(('DAILY READINGS'!D24-'DAILY READINGS'!D23)+('DAILY READINGS'!E24-'DAILY READINGS'!E23)&gt;0,('DAILY READINGS'!D24-'DAILY READINGS'!D23)+('DAILY READINGS'!E24-'DAILY READINGS'!E23),0)</f>
        <v>254</v>
      </c>
      <c r="H19" s="10">
        <v>1.3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162</v>
      </c>
      <c r="J19" s="10">
        <v>1.45</v>
      </c>
      <c r="K19" s="13">
        <f>'DAILY READINGS'!K24</f>
        <v>88</v>
      </c>
      <c r="L19" s="8">
        <f>'DAILY READINGS'!L24</f>
        <v>172</v>
      </c>
    </row>
    <row r="20" spans="1:12">
      <c r="A20" s="2" t="s">
        <v>12</v>
      </c>
      <c r="B20" s="11">
        <f t="shared" si="0"/>
        <v>19</v>
      </c>
      <c r="C20" s="12">
        <v>6</v>
      </c>
      <c r="D20" s="12">
        <v>2022</v>
      </c>
      <c r="E20" s="13">
        <f>IF(('DAILY READINGS'!B25-'DAILY READINGS'!B24)&gt;0,('DAILY READINGS'!B25-'DAILY READINGS'!B24),0)</f>
        <v>9094</v>
      </c>
      <c r="F20" s="10">
        <v>0.31</v>
      </c>
      <c r="G20" s="13">
        <f>IF(('DAILY READINGS'!D25-'DAILY READINGS'!D24)+('DAILY READINGS'!E25-'DAILY READINGS'!E24)&gt;0,('DAILY READINGS'!D25-'DAILY READINGS'!D24)+('DAILY READINGS'!E25-'DAILY READINGS'!E24),0)</f>
        <v>271</v>
      </c>
      <c r="H20" s="10">
        <v>1.3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89</v>
      </c>
      <c r="J20" s="10">
        <v>1.45</v>
      </c>
      <c r="K20" s="13">
        <f>'DAILY READINGS'!K25</f>
        <v>75</v>
      </c>
      <c r="L20" s="8">
        <f>'DAILY READINGS'!L25</f>
        <v>155</v>
      </c>
    </row>
    <row r="21" spans="1:12">
      <c r="A21" s="2" t="s">
        <v>12</v>
      </c>
      <c r="B21" s="11">
        <f t="shared" si="0"/>
        <v>20</v>
      </c>
      <c r="C21" s="12">
        <v>6</v>
      </c>
      <c r="D21" s="12">
        <v>2022</v>
      </c>
      <c r="E21" s="13">
        <f>IF(('DAILY READINGS'!B26-'DAILY READINGS'!B25)&gt;0,('DAILY READINGS'!B26-'DAILY READINGS'!B25),0)</f>
        <v>8068</v>
      </c>
      <c r="F21" s="10">
        <v>0.31</v>
      </c>
      <c r="G21" s="13">
        <f>IF(('DAILY READINGS'!D26-'DAILY READINGS'!D25)+('DAILY READINGS'!E26-'DAILY READINGS'!E25)&gt;0,('DAILY READINGS'!D26-'DAILY READINGS'!D25)+('DAILY READINGS'!E26-'DAILY READINGS'!E25),0)</f>
        <v>236</v>
      </c>
      <c r="H21" s="10">
        <v>1.3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133</v>
      </c>
      <c r="J21" s="10">
        <v>1.45</v>
      </c>
      <c r="K21" s="13">
        <f>'DAILY READINGS'!K26</f>
        <v>66</v>
      </c>
      <c r="L21" s="8">
        <f>'DAILY READINGS'!L26</f>
        <v>135</v>
      </c>
    </row>
    <row r="22" spans="1:12">
      <c r="A22" s="2" t="s">
        <v>12</v>
      </c>
      <c r="B22" s="11">
        <f t="shared" si="0"/>
        <v>21</v>
      </c>
      <c r="C22" s="12">
        <v>6</v>
      </c>
      <c r="D22" s="12">
        <v>2022</v>
      </c>
      <c r="E22" s="13">
        <f>IF(('DAILY READINGS'!B27-'DAILY READINGS'!B26)&gt;0,('DAILY READINGS'!B27-'DAILY READINGS'!B26),0)</f>
        <v>17012</v>
      </c>
      <c r="F22" s="10">
        <v>0.31</v>
      </c>
      <c r="G22" s="13">
        <f>IF(('DAILY READINGS'!D27-'DAILY READINGS'!D26)+('DAILY READINGS'!E27-'DAILY READINGS'!E26)&gt;0,('DAILY READINGS'!D27-'DAILY READINGS'!D26)+('DAILY READINGS'!E27-'DAILY READINGS'!E26),0)</f>
        <v>540</v>
      </c>
      <c r="H22" s="10">
        <v>1.3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235</v>
      </c>
      <c r="J22" s="10">
        <v>1.45</v>
      </c>
      <c r="K22" s="13">
        <f>'DAILY READINGS'!K27</f>
        <v>110</v>
      </c>
      <c r="L22" s="8">
        <f>'DAILY READINGS'!L27</f>
        <v>220</v>
      </c>
    </row>
    <row r="23" spans="1:12">
      <c r="A23" s="2" t="s">
        <v>12</v>
      </c>
      <c r="B23" s="11">
        <f t="shared" si="0"/>
        <v>22</v>
      </c>
      <c r="C23" s="12">
        <v>6</v>
      </c>
      <c r="D23" s="12">
        <v>2022</v>
      </c>
      <c r="E23" s="13">
        <f>IF(('DAILY READINGS'!B28-'DAILY READINGS'!B27)&gt;0,('DAILY READINGS'!B28-'DAILY READINGS'!B27),0)</f>
        <v>5000</v>
      </c>
      <c r="F23" s="10">
        <v>0.31</v>
      </c>
      <c r="G23" s="13">
        <f>IF(('DAILY READINGS'!D28-'DAILY READINGS'!D27)+('DAILY READINGS'!E28-'DAILY READINGS'!E27)&gt;0,('DAILY READINGS'!D28-'DAILY READINGS'!D27)+('DAILY READINGS'!E28-'DAILY READINGS'!E27),0)</f>
        <v>154</v>
      </c>
      <c r="H23" s="10">
        <v>1.3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</v>
      </c>
      <c r="J23" s="10">
        <v>1.45</v>
      </c>
      <c r="K23" s="13">
        <f>'DAILY READINGS'!K28</f>
        <v>104</v>
      </c>
      <c r="L23" s="8">
        <f>'DAILY READINGS'!L28</f>
        <v>202</v>
      </c>
    </row>
    <row r="24" spans="1:12">
      <c r="A24" s="2" t="s">
        <v>12</v>
      </c>
      <c r="B24" s="11">
        <f t="shared" si="0"/>
        <v>23</v>
      </c>
      <c r="C24" s="12">
        <v>6</v>
      </c>
      <c r="D24" s="12">
        <v>2022</v>
      </c>
      <c r="E24" s="13">
        <f>IF(('DAILY READINGS'!B29-'DAILY READINGS'!B28)&gt;0,('DAILY READINGS'!B29-'DAILY READINGS'!B28),0)</f>
        <v>5412</v>
      </c>
      <c r="F24" s="10">
        <v>0.31</v>
      </c>
      <c r="G24" s="13">
        <f>IF(('DAILY READINGS'!D29-'DAILY READINGS'!D28)+('DAILY READINGS'!E29-'DAILY READINGS'!E28)&gt;0,('DAILY READINGS'!D29-'DAILY READINGS'!D28)+('DAILY READINGS'!E29-'DAILY READINGS'!E28),0)</f>
        <v>123</v>
      </c>
      <c r="H24" s="10">
        <v>1.3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137</v>
      </c>
      <c r="J24" s="10">
        <v>1.45</v>
      </c>
      <c r="K24" s="13">
        <f>'DAILY READINGS'!K29</f>
        <v>110</v>
      </c>
      <c r="L24" s="8">
        <f>'DAILY READINGS'!L29</f>
        <v>217</v>
      </c>
    </row>
    <row r="25" spans="1:12">
      <c r="A25" s="2" t="s">
        <v>12</v>
      </c>
      <c r="B25" s="11">
        <f t="shared" si="0"/>
        <v>24</v>
      </c>
      <c r="C25" s="12">
        <v>6</v>
      </c>
      <c r="D25" s="12">
        <v>2022</v>
      </c>
      <c r="E25" s="13">
        <f>IF(('DAILY READINGS'!B30-'DAILY READINGS'!B29)&gt;0,('DAILY READINGS'!B30-'DAILY READINGS'!B29),0)</f>
        <v>10174</v>
      </c>
      <c r="F25" s="10">
        <v>0.31</v>
      </c>
      <c r="G25" s="13">
        <f>IF(('DAILY READINGS'!D30-'DAILY READINGS'!D29)+('DAILY READINGS'!E30-'DAILY READINGS'!E29)&gt;0,('DAILY READINGS'!D30-'DAILY READINGS'!D29)+('DAILY READINGS'!E30-'DAILY READINGS'!E29),0)</f>
        <v>288</v>
      </c>
      <c r="H25" s="10">
        <v>1.3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134</v>
      </c>
      <c r="J25" s="10">
        <v>1.45</v>
      </c>
      <c r="K25" s="13">
        <f>'DAILY READINGS'!K30</f>
        <v>105</v>
      </c>
      <c r="L25" s="8">
        <f>'DAILY READINGS'!L30</f>
        <v>203</v>
      </c>
    </row>
    <row r="26" spans="1:12">
      <c r="A26" s="2" t="s">
        <v>12</v>
      </c>
      <c r="B26" s="11">
        <f t="shared" si="0"/>
        <v>25</v>
      </c>
      <c r="C26" s="12">
        <v>6</v>
      </c>
      <c r="D26" s="12">
        <v>2022</v>
      </c>
      <c r="E26" s="13">
        <f>IF(('DAILY READINGS'!B31-'DAILY READINGS'!B30)&gt;0,('DAILY READINGS'!B31-'DAILY READINGS'!B30),0)</f>
        <v>9000</v>
      </c>
      <c r="F26" s="10">
        <v>0.31</v>
      </c>
      <c r="G26" s="13">
        <f>IF(('DAILY READINGS'!D31-'DAILY READINGS'!D30)+('DAILY READINGS'!E31-'DAILY READINGS'!E30)&gt;0,('DAILY READINGS'!D31-'DAILY READINGS'!D30)+('DAILY READINGS'!E31-'DAILY READINGS'!E30),0)</f>
        <v>266</v>
      </c>
      <c r="H26" s="10">
        <v>1.3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137</v>
      </c>
      <c r="J26" s="10">
        <v>1.45</v>
      </c>
      <c r="K26" s="13">
        <f>'DAILY READINGS'!K31</f>
        <v>104</v>
      </c>
      <c r="L26" s="8">
        <f>'DAILY READINGS'!L31</f>
        <v>199</v>
      </c>
    </row>
    <row r="27" spans="1:12">
      <c r="A27" s="2" t="s">
        <v>12</v>
      </c>
      <c r="B27" s="11">
        <f t="shared" si="0"/>
        <v>26</v>
      </c>
      <c r="C27" s="12">
        <v>6</v>
      </c>
      <c r="D27" s="12">
        <v>2022</v>
      </c>
      <c r="E27" s="13">
        <f>IF(('DAILY READINGS'!B32-'DAILY READINGS'!B31)&gt;0,('DAILY READINGS'!B32-'DAILY READINGS'!B31),0)</f>
        <v>9088</v>
      </c>
      <c r="F27" s="10">
        <v>0.31</v>
      </c>
      <c r="G27" s="13">
        <f>IF(('DAILY READINGS'!D32-'DAILY READINGS'!D31)+('DAILY READINGS'!E32-'DAILY READINGS'!E31)&gt;0,('DAILY READINGS'!D32-'DAILY READINGS'!D31)+('DAILY READINGS'!E32-'DAILY READINGS'!E31),0)</f>
        <v>264</v>
      </c>
      <c r="H27" s="10">
        <v>1.3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122</v>
      </c>
      <c r="J27" s="10">
        <v>1.45</v>
      </c>
      <c r="K27" s="13">
        <f>'DAILY READINGS'!K32</f>
        <v>69</v>
      </c>
      <c r="L27" s="8">
        <f>'DAILY READINGS'!L32</f>
        <v>123</v>
      </c>
    </row>
    <row r="28" spans="1:12">
      <c r="A28" s="2" t="s">
        <v>12</v>
      </c>
      <c r="B28" s="11">
        <f t="shared" si="0"/>
        <v>27</v>
      </c>
      <c r="C28" s="12">
        <v>6</v>
      </c>
      <c r="D28" s="12">
        <v>2022</v>
      </c>
      <c r="E28" s="13">
        <f>IF(('DAILY READINGS'!B33-'DAILY READINGS'!B32)&gt;0,('DAILY READINGS'!B33-'DAILY READINGS'!B32),0)</f>
        <v>9542</v>
      </c>
      <c r="F28" s="10">
        <v>0.31</v>
      </c>
      <c r="G28" s="13">
        <f>IF(('DAILY READINGS'!D33-'DAILY READINGS'!D32)+('DAILY READINGS'!E33-'DAILY READINGS'!E32)&gt;0,('DAILY READINGS'!D33-'DAILY READINGS'!D32)+('DAILY READINGS'!E33-'DAILY READINGS'!E32),0)</f>
        <v>231</v>
      </c>
      <c r="H28" s="10">
        <v>1.3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122</v>
      </c>
      <c r="J28" s="10">
        <v>1.45</v>
      </c>
      <c r="K28" s="13">
        <f>'DAILY READINGS'!K33</f>
        <v>75</v>
      </c>
      <c r="L28" s="8">
        <f>'DAILY READINGS'!L33</f>
        <v>134</v>
      </c>
    </row>
    <row r="29" spans="1:12">
      <c r="A29" s="2" t="s">
        <v>12</v>
      </c>
      <c r="B29" s="11">
        <f t="shared" si="0"/>
        <v>28</v>
      </c>
      <c r="C29" s="12">
        <v>6</v>
      </c>
      <c r="D29" s="12">
        <v>2022</v>
      </c>
      <c r="E29" s="13">
        <f>IF(('DAILY READINGS'!B34-'DAILY READINGS'!B33)&gt;0,('DAILY READINGS'!B34-'DAILY READINGS'!B33),0)</f>
        <v>11592</v>
      </c>
      <c r="F29" s="10">
        <v>0.31</v>
      </c>
      <c r="G29" s="13">
        <f>IF(('DAILY READINGS'!D34-'DAILY READINGS'!D33)+('DAILY READINGS'!E34-'DAILY READINGS'!E33)&gt;0,('DAILY READINGS'!D34-'DAILY READINGS'!D33)+('DAILY READINGS'!E34-'DAILY READINGS'!E33),0)</f>
        <v>262</v>
      </c>
      <c r="H29" s="10">
        <v>1.3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104</v>
      </c>
      <c r="J29" s="10">
        <v>1.45</v>
      </c>
      <c r="K29" s="13">
        <f>'DAILY READINGS'!K34</f>
        <v>73</v>
      </c>
      <c r="L29" s="8">
        <f>'DAILY READINGS'!L34</f>
        <v>126</v>
      </c>
    </row>
    <row r="30" spans="1:12">
      <c r="A30" s="2" t="s">
        <v>12</v>
      </c>
      <c r="B30" s="11">
        <f t="shared" si="0"/>
        <v>29</v>
      </c>
      <c r="C30" s="12">
        <v>6</v>
      </c>
      <c r="D30" s="12">
        <v>2022</v>
      </c>
      <c r="E30" s="13">
        <f>IF(('DAILY READINGS'!B35-'DAILY READINGS'!B34)&gt;0,('DAILY READINGS'!B35-'DAILY READINGS'!B34),0)</f>
        <v>9548</v>
      </c>
      <c r="F30" s="10">
        <v>0.31</v>
      </c>
      <c r="G30" s="13">
        <f>IF(('DAILY READINGS'!D35-'DAILY READINGS'!D34)+('DAILY READINGS'!E35-'DAILY READINGS'!E34)&gt;0,('DAILY READINGS'!D35-'DAILY READINGS'!D34)+('DAILY READINGS'!E35-'DAILY READINGS'!E34),0)</f>
        <v>231</v>
      </c>
      <c r="H30" s="10">
        <v>1.3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128</v>
      </c>
      <c r="J30" s="10">
        <v>1.45</v>
      </c>
      <c r="K30" s="13">
        <f>'DAILY READINGS'!K35</f>
        <v>68</v>
      </c>
      <c r="L30" s="8">
        <f>'DAILY READINGS'!L35</f>
        <v>127</v>
      </c>
    </row>
    <row r="31" spans="1:12">
      <c r="A31" s="2" t="s">
        <v>12</v>
      </c>
      <c r="B31" s="11">
        <f t="shared" si="0"/>
        <v>30</v>
      </c>
      <c r="C31" s="12">
        <v>6</v>
      </c>
      <c r="D31" s="12">
        <v>2022</v>
      </c>
      <c r="E31" s="13">
        <f>IF(('DAILY READINGS'!B36-'DAILY READINGS'!B35)&gt;0,('DAILY READINGS'!B36-'DAILY READINGS'!B35),0)</f>
        <v>9620</v>
      </c>
      <c r="F31" s="10">
        <v>0.31</v>
      </c>
      <c r="G31" s="13">
        <f>IF(('DAILY READINGS'!D36-'DAILY READINGS'!D35)+('DAILY READINGS'!E36-'DAILY READINGS'!E35)&gt;0,('DAILY READINGS'!D36-'DAILY READINGS'!D35)+('DAILY READINGS'!E36-'DAILY READINGS'!E35),0)</f>
        <v>250</v>
      </c>
      <c r="H31" s="10">
        <v>1.3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714</v>
      </c>
      <c r="J31" s="10">
        <v>1.45</v>
      </c>
      <c r="K31" s="13">
        <f>'DAILY READINGS'!K36</f>
        <v>66</v>
      </c>
      <c r="L31" s="8">
        <f>'DAILY READINGS'!L36</f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opLeftCell="C6" workbookViewId="0">
      <selection activeCell="F23" sqref="F23"/>
    </sheetView>
  </sheetViews>
  <sheetFormatPr defaultColWidth="11.5703125" defaultRowHeight="15"/>
  <cols>
    <col min="1" max="1" width="22.28515625" style="24" bestFit="1" customWidth="1"/>
    <col min="2" max="3" width="11.5703125" style="23"/>
    <col min="4" max="4" width="13.42578125" style="23" customWidth="1"/>
    <col min="5" max="12" width="12.5703125" style="13" customWidth="1"/>
  </cols>
  <sheetData>
    <row r="1" spans="1:14" s="2" customFormat="1" ht="81">
      <c r="A1" s="21" t="s">
        <v>0</v>
      </c>
      <c r="B1" s="18" t="s">
        <v>1</v>
      </c>
      <c r="C1" s="18" t="s">
        <v>2</v>
      </c>
      <c r="D1" s="18" t="s">
        <v>3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18</v>
      </c>
      <c r="K1" s="22" t="s">
        <v>19</v>
      </c>
      <c r="L1" s="22" t="s">
        <v>20</v>
      </c>
      <c r="M1" s="14" t="s">
        <v>10</v>
      </c>
      <c r="N1" s="14" t="s">
        <v>11</v>
      </c>
    </row>
    <row r="2" spans="1:14">
      <c r="A2" s="8" t="s">
        <v>12</v>
      </c>
      <c r="B2" s="23">
        <v>1</v>
      </c>
      <c r="C2" s="23">
        <v>6</v>
      </c>
      <c r="D2" s="23">
        <v>2022</v>
      </c>
      <c r="E2" s="13">
        <f>IF(('DAILY READINGS'!B7-'DAILY READINGS'!B6)&gt;0,('DAILY READINGS'!B7-'DAILY READINGS'!B6),0)</f>
        <v>7792</v>
      </c>
      <c r="F2" s="13">
        <f>IF(('DAILY READINGS'!D7-'DAILY READINGS'!D6)&gt;0,('DAILY READINGS'!D7-'DAILY READINGS'!D6),0)</f>
        <v>139</v>
      </c>
      <c r="G2" s="13">
        <f>IF(('DAILY READINGS'!E7-'DAILY READINGS'!E6)&gt;0,('DAILY READINGS'!E7-'DAILY READINGS'!E6),0)</f>
        <v>97</v>
      </c>
      <c r="H2" s="13">
        <f>IF(('DAILY READINGS'!F7-'DAILY READINGS'!F6)&gt;0,('DAILY READINGS'!F7-'DAILY READINGS'!F6),0)</f>
        <v>2</v>
      </c>
      <c r="I2" s="13">
        <f>IF(('DAILY READINGS'!G7-'DAILY READINGS'!G6)&gt;0,('DAILY READINGS'!G7-'DAILY READINGS'!G6),0)</f>
        <v>22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1</v>
      </c>
      <c r="L2" s="13">
        <f>IF(('DAILY READINGS'!J7-'DAILY READINGS'!J6)&gt;0,('DAILY READINGS'!J7-'DAILY READINGS'!J6),0)</f>
        <v>48</v>
      </c>
      <c r="M2" s="13">
        <f>'DAILY READINGS'!K7</f>
        <v>42</v>
      </c>
      <c r="N2" s="8">
        <f>'DAILY READINGS'!L7</f>
        <v>77</v>
      </c>
    </row>
    <row r="3" spans="1:14">
      <c r="A3" s="8" t="s">
        <v>12</v>
      </c>
      <c r="B3" s="23">
        <f>B2+1</f>
        <v>2</v>
      </c>
      <c r="C3" s="23">
        <v>6</v>
      </c>
      <c r="D3" s="23">
        <v>2022</v>
      </c>
      <c r="E3" s="13">
        <f>IF(('DAILY READINGS'!B8-'DAILY READINGS'!B7)&gt;0,('DAILY READINGS'!B8-'DAILY READINGS'!B7),0)</f>
        <v>7908</v>
      </c>
      <c r="F3" s="13">
        <f>IF(('DAILY READINGS'!D8-'DAILY READINGS'!D7)&gt;0,('DAILY READINGS'!D8-'DAILY READINGS'!D7),0)</f>
        <v>94</v>
      </c>
      <c r="G3" s="13">
        <f>IF(('DAILY READINGS'!E8-'DAILY READINGS'!E7)&gt;0,('DAILY READINGS'!E8-'DAILY READINGS'!E7),0)</f>
        <v>91</v>
      </c>
      <c r="H3" s="13">
        <f>IF(('DAILY READINGS'!F8-'DAILY READINGS'!F7)&gt;0,('DAILY READINGS'!F8-'DAILY READINGS'!F7),0)</f>
        <v>1</v>
      </c>
      <c r="I3" s="13">
        <f>IF(('DAILY READINGS'!G8-'DAILY READINGS'!G7)&gt;0,('DAILY READINGS'!G8-'DAILY READINGS'!G7),0)</f>
        <v>17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1</v>
      </c>
      <c r="L3" s="13">
        <f>IF(('DAILY READINGS'!J8-'DAILY READINGS'!J7)&gt;0,('DAILY READINGS'!J8-'DAILY READINGS'!J7),0)</f>
        <v>57</v>
      </c>
      <c r="M3" s="13">
        <f>'DAILY READINGS'!K8</f>
        <v>54</v>
      </c>
      <c r="N3" s="8">
        <f>'DAILY READINGS'!L8</f>
        <v>76</v>
      </c>
    </row>
    <row r="4" spans="1:14">
      <c r="A4" s="8" t="s">
        <v>12</v>
      </c>
      <c r="B4" s="23">
        <f t="shared" ref="B4:B31" si="0">B3+1</f>
        <v>3</v>
      </c>
      <c r="C4" s="23">
        <v>6</v>
      </c>
      <c r="D4" s="23">
        <v>2022</v>
      </c>
      <c r="E4" s="13">
        <f>IF(('DAILY READINGS'!B9-'DAILY READINGS'!B8)&gt;0,('DAILY READINGS'!B9-'DAILY READINGS'!B8),0)</f>
        <v>8618</v>
      </c>
      <c r="F4" s="13">
        <f>IF(('DAILY READINGS'!D9-'DAILY READINGS'!D8)&gt;0,('DAILY READINGS'!D9-'DAILY READINGS'!D8),0)</f>
        <v>110</v>
      </c>
      <c r="G4" s="13">
        <f>IF(('DAILY READINGS'!E9-'DAILY READINGS'!E8)&gt;0,('DAILY READINGS'!E9-'DAILY READINGS'!E8),0)</f>
        <v>115</v>
      </c>
      <c r="H4" s="13">
        <f>IF(('DAILY READINGS'!F9-'DAILY READINGS'!F8)&gt;0,('DAILY READINGS'!F9-'DAILY READINGS'!F8),0)</f>
        <v>2</v>
      </c>
      <c r="I4" s="13">
        <f>IF(('DAILY READINGS'!G9-'DAILY READINGS'!G8)&gt;0,('DAILY READINGS'!G9-'DAILY READINGS'!G8),0)</f>
        <v>6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1</v>
      </c>
      <c r="L4" s="13">
        <f>IF(('DAILY READINGS'!J9-'DAILY READINGS'!J8)&gt;0,('DAILY READINGS'!J9-'DAILY READINGS'!J8),0)</f>
        <v>57</v>
      </c>
      <c r="M4" s="13">
        <f>'DAILY READINGS'!K9</f>
        <v>81</v>
      </c>
      <c r="N4" s="8">
        <f>'DAILY READINGS'!L9</f>
        <v>122</v>
      </c>
    </row>
    <row r="5" spans="1:14">
      <c r="A5" s="8" t="s">
        <v>12</v>
      </c>
      <c r="B5" s="23">
        <f t="shared" si="0"/>
        <v>4</v>
      </c>
      <c r="C5" s="23">
        <v>6</v>
      </c>
      <c r="D5" s="23">
        <v>2022</v>
      </c>
      <c r="E5" s="13">
        <f>IF(('DAILY READINGS'!B10-'DAILY READINGS'!B9)&gt;0,('DAILY READINGS'!B10-'DAILY READINGS'!B9),0)</f>
        <v>8678</v>
      </c>
      <c r="F5" s="13">
        <f>IF(('DAILY READINGS'!D10-'DAILY READINGS'!D9)&gt;0,('DAILY READINGS'!D10-'DAILY READINGS'!D9),0)</f>
        <v>107</v>
      </c>
      <c r="G5" s="13">
        <f>IF(('DAILY READINGS'!E10-'DAILY READINGS'!E9)&gt;0,('DAILY READINGS'!E10-'DAILY READINGS'!E9),0)</f>
        <v>143</v>
      </c>
      <c r="H5" s="13">
        <f>IF(('DAILY READINGS'!F10-'DAILY READINGS'!F9)&gt;0,('DAILY READINGS'!F10-'DAILY READINGS'!F9),0)</f>
        <v>1</v>
      </c>
      <c r="I5" s="13">
        <f>IF(('DAILY READINGS'!G10-'DAILY READINGS'!G9)&gt;0,('DAILY READINGS'!G10-'DAILY READINGS'!G9),0)</f>
        <v>50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0</v>
      </c>
      <c r="L5" s="13">
        <f>IF(('DAILY READINGS'!J10-'DAILY READINGS'!J9)&gt;0,('DAILY READINGS'!J10-'DAILY READINGS'!J9),0)</f>
        <v>66</v>
      </c>
      <c r="M5" s="13">
        <f>'DAILY READINGS'!K10</f>
        <v>99</v>
      </c>
      <c r="N5" s="8">
        <f>'DAILY READINGS'!L10</f>
        <v>153</v>
      </c>
    </row>
    <row r="6" spans="1:14">
      <c r="A6" s="8" t="s">
        <v>12</v>
      </c>
      <c r="B6" s="23">
        <f t="shared" si="0"/>
        <v>5</v>
      </c>
      <c r="C6" s="23">
        <v>6</v>
      </c>
      <c r="D6" s="23">
        <v>2022</v>
      </c>
      <c r="E6" s="13">
        <f>IF(('DAILY READINGS'!B11-'DAILY READINGS'!B10)&gt;0,('DAILY READINGS'!B11-'DAILY READINGS'!B10),0)</f>
        <v>10726</v>
      </c>
      <c r="F6" s="13">
        <f>IF(('DAILY READINGS'!D11-'DAILY READINGS'!D10)&gt;0,('DAILY READINGS'!D11-'DAILY READINGS'!D10),0)</f>
        <v>113</v>
      </c>
      <c r="G6" s="13">
        <f>IF(('DAILY READINGS'!E11-'DAILY READINGS'!E10)&gt;0,('DAILY READINGS'!E11-'DAILY READINGS'!E10),0)</f>
        <v>157</v>
      </c>
      <c r="H6" s="13">
        <f>IF(('DAILY READINGS'!F11-'DAILY READINGS'!F10)&gt;0,('DAILY READINGS'!F11-'DAILY READINGS'!F10),0)</f>
        <v>0</v>
      </c>
      <c r="I6" s="13">
        <f>IF(('DAILY READINGS'!G11-'DAILY READINGS'!G10)&gt;0,('DAILY READINGS'!G11-'DAILY READINGS'!G10),0)</f>
        <v>36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1</v>
      </c>
      <c r="L6" s="13">
        <f>IF(('DAILY READINGS'!J11-'DAILY READINGS'!J10)&gt;0,('DAILY READINGS'!J11-'DAILY READINGS'!J10),0)</f>
        <v>68</v>
      </c>
      <c r="M6" s="13">
        <f>'DAILY READINGS'!K11</f>
        <v>90</v>
      </c>
      <c r="N6" s="8">
        <f>'DAILY READINGS'!L11</f>
        <v>145</v>
      </c>
    </row>
    <row r="7" spans="1:14">
      <c r="A7" s="8" t="s">
        <v>12</v>
      </c>
      <c r="B7" s="23">
        <f t="shared" si="0"/>
        <v>6</v>
      </c>
      <c r="C7" s="23">
        <v>6</v>
      </c>
      <c r="D7" s="23">
        <v>2022</v>
      </c>
      <c r="E7" s="13">
        <f>IF(('DAILY READINGS'!B12-'DAILY READINGS'!B11)&gt;0,('DAILY READINGS'!B12-'DAILY READINGS'!B11),0)</f>
        <v>10719</v>
      </c>
      <c r="F7" s="13">
        <f>IF(('DAILY READINGS'!D12-'DAILY READINGS'!D11)&gt;0,('DAILY READINGS'!D12-'DAILY READINGS'!D11),0)</f>
        <v>107</v>
      </c>
      <c r="G7" s="13">
        <f>IF(('DAILY READINGS'!E12-'DAILY READINGS'!E11)&gt;0,('DAILY READINGS'!E12-'DAILY READINGS'!E11),0)</f>
        <v>138</v>
      </c>
      <c r="H7" s="13">
        <f>IF(('DAILY READINGS'!F12-'DAILY READINGS'!F11)&gt;0,('DAILY READINGS'!F12-'DAILY READINGS'!F11),0)</f>
        <v>1</v>
      </c>
      <c r="I7" s="13">
        <f>IF(('DAILY READINGS'!G12-'DAILY READINGS'!G11)&gt;0,('DAILY READINGS'!G12-'DAILY READINGS'!G11),0)</f>
        <v>52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85</v>
      </c>
      <c r="M7" s="13">
        <f>'DAILY READINGS'!K12</f>
        <v>71</v>
      </c>
      <c r="N7" s="8">
        <f>'DAILY READINGS'!L12</f>
        <v>110</v>
      </c>
    </row>
    <row r="8" spans="1:14">
      <c r="A8" s="8" t="s">
        <v>12</v>
      </c>
      <c r="B8" s="23">
        <f t="shared" si="0"/>
        <v>7</v>
      </c>
      <c r="C8" s="23">
        <v>6</v>
      </c>
      <c r="D8" s="23">
        <v>2022</v>
      </c>
      <c r="E8" s="13">
        <f>IF(('DAILY READINGS'!B13-'DAILY READINGS'!B12)&gt;0,('DAILY READINGS'!B13-'DAILY READINGS'!B12),0)</f>
        <v>6851</v>
      </c>
      <c r="F8" s="13">
        <f>IF(('DAILY READINGS'!D13-'DAILY READINGS'!D12)&gt;0,('DAILY READINGS'!D13-'DAILY READINGS'!D12),0)</f>
        <v>99</v>
      </c>
      <c r="G8" s="13">
        <f>IF(('DAILY READINGS'!E13-'DAILY READINGS'!E12)&gt;0,('DAILY READINGS'!E13-'DAILY READINGS'!E12),0)</f>
        <v>122</v>
      </c>
      <c r="H8" s="13">
        <f>IF(('DAILY READINGS'!F13-'DAILY READINGS'!F12)&gt;0,('DAILY READINGS'!F13-'DAILY READINGS'!F12),0)</f>
        <v>2</v>
      </c>
      <c r="I8" s="13">
        <f>IF(('DAILY READINGS'!G13-'DAILY READINGS'!G12)&gt;0,('DAILY READINGS'!G13-'DAILY READINGS'!G12),0)</f>
        <v>8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3</v>
      </c>
      <c r="L8" s="13">
        <f>IF(('DAILY READINGS'!J13-'DAILY READINGS'!J12)&gt;0,('DAILY READINGS'!J13-'DAILY READINGS'!J12),0)</f>
        <v>85</v>
      </c>
      <c r="M8" s="13">
        <f>'DAILY READINGS'!K13</f>
        <v>62</v>
      </c>
      <c r="N8" s="8">
        <f>'DAILY READINGS'!L13</f>
        <v>92</v>
      </c>
    </row>
    <row r="9" spans="1:14">
      <c r="A9" s="8" t="s">
        <v>12</v>
      </c>
      <c r="B9" s="23">
        <f t="shared" si="0"/>
        <v>8</v>
      </c>
      <c r="C9" s="23">
        <v>6</v>
      </c>
      <c r="D9" s="23">
        <v>2022</v>
      </c>
      <c r="E9" s="13">
        <f>IF(('DAILY READINGS'!B14-'DAILY READINGS'!B13)&gt;0,('DAILY READINGS'!B14-'DAILY READINGS'!B13),0)</f>
        <v>8848</v>
      </c>
      <c r="F9" s="13">
        <f>IF(('DAILY READINGS'!D14-'DAILY READINGS'!D13)&gt;0,('DAILY READINGS'!D14-'DAILY READINGS'!D13),0)</f>
        <v>98</v>
      </c>
      <c r="G9" s="13">
        <f>IF(('DAILY READINGS'!E14-'DAILY READINGS'!E13)&gt;0,('DAILY READINGS'!E14-'DAILY READINGS'!E13),0)</f>
        <v>113</v>
      </c>
      <c r="H9" s="13">
        <f>IF(('DAILY READINGS'!F14-'DAILY READINGS'!F13)&gt;0,('DAILY READINGS'!F14-'DAILY READINGS'!F13),0)</f>
        <v>1</v>
      </c>
      <c r="I9" s="13">
        <f>IF(('DAILY READINGS'!G14-'DAILY READINGS'!G13)&gt;0,('DAILY READINGS'!G14-'DAILY READINGS'!G13),0)</f>
        <v>30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0</v>
      </c>
      <c r="L9" s="13">
        <f>IF(('DAILY READINGS'!J14-'DAILY READINGS'!J13)&gt;0,('DAILY READINGS'!J14-'DAILY READINGS'!J13),0)</f>
        <v>62</v>
      </c>
      <c r="M9" s="13">
        <f>'DAILY READINGS'!K14</f>
        <v>23</v>
      </c>
      <c r="N9" s="8">
        <f>'DAILY READINGS'!L14</f>
        <v>34</v>
      </c>
    </row>
    <row r="10" spans="1:14">
      <c r="A10" s="8" t="s">
        <v>12</v>
      </c>
      <c r="B10" s="23">
        <f t="shared" si="0"/>
        <v>9</v>
      </c>
      <c r="C10" s="23">
        <v>6</v>
      </c>
      <c r="D10" s="23">
        <v>2022</v>
      </c>
      <c r="E10" s="13">
        <f>IF(('DAILY READINGS'!B15-'DAILY READINGS'!B14)&gt;0,('DAILY READINGS'!B15-'DAILY READINGS'!B14),0)</f>
        <v>7290</v>
      </c>
      <c r="F10" s="13">
        <f>IF(('DAILY READINGS'!D15-'DAILY READINGS'!D14)&gt;0,('DAILY READINGS'!D15-'DAILY READINGS'!D14),0)</f>
        <v>57</v>
      </c>
      <c r="G10" s="13">
        <f>IF(('DAILY READINGS'!E15-'DAILY READINGS'!E14)&gt;0,('DAILY READINGS'!E15-'DAILY READINGS'!E14),0)</f>
        <v>134</v>
      </c>
      <c r="H10" s="13">
        <f>IF(('DAILY READINGS'!F15-'DAILY READINGS'!F14)&gt;0,('DAILY READINGS'!F15-'DAILY READINGS'!F14),0)</f>
        <v>1</v>
      </c>
      <c r="I10" s="13">
        <f>IF(('DAILY READINGS'!G15-'DAILY READINGS'!G14)&gt;0,('DAILY READINGS'!G15-'DAILY READINGS'!G14),0)</f>
        <v>16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3</v>
      </c>
      <c r="L10" s="13">
        <f>IF(('DAILY READINGS'!J15-'DAILY READINGS'!J14)&gt;0,('DAILY READINGS'!J15-'DAILY READINGS'!J14),0)</f>
        <v>54</v>
      </c>
      <c r="M10" s="13">
        <f>'DAILY READINGS'!K15</f>
        <v>32</v>
      </c>
      <c r="N10" s="8">
        <f>'DAILY READINGS'!L15</f>
        <v>60</v>
      </c>
    </row>
    <row r="11" spans="1:14">
      <c r="A11" s="8" t="s">
        <v>12</v>
      </c>
      <c r="B11" s="23">
        <f t="shared" si="0"/>
        <v>10</v>
      </c>
      <c r="C11" s="23">
        <v>6</v>
      </c>
      <c r="D11" s="23">
        <v>2022</v>
      </c>
      <c r="E11" s="13">
        <f>IF(('DAILY READINGS'!B16-'DAILY READINGS'!B15)&gt;0,('DAILY READINGS'!B16-'DAILY READINGS'!B15),0)</f>
        <v>7210</v>
      </c>
      <c r="F11" s="13">
        <f>IF(('DAILY READINGS'!D16-'DAILY READINGS'!D15)&gt;0,('DAILY READINGS'!D16-'DAILY READINGS'!D15),0)</f>
        <v>61</v>
      </c>
      <c r="G11" s="13">
        <f>IF(('DAILY READINGS'!E16-'DAILY READINGS'!E15)&gt;0,('DAILY READINGS'!E16-'DAILY READINGS'!E15),0)</f>
        <v>128</v>
      </c>
      <c r="H11" s="13">
        <f>IF(('DAILY READINGS'!F16-'DAILY READINGS'!F15)&gt;0,('DAILY READINGS'!F16-'DAILY READINGS'!F15),0)</f>
        <v>2</v>
      </c>
      <c r="I11" s="13">
        <f>IF(('DAILY READINGS'!G16-'DAILY READINGS'!G15)&gt;0,('DAILY READINGS'!G16-'DAILY READINGS'!G15),0)</f>
        <v>22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1</v>
      </c>
      <c r="L11" s="13">
        <f>IF(('DAILY READINGS'!J16-'DAILY READINGS'!J15)&gt;0,('DAILY READINGS'!J16-'DAILY READINGS'!J15),0)</f>
        <v>61</v>
      </c>
      <c r="M11" s="13">
        <f>'DAILY READINGS'!K16</f>
        <v>64</v>
      </c>
      <c r="N11" s="8">
        <f>'DAILY READINGS'!L16</f>
        <v>128</v>
      </c>
    </row>
    <row r="12" spans="1:14">
      <c r="A12" s="8" t="s">
        <v>12</v>
      </c>
      <c r="B12" s="23">
        <f t="shared" si="0"/>
        <v>11</v>
      </c>
      <c r="C12" s="23">
        <v>6</v>
      </c>
      <c r="D12" s="23">
        <v>2022</v>
      </c>
      <c r="E12" s="13">
        <f>IF(('DAILY READINGS'!B17-'DAILY READINGS'!B16)&gt;0,('DAILY READINGS'!B17-'DAILY READINGS'!B16),0)</f>
        <v>8002</v>
      </c>
      <c r="F12" s="13">
        <f>IF(('DAILY READINGS'!D17-'DAILY READINGS'!D16)&gt;0,('DAILY READINGS'!D17-'DAILY READINGS'!D16),0)</f>
        <v>72</v>
      </c>
      <c r="G12" s="13">
        <f>IF(('DAILY READINGS'!E17-'DAILY READINGS'!E16)&gt;0,('DAILY READINGS'!E17-'DAILY READINGS'!E16),0)</f>
        <v>142</v>
      </c>
      <c r="H12" s="13">
        <f>IF(('DAILY READINGS'!F17-'DAILY READINGS'!F16)&gt;0,('DAILY READINGS'!F17-'DAILY READINGS'!F16),0)</f>
        <v>1</v>
      </c>
      <c r="I12" s="13">
        <f>IF(('DAILY READINGS'!G17-'DAILY READINGS'!G16)&gt;0,('DAILY READINGS'!G17-'DAILY READINGS'!G16),0)</f>
        <v>27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1</v>
      </c>
      <c r="L12" s="13">
        <f>IF(('DAILY READINGS'!J17-'DAILY READINGS'!J16)&gt;0,('DAILY READINGS'!J17-'DAILY READINGS'!J16),0)</f>
        <v>72</v>
      </c>
      <c r="M12" s="13">
        <f>'DAILY READINGS'!K17</f>
        <v>80</v>
      </c>
      <c r="N12" s="8">
        <f>'DAILY READINGS'!L17</f>
        <v>158</v>
      </c>
    </row>
    <row r="13" spans="1:14">
      <c r="A13" s="8" t="s">
        <v>12</v>
      </c>
      <c r="B13" s="23">
        <f t="shared" si="0"/>
        <v>12</v>
      </c>
      <c r="C13" s="23">
        <v>6</v>
      </c>
      <c r="D13" s="23">
        <v>2022</v>
      </c>
      <c r="E13" s="13">
        <f>IF(('DAILY READINGS'!B18-'DAILY READINGS'!B17)&gt;0,('DAILY READINGS'!B18-'DAILY READINGS'!B17),0)</f>
        <v>8102</v>
      </c>
      <c r="F13" s="13">
        <f>IF(('DAILY READINGS'!D18-'DAILY READINGS'!D17)&gt;0,('DAILY READINGS'!D18-'DAILY READINGS'!D17),0)</f>
        <v>72</v>
      </c>
      <c r="G13" s="13">
        <f>IF(('DAILY READINGS'!E18-'DAILY READINGS'!E17)&gt;0,('DAILY READINGS'!E18-'DAILY READINGS'!E17),0)</f>
        <v>148</v>
      </c>
      <c r="H13" s="13">
        <f>IF(('DAILY READINGS'!F18-'DAILY READINGS'!F17)&gt;0,('DAILY READINGS'!F18-'DAILY READINGS'!F17),0)</f>
        <v>2</v>
      </c>
      <c r="I13" s="13">
        <f>IF(('DAILY READINGS'!G18-'DAILY READINGS'!G17)&gt;0,('DAILY READINGS'!G18-'DAILY READINGS'!G17),0)</f>
        <v>31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1</v>
      </c>
      <c r="L13" s="13">
        <f>IF(('DAILY READINGS'!J18-'DAILY READINGS'!J17)&gt;0,('DAILY READINGS'!J18-'DAILY READINGS'!J17),0)</f>
        <v>77</v>
      </c>
      <c r="M13" s="13">
        <f>'DAILY READINGS'!K18</f>
        <v>91</v>
      </c>
      <c r="N13" s="8">
        <f>'DAILY READINGS'!L18</f>
        <v>178</v>
      </c>
    </row>
    <row r="14" spans="1:14">
      <c r="A14" s="8" t="s">
        <v>12</v>
      </c>
      <c r="B14" s="23">
        <f t="shared" si="0"/>
        <v>13</v>
      </c>
      <c r="C14" s="23">
        <v>6</v>
      </c>
      <c r="D14" s="23">
        <v>2022</v>
      </c>
      <c r="E14" s="13">
        <f>IF(('DAILY READINGS'!B19-'DAILY READINGS'!B18)&gt;0,('DAILY READINGS'!B19-'DAILY READINGS'!B18),0)</f>
        <v>7752</v>
      </c>
      <c r="F14" s="13">
        <f>IF(('DAILY READINGS'!D19-'DAILY READINGS'!D18)&gt;0,('DAILY READINGS'!D19-'DAILY READINGS'!D18),0)</f>
        <v>76</v>
      </c>
      <c r="G14" s="13">
        <f>IF(('DAILY READINGS'!E19-'DAILY READINGS'!E18)&gt;0,('DAILY READINGS'!E19-'DAILY READINGS'!E18),0)</f>
        <v>149</v>
      </c>
      <c r="H14" s="13">
        <f>IF(('DAILY READINGS'!F19-'DAILY READINGS'!F18)&gt;0,('DAILY READINGS'!F19-'DAILY READINGS'!F18),0)</f>
        <v>1</v>
      </c>
      <c r="I14" s="13">
        <f>IF(('DAILY READINGS'!G19-'DAILY READINGS'!G18)&gt;0,('DAILY READINGS'!G19-'DAILY READINGS'!G18),0)</f>
        <v>34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0</v>
      </c>
      <c r="L14" s="13">
        <f>IF(('DAILY READINGS'!J19-'DAILY READINGS'!J18)&gt;0,('DAILY READINGS'!J19-'DAILY READINGS'!J18),0)</f>
        <v>77</v>
      </c>
      <c r="M14" s="13">
        <f>'DAILY READINGS'!K19</f>
        <v>89</v>
      </c>
      <c r="N14" s="8">
        <f>'DAILY READINGS'!L19</f>
        <v>170</v>
      </c>
    </row>
    <row r="15" spans="1:14">
      <c r="A15" s="8" t="s">
        <v>12</v>
      </c>
      <c r="B15" s="23">
        <f t="shared" si="0"/>
        <v>14</v>
      </c>
      <c r="C15" s="23">
        <v>6</v>
      </c>
      <c r="D15" s="23">
        <v>2022</v>
      </c>
      <c r="E15" s="13">
        <f>IF(('DAILY READINGS'!B20-'DAILY READINGS'!B19)&gt;0,('DAILY READINGS'!B20-'DAILY READINGS'!B19),0)</f>
        <v>7428</v>
      </c>
      <c r="F15" s="13">
        <f>IF(('DAILY READINGS'!D20-'DAILY READINGS'!D19)&gt;0,('DAILY READINGS'!D20-'DAILY READINGS'!D19),0)</f>
        <v>76</v>
      </c>
      <c r="G15" s="13">
        <f>IF(('DAILY READINGS'!E20-'DAILY READINGS'!E19)&gt;0,('DAILY READINGS'!E20-'DAILY READINGS'!E19),0)</f>
        <v>131</v>
      </c>
      <c r="H15" s="13">
        <f>IF(('DAILY READINGS'!F20-'DAILY READINGS'!F19)&gt;0,('DAILY READINGS'!F20-'DAILY READINGS'!F19),0)</f>
        <v>0</v>
      </c>
      <c r="I15" s="13">
        <f>IF(('DAILY READINGS'!G20-'DAILY READINGS'!G19)&gt;0,('DAILY READINGS'!G20-'DAILY READINGS'!G19),0)</f>
        <v>31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1</v>
      </c>
      <c r="L15" s="13">
        <f>IF(('DAILY READINGS'!J20-'DAILY READINGS'!J19)&gt;0,('DAILY READINGS'!J20-'DAILY READINGS'!J19),0)</f>
        <v>80</v>
      </c>
      <c r="M15" s="13">
        <f>'DAILY READINGS'!K20</f>
        <v>80</v>
      </c>
      <c r="N15" s="8">
        <f>'DAILY READINGS'!L20</f>
        <v>159</v>
      </c>
    </row>
    <row r="16" spans="1:14">
      <c r="A16" s="8" t="s">
        <v>12</v>
      </c>
      <c r="B16" s="23">
        <f t="shared" si="0"/>
        <v>15</v>
      </c>
      <c r="C16" s="23">
        <v>6</v>
      </c>
      <c r="D16" s="23">
        <v>2022</v>
      </c>
      <c r="E16" s="13">
        <f>IF(('DAILY READINGS'!B21-'DAILY READINGS'!B20)&gt;0,('DAILY READINGS'!B21-'DAILY READINGS'!B20),0)</f>
        <v>8356</v>
      </c>
      <c r="F16" s="13">
        <f>IF(('DAILY READINGS'!D21-'DAILY READINGS'!D20)&gt;0,('DAILY READINGS'!D21-'DAILY READINGS'!D20),0)</f>
        <v>119</v>
      </c>
      <c r="G16" s="13">
        <f>IF(('DAILY READINGS'!E21-'DAILY READINGS'!E20)&gt;0,('DAILY READINGS'!E21-'DAILY READINGS'!E20),0)</f>
        <v>145</v>
      </c>
      <c r="H16" s="13">
        <f>IF(('DAILY READINGS'!F21-'DAILY READINGS'!F20)&gt;0,('DAILY READINGS'!F21-'DAILY READINGS'!F20),0)</f>
        <v>1</v>
      </c>
      <c r="I16" s="13">
        <f>IF(('DAILY READINGS'!G21-'DAILY READINGS'!G20)&gt;0,('DAILY READINGS'!G21-'DAILY READINGS'!G20),0)</f>
        <v>34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0</v>
      </c>
      <c r="L16" s="13">
        <f>IF(('DAILY READINGS'!J21-'DAILY READINGS'!J20)&gt;0,('DAILY READINGS'!J21-'DAILY READINGS'!J20),0)</f>
        <v>68</v>
      </c>
      <c r="M16" s="13">
        <f>'DAILY READINGS'!K21</f>
        <v>82</v>
      </c>
      <c r="N16" s="8">
        <f>'DAILY READINGS'!L21</f>
        <v>161</v>
      </c>
    </row>
    <row r="17" spans="1:14">
      <c r="A17" s="8" t="s">
        <v>12</v>
      </c>
      <c r="B17" s="23">
        <f t="shared" si="0"/>
        <v>16</v>
      </c>
      <c r="C17" s="23">
        <v>6</v>
      </c>
      <c r="D17" s="23">
        <v>2022</v>
      </c>
      <c r="E17" s="13">
        <f>IF(('DAILY READINGS'!B22-'DAILY READINGS'!B21)&gt;0,('DAILY READINGS'!B22-'DAILY READINGS'!B21),0)</f>
        <v>7674</v>
      </c>
      <c r="F17" s="13">
        <f>IF(('DAILY READINGS'!D22-'DAILY READINGS'!D21)&gt;0,('DAILY READINGS'!D22-'DAILY READINGS'!D21),0)</f>
        <v>112</v>
      </c>
      <c r="G17" s="13">
        <f>IF(('DAILY READINGS'!E22-'DAILY READINGS'!E21)&gt;0,('DAILY READINGS'!E22-'DAILY READINGS'!E21),0)</f>
        <v>142</v>
      </c>
      <c r="H17" s="13">
        <f>IF(('DAILY READINGS'!F22-'DAILY READINGS'!F21)&gt;0,('DAILY READINGS'!F22-'DAILY READINGS'!F21),0)</f>
        <v>3</v>
      </c>
      <c r="I17" s="13">
        <f>IF(('DAILY READINGS'!G22-'DAILY READINGS'!G21)&gt;0,('DAILY READINGS'!G22-'DAILY READINGS'!G21),0)</f>
        <v>29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1</v>
      </c>
      <c r="L17" s="13">
        <f>IF(('DAILY READINGS'!J22-'DAILY READINGS'!J21)&gt;0,('DAILY READINGS'!J22-'DAILY READINGS'!J21),0)</f>
        <v>39</v>
      </c>
      <c r="M17" s="13">
        <f>'DAILY READINGS'!K22</f>
        <v>75</v>
      </c>
      <c r="N17" s="8">
        <f>'DAILY READINGS'!L22</f>
        <v>144</v>
      </c>
    </row>
    <row r="18" spans="1:14">
      <c r="A18" s="8" t="s">
        <v>12</v>
      </c>
      <c r="B18" s="23">
        <f t="shared" si="0"/>
        <v>17</v>
      </c>
      <c r="C18" s="23">
        <v>6</v>
      </c>
      <c r="D18" s="23">
        <v>2022</v>
      </c>
      <c r="E18" s="13">
        <f>IF(('DAILY READINGS'!B23-'DAILY READINGS'!B22)&gt;0,('DAILY READINGS'!B23-'DAILY READINGS'!B22),0)</f>
        <v>7562</v>
      </c>
      <c r="F18" s="13">
        <f>IF(('DAILY READINGS'!D23-'DAILY READINGS'!D22)&gt;0,('DAILY READINGS'!D23-'DAILY READINGS'!D22),0)</f>
        <v>110</v>
      </c>
      <c r="G18" s="13">
        <f>IF(('DAILY READINGS'!E23-'DAILY READINGS'!E22)&gt;0,('DAILY READINGS'!E23-'DAILY READINGS'!E22),0)</f>
        <v>137</v>
      </c>
      <c r="H18" s="13">
        <f>IF(('DAILY READINGS'!F23-'DAILY READINGS'!F22)&gt;0,('DAILY READINGS'!F23-'DAILY READINGS'!F22),0)</f>
        <v>2</v>
      </c>
      <c r="I18" s="13">
        <f>IF(('DAILY READINGS'!G23-'DAILY READINGS'!G22)&gt;0,('DAILY READINGS'!G23-'DAILY READINGS'!G22),0)</f>
        <v>30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0</v>
      </c>
      <c r="L18" s="13">
        <f>IF(('DAILY READINGS'!J23-'DAILY READINGS'!J22)&gt;0,('DAILY READINGS'!J23-'DAILY READINGS'!J22),0)</f>
        <v>46</v>
      </c>
      <c r="M18" s="13">
        <f>'DAILY READINGS'!K23</f>
        <v>82</v>
      </c>
      <c r="N18" s="8">
        <f>'DAILY READINGS'!L23</f>
        <v>165</v>
      </c>
    </row>
    <row r="19" spans="1:14">
      <c r="A19" s="8" t="s">
        <v>12</v>
      </c>
      <c r="B19" s="23">
        <f t="shared" si="0"/>
        <v>18</v>
      </c>
      <c r="C19" s="23">
        <v>6</v>
      </c>
      <c r="D19" s="23">
        <v>2022</v>
      </c>
      <c r="E19" s="13">
        <f>IF(('DAILY READINGS'!B24-'DAILY READINGS'!B23)&gt;0,('DAILY READINGS'!B24-'DAILY READINGS'!B23),0)</f>
        <v>8328</v>
      </c>
      <c r="F19" s="13">
        <f>IF(('DAILY READINGS'!D24-'DAILY READINGS'!D23)&gt;0,('DAILY READINGS'!D24-'DAILY READINGS'!D23),0)</f>
        <v>121</v>
      </c>
      <c r="G19" s="13">
        <f>IF(('DAILY READINGS'!E24-'DAILY READINGS'!E23)&gt;0,('DAILY READINGS'!E24-'DAILY READINGS'!E23),0)</f>
        <v>133</v>
      </c>
      <c r="H19" s="13">
        <f>IF(('DAILY READINGS'!F24-'DAILY READINGS'!F23)&gt;0,('DAILY READINGS'!F24-'DAILY READINGS'!F23),0)</f>
        <v>1</v>
      </c>
      <c r="I19" s="13">
        <f>IF(('DAILY READINGS'!G24-'DAILY READINGS'!G23)&gt;0,('DAILY READINGS'!G24-'DAILY READINGS'!G23),0)</f>
        <v>32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128</v>
      </c>
      <c r="M19" s="13">
        <f>'DAILY READINGS'!K24</f>
        <v>88</v>
      </c>
      <c r="N19" s="8">
        <f>'DAILY READINGS'!L24</f>
        <v>172</v>
      </c>
    </row>
    <row r="20" spans="1:14">
      <c r="A20" s="8" t="s">
        <v>12</v>
      </c>
      <c r="B20" s="23">
        <f t="shared" si="0"/>
        <v>19</v>
      </c>
      <c r="C20" s="23">
        <v>6</v>
      </c>
      <c r="D20" s="23">
        <v>2022</v>
      </c>
      <c r="E20" s="13">
        <f>IF(('DAILY READINGS'!B25-'DAILY READINGS'!B24)&gt;0,('DAILY READINGS'!B25-'DAILY READINGS'!B24),0)</f>
        <v>9094</v>
      </c>
      <c r="F20" s="13">
        <f>IF(('DAILY READINGS'!D25-'DAILY READINGS'!D24)&gt;0,('DAILY READINGS'!D25-'DAILY READINGS'!D24),0)</f>
        <v>117</v>
      </c>
      <c r="G20" s="13">
        <f>IF(('DAILY READINGS'!E25-'DAILY READINGS'!E24)&gt;0,('DAILY READINGS'!E25-'DAILY READINGS'!E24),0)</f>
        <v>154</v>
      </c>
      <c r="H20" s="13">
        <f>IF(('DAILY READINGS'!F25-'DAILY READINGS'!F24)&gt;0,('DAILY READINGS'!F25-'DAILY READINGS'!F24),0)</f>
        <v>2</v>
      </c>
      <c r="I20" s="13">
        <f>IF(('DAILY READINGS'!G25-'DAILY READINGS'!G24)&gt;0,('DAILY READINGS'!G25-'DAILY READINGS'!G24),0)</f>
        <v>39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48</v>
      </c>
      <c r="M20" s="13">
        <f>'DAILY READINGS'!K25</f>
        <v>75</v>
      </c>
      <c r="N20" s="8">
        <f>'DAILY READINGS'!L25</f>
        <v>155</v>
      </c>
    </row>
    <row r="21" spans="1:14">
      <c r="A21" s="8" t="s">
        <v>12</v>
      </c>
      <c r="B21" s="23">
        <f t="shared" si="0"/>
        <v>20</v>
      </c>
      <c r="C21" s="23">
        <v>6</v>
      </c>
      <c r="D21" s="23">
        <v>2022</v>
      </c>
      <c r="E21" s="13">
        <f>IF(('DAILY READINGS'!B26-'DAILY READINGS'!B25)&gt;0,('DAILY READINGS'!B26-'DAILY READINGS'!B25),0)</f>
        <v>8068</v>
      </c>
      <c r="F21" s="13">
        <f>IF(('DAILY READINGS'!D26-'DAILY READINGS'!D25)&gt;0,('DAILY READINGS'!D26-'DAILY READINGS'!D25),0)</f>
        <v>119</v>
      </c>
      <c r="G21" s="13">
        <f>IF(('DAILY READINGS'!E26-'DAILY READINGS'!E25)&gt;0,('DAILY READINGS'!E26-'DAILY READINGS'!E25),0)</f>
        <v>117</v>
      </c>
      <c r="H21" s="13">
        <f>IF(('DAILY READINGS'!F26-'DAILY READINGS'!F25)&gt;0,('DAILY READINGS'!F26-'DAILY READINGS'!F25),0)</f>
        <v>3</v>
      </c>
      <c r="I21" s="13">
        <f>IF(('DAILY READINGS'!G26-'DAILY READINGS'!G25)&gt;0,('DAILY READINGS'!G26-'DAILY READINGS'!G25),0)</f>
        <v>28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1</v>
      </c>
      <c r="L21" s="13">
        <f>IF(('DAILY READINGS'!J26-'DAILY READINGS'!J25)&gt;0,('DAILY READINGS'!J26-'DAILY READINGS'!J25),0)</f>
        <v>101</v>
      </c>
      <c r="M21" s="13">
        <f>'DAILY READINGS'!K26</f>
        <v>66</v>
      </c>
      <c r="N21" s="8">
        <f>'DAILY READINGS'!L26</f>
        <v>135</v>
      </c>
    </row>
    <row r="22" spans="1:14">
      <c r="A22" s="8" t="s">
        <v>12</v>
      </c>
      <c r="B22" s="23">
        <f t="shared" si="0"/>
        <v>21</v>
      </c>
      <c r="C22" s="23">
        <v>6</v>
      </c>
      <c r="D22" s="23">
        <v>2022</v>
      </c>
      <c r="E22" s="13">
        <f>IF(('DAILY READINGS'!B27-'DAILY READINGS'!B26)&gt;0,('DAILY READINGS'!B27-'DAILY READINGS'!B26),0)</f>
        <v>17012</v>
      </c>
      <c r="F22" s="13">
        <f>IF(('DAILY READINGS'!D27-'DAILY READINGS'!D26)&gt;0,('DAILY READINGS'!D27-'DAILY READINGS'!D26),0)</f>
        <v>247</v>
      </c>
      <c r="G22" s="13">
        <f>IF(('DAILY READINGS'!E27-'DAILY READINGS'!E26)&gt;0,('DAILY READINGS'!E27-'DAILY READINGS'!E26),0)</f>
        <v>293</v>
      </c>
      <c r="H22" s="13">
        <f>IF(('DAILY READINGS'!F27-'DAILY READINGS'!F26)&gt;0,('DAILY READINGS'!F27-'DAILY READINGS'!F26),0)</f>
        <v>1</v>
      </c>
      <c r="I22" s="13">
        <f>IF(('DAILY READINGS'!G27-'DAILY READINGS'!G26)&gt;0,('DAILY READINGS'!G27-'DAILY READINGS'!G26),0)</f>
        <v>83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1</v>
      </c>
      <c r="L22" s="13">
        <f>IF(('DAILY READINGS'!J27-'DAILY READINGS'!J26)&gt;0,('DAILY READINGS'!J27-'DAILY READINGS'!J26),0)</f>
        <v>150</v>
      </c>
      <c r="M22" s="13">
        <f>'DAILY READINGS'!K27</f>
        <v>110</v>
      </c>
      <c r="N22" s="8">
        <f>'DAILY READINGS'!L27</f>
        <v>220</v>
      </c>
    </row>
    <row r="23" spans="1:14">
      <c r="A23" s="8" t="s">
        <v>12</v>
      </c>
      <c r="B23" s="23">
        <f t="shared" si="0"/>
        <v>22</v>
      </c>
      <c r="C23" s="23">
        <v>6</v>
      </c>
      <c r="D23" s="23">
        <v>2022</v>
      </c>
      <c r="E23" s="13">
        <f>IF(('DAILY READINGS'!B28-'DAILY READINGS'!B27)&gt;0,('DAILY READINGS'!B28-'DAILY READINGS'!B27),0)</f>
        <v>5000</v>
      </c>
      <c r="F23" s="13">
        <f>IF(('DAILY READINGS'!D28-'DAILY READINGS'!D27)&gt;0,('DAILY READINGS'!D28-'DAILY READINGS'!D27),0)</f>
        <v>54</v>
      </c>
      <c r="G23" s="13">
        <f>IF(('DAILY READINGS'!E28-'DAILY READINGS'!E27)&gt;0,('DAILY READINGS'!E28-'DAILY READINGS'!E27),0)</f>
        <v>100</v>
      </c>
      <c r="H23" s="13">
        <f>IF(('DAILY READINGS'!F28-'DAILY READINGS'!F27)&gt;0,('DAILY READINGS'!F28-'DAILY READINGS'!F27),0)</f>
        <v>0</v>
      </c>
      <c r="I23" s="13">
        <f>IF(('DAILY READINGS'!G28-'DAILY READINGS'!G27)&gt;0,('DAILY READINGS'!G28-'DAILY READINGS'!G27),0)</f>
        <v>0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1</v>
      </c>
      <c r="L23" s="13">
        <f>IF(('DAILY READINGS'!J28-'DAILY READINGS'!J27)&gt;0,('DAILY READINGS'!J28-'DAILY READINGS'!J27),0)</f>
        <v>0</v>
      </c>
      <c r="M23" s="13">
        <f>'DAILY READINGS'!K28</f>
        <v>104</v>
      </c>
      <c r="N23" s="8">
        <f>'DAILY READINGS'!L28</f>
        <v>202</v>
      </c>
    </row>
    <row r="24" spans="1:14">
      <c r="A24" s="8" t="s">
        <v>12</v>
      </c>
      <c r="B24" s="23">
        <f t="shared" si="0"/>
        <v>23</v>
      </c>
      <c r="C24" s="23">
        <v>6</v>
      </c>
      <c r="D24" s="23">
        <v>2022</v>
      </c>
      <c r="E24" s="13">
        <f>IF(('DAILY READINGS'!B29-'DAILY READINGS'!B28)&gt;0,('DAILY READINGS'!B29-'DAILY READINGS'!B28),0)</f>
        <v>5412</v>
      </c>
      <c r="F24" s="13">
        <f>IF(('DAILY READINGS'!D29-'DAILY READINGS'!D28)&gt;0,('DAILY READINGS'!D29-'DAILY READINGS'!D28),0)</f>
        <v>71</v>
      </c>
      <c r="G24" s="13">
        <f>IF(('DAILY READINGS'!E29-'DAILY READINGS'!E28)&gt;0,('DAILY READINGS'!E29-'DAILY READINGS'!E28),0)</f>
        <v>52</v>
      </c>
      <c r="H24" s="13">
        <f>IF(('DAILY READINGS'!F29-'DAILY READINGS'!F28)&gt;0,('DAILY READINGS'!F29-'DAILY READINGS'!F28),0)</f>
        <v>1</v>
      </c>
      <c r="I24" s="13">
        <f>IF(('DAILY READINGS'!G29-'DAILY READINGS'!G28)&gt;0,('DAILY READINGS'!G29-'DAILY READINGS'!G28),0)</f>
        <v>42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94</v>
      </c>
      <c r="M24" s="13">
        <f>'DAILY READINGS'!K29</f>
        <v>110</v>
      </c>
      <c r="N24" s="8">
        <f>'DAILY READINGS'!L29</f>
        <v>217</v>
      </c>
    </row>
    <row r="25" spans="1:14">
      <c r="A25" s="8" t="s">
        <v>12</v>
      </c>
      <c r="B25" s="23">
        <f t="shared" si="0"/>
        <v>24</v>
      </c>
      <c r="C25" s="23">
        <v>6</v>
      </c>
      <c r="D25" s="23">
        <v>2022</v>
      </c>
      <c r="E25" s="13">
        <f>IF(('DAILY READINGS'!B30-'DAILY READINGS'!B29)&gt;0,('DAILY READINGS'!B30-'DAILY READINGS'!B29),0)</f>
        <v>10174</v>
      </c>
      <c r="F25" s="13">
        <f>IF(('DAILY READINGS'!D30-'DAILY READINGS'!D29)&gt;0,('DAILY READINGS'!D30-'DAILY READINGS'!D29),0)</f>
        <v>124</v>
      </c>
      <c r="G25" s="13">
        <f>IF(('DAILY READINGS'!E30-'DAILY READINGS'!E29)&gt;0,('DAILY READINGS'!E30-'DAILY READINGS'!E29),0)</f>
        <v>164</v>
      </c>
      <c r="H25" s="13">
        <f>IF(('DAILY READINGS'!F30-'DAILY READINGS'!F29)&gt;0,('DAILY READINGS'!F30-'DAILY READINGS'!F29),0)</f>
        <v>0</v>
      </c>
      <c r="I25" s="13">
        <f>IF(('DAILY READINGS'!G30-'DAILY READINGS'!G29)&gt;0,('DAILY READINGS'!G30-'DAILY READINGS'!G29),0)</f>
        <v>47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1</v>
      </c>
      <c r="L25" s="13">
        <f>IF(('DAILY READINGS'!J30-'DAILY READINGS'!J29)&gt;0,('DAILY READINGS'!J30-'DAILY READINGS'!J29),0)</f>
        <v>86</v>
      </c>
      <c r="M25" s="13">
        <f>'DAILY READINGS'!K30</f>
        <v>105</v>
      </c>
      <c r="N25" s="8">
        <f>'DAILY READINGS'!L30</f>
        <v>203</v>
      </c>
    </row>
    <row r="26" spans="1:14">
      <c r="A26" s="8" t="s">
        <v>12</v>
      </c>
      <c r="B26" s="23">
        <f>B25+1</f>
        <v>25</v>
      </c>
      <c r="C26" s="23">
        <v>6</v>
      </c>
      <c r="D26" s="23">
        <v>2022</v>
      </c>
      <c r="E26" s="13">
        <f>IF(('DAILY READINGS'!B31-'DAILY READINGS'!B30)&gt;0,('DAILY READINGS'!B31-'DAILY READINGS'!B30),0)</f>
        <v>9000</v>
      </c>
      <c r="F26" s="13">
        <f>IF(('DAILY READINGS'!D31-'DAILY READINGS'!D30)&gt;0,('DAILY READINGS'!D31-'DAILY READINGS'!D30),0)</f>
        <v>118</v>
      </c>
      <c r="G26" s="13">
        <f>IF(('DAILY READINGS'!E31-'DAILY READINGS'!E30)&gt;0,('DAILY READINGS'!E31-'DAILY READINGS'!E30),0)</f>
        <v>148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40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1</v>
      </c>
      <c r="L26" s="13">
        <f>IF(('DAILY READINGS'!J31-'DAILY READINGS'!J30)&gt;0,('DAILY READINGS'!J31-'DAILY READINGS'!J30),0)</f>
        <v>95</v>
      </c>
      <c r="M26" s="13">
        <f>'DAILY READINGS'!K31</f>
        <v>104</v>
      </c>
      <c r="N26" s="8">
        <f>'DAILY READINGS'!L31</f>
        <v>199</v>
      </c>
    </row>
    <row r="27" spans="1:14">
      <c r="A27" s="8" t="s">
        <v>12</v>
      </c>
      <c r="B27" s="23">
        <f t="shared" si="0"/>
        <v>26</v>
      </c>
      <c r="C27" s="23">
        <v>6</v>
      </c>
      <c r="D27" s="23">
        <v>2022</v>
      </c>
      <c r="E27" s="13">
        <f>IF(('DAILY READINGS'!B32-'DAILY READINGS'!B31)&gt;0,('DAILY READINGS'!B32-'DAILY READINGS'!B31),0)</f>
        <v>9088</v>
      </c>
      <c r="F27" s="13">
        <f>IF(('DAILY READINGS'!D32-'DAILY READINGS'!D31)&gt;0,('DAILY READINGS'!D32-'DAILY READINGS'!D31),0)</f>
        <v>111</v>
      </c>
      <c r="G27" s="13">
        <f>IF(('DAILY READINGS'!E32-'DAILY READINGS'!E31)&gt;0,('DAILY READINGS'!E32-'DAILY READINGS'!E31),0)</f>
        <v>153</v>
      </c>
      <c r="H27" s="13">
        <f>IF(('DAILY READINGS'!F32-'DAILY READINGS'!F31)&gt;0,('DAILY READINGS'!F32-'DAILY READINGS'!F31),0)</f>
        <v>3</v>
      </c>
      <c r="I27" s="13">
        <f>IF(('DAILY READINGS'!G32-'DAILY READINGS'!G31)&gt;0,('DAILY READINGS'!G32-'DAILY READINGS'!G31),0)</f>
        <v>34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0</v>
      </c>
      <c r="L27" s="13">
        <f>IF(('DAILY READINGS'!J32-'DAILY READINGS'!J31)&gt;0,('DAILY READINGS'!J32-'DAILY READINGS'!J31),0)</f>
        <v>85</v>
      </c>
      <c r="M27" s="13">
        <f>'DAILY READINGS'!K32</f>
        <v>69</v>
      </c>
      <c r="N27" s="8">
        <f>'DAILY READINGS'!L32</f>
        <v>123</v>
      </c>
    </row>
    <row r="28" spans="1:14">
      <c r="A28" s="8" t="s">
        <v>12</v>
      </c>
      <c r="B28" s="23">
        <f t="shared" si="0"/>
        <v>27</v>
      </c>
      <c r="C28" s="23">
        <v>6</v>
      </c>
      <c r="D28" s="23">
        <v>2022</v>
      </c>
      <c r="E28" s="13">
        <f>IF(('DAILY READINGS'!B33-'DAILY READINGS'!B32)&gt;0,('DAILY READINGS'!B33-'DAILY READINGS'!B32),0)</f>
        <v>9542</v>
      </c>
      <c r="F28" s="13">
        <f>IF(('DAILY READINGS'!D33-'DAILY READINGS'!D32)&gt;0,('DAILY READINGS'!D33-'DAILY READINGS'!D32),0)</f>
        <v>90</v>
      </c>
      <c r="G28" s="13">
        <f>IF(('DAILY READINGS'!E33-'DAILY READINGS'!E32)&gt;0,('DAILY READINGS'!E33-'DAILY READINGS'!E32),0)</f>
        <v>141</v>
      </c>
      <c r="H28" s="13">
        <f>IF(('DAILY READINGS'!F33-'DAILY READINGS'!F32)&gt;0,('DAILY READINGS'!F33-'DAILY READINGS'!F32),0)</f>
        <v>2</v>
      </c>
      <c r="I28" s="13">
        <f>IF(('DAILY READINGS'!G33-'DAILY READINGS'!G32)&gt;0,('DAILY READINGS'!G33-'DAILY READINGS'!G32),0)</f>
        <v>39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0</v>
      </c>
      <c r="L28" s="13">
        <f>IF(('DAILY READINGS'!J33-'DAILY READINGS'!J32)&gt;0,('DAILY READINGS'!J33-'DAILY READINGS'!J32),0)</f>
        <v>81</v>
      </c>
      <c r="M28" s="13">
        <f>'DAILY READINGS'!K33</f>
        <v>75</v>
      </c>
      <c r="N28" s="8">
        <f>'DAILY READINGS'!L33</f>
        <v>134</v>
      </c>
    </row>
    <row r="29" spans="1:14">
      <c r="A29" s="8" t="s">
        <v>12</v>
      </c>
      <c r="B29" s="23">
        <f t="shared" si="0"/>
        <v>28</v>
      </c>
      <c r="C29" s="23">
        <v>6</v>
      </c>
      <c r="D29" s="23">
        <v>2022</v>
      </c>
      <c r="E29" s="13">
        <f>IF(('DAILY READINGS'!B34-'DAILY READINGS'!B33)&gt;0,('DAILY READINGS'!B34-'DAILY READINGS'!B33),0)</f>
        <v>11592</v>
      </c>
      <c r="F29" s="13">
        <f>IF(('DAILY READINGS'!D34-'DAILY READINGS'!D33)&gt;0,('DAILY READINGS'!D34-'DAILY READINGS'!D33),0)</f>
        <v>118</v>
      </c>
      <c r="G29" s="13">
        <f>IF(('DAILY READINGS'!E34-'DAILY READINGS'!E33)&gt;0,('DAILY READINGS'!E34-'DAILY READINGS'!E33),0)</f>
        <v>144</v>
      </c>
      <c r="H29" s="13">
        <f>IF(('DAILY READINGS'!F34-'DAILY READINGS'!F33)&gt;0,('DAILY READINGS'!F34-'DAILY READINGS'!F33),0)</f>
        <v>0</v>
      </c>
      <c r="I29" s="13">
        <f>IF(('DAILY READINGS'!G34-'DAILY READINGS'!G33)&gt;0,('DAILY READINGS'!G34-'DAILY READINGS'!G33),0)</f>
        <v>32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1</v>
      </c>
      <c r="L29" s="13">
        <f>IF(('DAILY READINGS'!J34-'DAILY READINGS'!J33)&gt;0,('DAILY READINGS'!J34-'DAILY READINGS'!J33),0)</f>
        <v>71</v>
      </c>
      <c r="M29" s="13">
        <f>'DAILY READINGS'!K34</f>
        <v>73</v>
      </c>
      <c r="N29" s="8">
        <f>'DAILY READINGS'!L34</f>
        <v>126</v>
      </c>
    </row>
    <row r="30" spans="1:14">
      <c r="A30" s="8" t="s">
        <v>12</v>
      </c>
      <c r="B30" s="23">
        <f t="shared" si="0"/>
        <v>29</v>
      </c>
      <c r="C30" s="23">
        <v>6</v>
      </c>
      <c r="D30" s="23">
        <v>2022</v>
      </c>
      <c r="E30" s="13">
        <f>IF(('DAILY READINGS'!B35-'DAILY READINGS'!B34)&gt;0,('DAILY READINGS'!B35-'DAILY READINGS'!B34),0)</f>
        <v>9548</v>
      </c>
      <c r="F30" s="13">
        <f>IF(('DAILY READINGS'!D35-'DAILY READINGS'!D34)&gt;0,('DAILY READINGS'!D35-'DAILY READINGS'!D34),0)</f>
        <v>102</v>
      </c>
      <c r="G30" s="13">
        <f>IF(('DAILY READINGS'!E35-'DAILY READINGS'!E34)&gt;0,('DAILY READINGS'!E35-'DAILY READINGS'!E34),0)</f>
        <v>129</v>
      </c>
      <c r="H30" s="13">
        <f>IF(('DAILY READINGS'!F35-'DAILY READINGS'!F34)&gt;0,('DAILY READINGS'!F35-'DAILY READINGS'!F34),0)</f>
        <v>2</v>
      </c>
      <c r="I30" s="13">
        <f>IF(('DAILY READINGS'!G35-'DAILY READINGS'!G34)&gt;0,('DAILY READINGS'!G35-'DAILY READINGS'!G34),0)</f>
        <v>50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1</v>
      </c>
      <c r="L30" s="13">
        <f>IF(('DAILY READINGS'!J35-'DAILY READINGS'!J34)&gt;0,('DAILY READINGS'!J35-'DAILY READINGS'!J34),0)</f>
        <v>75</v>
      </c>
      <c r="M30" s="13">
        <f>'DAILY READINGS'!K35</f>
        <v>68</v>
      </c>
      <c r="N30" s="8">
        <f>'DAILY READINGS'!L35</f>
        <v>127</v>
      </c>
    </row>
    <row r="31" spans="1:14">
      <c r="A31" s="8" t="s">
        <v>12</v>
      </c>
      <c r="B31" s="23">
        <f t="shared" si="0"/>
        <v>30</v>
      </c>
      <c r="C31" s="23">
        <v>6</v>
      </c>
      <c r="D31" s="23">
        <v>2022</v>
      </c>
      <c r="E31" s="13">
        <f>IF(('DAILY READINGS'!B36-'DAILY READINGS'!B35)&gt;0,('DAILY READINGS'!B36-'DAILY READINGS'!B35),0)</f>
        <v>9620</v>
      </c>
      <c r="F31" s="13">
        <f>IF(('DAILY READINGS'!D36-'DAILY READINGS'!D35)&gt;0,('DAILY READINGS'!D36-'DAILY READINGS'!D35),0)</f>
        <v>108</v>
      </c>
      <c r="G31" s="13">
        <f>IF(('DAILY READINGS'!E36-'DAILY READINGS'!E35)&gt;0,('DAILY READINGS'!E36-'DAILY READINGS'!E35),0)</f>
        <v>142</v>
      </c>
      <c r="H31" s="13">
        <f>IF(('DAILY READINGS'!F36-'DAILY READINGS'!F35)&gt;0,('DAILY READINGS'!F36-'DAILY READINGS'!F35),0)</f>
        <v>0</v>
      </c>
      <c r="I31" s="13">
        <f>IF(('DAILY READINGS'!G36-'DAILY READINGS'!G35)&gt;0,('DAILY READINGS'!G36-'DAILY READINGS'!G35),0)</f>
        <v>539</v>
      </c>
      <c r="J31" s="13">
        <f>IF(('DAILY READINGS'!H36-'DAILY READINGS'!H35)&gt;0,('DAILY READINGS'!H36-'DAILY READINGS'!H35),0)</f>
        <v>100</v>
      </c>
      <c r="K31" s="13">
        <f>IF(('DAILY READINGS'!I36-'DAILY READINGS'!I35)&gt;0,('DAILY READINGS'!I36-'DAILY READINGS'!I35),0)</f>
        <v>1</v>
      </c>
      <c r="L31" s="13">
        <f>IF(('DAILY READINGS'!J36-'DAILY READINGS'!J35)&gt;0,('DAILY READINGS'!J36-'DAILY READINGS'!J35),0)</f>
        <v>74</v>
      </c>
      <c r="M31" s="13">
        <f>'DAILY READINGS'!K36</f>
        <v>66</v>
      </c>
      <c r="N31" s="8">
        <f>'DAILY READINGS'!L36</f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0"/>
  <sheetViews>
    <sheetView tabSelected="1" topLeftCell="A19" workbookViewId="0">
      <selection activeCell="B38" sqref="B38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>
      <c r="C3" s="2" t="s">
        <v>22</v>
      </c>
    </row>
    <row r="5" spans="1:12" ht="88.5" customHeight="1">
      <c r="A5" s="3" t="s">
        <v>23</v>
      </c>
      <c r="B5" s="35" t="s">
        <v>24</v>
      </c>
      <c r="C5" s="36"/>
      <c r="D5" s="4" t="s">
        <v>14</v>
      </c>
      <c r="E5" s="4" t="s">
        <v>15</v>
      </c>
      <c r="F5" s="4" t="s">
        <v>16</v>
      </c>
      <c r="G5" s="4" t="s">
        <v>25</v>
      </c>
      <c r="H5" s="4" t="s">
        <v>26</v>
      </c>
      <c r="I5" s="4" t="s">
        <v>27</v>
      </c>
      <c r="J5" s="4" t="s">
        <v>20</v>
      </c>
      <c r="K5" s="4" t="s">
        <v>28</v>
      </c>
      <c r="L5" s="4" t="s">
        <v>11</v>
      </c>
    </row>
    <row r="6" spans="1:12">
      <c r="A6" s="3">
        <v>31</v>
      </c>
      <c r="B6" s="27">
        <v>3553430</v>
      </c>
      <c r="C6" s="27">
        <v>529051</v>
      </c>
      <c r="D6" s="20">
        <v>27916</v>
      </c>
      <c r="E6" s="20">
        <v>43370</v>
      </c>
      <c r="F6" s="20">
        <v>6746</v>
      </c>
      <c r="G6" s="20">
        <v>69377</v>
      </c>
      <c r="H6" s="20">
        <v>49451</v>
      </c>
      <c r="I6" s="20">
        <v>45111</v>
      </c>
      <c r="J6" s="20">
        <v>50593</v>
      </c>
      <c r="K6" s="4"/>
      <c r="L6" s="4"/>
    </row>
    <row r="7" spans="1:12" ht="22.5" customHeight="1">
      <c r="A7" s="1">
        <v>1</v>
      </c>
      <c r="B7" s="28">
        <v>3561222</v>
      </c>
      <c r="C7" s="28">
        <v>529860</v>
      </c>
      <c r="D7" s="28">
        <v>28055</v>
      </c>
      <c r="E7" s="28">
        <v>43467</v>
      </c>
      <c r="F7" s="28">
        <v>6748</v>
      </c>
      <c r="G7" s="28">
        <v>69399</v>
      </c>
      <c r="H7" s="28">
        <v>49451</v>
      </c>
      <c r="I7" s="28">
        <v>45112</v>
      </c>
      <c r="J7" s="28">
        <v>50641</v>
      </c>
      <c r="K7" s="28">
        <v>42</v>
      </c>
      <c r="L7" s="28">
        <v>77</v>
      </c>
    </row>
    <row r="8" spans="1:12" ht="22.5" customHeight="1">
      <c r="A8" s="1">
        <v>2</v>
      </c>
      <c r="B8" s="28">
        <v>3569130</v>
      </c>
      <c r="C8" s="28">
        <v>530687</v>
      </c>
      <c r="D8" s="28">
        <v>28149</v>
      </c>
      <c r="E8" s="28">
        <v>43558</v>
      </c>
      <c r="F8" s="28">
        <v>6749</v>
      </c>
      <c r="G8" s="28">
        <v>69416</v>
      </c>
      <c r="H8" s="28">
        <v>49451</v>
      </c>
      <c r="I8" s="28">
        <v>45113</v>
      </c>
      <c r="J8" s="28">
        <v>50698</v>
      </c>
      <c r="K8" s="28">
        <v>54</v>
      </c>
      <c r="L8" s="28">
        <v>76</v>
      </c>
    </row>
    <row r="9" spans="1:12" ht="22.5" customHeight="1">
      <c r="A9" s="1">
        <v>3</v>
      </c>
      <c r="B9" s="28">
        <v>3577748</v>
      </c>
      <c r="C9" s="28">
        <v>531585</v>
      </c>
      <c r="D9" s="28">
        <v>28259</v>
      </c>
      <c r="E9" s="28">
        <v>43673</v>
      </c>
      <c r="F9" s="28">
        <v>6751</v>
      </c>
      <c r="G9" s="28">
        <v>69422</v>
      </c>
      <c r="H9" s="28">
        <v>49451</v>
      </c>
      <c r="I9" s="28">
        <v>45114</v>
      </c>
      <c r="J9" s="28">
        <v>50755</v>
      </c>
      <c r="K9" s="28">
        <v>81</v>
      </c>
      <c r="L9" s="28">
        <v>122</v>
      </c>
    </row>
    <row r="10" spans="1:12" ht="22.5" customHeight="1">
      <c r="A10" s="1">
        <v>4</v>
      </c>
      <c r="B10" s="28">
        <v>3586426</v>
      </c>
      <c r="C10" s="28">
        <v>532535</v>
      </c>
      <c r="D10" s="28">
        <v>28366</v>
      </c>
      <c r="E10" s="28">
        <v>43816</v>
      </c>
      <c r="F10" s="28">
        <v>6752</v>
      </c>
      <c r="G10" s="28">
        <v>69472</v>
      </c>
      <c r="H10" s="28">
        <v>49451</v>
      </c>
      <c r="I10" s="28">
        <v>45114</v>
      </c>
      <c r="J10" s="28">
        <v>50821</v>
      </c>
      <c r="K10" s="28">
        <v>99</v>
      </c>
      <c r="L10" s="28">
        <v>153</v>
      </c>
    </row>
    <row r="11" spans="1:12" ht="22.5" customHeight="1">
      <c r="A11" s="1">
        <v>5</v>
      </c>
      <c r="B11" s="28">
        <v>3597152</v>
      </c>
      <c r="C11" s="28">
        <v>533748</v>
      </c>
      <c r="D11" s="28">
        <v>28479</v>
      </c>
      <c r="E11" s="28">
        <v>43973</v>
      </c>
      <c r="F11" s="28">
        <v>6752</v>
      </c>
      <c r="G11" s="28">
        <v>69508</v>
      </c>
      <c r="H11" s="28">
        <v>49451</v>
      </c>
      <c r="I11" s="28">
        <v>45115</v>
      </c>
      <c r="J11" s="28">
        <v>50889</v>
      </c>
      <c r="K11" s="28">
        <v>90</v>
      </c>
      <c r="L11" s="28">
        <v>145</v>
      </c>
    </row>
    <row r="12" spans="1:12" ht="22.5" customHeight="1">
      <c r="A12" s="1">
        <v>6</v>
      </c>
      <c r="B12" s="28">
        <v>3607871</v>
      </c>
      <c r="C12" s="28">
        <v>534951</v>
      </c>
      <c r="D12" s="28">
        <v>28586</v>
      </c>
      <c r="E12" s="28">
        <v>44111</v>
      </c>
      <c r="F12" s="28">
        <v>6753</v>
      </c>
      <c r="G12" s="28">
        <v>69560</v>
      </c>
      <c r="H12" s="28">
        <v>49451</v>
      </c>
      <c r="I12" s="28">
        <v>45114</v>
      </c>
      <c r="J12" s="28">
        <v>50974</v>
      </c>
      <c r="K12" s="28">
        <v>71</v>
      </c>
      <c r="L12" s="28">
        <v>110</v>
      </c>
    </row>
    <row r="13" spans="1:12" ht="22.5" customHeight="1">
      <c r="A13" s="1">
        <v>7</v>
      </c>
      <c r="B13" s="28">
        <v>3614722</v>
      </c>
      <c r="C13" s="28">
        <v>535640</v>
      </c>
      <c r="D13" s="28">
        <v>28685</v>
      </c>
      <c r="E13" s="28">
        <v>44233</v>
      </c>
      <c r="F13" s="28">
        <v>6755</v>
      </c>
      <c r="G13" s="28">
        <v>69568</v>
      </c>
      <c r="H13" s="28">
        <v>49451</v>
      </c>
      <c r="I13" s="28">
        <v>45117</v>
      </c>
      <c r="J13" s="28">
        <v>51059</v>
      </c>
      <c r="K13" s="28">
        <v>62</v>
      </c>
      <c r="L13" s="28">
        <v>92</v>
      </c>
    </row>
    <row r="14" spans="1:12" ht="22.5" customHeight="1">
      <c r="A14" s="1">
        <v>8</v>
      </c>
      <c r="B14" s="28">
        <v>3623570</v>
      </c>
      <c r="C14" s="28">
        <v>536582</v>
      </c>
      <c r="D14" s="28">
        <v>28783</v>
      </c>
      <c r="E14" s="28">
        <v>44346</v>
      </c>
      <c r="F14" s="28">
        <v>6756</v>
      </c>
      <c r="G14" s="28">
        <v>69598</v>
      </c>
      <c r="H14" s="28">
        <v>49451</v>
      </c>
      <c r="I14" s="28">
        <v>45117</v>
      </c>
      <c r="J14" s="28">
        <v>51121</v>
      </c>
      <c r="K14" s="28">
        <v>23</v>
      </c>
      <c r="L14" s="28">
        <v>34</v>
      </c>
    </row>
    <row r="15" spans="1:12" ht="22.5" customHeight="1">
      <c r="A15" s="1">
        <v>9</v>
      </c>
      <c r="B15" s="28">
        <v>3630860</v>
      </c>
      <c r="C15" s="28">
        <v>537340</v>
      </c>
      <c r="D15" s="28">
        <v>28840</v>
      </c>
      <c r="E15" s="28">
        <v>44480</v>
      </c>
      <c r="F15" s="28">
        <v>6757</v>
      </c>
      <c r="G15" s="28">
        <v>69614</v>
      </c>
      <c r="H15" s="28">
        <v>49451</v>
      </c>
      <c r="I15" s="28">
        <v>45120</v>
      </c>
      <c r="J15" s="28">
        <v>51175</v>
      </c>
      <c r="K15" s="28">
        <v>32</v>
      </c>
      <c r="L15" s="28">
        <v>60</v>
      </c>
    </row>
    <row r="16" spans="1:12" ht="22.5" customHeight="1">
      <c r="A16" s="1">
        <v>10</v>
      </c>
      <c r="B16" s="28">
        <v>3638070</v>
      </c>
      <c r="C16" s="28">
        <v>538031</v>
      </c>
      <c r="D16" s="28">
        <v>28901</v>
      </c>
      <c r="E16" s="28">
        <v>44608</v>
      </c>
      <c r="F16" s="28">
        <v>6759</v>
      </c>
      <c r="G16" s="28">
        <v>69636</v>
      </c>
      <c r="H16" s="28">
        <v>49451</v>
      </c>
      <c r="I16" s="28">
        <v>45121</v>
      </c>
      <c r="J16" s="28">
        <v>51236</v>
      </c>
      <c r="K16" s="28">
        <v>64</v>
      </c>
      <c r="L16" s="28">
        <v>128</v>
      </c>
    </row>
    <row r="17" spans="1:12" ht="22.5" customHeight="1">
      <c r="A17" s="1">
        <v>11</v>
      </c>
      <c r="B17" s="28">
        <v>3646072</v>
      </c>
      <c r="C17" s="30">
        <v>538850</v>
      </c>
      <c r="D17" s="31">
        <v>28973</v>
      </c>
      <c r="E17" s="31">
        <v>44750</v>
      </c>
      <c r="F17" s="31">
        <v>6760</v>
      </c>
      <c r="G17" s="31">
        <v>69663</v>
      </c>
      <c r="H17" s="28">
        <v>49451</v>
      </c>
      <c r="I17" s="28">
        <v>45122</v>
      </c>
      <c r="J17" s="31">
        <v>51308</v>
      </c>
      <c r="K17" s="28">
        <v>80</v>
      </c>
      <c r="L17" s="28">
        <v>158</v>
      </c>
    </row>
    <row r="18" spans="1:12" ht="22.5" customHeight="1">
      <c r="A18" s="1">
        <v>12</v>
      </c>
      <c r="B18" s="28">
        <v>3654174</v>
      </c>
      <c r="C18" s="30">
        <v>539682</v>
      </c>
      <c r="D18" s="31">
        <v>29045</v>
      </c>
      <c r="E18" s="31">
        <v>44898</v>
      </c>
      <c r="F18" s="31">
        <v>6762</v>
      </c>
      <c r="G18" s="31">
        <v>69694</v>
      </c>
      <c r="H18" s="28">
        <v>49451</v>
      </c>
      <c r="I18" s="28">
        <v>45123</v>
      </c>
      <c r="J18" s="31">
        <v>51385</v>
      </c>
      <c r="K18" s="28">
        <v>91</v>
      </c>
      <c r="L18" s="28">
        <v>178</v>
      </c>
    </row>
    <row r="19" spans="1:12" ht="22.5" customHeight="1">
      <c r="A19" s="1">
        <v>13</v>
      </c>
      <c r="B19" s="28">
        <v>3661926</v>
      </c>
      <c r="C19" s="30">
        <v>540483</v>
      </c>
      <c r="D19" s="31">
        <v>29121</v>
      </c>
      <c r="E19" s="31">
        <v>45047</v>
      </c>
      <c r="F19" s="31">
        <v>6763</v>
      </c>
      <c r="G19" s="31">
        <v>69728</v>
      </c>
      <c r="H19" s="31">
        <v>49451</v>
      </c>
      <c r="I19" s="31">
        <v>45123</v>
      </c>
      <c r="J19" s="31">
        <v>51462</v>
      </c>
      <c r="K19" s="28">
        <v>89</v>
      </c>
      <c r="L19" s="28">
        <v>170</v>
      </c>
    </row>
    <row r="20" spans="1:12" ht="22.5" customHeight="1">
      <c r="A20" s="1">
        <v>14</v>
      </c>
      <c r="B20" s="28">
        <v>3669354</v>
      </c>
      <c r="C20" s="30">
        <v>541243</v>
      </c>
      <c r="D20" s="31">
        <v>29197</v>
      </c>
      <c r="E20" s="31">
        <v>45178</v>
      </c>
      <c r="F20" s="31">
        <v>6763</v>
      </c>
      <c r="G20" s="31">
        <v>69759</v>
      </c>
      <c r="H20" s="31">
        <v>49451</v>
      </c>
      <c r="I20" s="31">
        <v>45124</v>
      </c>
      <c r="J20" s="31">
        <v>51542</v>
      </c>
      <c r="K20" s="28">
        <v>80</v>
      </c>
      <c r="L20" s="28">
        <v>159</v>
      </c>
    </row>
    <row r="21" spans="1:12" ht="22.5" customHeight="1">
      <c r="A21" s="1">
        <v>15</v>
      </c>
      <c r="B21" s="28">
        <v>3677710</v>
      </c>
      <c r="C21" s="30">
        <v>542089</v>
      </c>
      <c r="D21" s="31">
        <v>29316</v>
      </c>
      <c r="E21" s="31">
        <v>45323</v>
      </c>
      <c r="F21" s="31">
        <v>6764</v>
      </c>
      <c r="G21" s="31">
        <v>69793</v>
      </c>
      <c r="H21" s="31">
        <v>49451</v>
      </c>
      <c r="I21" s="31">
        <v>45124</v>
      </c>
      <c r="J21" s="31">
        <v>51610</v>
      </c>
      <c r="K21" s="28">
        <v>82</v>
      </c>
      <c r="L21" s="28">
        <v>161</v>
      </c>
    </row>
    <row r="22" spans="1:12" ht="22.5" customHeight="1">
      <c r="A22" s="1">
        <v>16</v>
      </c>
      <c r="B22" s="28">
        <v>3685384</v>
      </c>
      <c r="C22" s="30">
        <v>542911</v>
      </c>
      <c r="D22" s="31">
        <v>29428</v>
      </c>
      <c r="E22" s="31">
        <v>45465</v>
      </c>
      <c r="F22" s="31">
        <v>6767</v>
      </c>
      <c r="G22" s="31">
        <v>69822</v>
      </c>
      <c r="H22" s="31">
        <v>49451</v>
      </c>
      <c r="I22" s="31">
        <v>45125</v>
      </c>
      <c r="J22" s="31">
        <v>51649</v>
      </c>
      <c r="K22" s="28">
        <v>75</v>
      </c>
      <c r="L22" s="28">
        <v>144</v>
      </c>
    </row>
    <row r="23" spans="1:12" ht="22.5" customHeight="1">
      <c r="A23" s="1">
        <v>17</v>
      </c>
      <c r="B23" s="28">
        <v>3692946</v>
      </c>
      <c r="C23" s="30">
        <v>543747</v>
      </c>
      <c r="D23" s="31">
        <v>29538</v>
      </c>
      <c r="E23" s="31">
        <v>45602</v>
      </c>
      <c r="F23" s="31">
        <v>6769</v>
      </c>
      <c r="G23" s="31">
        <v>69852</v>
      </c>
      <c r="H23" s="31">
        <v>49451</v>
      </c>
      <c r="I23" s="31">
        <v>45125</v>
      </c>
      <c r="J23" s="31">
        <v>51695</v>
      </c>
      <c r="K23" s="28">
        <v>82</v>
      </c>
      <c r="L23" s="28">
        <v>165</v>
      </c>
    </row>
    <row r="24" spans="1:12" ht="22.5" customHeight="1">
      <c r="A24" s="1">
        <v>18</v>
      </c>
      <c r="B24" s="28">
        <v>3701274</v>
      </c>
      <c r="C24" s="30">
        <v>544681</v>
      </c>
      <c r="D24" s="31">
        <v>29659</v>
      </c>
      <c r="E24" s="31">
        <v>45735</v>
      </c>
      <c r="F24" s="25">
        <v>6770</v>
      </c>
      <c r="G24" s="31">
        <v>69884</v>
      </c>
      <c r="H24" s="31">
        <v>49451</v>
      </c>
      <c r="I24" s="31">
        <v>45126</v>
      </c>
      <c r="J24" s="31">
        <v>51823</v>
      </c>
      <c r="K24" s="28">
        <v>88</v>
      </c>
      <c r="L24" s="28">
        <v>172</v>
      </c>
    </row>
    <row r="25" spans="1:12" ht="22.5" customHeight="1">
      <c r="A25" s="1">
        <v>19</v>
      </c>
      <c r="B25" s="28">
        <v>3710368</v>
      </c>
      <c r="C25" s="30">
        <v>545680</v>
      </c>
      <c r="D25" s="31">
        <v>29776</v>
      </c>
      <c r="E25" s="31">
        <v>45889</v>
      </c>
      <c r="F25" s="25">
        <v>6772</v>
      </c>
      <c r="G25" s="31">
        <v>69923</v>
      </c>
      <c r="H25" s="31">
        <v>49451</v>
      </c>
      <c r="I25" s="31">
        <v>45126</v>
      </c>
      <c r="J25" s="31">
        <v>51871</v>
      </c>
      <c r="K25" s="28">
        <v>75</v>
      </c>
      <c r="L25" s="28">
        <v>155</v>
      </c>
    </row>
    <row r="26" spans="1:12" ht="22.5" customHeight="1">
      <c r="A26" s="1">
        <v>20</v>
      </c>
      <c r="B26" s="28">
        <v>3718436</v>
      </c>
      <c r="C26" s="30">
        <v>546598</v>
      </c>
      <c r="D26" s="31">
        <v>29895</v>
      </c>
      <c r="E26" s="31">
        <v>46006</v>
      </c>
      <c r="F26" s="31">
        <v>6775</v>
      </c>
      <c r="G26" s="31">
        <v>69951</v>
      </c>
      <c r="H26" s="31">
        <v>49451</v>
      </c>
      <c r="I26" s="31">
        <v>45127</v>
      </c>
      <c r="J26" s="31">
        <v>51972</v>
      </c>
      <c r="K26" s="28">
        <v>66</v>
      </c>
      <c r="L26" s="28">
        <v>135</v>
      </c>
    </row>
    <row r="27" spans="1:12" ht="22.5" customHeight="1">
      <c r="A27" s="1">
        <v>21</v>
      </c>
      <c r="B27" s="28">
        <v>3735448</v>
      </c>
      <c r="C27" s="30">
        <v>548538</v>
      </c>
      <c r="D27" s="31">
        <v>30142</v>
      </c>
      <c r="E27" s="31">
        <v>46299</v>
      </c>
      <c r="F27" s="31">
        <v>6776</v>
      </c>
      <c r="G27" s="31">
        <v>70034</v>
      </c>
      <c r="H27" s="31">
        <v>49451</v>
      </c>
      <c r="I27" s="31">
        <v>45128</v>
      </c>
      <c r="J27" s="31">
        <v>52122</v>
      </c>
      <c r="K27" s="28">
        <v>110</v>
      </c>
      <c r="L27" s="28">
        <v>220</v>
      </c>
    </row>
    <row r="28" spans="1:12" ht="22.5" customHeight="1">
      <c r="A28" s="1">
        <v>22</v>
      </c>
      <c r="B28" s="28">
        <v>3740448</v>
      </c>
      <c r="C28" s="30">
        <v>549138</v>
      </c>
      <c r="D28" s="31">
        <v>30196</v>
      </c>
      <c r="E28" s="31">
        <v>46399</v>
      </c>
      <c r="F28" s="31">
        <v>6776</v>
      </c>
      <c r="G28" s="31">
        <v>70034</v>
      </c>
      <c r="H28" s="31">
        <v>49451</v>
      </c>
      <c r="I28" s="31">
        <v>45129</v>
      </c>
      <c r="J28" s="31">
        <v>52122</v>
      </c>
      <c r="K28" s="28">
        <v>104</v>
      </c>
      <c r="L28" s="28">
        <v>202</v>
      </c>
    </row>
    <row r="29" spans="1:12" ht="22.5" customHeight="1">
      <c r="A29" s="1">
        <v>23</v>
      </c>
      <c r="B29" s="28">
        <v>3745860</v>
      </c>
      <c r="C29" s="30">
        <v>549786</v>
      </c>
      <c r="D29" s="31">
        <v>30267</v>
      </c>
      <c r="E29" s="31">
        <v>46451</v>
      </c>
      <c r="F29" s="31">
        <v>6777</v>
      </c>
      <c r="G29" s="31">
        <v>70076</v>
      </c>
      <c r="H29" s="31">
        <v>49451</v>
      </c>
      <c r="I29" s="31">
        <v>45129</v>
      </c>
      <c r="J29" s="31">
        <v>52216</v>
      </c>
      <c r="K29" s="28">
        <v>110</v>
      </c>
      <c r="L29" s="28">
        <v>217</v>
      </c>
    </row>
    <row r="30" spans="1:12" ht="22.5" customHeight="1">
      <c r="A30" s="1">
        <v>24</v>
      </c>
      <c r="B30" s="28">
        <v>3756034</v>
      </c>
      <c r="C30" s="30">
        <v>551002</v>
      </c>
      <c r="D30" s="31">
        <v>30391</v>
      </c>
      <c r="E30" s="31">
        <v>46615</v>
      </c>
      <c r="F30" s="31">
        <v>6777</v>
      </c>
      <c r="G30" s="31">
        <v>70123</v>
      </c>
      <c r="H30" s="31">
        <v>49451</v>
      </c>
      <c r="I30" s="31">
        <v>45130</v>
      </c>
      <c r="J30" s="31">
        <v>52302</v>
      </c>
      <c r="K30" s="28">
        <v>105</v>
      </c>
      <c r="L30" s="28">
        <v>203</v>
      </c>
    </row>
    <row r="31" spans="1:12" ht="22.5" customHeight="1">
      <c r="A31" s="1">
        <v>25</v>
      </c>
      <c r="B31" s="28">
        <v>3765034</v>
      </c>
      <c r="C31" s="30">
        <v>552201</v>
      </c>
      <c r="D31" s="31">
        <v>30509</v>
      </c>
      <c r="E31" s="31">
        <v>46763</v>
      </c>
      <c r="F31" s="31">
        <v>6778</v>
      </c>
      <c r="G31" s="31">
        <v>70163</v>
      </c>
      <c r="H31" s="31">
        <v>49451</v>
      </c>
      <c r="I31" s="31">
        <v>45131</v>
      </c>
      <c r="J31" s="31">
        <v>52397</v>
      </c>
      <c r="K31" s="28">
        <v>104</v>
      </c>
      <c r="L31" s="28">
        <v>199</v>
      </c>
    </row>
    <row r="32" spans="1:12" ht="22.5" customHeight="1">
      <c r="A32" s="1">
        <v>26</v>
      </c>
      <c r="B32" s="28">
        <v>3774122</v>
      </c>
      <c r="C32" s="30">
        <v>553216</v>
      </c>
      <c r="D32" s="31">
        <v>30620</v>
      </c>
      <c r="E32" s="31">
        <v>46916</v>
      </c>
      <c r="F32" s="31">
        <v>6781</v>
      </c>
      <c r="G32" s="31">
        <v>70197</v>
      </c>
      <c r="H32" s="31">
        <v>49451</v>
      </c>
      <c r="I32" s="31">
        <v>45131</v>
      </c>
      <c r="J32" s="31">
        <v>52482</v>
      </c>
      <c r="K32" s="28">
        <v>69</v>
      </c>
      <c r="L32" s="28">
        <v>123</v>
      </c>
    </row>
    <row r="33" spans="1:12" ht="22.5" customHeight="1">
      <c r="A33" s="1">
        <v>27</v>
      </c>
      <c r="B33" s="28">
        <v>3783664</v>
      </c>
      <c r="C33" s="30">
        <v>554363</v>
      </c>
      <c r="D33" s="31">
        <v>30710</v>
      </c>
      <c r="E33" s="31">
        <v>47057</v>
      </c>
      <c r="F33" s="31">
        <v>6783</v>
      </c>
      <c r="G33" s="31">
        <v>70236</v>
      </c>
      <c r="H33" s="31">
        <v>49451</v>
      </c>
      <c r="I33" s="31">
        <v>45131</v>
      </c>
      <c r="J33" s="31">
        <v>52563</v>
      </c>
      <c r="K33" s="28">
        <v>75</v>
      </c>
      <c r="L33" s="28">
        <v>134</v>
      </c>
    </row>
    <row r="34" spans="1:12" ht="22.5" customHeight="1">
      <c r="A34" s="1">
        <v>28</v>
      </c>
      <c r="B34" s="28">
        <v>3795256</v>
      </c>
      <c r="C34" s="30">
        <v>555779</v>
      </c>
      <c r="D34" s="31">
        <v>30828</v>
      </c>
      <c r="E34" s="31">
        <v>47201</v>
      </c>
      <c r="F34" s="31">
        <v>6783</v>
      </c>
      <c r="G34" s="31">
        <v>70268</v>
      </c>
      <c r="H34" s="31">
        <v>49451</v>
      </c>
      <c r="I34" s="31">
        <v>45132</v>
      </c>
      <c r="J34" s="31">
        <v>52634</v>
      </c>
      <c r="K34" s="28">
        <v>73</v>
      </c>
      <c r="L34" s="28">
        <v>126</v>
      </c>
    </row>
    <row r="35" spans="1:12" ht="22.5" customHeight="1">
      <c r="A35" s="1">
        <v>29</v>
      </c>
      <c r="B35" s="28">
        <v>3804804</v>
      </c>
      <c r="C35" s="30">
        <v>556975</v>
      </c>
      <c r="D35" s="31">
        <v>30930</v>
      </c>
      <c r="E35" s="31">
        <v>47330</v>
      </c>
      <c r="F35" s="31">
        <v>6785</v>
      </c>
      <c r="G35" s="31">
        <v>70318</v>
      </c>
      <c r="H35" s="31">
        <v>49451</v>
      </c>
      <c r="I35" s="31">
        <v>45133</v>
      </c>
      <c r="J35" s="31">
        <v>52709</v>
      </c>
      <c r="K35" s="28">
        <v>68</v>
      </c>
      <c r="L35" s="28">
        <v>127</v>
      </c>
    </row>
    <row r="36" spans="1:12" ht="22.5" customHeight="1">
      <c r="A36" s="1">
        <v>30</v>
      </c>
      <c r="B36" s="28">
        <v>3814424</v>
      </c>
      <c r="C36" s="30">
        <v>558196</v>
      </c>
      <c r="D36" s="31">
        <v>31038</v>
      </c>
      <c r="E36" s="31">
        <v>47472</v>
      </c>
      <c r="F36" s="31">
        <v>6785</v>
      </c>
      <c r="G36" s="31">
        <v>70857</v>
      </c>
      <c r="H36" s="31">
        <v>49551</v>
      </c>
      <c r="I36" s="31">
        <v>45134</v>
      </c>
      <c r="J36" s="31">
        <v>52783</v>
      </c>
      <c r="K36" s="28">
        <v>66</v>
      </c>
      <c r="L36" s="28">
        <v>126</v>
      </c>
    </row>
    <row r="37" spans="1:12" ht="25.5">
      <c r="A37" s="5" t="s">
        <v>29</v>
      </c>
      <c r="B37" s="29">
        <f>B36-B6</f>
        <v>260994</v>
      </c>
      <c r="C37" s="29">
        <f t="shared" ref="C37:J37" si="0">C36-C6</f>
        <v>29145</v>
      </c>
      <c r="D37" s="29">
        <f t="shared" si="0"/>
        <v>3122</v>
      </c>
      <c r="E37" s="29">
        <f t="shared" si="0"/>
        <v>4102</v>
      </c>
      <c r="F37" s="29">
        <f t="shared" si="0"/>
        <v>39</v>
      </c>
      <c r="G37" s="29">
        <f t="shared" si="0"/>
        <v>1480</v>
      </c>
      <c r="H37" s="29">
        <f t="shared" si="0"/>
        <v>100</v>
      </c>
      <c r="I37" s="29">
        <f t="shared" si="0"/>
        <v>23</v>
      </c>
      <c r="J37" s="29">
        <f t="shared" si="0"/>
        <v>2190</v>
      </c>
      <c r="K37" s="31">
        <f>SUM(K7:K36)</f>
        <v>2310</v>
      </c>
      <c r="L37" s="31">
        <f>SUM(L7:L36)</f>
        <v>4271</v>
      </c>
    </row>
    <row r="38" spans="1:12" ht="22.5" customHeight="1">
      <c r="A38" s="1" t="s">
        <v>30</v>
      </c>
      <c r="B38" s="26">
        <f>B37</f>
        <v>260994</v>
      </c>
      <c r="C38" s="7"/>
      <c r="D38" s="32">
        <f>SUM(D37:E37)</f>
        <v>7224</v>
      </c>
      <c r="E38" s="33"/>
      <c r="F38" s="32">
        <f>SUM(F37:J37)</f>
        <v>3832</v>
      </c>
      <c r="G38" s="34"/>
      <c r="H38" s="34"/>
      <c r="I38" s="34"/>
      <c r="J38" s="33"/>
    </row>
    <row r="40" spans="1:12" ht="22.5" customHeight="1"/>
  </sheetData>
  <mergeCells count="3">
    <mergeCell ref="D38:E38"/>
    <mergeCell ref="F38:J38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2" ma:contentTypeDescription="Create a new document." ma:contentTypeScope="" ma:versionID="288c6e47fbc4a6b0f641589ef8875dd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34d56b8adc505b970b70c35f752b369c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60F61B-EB75-453B-8632-5263646B39C2}"/>
</file>

<file path=customXml/itemProps2.xml><?xml version="1.0" encoding="utf-8"?>
<ds:datastoreItem xmlns:ds="http://schemas.openxmlformats.org/officeDocument/2006/customXml" ds:itemID="{B4EB02EC-C4F9-4158-871C-B650809ECFD4}"/>
</file>

<file path=customXml/itemProps3.xml><?xml version="1.0" encoding="utf-8"?>
<ds:datastoreItem xmlns:ds="http://schemas.openxmlformats.org/officeDocument/2006/customXml" ds:itemID="{228C68D5-54D6-4EE3-AFDC-9A616F080B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Salvatore Santitto</cp:lastModifiedBy>
  <cp:revision/>
  <dcterms:created xsi:type="dcterms:W3CDTF">2021-06-27T18:11:07Z</dcterms:created>
  <dcterms:modified xsi:type="dcterms:W3CDTF">2022-07-01T08:37:06Z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