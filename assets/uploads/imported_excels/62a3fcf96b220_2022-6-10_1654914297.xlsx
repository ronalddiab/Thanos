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6"/>
  <workbookPr filterPrivacy="1" defaultThemeVersion="124226"/>
  <xr:revisionPtr revIDLastSave="0" documentId="13_ncr:1_{6C5B9CE1-8BB7-4057-8006-B86694985498}" xr6:coauthVersionLast="36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  <sheet name="Sheet1" sheetId="9" r:id="rId8"/>
  </sheets>
  <definedNames>
    <definedName name="_xlnm.Print_Area" localSheetId="1">'Kwh Reading'!$A$1:$S$32</definedName>
  </definedNames>
  <calcPr calcId="191029"/>
</workbook>
</file>

<file path=xl/calcChain.xml><?xml version="1.0" encoding="utf-8"?>
<calcChain xmlns="http://schemas.openxmlformats.org/spreadsheetml/2006/main">
  <c r="O33" i="6" l="1"/>
  <c r="N33" i="6"/>
  <c r="M33" i="6"/>
  <c r="X35" i="1" l="1"/>
  <c r="W35" i="1"/>
  <c r="V35" i="1"/>
  <c r="B25" i="8" l="1"/>
  <c r="B27" i="2" l="1"/>
  <c r="P5" i="2" l="1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4" i="2"/>
  <c r="K14" i="8" l="1"/>
  <c r="G20" i="8"/>
  <c r="G24" i="8"/>
  <c r="G25" i="8"/>
  <c r="G19" i="8"/>
  <c r="G21" i="8"/>
  <c r="G22" i="8"/>
  <c r="G5" i="8"/>
  <c r="S4" i="8"/>
  <c r="S5" i="8"/>
  <c r="S6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Q32" i="8"/>
  <c r="Q33" i="8"/>
  <c r="Q34" i="8"/>
  <c r="Q4" i="8"/>
  <c r="S7" i="8"/>
  <c r="S8" i="8"/>
  <c r="S9" i="8"/>
  <c r="S10" i="8"/>
  <c r="S11" i="8"/>
  <c r="S12" i="8"/>
  <c r="S13" i="8"/>
  <c r="S14" i="8"/>
  <c r="S15" i="8"/>
  <c r="S16" i="8"/>
  <c r="S17" i="8"/>
  <c r="S18" i="8"/>
  <c r="S19" i="8"/>
  <c r="S20" i="8"/>
  <c r="S21" i="8"/>
  <c r="S22" i="8"/>
  <c r="S23" i="8"/>
  <c r="S24" i="8"/>
  <c r="S25" i="8"/>
  <c r="S26" i="8"/>
  <c r="S27" i="8"/>
  <c r="S28" i="8"/>
  <c r="S29" i="8"/>
  <c r="S30" i="8"/>
  <c r="S31" i="8"/>
  <c r="S32" i="8"/>
  <c r="S33" i="8"/>
  <c r="S34" i="8"/>
  <c r="U5" i="8"/>
  <c r="U6" i="8"/>
  <c r="U7" i="8"/>
  <c r="U8" i="8"/>
  <c r="U9" i="8"/>
  <c r="U10" i="8"/>
  <c r="U11" i="8"/>
  <c r="U12" i="8"/>
  <c r="U13" i="8"/>
  <c r="U14" i="8"/>
  <c r="U15" i="8"/>
  <c r="U16" i="8"/>
  <c r="U17" i="8"/>
  <c r="U18" i="8"/>
  <c r="U19" i="8"/>
  <c r="U20" i="8"/>
  <c r="U21" i="8"/>
  <c r="U22" i="8"/>
  <c r="U23" i="8"/>
  <c r="U24" i="8"/>
  <c r="U25" i="8"/>
  <c r="U26" i="8"/>
  <c r="U27" i="8"/>
  <c r="U28" i="8"/>
  <c r="U29" i="8"/>
  <c r="U30" i="8"/>
  <c r="U31" i="8"/>
  <c r="U32" i="8"/>
  <c r="U33" i="8"/>
  <c r="U34" i="8"/>
  <c r="U4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23" i="8"/>
  <c r="G26" i="8"/>
  <c r="G27" i="8"/>
  <c r="G28" i="8"/>
  <c r="G29" i="8"/>
  <c r="G30" i="8"/>
  <c r="G31" i="8"/>
  <c r="G32" i="8"/>
  <c r="G33" i="8"/>
  <c r="G34" i="8"/>
  <c r="W6" i="8"/>
  <c r="W7" i="8"/>
  <c r="W8" i="8"/>
  <c r="W9" i="8"/>
  <c r="W10" i="8"/>
  <c r="W11" i="8"/>
  <c r="W12" i="8"/>
  <c r="W13" i="8"/>
  <c r="W14" i="8"/>
  <c r="W15" i="8"/>
  <c r="W16" i="8"/>
  <c r="W17" i="8"/>
  <c r="W18" i="8"/>
  <c r="W19" i="8"/>
  <c r="W20" i="8"/>
  <c r="W21" i="8"/>
  <c r="W22" i="8"/>
  <c r="W23" i="8"/>
  <c r="W24" i="8"/>
  <c r="W25" i="8"/>
  <c r="W26" i="8"/>
  <c r="W27" i="8"/>
  <c r="W28" i="8"/>
  <c r="W29" i="8"/>
  <c r="W30" i="8"/>
  <c r="W31" i="8"/>
  <c r="W32" i="8"/>
  <c r="W33" i="8"/>
  <c r="W34" i="8"/>
  <c r="W5" i="8"/>
  <c r="W4" i="8"/>
  <c r="Q24" i="2" l="1"/>
  <c r="Q25" i="2"/>
  <c r="O17" i="2" l="1"/>
  <c r="O16" i="2"/>
  <c r="N16" i="2"/>
  <c r="M16" i="2"/>
  <c r="L16" i="2"/>
  <c r="Q16" i="2"/>
  <c r="R16" i="2"/>
  <c r="S16" i="2"/>
  <c r="T16" i="2"/>
  <c r="U16" i="2"/>
  <c r="B36" i="4" l="1"/>
  <c r="K33" i="6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6" i="8"/>
  <c r="B27" i="8"/>
  <c r="B28" i="8"/>
  <c r="B29" i="8"/>
  <c r="B30" i="8"/>
  <c r="B31" i="8"/>
  <c r="B32" i="8"/>
  <c r="B33" i="8"/>
  <c r="B34" i="8"/>
  <c r="B4" i="8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8" i="2"/>
  <c r="B29" i="2"/>
  <c r="B30" i="2"/>
  <c r="B31" i="2"/>
  <c r="B32" i="2"/>
  <c r="B33" i="2"/>
  <c r="B34" i="2"/>
  <c r="B4" i="2"/>
  <c r="B9" i="4"/>
  <c r="B10" i="4"/>
  <c r="B11" i="4"/>
  <c r="B12" i="4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4" i="8"/>
  <c r="K5" i="8"/>
  <c r="K6" i="8"/>
  <c r="K7" i="8"/>
  <c r="K8" i="8"/>
  <c r="K9" i="8"/>
  <c r="K10" i="8"/>
  <c r="K11" i="8"/>
  <c r="K12" i="8"/>
  <c r="K13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4" i="8"/>
  <c r="G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4" i="8"/>
  <c r="C5" i="8"/>
  <c r="C6" i="8"/>
  <c r="C7" i="8"/>
  <c r="C8" i="8"/>
  <c r="R8" i="8" s="1"/>
  <c r="C9" i="8"/>
  <c r="C10" i="8"/>
  <c r="C11" i="8"/>
  <c r="C12" i="8"/>
  <c r="X12" i="8" s="1"/>
  <c r="C13" i="8"/>
  <c r="V13" i="8" s="1"/>
  <c r="C14" i="8"/>
  <c r="C15" i="8"/>
  <c r="C16" i="8"/>
  <c r="T16" i="8" s="1"/>
  <c r="C17" i="8"/>
  <c r="C18" i="8"/>
  <c r="C19" i="8"/>
  <c r="C20" i="8"/>
  <c r="X20" i="8" s="1"/>
  <c r="C21" i="8"/>
  <c r="C22" i="8"/>
  <c r="C23" i="8"/>
  <c r="C24" i="8"/>
  <c r="R24" i="8" s="1"/>
  <c r="C25" i="8"/>
  <c r="C26" i="8"/>
  <c r="C27" i="8"/>
  <c r="C28" i="8"/>
  <c r="C29" i="8"/>
  <c r="C30" i="8"/>
  <c r="C31" i="8"/>
  <c r="C32" i="8"/>
  <c r="C33" i="8"/>
  <c r="C34" i="8"/>
  <c r="C4" i="8"/>
  <c r="C27" i="2"/>
  <c r="C26" i="4" s="1"/>
  <c r="C28" i="2"/>
  <c r="C27" i="4" s="1"/>
  <c r="C29" i="2"/>
  <c r="C30" i="2"/>
  <c r="C29" i="4" s="1"/>
  <c r="C31" i="2"/>
  <c r="C30" i="4" s="1"/>
  <c r="C32" i="2"/>
  <c r="C33" i="2"/>
  <c r="C32" i="4" s="1"/>
  <c r="C34" i="2"/>
  <c r="C33" i="4" s="1"/>
  <c r="J30" i="2"/>
  <c r="J31" i="2"/>
  <c r="J32" i="2"/>
  <c r="J33" i="2"/>
  <c r="J34" i="2"/>
  <c r="T28" i="2"/>
  <c r="L5" i="2"/>
  <c r="L6" i="2"/>
  <c r="L7" i="2"/>
  <c r="L8" i="2"/>
  <c r="L9" i="2"/>
  <c r="L10" i="2"/>
  <c r="L11" i="2"/>
  <c r="L12" i="2"/>
  <c r="L13" i="2"/>
  <c r="L14" i="2"/>
  <c r="L15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4" i="2"/>
  <c r="M14" i="2"/>
  <c r="G24" i="2"/>
  <c r="U23" i="2"/>
  <c r="K22" i="4" s="1"/>
  <c r="T23" i="2"/>
  <c r="S23" i="2"/>
  <c r="R23" i="2"/>
  <c r="Q23" i="2"/>
  <c r="O23" i="2"/>
  <c r="N23" i="2"/>
  <c r="M23" i="2"/>
  <c r="K23" i="2"/>
  <c r="J23" i="2"/>
  <c r="I23" i="2"/>
  <c r="H23" i="2"/>
  <c r="G23" i="2"/>
  <c r="F23" i="2"/>
  <c r="E23" i="2"/>
  <c r="E22" i="4" s="1"/>
  <c r="D23" i="2"/>
  <c r="D22" i="4" s="1"/>
  <c r="C23" i="2"/>
  <c r="C22" i="4" s="1"/>
  <c r="J12" i="2"/>
  <c r="J8" i="2"/>
  <c r="J9" i="2"/>
  <c r="I8" i="2"/>
  <c r="I9" i="2"/>
  <c r="H8" i="2"/>
  <c r="H9" i="2"/>
  <c r="G8" i="2"/>
  <c r="G9" i="2"/>
  <c r="F9" i="2"/>
  <c r="F8" i="2"/>
  <c r="E8" i="2"/>
  <c r="E7" i="4" s="1"/>
  <c r="E9" i="2"/>
  <c r="E8" i="4" s="1"/>
  <c r="D8" i="2"/>
  <c r="D7" i="4" s="1"/>
  <c r="D9" i="2"/>
  <c r="D8" i="4" s="1"/>
  <c r="C8" i="2"/>
  <c r="C7" i="4" s="1"/>
  <c r="C9" i="2"/>
  <c r="C8" i="4" s="1"/>
  <c r="U8" i="2"/>
  <c r="K7" i="4" s="1"/>
  <c r="U9" i="2"/>
  <c r="K8" i="4" s="1"/>
  <c r="T8" i="2"/>
  <c r="T9" i="2"/>
  <c r="S8" i="2"/>
  <c r="S9" i="2"/>
  <c r="R8" i="2"/>
  <c r="R9" i="2"/>
  <c r="Q8" i="2"/>
  <c r="Q9" i="2"/>
  <c r="O8" i="2"/>
  <c r="O9" i="2"/>
  <c r="N8" i="2"/>
  <c r="N9" i="2"/>
  <c r="M8" i="2"/>
  <c r="M9" i="2"/>
  <c r="K8" i="2"/>
  <c r="K9" i="2"/>
  <c r="C17" i="2"/>
  <c r="C16" i="4" s="1"/>
  <c r="C18" i="2"/>
  <c r="C17" i="4" s="1"/>
  <c r="C19" i="2"/>
  <c r="C18" i="4" s="1"/>
  <c r="S27" i="2"/>
  <c r="B20" i="4"/>
  <c r="B3" i="4"/>
  <c r="H21" i="2"/>
  <c r="C21" i="2"/>
  <c r="C20" i="4" s="1"/>
  <c r="C22" i="2"/>
  <c r="C21" i="4" s="1"/>
  <c r="C24" i="2"/>
  <c r="C23" i="4" s="1"/>
  <c r="K34" i="2"/>
  <c r="M34" i="2"/>
  <c r="N34" i="2"/>
  <c r="O34" i="2"/>
  <c r="Q34" i="2"/>
  <c r="R34" i="2"/>
  <c r="S34" i="2"/>
  <c r="T34" i="2"/>
  <c r="U34" i="2"/>
  <c r="K33" i="4" s="1"/>
  <c r="B4" i="4"/>
  <c r="B5" i="4"/>
  <c r="B6" i="4"/>
  <c r="B7" i="4"/>
  <c r="B8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D5" i="2"/>
  <c r="D4" i="4" s="1"/>
  <c r="D6" i="2"/>
  <c r="D5" i="4" s="1"/>
  <c r="D7" i="2"/>
  <c r="D6" i="4" s="1"/>
  <c r="D10" i="2"/>
  <c r="D9" i="4" s="1"/>
  <c r="D11" i="2"/>
  <c r="D10" i="4" s="1"/>
  <c r="D12" i="2"/>
  <c r="D11" i="4" s="1"/>
  <c r="D13" i="2"/>
  <c r="D12" i="4" s="1"/>
  <c r="D14" i="2"/>
  <c r="D13" i="4" s="1"/>
  <c r="D15" i="2"/>
  <c r="D14" i="4" s="1"/>
  <c r="D16" i="2"/>
  <c r="D17" i="2"/>
  <c r="D16" i="4" s="1"/>
  <c r="D18" i="2"/>
  <c r="D17" i="4" s="1"/>
  <c r="D19" i="2"/>
  <c r="D18" i="4" s="1"/>
  <c r="D20" i="2"/>
  <c r="D19" i="4" s="1"/>
  <c r="D21" i="2"/>
  <c r="D20" i="4" s="1"/>
  <c r="D22" i="2"/>
  <c r="D24" i="2"/>
  <c r="D23" i="4" s="1"/>
  <c r="D25" i="2"/>
  <c r="D24" i="4" s="1"/>
  <c r="D26" i="2"/>
  <c r="D25" i="4" s="1"/>
  <c r="D27" i="2"/>
  <c r="D26" i="4" s="1"/>
  <c r="D28" i="2"/>
  <c r="D27" i="4" s="1"/>
  <c r="D29" i="2"/>
  <c r="D28" i="4" s="1"/>
  <c r="D30" i="2"/>
  <c r="D29" i="4" s="1"/>
  <c r="D31" i="2"/>
  <c r="D30" i="4" s="1"/>
  <c r="D32" i="2"/>
  <c r="D31" i="4" s="1"/>
  <c r="D33" i="2"/>
  <c r="D32" i="4" s="1"/>
  <c r="D34" i="2"/>
  <c r="D33" i="4" s="1"/>
  <c r="D4" i="2"/>
  <c r="D3" i="4" s="1"/>
  <c r="B4" i="3"/>
  <c r="B5" i="3"/>
  <c r="B6" i="3"/>
  <c r="B7" i="3"/>
  <c r="B8" i="3"/>
  <c r="B9" i="3"/>
  <c r="B10" i="3"/>
  <c r="B11" i="3"/>
  <c r="B12" i="3"/>
  <c r="B13" i="3"/>
  <c r="B14" i="3"/>
  <c r="B15" i="3"/>
  <c r="K15" i="3" s="1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" i="3"/>
  <c r="I34" i="2"/>
  <c r="H34" i="2"/>
  <c r="G34" i="2"/>
  <c r="F34" i="2"/>
  <c r="E34" i="2"/>
  <c r="E33" i="4" s="1"/>
  <c r="E33" i="2"/>
  <c r="E32" i="4" s="1"/>
  <c r="F33" i="2"/>
  <c r="G33" i="2"/>
  <c r="H33" i="2"/>
  <c r="I33" i="2"/>
  <c r="K33" i="2"/>
  <c r="M33" i="2"/>
  <c r="N33" i="2"/>
  <c r="O33" i="2"/>
  <c r="Q33" i="2"/>
  <c r="R33" i="2"/>
  <c r="S33" i="2"/>
  <c r="T33" i="2"/>
  <c r="U33" i="2"/>
  <c r="K32" i="4" s="1"/>
  <c r="Q18" i="2"/>
  <c r="A34" i="8"/>
  <c r="A33" i="4"/>
  <c r="A33" i="3"/>
  <c r="A34" i="2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O18" i="2"/>
  <c r="U5" i="2"/>
  <c r="K4" i="4" s="1"/>
  <c r="A30" i="3"/>
  <c r="A31" i="3"/>
  <c r="A32" i="3"/>
  <c r="F32" i="2"/>
  <c r="G32" i="2"/>
  <c r="H32" i="2"/>
  <c r="I32" i="2"/>
  <c r="K32" i="2"/>
  <c r="M32" i="2"/>
  <c r="N32" i="2"/>
  <c r="O32" i="2"/>
  <c r="Q32" i="2"/>
  <c r="R32" i="2"/>
  <c r="S32" i="2"/>
  <c r="T32" i="2"/>
  <c r="U32" i="2"/>
  <c r="K31" i="4" s="1"/>
  <c r="C5" i="2"/>
  <c r="C4" i="4" s="1"/>
  <c r="C4" i="2"/>
  <c r="C3" i="4" s="1"/>
  <c r="T20" i="2"/>
  <c r="J7" i="2"/>
  <c r="U7" i="2"/>
  <c r="K6" i="4" s="1"/>
  <c r="N17" i="2"/>
  <c r="H15" i="2"/>
  <c r="I12" i="2"/>
  <c r="G11" i="2"/>
  <c r="F11" i="2"/>
  <c r="C11" i="2"/>
  <c r="U10" i="2"/>
  <c r="K9" i="4" s="1"/>
  <c r="T10" i="2"/>
  <c r="S10" i="2"/>
  <c r="R10" i="2"/>
  <c r="Q10" i="2"/>
  <c r="O10" i="2"/>
  <c r="N10" i="2"/>
  <c r="M10" i="2"/>
  <c r="K10" i="2"/>
  <c r="J10" i="2"/>
  <c r="I10" i="2"/>
  <c r="H10" i="2"/>
  <c r="G10" i="2"/>
  <c r="F10" i="2"/>
  <c r="E10" i="2"/>
  <c r="E9" i="4" s="1"/>
  <c r="C10" i="2"/>
  <c r="C9" i="4" s="1"/>
  <c r="F20" i="2"/>
  <c r="F19" i="2"/>
  <c r="Q5" i="2"/>
  <c r="Q6" i="2"/>
  <c r="Q7" i="2"/>
  <c r="Q11" i="2"/>
  <c r="Q12" i="2"/>
  <c r="Q13" i="2"/>
  <c r="Q14" i="2"/>
  <c r="Q15" i="2"/>
  <c r="Q17" i="2"/>
  <c r="Q19" i="2"/>
  <c r="Q20" i="2"/>
  <c r="Q21" i="2"/>
  <c r="Q22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11" i="2"/>
  <c r="O11" i="2"/>
  <c r="N12" i="2"/>
  <c r="O12" i="2"/>
  <c r="N13" i="2"/>
  <c r="O13" i="2"/>
  <c r="N14" i="2"/>
  <c r="O14" i="2"/>
  <c r="N15" i="2"/>
  <c r="O15" i="2"/>
  <c r="N18" i="2"/>
  <c r="N19" i="2"/>
  <c r="O19" i="2"/>
  <c r="N20" i="2"/>
  <c r="O20" i="2"/>
  <c r="N21" i="2"/>
  <c r="O21" i="2"/>
  <c r="N22" i="2"/>
  <c r="O22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N4" i="2"/>
  <c r="I5" i="2"/>
  <c r="J5" i="2"/>
  <c r="I6" i="2"/>
  <c r="J6" i="2"/>
  <c r="I7" i="2"/>
  <c r="I11" i="2"/>
  <c r="J11" i="2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I31" i="2"/>
  <c r="J4" i="2"/>
  <c r="I4" i="2"/>
  <c r="C6" i="2"/>
  <c r="C5" i="4" s="1"/>
  <c r="C7" i="2"/>
  <c r="C6" i="4" s="1"/>
  <c r="C12" i="2"/>
  <c r="C13" i="2"/>
  <c r="C14" i="2"/>
  <c r="C13" i="4" s="1"/>
  <c r="C15" i="2"/>
  <c r="C14" i="4" s="1"/>
  <c r="C16" i="2"/>
  <c r="C20" i="2"/>
  <c r="C19" i="4" s="1"/>
  <c r="C25" i="2"/>
  <c r="C24" i="4" s="1"/>
  <c r="C26" i="2"/>
  <c r="C25" i="4" s="1"/>
  <c r="U6" i="2"/>
  <c r="K5" i="4" s="1"/>
  <c r="U11" i="2"/>
  <c r="U12" i="2"/>
  <c r="K11" i="4" s="1"/>
  <c r="U13" i="2"/>
  <c r="K12" i="4" s="1"/>
  <c r="U14" i="2"/>
  <c r="K13" i="4" s="1"/>
  <c r="U15" i="2"/>
  <c r="K14" i="4" s="1"/>
  <c r="K15" i="4"/>
  <c r="U17" i="2"/>
  <c r="K16" i="4" s="1"/>
  <c r="U18" i="2"/>
  <c r="U19" i="2"/>
  <c r="U20" i="2"/>
  <c r="K19" i="4" s="1"/>
  <c r="U21" i="2"/>
  <c r="K20" i="4" s="1"/>
  <c r="U22" i="2"/>
  <c r="U24" i="2"/>
  <c r="K23" i="4" s="1"/>
  <c r="U25" i="2"/>
  <c r="K24" i="4" s="1"/>
  <c r="U26" i="2"/>
  <c r="K25" i="4" s="1"/>
  <c r="U27" i="2"/>
  <c r="K26" i="4" s="1"/>
  <c r="U28" i="2"/>
  <c r="K27" i="4" s="1"/>
  <c r="U29" i="2"/>
  <c r="K28" i="4" s="1"/>
  <c r="U30" i="2"/>
  <c r="K29" i="4" s="1"/>
  <c r="U31" i="2"/>
  <c r="K30" i="4" s="1"/>
  <c r="U4" i="2"/>
  <c r="K3" i="4" s="1"/>
  <c r="M5" i="2"/>
  <c r="M6" i="2"/>
  <c r="M7" i="2"/>
  <c r="M11" i="2"/>
  <c r="M12" i="2"/>
  <c r="M13" i="2"/>
  <c r="M15" i="2"/>
  <c r="M17" i="2"/>
  <c r="M18" i="2"/>
  <c r="M19" i="2"/>
  <c r="M20" i="2"/>
  <c r="M21" i="2"/>
  <c r="M22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H11" i="2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E5" i="2"/>
  <c r="E4" i="4" s="1"/>
  <c r="E6" i="2"/>
  <c r="E5" i="4" s="1"/>
  <c r="E7" i="2"/>
  <c r="E6" i="4" s="1"/>
  <c r="E11" i="2"/>
  <c r="E12" i="2"/>
  <c r="E11" i="4" s="1"/>
  <c r="E13" i="2"/>
  <c r="E12" i="4" s="1"/>
  <c r="E14" i="2"/>
  <c r="E13" i="4" s="1"/>
  <c r="E15" i="2"/>
  <c r="E14" i="4" s="1"/>
  <c r="E16" i="2"/>
  <c r="E17" i="2"/>
  <c r="E16" i="4" s="1"/>
  <c r="E18" i="2"/>
  <c r="E17" i="4" s="1"/>
  <c r="E19" i="2"/>
  <c r="E18" i="4" s="1"/>
  <c r="E20" i="2"/>
  <c r="E19" i="4" s="1"/>
  <c r="E21" i="2"/>
  <c r="E20" i="4" s="1"/>
  <c r="E22" i="2"/>
  <c r="E21" i="4" s="1"/>
  <c r="E24" i="2"/>
  <c r="E25" i="2"/>
  <c r="E24" i="4" s="1"/>
  <c r="E26" i="2"/>
  <c r="E25" i="4" s="1"/>
  <c r="E27" i="2"/>
  <c r="E28" i="2"/>
  <c r="E27" i="4" s="1"/>
  <c r="E29" i="2"/>
  <c r="E28" i="4" s="1"/>
  <c r="E30" i="2"/>
  <c r="E29" i="4" s="1"/>
  <c r="E31" i="2"/>
  <c r="E30" i="4" s="1"/>
  <c r="E32" i="2"/>
  <c r="E31" i="4" s="1"/>
  <c r="E4" i="2"/>
  <c r="K5" i="2"/>
  <c r="K6" i="2"/>
  <c r="K7" i="2"/>
  <c r="K11" i="2"/>
  <c r="K12" i="2"/>
  <c r="K13" i="2"/>
  <c r="K14" i="2"/>
  <c r="K15" i="2"/>
  <c r="K16" i="2"/>
  <c r="K17" i="2"/>
  <c r="K18" i="2"/>
  <c r="K19" i="2"/>
  <c r="K20" i="2"/>
  <c r="K21" i="2"/>
  <c r="K22" i="2"/>
  <c r="K24" i="2"/>
  <c r="K25" i="2"/>
  <c r="K26" i="2"/>
  <c r="K27" i="2"/>
  <c r="K28" i="2"/>
  <c r="K29" i="2"/>
  <c r="K30" i="2"/>
  <c r="K31" i="2"/>
  <c r="K4" i="2"/>
  <c r="R12" i="2"/>
  <c r="R13" i="2"/>
  <c r="R14" i="2"/>
  <c r="R15" i="2"/>
  <c r="R17" i="2"/>
  <c r="R18" i="2"/>
  <c r="R19" i="2"/>
  <c r="R20" i="2"/>
  <c r="R21" i="2"/>
  <c r="R22" i="2"/>
  <c r="R24" i="2"/>
  <c r="R25" i="2"/>
  <c r="R26" i="2"/>
  <c r="R27" i="2"/>
  <c r="R28" i="2"/>
  <c r="R29" i="2"/>
  <c r="R30" i="2"/>
  <c r="R31" i="2"/>
  <c r="R5" i="2"/>
  <c r="R6" i="2"/>
  <c r="R7" i="2"/>
  <c r="R11" i="2"/>
  <c r="R4" i="2"/>
  <c r="A30" i="4"/>
  <c r="A31" i="4"/>
  <c r="A32" i="4"/>
  <c r="A29" i="3"/>
  <c r="T5" i="2"/>
  <c r="T6" i="2"/>
  <c r="T7" i="2"/>
  <c r="T11" i="2"/>
  <c r="T12" i="2"/>
  <c r="T13" i="2"/>
  <c r="T14" i="2"/>
  <c r="T15" i="2"/>
  <c r="T17" i="2"/>
  <c r="T18" i="2"/>
  <c r="T19" i="2"/>
  <c r="T21" i="2"/>
  <c r="T22" i="2"/>
  <c r="T24" i="2"/>
  <c r="T25" i="2"/>
  <c r="T26" i="2"/>
  <c r="T27" i="2"/>
  <c r="T29" i="2"/>
  <c r="T30" i="2"/>
  <c r="T31" i="2"/>
  <c r="T4" i="2"/>
  <c r="S5" i="2"/>
  <c r="S6" i="2"/>
  <c r="S7" i="2"/>
  <c r="S11" i="2"/>
  <c r="S12" i="2"/>
  <c r="S13" i="2"/>
  <c r="S14" i="2"/>
  <c r="S15" i="2"/>
  <c r="S17" i="2"/>
  <c r="S18" i="2"/>
  <c r="S19" i="2"/>
  <c r="S20" i="2"/>
  <c r="S21" i="2"/>
  <c r="S22" i="2"/>
  <c r="S24" i="2"/>
  <c r="S25" i="2"/>
  <c r="S26" i="2"/>
  <c r="S28" i="2"/>
  <c r="S29" i="2"/>
  <c r="S30" i="2"/>
  <c r="S31" i="2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C11" i="4"/>
  <c r="N18" i="8" l="1"/>
  <c r="D18" i="8"/>
  <c r="G33" i="4"/>
  <c r="H10" i="4"/>
  <c r="L30" i="8"/>
  <c r="D29" i="3"/>
  <c r="H28" i="4"/>
  <c r="K19" i="3"/>
  <c r="P34" i="8"/>
  <c r="C5" i="3"/>
  <c r="E7" i="3"/>
  <c r="K21" i="3"/>
  <c r="K31" i="3"/>
  <c r="E3" i="3"/>
  <c r="K30" i="3"/>
  <c r="E17" i="3"/>
  <c r="K27" i="3"/>
  <c r="K22" i="3"/>
  <c r="K18" i="3"/>
  <c r="C32" i="3"/>
  <c r="K16" i="3"/>
  <c r="L17" i="3"/>
  <c r="K24" i="3"/>
  <c r="K33" i="3"/>
  <c r="K32" i="3"/>
  <c r="K20" i="3"/>
  <c r="K29" i="3"/>
  <c r="F15" i="4"/>
  <c r="G15" i="3"/>
  <c r="E15" i="3"/>
  <c r="D15" i="4"/>
  <c r="K17" i="3"/>
  <c r="G15" i="4"/>
  <c r="H15" i="3"/>
  <c r="K26" i="3"/>
  <c r="G6" i="4"/>
  <c r="K25" i="3"/>
  <c r="E15" i="4"/>
  <c r="F15" i="3"/>
  <c r="K28" i="3"/>
  <c r="H15" i="4"/>
  <c r="I15" i="3"/>
  <c r="E25" i="3"/>
  <c r="K23" i="3"/>
  <c r="C15" i="4"/>
  <c r="D15" i="3"/>
  <c r="G32" i="4"/>
  <c r="V32" i="2"/>
  <c r="M31" i="3" s="1"/>
  <c r="V31" i="2"/>
  <c r="M30" i="3" s="1"/>
  <c r="X29" i="8"/>
  <c r="N28" i="8"/>
  <c r="H16" i="8"/>
  <c r="E10" i="3"/>
  <c r="H7" i="8"/>
  <c r="D21" i="3"/>
  <c r="T11" i="8"/>
  <c r="H8" i="8"/>
  <c r="D30" i="3"/>
  <c r="C24" i="3"/>
  <c r="C8" i="3"/>
  <c r="C14" i="3"/>
  <c r="C6" i="3"/>
  <c r="I3" i="3"/>
  <c r="F3" i="3"/>
  <c r="L32" i="8"/>
  <c r="J24" i="8"/>
  <c r="F34" i="8"/>
  <c r="V6" i="8"/>
  <c r="F15" i="8"/>
  <c r="P26" i="8"/>
  <c r="D6" i="8"/>
  <c r="T24" i="8"/>
  <c r="V32" i="8"/>
  <c r="N14" i="8"/>
  <c r="H24" i="8"/>
  <c r="V24" i="8"/>
  <c r="P33" i="8"/>
  <c r="H30" i="4"/>
  <c r="P25" i="8"/>
  <c r="L26" i="8"/>
  <c r="R26" i="8"/>
  <c r="H26" i="4"/>
  <c r="I22" i="3"/>
  <c r="H33" i="4"/>
  <c r="J22" i="4"/>
  <c r="I6" i="3"/>
  <c r="J25" i="8"/>
  <c r="R16" i="8"/>
  <c r="V18" i="8"/>
  <c r="X8" i="8"/>
  <c r="J27" i="8"/>
  <c r="J32" i="8"/>
  <c r="J8" i="8"/>
  <c r="V33" i="8"/>
  <c r="X7" i="8"/>
  <c r="T28" i="8"/>
  <c r="E4" i="3"/>
  <c r="J16" i="4"/>
  <c r="I24" i="3"/>
  <c r="V16" i="2"/>
  <c r="M15" i="3" s="1"/>
  <c r="N29" i="8"/>
  <c r="G30" i="4"/>
  <c r="D21" i="8"/>
  <c r="D16" i="8"/>
  <c r="D8" i="8"/>
  <c r="H6" i="3"/>
  <c r="R11" i="8"/>
  <c r="I33" i="3"/>
  <c r="N11" i="8"/>
  <c r="P20" i="8"/>
  <c r="D9" i="3"/>
  <c r="E29" i="3"/>
  <c r="X28" i="8"/>
  <c r="K5" i="3"/>
  <c r="J5" i="8"/>
  <c r="F28" i="8"/>
  <c r="F12" i="8"/>
  <c r="J34" i="8"/>
  <c r="L25" i="8"/>
  <c r="N32" i="8"/>
  <c r="V27" i="8"/>
  <c r="G14" i="4"/>
  <c r="E20" i="3"/>
  <c r="D5" i="3"/>
  <c r="L28" i="8"/>
  <c r="H17" i="3"/>
  <c r="J32" i="4"/>
  <c r="D24" i="8"/>
  <c r="D31" i="3"/>
  <c r="F32" i="8"/>
  <c r="F8" i="8"/>
  <c r="L13" i="8"/>
  <c r="L5" i="8"/>
  <c r="N12" i="8"/>
  <c r="V7" i="8"/>
  <c r="J11" i="4"/>
  <c r="C26" i="3"/>
  <c r="F22" i="4"/>
  <c r="J11" i="8"/>
  <c r="J19" i="4"/>
  <c r="F29" i="3"/>
  <c r="G29" i="4"/>
  <c r="R12" i="8"/>
  <c r="F7" i="4"/>
  <c r="H22" i="8"/>
  <c r="C4" i="3"/>
  <c r="E18" i="3"/>
  <c r="H17" i="4"/>
  <c r="J19" i="8"/>
  <c r="H17" i="8"/>
  <c r="T19" i="8"/>
  <c r="R18" i="8"/>
  <c r="P18" i="8"/>
  <c r="H18" i="8"/>
  <c r="F18" i="8"/>
  <c r="T18" i="8"/>
  <c r="F16" i="8"/>
  <c r="J22" i="8"/>
  <c r="X25" i="8"/>
  <c r="T26" i="8"/>
  <c r="E26" i="3"/>
  <c r="G5" i="4"/>
  <c r="I23" i="3"/>
  <c r="F19" i="8"/>
  <c r="N23" i="8"/>
  <c r="I26" i="3"/>
  <c r="G7" i="3"/>
  <c r="G18" i="4"/>
  <c r="J18" i="8"/>
  <c r="N20" i="8"/>
  <c r="V31" i="8"/>
  <c r="J24" i="4"/>
  <c r="G8" i="4"/>
  <c r="F4" i="8"/>
  <c r="H26" i="8"/>
  <c r="C21" i="3"/>
  <c r="G27" i="4"/>
  <c r="C31" i="4"/>
  <c r="J26" i="4"/>
  <c r="G20" i="3"/>
  <c r="L23" i="3"/>
  <c r="E13" i="3"/>
  <c r="R17" i="8"/>
  <c r="V23" i="8"/>
  <c r="X33" i="8"/>
  <c r="X13" i="8"/>
  <c r="T34" i="8"/>
  <c r="I25" i="3"/>
  <c r="F25" i="3"/>
  <c r="L21" i="3"/>
  <c r="F26" i="4"/>
  <c r="H34" i="8"/>
  <c r="F22" i="3"/>
  <c r="J15" i="4"/>
  <c r="C31" i="3"/>
  <c r="H18" i="3"/>
  <c r="D17" i="8"/>
  <c r="P28" i="8"/>
  <c r="V34" i="8"/>
  <c r="X24" i="8"/>
  <c r="F10" i="3"/>
  <c r="I28" i="4"/>
  <c r="I32" i="4"/>
  <c r="E30" i="3"/>
  <c r="I10" i="3"/>
  <c r="D10" i="3"/>
  <c r="H19" i="4"/>
  <c r="R25" i="8"/>
  <c r="X21" i="8"/>
  <c r="J4" i="4"/>
  <c r="J17" i="8"/>
  <c r="L8" i="8"/>
  <c r="D26" i="8"/>
  <c r="T21" i="8"/>
  <c r="F20" i="4"/>
  <c r="J30" i="4"/>
  <c r="G23" i="4"/>
  <c r="G11" i="4"/>
  <c r="D4" i="3"/>
  <c r="J25" i="4"/>
  <c r="I18" i="3"/>
  <c r="J33" i="8"/>
  <c r="L24" i="8"/>
  <c r="V26" i="8"/>
  <c r="X17" i="8"/>
  <c r="L18" i="3"/>
  <c r="L20" i="3"/>
  <c r="R21" i="8"/>
  <c r="F33" i="3"/>
  <c r="L21" i="8"/>
  <c r="H3" i="3"/>
  <c r="I30" i="3"/>
  <c r="N31" i="8"/>
  <c r="X32" i="8"/>
  <c r="G22" i="3"/>
  <c r="D3" i="3"/>
  <c r="E16" i="3"/>
  <c r="F26" i="8"/>
  <c r="T17" i="8"/>
  <c r="F23" i="4"/>
  <c r="H33" i="3"/>
  <c r="L29" i="3"/>
  <c r="J18" i="4"/>
  <c r="F24" i="8"/>
  <c r="J26" i="8"/>
  <c r="L17" i="8"/>
  <c r="N8" i="8"/>
  <c r="R33" i="8"/>
  <c r="H22" i="4"/>
  <c r="R32" i="8"/>
  <c r="D34" i="8"/>
  <c r="L10" i="3"/>
  <c r="H32" i="3"/>
  <c r="Y15" i="8"/>
  <c r="Z15" i="8" s="1"/>
  <c r="N16" i="8"/>
  <c r="L16" i="8"/>
  <c r="X16" i="8"/>
  <c r="N15" i="8"/>
  <c r="D13" i="3"/>
  <c r="H14" i="3"/>
  <c r="I15" i="4"/>
  <c r="K14" i="3"/>
  <c r="I26" i="4"/>
  <c r="J21" i="8"/>
  <c r="K17" i="4"/>
  <c r="C10" i="4"/>
  <c r="F17" i="8"/>
  <c r="D18" i="3"/>
  <c r="F25" i="8"/>
  <c r="V5" i="8"/>
  <c r="F30" i="4"/>
  <c r="F27" i="4"/>
  <c r="F17" i="4"/>
  <c r="G11" i="3"/>
  <c r="I19" i="4"/>
  <c r="G22" i="4"/>
  <c r="J22" i="3"/>
  <c r="H32" i="4"/>
  <c r="H16" i="4"/>
  <c r="I8" i="3"/>
  <c r="D28" i="3"/>
  <c r="J14" i="8"/>
  <c r="F21" i="8"/>
  <c r="F5" i="8"/>
  <c r="H28" i="8"/>
  <c r="H20" i="8"/>
  <c r="J4" i="8"/>
  <c r="Y19" i="8"/>
  <c r="Z19" i="8" s="1"/>
  <c r="L34" i="8"/>
  <c r="L18" i="8"/>
  <c r="N33" i="8"/>
  <c r="N25" i="8"/>
  <c r="N17" i="8"/>
  <c r="P32" i="8"/>
  <c r="P24" i="8"/>
  <c r="R34" i="8"/>
  <c r="V28" i="8"/>
  <c r="V20" i="8"/>
  <c r="V12" i="8"/>
  <c r="X34" i="8"/>
  <c r="X18" i="8"/>
  <c r="C28" i="3"/>
  <c r="C20" i="3"/>
  <c r="D28" i="8"/>
  <c r="T5" i="8"/>
  <c r="T15" i="8"/>
  <c r="F24" i="3"/>
  <c r="R29" i="8"/>
  <c r="H25" i="3"/>
  <c r="G20" i="4"/>
  <c r="I31" i="4"/>
  <c r="P17" i="8"/>
  <c r="N21" i="8"/>
  <c r="E5" i="3"/>
  <c r="T33" i="8"/>
  <c r="L13" i="3"/>
  <c r="D26" i="3"/>
  <c r="I14" i="3"/>
  <c r="D12" i="3"/>
  <c r="H28" i="3"/>
  <c r="G24" i="4"/>
  <c r="I22" i="4"/>
  <c r="I29" i="3"/>
  <c r="D33" i="3"/>
  <c r="H4" i="8"/>
  <c r="P27" i="8"/>
  <c r="P19" i="8"/>
  <c r="H33" i="8"/>
  <c r="H25" i="8"/>
  <c r="J16" i="8"/>
  <c r="L23" i="8"/>
  <c r="Y22" i="8"/>
  <c r="Z22" i="8" s="1"/>
  <c r="N6" i="8"/>
  <c r="P5" i="8"/>
  <c r="R31" i="8"/>
  <c r="V25" i="8"/>
  <c r="V17" i="8"/>
  <c r="C33" i="3"/>
  <c r="C25" i="3"/>
  <c r="C17" i="3"/>
  <c r="D25" i="8"/>
  <c r="T8" i="8"/>
  <c r="T20" i="8"/>
  <c r="J17" i="3"/>
  <c r="G16" i="4"/>
  <c r="L12" i="8"/>
  <c r="P21" i="8"/>
  <c r="H25" i="4"/>
  <c r="L20" i="8"/>
  <c r="F31" i="3"/>
  <c r="R28" i="8"/>
  <c r="J28" i="8"/>
  <c r="R20" i="8"/>
  <c r="F13" i="8"/>
  <c r="D7" i="3"/>
  <c r="J27" i="4"/>
  <c r="F23" i="3"/>
  <c r="N13" i="8"/>
  <c r="P12" i="8"/>
  <c r="R14" i="8"/>
  <c r="T13" i="8"/>
  <c r="L9" i="3"/>
  <c r="T25" i="8"/>
  <c r="L26" i="3"/>
  <c r="F17" i="3"/>
  <c r="K4" i="3"/>
  <c r="F33" i="8"/>
  <c r="F21" i="3"/>
  <c r="E28" i="3"/>
  <c r="H27" i="4"/>
  <c r="H11" i="4"/>
  <c r="H31" i="4"/>
  <c r="L4" i="3"/>
  <c r="F32" i="4"/>
  <c r="H27" i="3"/>
  <c r="I19" i="3"/>
  <c r="J13" i="8"/>
  <c r="R13" i="8"/>
  <c r="E14" i="3"/>
  <c r="F6" i="3"/>
  <c r="J23" i="4"/>
  <c r="J14" i="4"/>
  <c r="J21" i="4"/>
  <c r="I17" i="4"/>
  <c r="C3" i="3"/>
  <c r="D31" i="8"/>
  <c r="D15" i="8"/>
  <c r="T7" i="8"/>
  <c r="G12" i="4"/>
  <c r="F12" i="4"/>
  <c r="I13" i="3"/>
  <c r="I12" i="3"/>
  <c r="J13" i="4"/>
  <c r="H12" i="4"/>
  <c r="Y13" i="8"/>
  <c r="Z13" i="8" s="1"/>
  <c r="P13" i="8"/>
  <c r="F11" i="8"/>
  <c r="H12" i="8"/>
  <c r="D12" i="8"/>
  <c r="T12" i="8"/>
  <c r="L11" i="3"/>
  <c r="K11" i="3"/>
  <c r="Y11" i="8"/>
  <c r="Z11" i="8" s="1"/>
  <c r="K10" i="4"/>
  <c r="G10" i="3"/>
  <c r="F10" i="4"/>
  <c r="J10" i="3"/>
  <c r="E10" i="4"/>
  <c r="I9" i="3"/>
  <c r="H24" i="4"/>
  <c r="H22" i="3"/>
  <c r="L11" i="8"/>
  <c r="V14" i="8"/>
  <c r="H19" i="8"/>
  <c r="H27" i="8"/>
  <c r="F13" i="3"/>
  <c r="I29" i="4"/>
  <c r="J20" i="3"/>
  <c r="G3" i="3"/>
  <c r="F25" i="4"/>
  <c r="F21" i="4"/>
  <c r="F18" i="4"/>
  <c r="I30" i="4"/>
  <c r="I21" i="4"/>
  <c r="D14" i="8"/>
  <c r="H11" i="3"/>
  <c r="H30" i="3"/>
  <c r="G30" i="3"/>
  <c r="D27" i="3"/>
  <c r="P11" i="8"/>
  <c r="V11" i="8"/>
  <c r="I16" i="3"/>
  <c r="Y17" i="8"/>
  <c r="Z17" i="8" s="1"/>
  <c r="X19" i="8"/>
  <c r="V19" i="8"/>
  <c r="N22" i="8"/>
  <c r="R22" i="8"/>
  <c r="F28" i="3"/>
  <c r="L19" i="3"/>
  <c r="H5" i="4"/>
  <c r="V27" i="2"/>
  <c r="M26" i="3" s="1"/>
  <c r="J28" i="3"/>
  <c r="J19" i="3"/>
  <c r="G28" i="3"/>
  <c r="G25" i="3"/>
  <c r="G17" i="3"/>
  <c r="G12" i="3"/>
  <c r="J29" i="3"/>
  <c r="I11" i="4"/>
  <c r="C12" i="4"/>
  <c r="I3" i="4"/>
  <c r="I27" i="4"/>
  <c r="F31" i="4"/>
  <c r="D27" i="8"/>
  <c r="H19" i="3"/>
  <c r="J27" i="3"/>
  <c r="N19" i="8"/>
  <c r="L19" i="8"/>
  <c r="V22" i="8"/>
  <c r="X27" i="8"/>
  <c r="D32" i="3"/>
  <c r="H8" i="3"/>
  <c r="F11" i="4"/>
  <c r="E32" i="3"/>
  <c r="H24" i="3"/>
  <c r="F18" i="3"/>
  <c r="C11" i="3"/>
  <c r="J28" i="4"/>
  <c r="D23" i="3"/>
  <c r="K7" i="3"/>
  <c r="V8" i="8"/>
  <c r="I13" i="4"/>
  <c r="L24" i="3"/>
  <c r="I27" i="3"/>
  <c r="D14" i="3"/>
  <c r="F27" i="3"/>
  <c r="H11" i="8"/>
  <c r="P14" i="8"/>
  <c r="H16" i="3"/>
  <c r="F19" i="3"/>
  <c r="L22" i="8"/>
  <c r="F27" i="8"/>
  <c r="C28" i="4"/>
  <c r="L7" i="3"/>
  <c r="J29" i="4"/>
  <c r="G19" i="4"/>
  <c r="T4" i="8"/>
  <c r="H29" i="4"/>
  <c r="H21" i="4"/>
  <c r="H13" i="4"/>
  <c r="I33" i="4"/>
  <c r="D33" i="8"/>
  <c r="J18" i="3"/>
  <c r="I10" i="4"/>
  <c r="J32" i="3"/>
  <c r="T14" i="8"/>
  <c r="H14" i="8"/>
  <c r="E22" i="3"/>
  <c r="X14" i="8"/>
  <c r="N27" i="8"/>
  <c r="L12" i="3"/>
  <c r="J31" i="3"/>
  <c r="L32" i="3"/>
  <c r="L28" i="3"/>
  <c r="D4" i="8"/>
  <c r="D11" i="3"/>
  <c r="G26" i="3"/>
  <c r="G24" i="3"/>
  <c r="G19" i="3"/>
  <c r="G16" i="3"/>
  <c r="I25" i="4"/>
  <c r="J16" i="3"/>
  <c r="V4" i="8"/>
  <c r="E21" i="3"/>
  <c r="D19" i="8"/>
  <c r="D19" i="3"/>
  <c r="F20" i="3"/>
  <c r="L22" i="3"/>
  <c r="G28" i="4"/>
  <c r="G3" i="4"/>
  <c r="G26" i="4"/>
  <c r="G17" i="4"/>
  <c r="H13" i="3"/>
  <c r="J15" i="3"/>
  <c r="J14" i="3"/>
  <c r="G18" i="3"/>
  <c r="J31" i="4"/>
  <c r="X4" i="8"/>
  <c r="G32" i="3"/>
  <c r="X23" i="8"/>
  <c r="F22" i="8"/>
  <c r="F14" i="8"/>
  <c r="F6" i="8"/>
  <c r="H21" i="8"/>
  <c r="H13" i="8"/>
  <c r="H5" i="8"/>
  <c r="Y28" i="8"/>
  <c r="Z28" i="8" s="1"/>
  <c r="J20" i="8"/>
  <c r="J12" i="8"/>
  <c r="L4" i="8"/>
  <c r="L27" i="8"/>
  <c r="N34" i="8"/>
  <c r="N26" i="8"/>
  <c r="Y18" i="8"/>
  <c r="Z18" i="8" s="1"/>
  <c r="R5" i="8"/>
  <c r="R27" i="8"/>
  <c r="R19" i="8"/>
  <c r="V21" i="8"/>
  <c r="X11" i="8"/>
  <c r="C29" i="3"/>
  <c r="C13" i="3"/>
  <c r="D13" i="8"/>
  <c r="T32" i="8"/>
  <c r="G9" i="4"/>
  <c r="H9" i="4"/>
  <c r="I9" i="4"/>
  <c r="T35" i="2"/>
  <c r="K9" i="3"/>
  <c r="H8" i="4"/>
  <c r="R10" i="8"/>
  <c r="V9" i="8"/>
  <c r="F8" i="4"/>
  <c r="G8" i="3"/>
  <c r="J8" i="4"/>
  <c r="F7" i="3"/>
  <c r="I7" i="4"/>
  <c r="I7" i="3"/>
  <c r="J7" i="3"/>
  <c r="K6" i="3"/>
  <c r="J7" i="4"/>
  <c r="P8" i="8"/>
  <c r="L16" i="3"/>
  <c r="Y26" i="8"/>
  <c r="Z26" i="8" s="1"/>
  <c r="J21" i="3"/>
  <c r="F16" i="3"/>
  <c r="D8" i="3"/>
  <c r="F14" i="3"/>
  <c r="K13" i="3"/>
  <c r="P15" i="8"/>
  <c r="H14" i="4"/>
  <c r="H18" i="4"/>
  <c r="T23" i="8"/>
  <c r="F24" i="4"/>
  <c r="E24" i="3"/>
  <c r="L33" i="3"/>
  <c r="J9" i="3"/>
  <c r="F31" i="8"/>
  <c r="X31" i="8"/>
  <c r="D24" i="3"/>
  <c r="T6" i="8"/>
  <c r="K18" i="4"/>
  <c r="E31" i="3"/>
  <c r="G31" i="3"/>
  <c r="L7" i="8"/>
  <c r="J6" i="4"/>
  <c r="I14" i="4"/>
  <c r="F19" i="4"/>
  <c r="J17" i="4"/>
  <c r="J6" i="8"/>
  <c r="H9" i="3"/>
  <c r="F4" i="3"/>
  <c r="K10" i="3"/>
  <c r="J25" i="3"/>
  <c r="J33" i="4"/>
  <c r="D5" i="8"/>
  <c r="Y20" i="8"/>
  <c r="Z20" i="8" s="1"/>
  <c r="L33" i="8"/>
  <c r="Y24" i="8"/>
  <c r="Z24" i="8" s="1"/>
  <c r="Y9" i="8"/>
  <c r="Z9" i="8" s="1"/>
  <c r="C19" i="3"/>
  <c r="L30" i="3"/>
  <c r="F9" i="3"/>
  <c r="E8" i="3"/>
  <c r="J20" i="4"/>
  <c r="D16" i="3"/>
  <c r="F11" i="3"/>
  <c r="L14" i="3"/>
  <c r="V18" i="2"/>
  <c r="M17" i="3" s="1"/>
  <c r="P23" i="8"/>
  <c r="P22" i="8"/>
  <c r="J26" i="3"/>
  <c r="G13" i="4"/>
  <c r="F7" i="8"/>
  <c r="L31" i="3"/>
  <c r="D20" i="3"/>
  <c r="I32" i="3"/>
  <c r="E9" i="3"/>
  <c r="L15" i="3"/>
  <c r="P31" i="8"/>
  <c r="P7" i="8"/>
  <c r="F32" i="3"/>
  <c r="N7" i="8"/>
  <c r="H6" i="8"/>
  <c r="E23" i="4"/>
  <c r="G23" i="3"/>
  <c r="J3" i="3"/>
  <c r="F8" i="3"/>
  <c r="E12" i="3"/>
  <c r="J13" i="3"/>
  <c r="G25" i="4"/>
  <c r="C27" i="3"/>
  <c r="X22" i="8"/>
  <c r="L8" i="3"/>
  <c r="I6" i="4"/>
  <c r="G5" i="3"/>
  <c r="D23" i="8"/>
  <c r="D7" i="8"/>
  <c r="H7" i="4"/>
  <c r="Y8" i="8"/>
  <c r="Z8" i="8" s="1"/>
  <c r="D20" i="8"/>
  <c r="C18" i="3"/>
  <c r="J30" i="3"/>
  <c r="F12" i="3"/>
  <c r="K8" i="3"/>
  <c r="L27" i="3"/>
  <c r="E27" i="3"/>
  <c r="I16" i="4"/>
  <c r="F23" i="8"/>
  <c r="H23" i="8"/>
  <c r="H12" i="3"/>
  <c r="F28" i="4"/>
  <c r="J31" i="8"/>
  <c r="R7" i="8"/>
  <c r="F30" i="3"/>
  <c r="H23" i="4"/>
  <c r="G29" i="3"/>
  <c r="G13" i="3"/>
  <c r="K21" i="4"/>
  <c r="H5" i="3"/>
  <c r="V15" i="2"/>
  <c r="M14" i="3" s="1"/>
  <c r="D21" i="4"/>
  <c r="D22" i="8"/>
  <c r="I8" i="4"/>
  <c r="D11" i="8"/>
  <c r="C9" i="3"/>
  <c r="D10" i="8"/>
  <c r="H32" i="8"/>
  <c r="J23" i="8"/>
  <c r="J7" i="8"/>
  <c r="L14" i="8"/>
  <c r="L6" i="8"/>
  <c r="Y30" i="8"/>
  <c r="Z30" i="8" s="1"/>
  <c r="V16" i="8"/>
  <c r="D32" i="8"/>
  <c r="Y27" i="8"/>
  <c r="Z27" i="8" s="1"/>
  <c r="I4" i="4"/>
  <c r="I11" i="3"/>
  <c r="H15" i="8"/>
  <c r="L15" i="8"/>
  <c r="X15" i="8"/>
  <c r="J15" i="8"/>
  <c r="F16" i="4"/>
  <c r="I18" i="4"/>
  <c r="I21" i="3"/>
  <c r="T22" i="8"/>
  <c r="R23" i="8"/>
  <c r="G27" i="3"/>
  <c r="D17" i="3"/>
  <c r="J9" i="4"/>
  <c r="D25" i="3"/>
  <c r="T31" i="8"/>
  <c r="H20" i="3"/>
  <c r="H29" i="3"/>
  <c r="D22" i="3"/>
  <c r="K12" i="3"/>
  <c r="G21" i="4"/>
  <c r="G4" i="4"/>
  <c r="J24" i="3"/>
  <c r="J23" i="3"/>
  <c r="B34" i="4"/>
  <c r="Y31" i="8"/>
  <c r="Z31" i="8" s="1"/>
  <c r="Y29" i="8"/>
  <c r="Z29" i="8" s="1"/>
  <c r="C7" i="3"/>
  <c r="J11" i="3"/>
  <c r="R15" i="8"/>
  <c r="V15" i="8"/>
  <c r="H26" i="3"/>
  <c r="E3" i="4"/>
  <c r="I17" i="3"/>
  <c r="L25" i="3"/>
  <c r="H23" i="3"/>
  <c r="L31" i="8"/>
  <c r="R6" i="8"/>
  <c r="P6" i="8"/>
  <c r="E19" i="3"/>
  <c r="V28" i="2"/>
  <c r="M27" i="3" s="1"/>
  <c r="F6" i="4"/>
  <c r="V8" i="2"/>
  <c r="M7" i="3" s="1"/>
  <c r="H31" i="3"/>
  <c r="Y7" i="8"/>
  <c r="Z7" i="8" s="1"/>
  <c r="Y6" i="8"/>
  <c r="Z6" i="8" s="1"/>
  <c r="H4" i="3"/>
  <c r="L6" i="3"/>
  <c r="M35" i="2"/>
  <c r="J4" i="3"/>
  <c r="G35" i="2"/>
  <c r="G6" i="3"/>
  <c r="F5" i="4"/>
  <c r="I5" i="3"/>
  <c r="J6" i="3"/>
  <c r="I5" i="4"/>
  <c r="E6" i="3"/>
  <c r="J5" i="4"/>
  <c r="S35" i="2"/>
  <c r="H6" i="4"/>
  <c r="L35" i="2"/>
  <c r="H4" i="4"/>
  <c r="F5" i="3"/>
  <c r="R4" i="8"/>
  <c r="X5" i="8"/>
  <c r="N4" i="8"/>
  <c r="F4" i="4"/>
  <c r="G4" i="3"/>
  <c r="I4" i="3"/>
  <c r="H3" i="4"/>
  <c r="V5" i="2"/>
  <c r="M4" i="3" s="1"/>
  <c r="M35" i="8"/>
  <c r="O35" i="8"/>
  <c r="I35" i="8"/>
  <c r="G35" i="8"/>
  <c r="P4" i="8"/>
  <c r="I35" i="2"/>
  <c r="O35" i="2"/>
  <c r="L3" i="3"/>
  <c r="F3" i="4"/>
  <c r="F35" i="2"/>
  <c r="N10" i="8"/>
  <c r="Y23" i="8"/>
  <c r="Z23" i="8" s="1"/>
  <c r="S35" i="8"/>
  <c r="F10" i="8"/>
  <c r="H10" i="8"/>
  <c r="R9" i="8"/>
  <c r="T27" i="8"/>
  <c r="V29" i="8"/>
  <c r="Y32" i="8"/>
  <c r="Z32" i="8" s="1"/>
  <c r="P10" i="8"/>
  <c r="X6" i="8"/>
  <c r="P9" i="8"/>
  <c r="Y12" i="8"/>
  <c r="Z12" i="8" s="1"/>
  <c r="F9" i="8"/>
  <c r="T30" i="8"/>
  <c r="Y10" i="8"/>
  <c r="Z10" i="8" s="1"/>
  <c r="D9" i="8"/>
  <c r="Q35" i="8"/>
  <c r="Y21" i="8"/>
  <c r="Z21" i="8" s="1"/>
  <c r="Y33" i="8"/>
  <c r="Z33" i="8" s="1"/>
  <c r="H31" i="8"/>
  <c r="N24" i="8"/>
  <c r="U35" i="8"/>
  <c r="Y25" i="8"/>
  <c r="Z25" i="8" s="1"/>
  <c r="J29" i="8"/>
  <c r="D30" i="8"/>
  <c r="H29" i="8"/>
  <c r="J9" i="8"/>
  <c r="J10" i="8"/>
  <c r="D29" i="8"/>
  <c r="V10" i="8"/>
  <c r="E35" i="8"/>
  <c r="F20" i="8"/>
  <c r="P29" i="8"/>
  <c r="Y34" i="8"/>
  <c r="Z34" i="8" s="1"/>
  <c r="R30" i="8"/>
  <c r="N5" i="8"/>
  <c r="N9" i="8"/>
  <c r="Y14" i="8"/>
  <c r="Z14" i="8" s="1"/>
  <c r="Y16" i="8"/>
  <c r="Z16" i="8" s="1"/>
  <c r="X26" i="8"/>
  <c r="T29" i="8"/>
  <c r="X30" i="8"/>
  <c r="X9" i="8"/>
  <c r="F30" i="8"/>
  <c r="Y5" i="8"/>
  <c r="Z5" i="8" s="1"/>
  <c r="K35" i="8"/>
  <c r="F29" i="8"/>
  <c r="Y4" i="8"/>
  <c r="T9" i="8"/>
  <c r="P30" i="8"/>
  <c r="P16" i="8"/>
  <c r="W35" i="8"/>
  <c r="L29" i="8"/>
  <c r="H9" i="8"/>
  <c r="V30" i="8"/>
  <c r="C35" i="8"/>
  <c r="D35" i="8" s="1"/>
  <c r="J30" i="8"/>
  <c r="H30" i="8"/>
  <c r="N30" i="8"/>
  <c r="X10" i="8"/>
  <c r="L9" i="8"/>
  <c r="T10" i="8"/>
  <c r="L10" i="8"/>
  <c r="N35" i="2"/>
  <c r="F33" i="4"/>
  <c r="J33" i="3"/>
  <c r="I12" i="4"/>
  <c r="I24" i="4"/>
  <c r="I31" i="3"/>
  <c r="L5" i="3"/>
  <c r="K35" i="2"/>
  <c r="G14" i="3"/>
  <c r="V34" i="2"/>
  <c r="M33" i="3" s="1"/>
  <c r="J12" i="3"/>
  <c r="F14" i="4"/>
  <c r="G9" i="3"/>
  <c r="E11" i="3"/>
  <c r="Q35" i="2"/>
  <c r="V22" i="2"/>
  <c r="M21" i="3" s="1"/>
  <c r="H21" i="3"/>
  <c r="V25" i="2"/>
  <c r="M24" i="3" s="1"/>
  <c r="V17" i="2"/>
  <c r="M16" i="3" s="1"/>
  <c r="P35" i="2"/>
  <c r="I20" i="3"/>
  <c r="V7" i="2"/>
  <c r="M6" i="3" s="1"/>
  <c r="H10" i="3"/>
  <c r="E26" i="4"/>
  <c r="E23" i="3"/>
  <c r="F26" i="3"/>
  <c r="G7" i="4"/>
  <c r="E35" i="2"/>
  <c r="V21" i="2"/>
  <c r="M20" i="3" s="1"/>
  <c r="H7" i="3"/>
  <c r="I20" i="4"/>
  <c r="E33" i="3"/>
  <c r="V9" i="2"/>
  <c r="M8" i="3" s="1"/>
  <c r="V33" i="2"/>
  <c r="M32" i="3" s="1"/>
  <c r="V13" i="2"/>
  <c r="M12" i="3" s="1"/>
  <c r="D6" i="3"/>
  <c r="V14" i="2"/>
  <c r="M13" i="3" s="1"/>
  <c r="V30" i="2"/>
  <c r="M29" i="3" s="1"/>
  <c r="R35" i="2"/>
  <c r="J10" i="4"/>
  <c r="G10" i="4"/>
  <c r="H20" i="4"/>
  <c r="V11" i="2"/>
  <c r="M10" i="3" s="1"/>
  <c r="V12" i="2"/>
  <c r="M11" i="3" s="1"/>
  <c r="F29" i="4"/>
  <c r="J12" i="4"/>
  <c r="V26" i="2"/>
  <c r="M25" i="3" s="1"/>
  <c r="U35" i="2"/>
  <c r="I28" i="3"/>
  <c r="V6" i="2"/>
  <c r="M5" i="3" s="1"/>
  <c r="J35" i="2"/>
  <c r="I23" i="4"/>
  <c r="G21" i="3"/>
  <c r="J5" i="3"/>
  <c r="F9" i="4"/>
  <c r="V4" i="2"/>
  <c r="M3" i="3" s="1"/>
  <c r="K3" i="3"/>
  <c r="F13" i="4"/>
  <c r="C35" i="2"/>
  <c r="G33" i="3"/>
  <c r="J8" i="3"/>
  <c r="J3" i="4"/>
  <c r="V29" i="2"/>
  <c r="M28" i="3" s="1"/>
  <c r="V24" i="2"/>
  <c r="M23" i="3" s="1"/>
  <c r="H35" i="2"/>
  <c r="G31" i="4"/>
  <c r="V23" i="2"/>
  <c r="M22" i="3" s="1"/>
  <c r="D35" i="2"/>
  <c r="B35" i="2"/>
  <c r="C12" i="3"/>
  <c r="C16" i="3"/>
  <c r="V19" i="2"/>
  <c r="M18" i="3" s="1"/>
  <c r="V10" i="2"/>
  <c r="M9" i="3" s="1"/>
  <c r="V20" i="2"/>
  <c r="M19" i="3" s="1"/>
  <c r="C30" i="3"/>
  <c r="C15" i="3"/>
  <c r="C10" i="3"/>
  <c r="C23" i="3"/>
  <c r="C22" i="3"/>
  <c r="D34" i="4" l="1"/>
  <c r="D36" i="4" s="1"/>
  <c r="C34" i="4"/>
  <c r="C36" i="4" s="1"/>
  <c r="L22" i="4"/>
  <c r="L27" i="4"/>
  <c r="L30" i="4"/>
  <c r="L16" i="4"/>
  <c r="L19" i="4"/>
  <c r="L32" i="4"/>
  <c r="L25" i="4"/>
  <c r="L20" i="4"/>
  <c r="L11" i="4"/>
  <c r="L15" i="4"/>
  <c r="L14" i="4"/>
  <c r="L17" i="4"/>
  <c r="L18" i="4"/>
  <c r="L33" i="4"/>
  <c r="L31" i="4"/>
  <c r="E34" i="4"/>
  <c r="E36" i="4" s="1"/>
  <c r="L23" i="4"/>
  <c r="L29" i="4"/>
  <c r="L21" i="4"/>
  <c r="L24" i="4"/>
  <c r="L13" i="4"/>
  <c r="L12" i="4"/>
  <c r="K34" i="4"/>
  <c r="K36" i="4" s="1"/>
  <c r="L28" i="4"/>
  <c r="L9" i="4"/>
  <c r="I34" i="4"/>
  <c r="I36" i="4" s="1"/>
  <c r="L7" i="4"/>
  <c r="L34" i="3"/>
  <c r="L6" i="4"/>
  <c r="T35" i="8"/>
  <c r="L8" i="4"/>
  <c r="R35" i="8"/>
  <c r="L10" i="4"/>
  <c r="H34" i="3"/>
  <c r="K34" i="3"/>
  <c r="C34" i="3"/>
  <c r="D34" i="3"/>
  <c r="L4" i="4"/>
  <c r="L5" i="4"/>
  <c r="F34" i="3"/>
  <c r="I34" i="3"/>
  <c r="G34" i="3"/>
  <c r="H35" i="8"/>
  <c r="V35" i="8"/>
  <c r="J35" i="8"/>
  <c r="P35" i="8"/>
  <c r="X35" i="8"/>
  <c r="F35" i="8"/>
  <c r="Y35" i="8"/>
  <c r="Z35" i="8" s="1"/>
  <c r="Z4" i="8"/>
  <c r="L35" i="8"/>
  <c r="N35" i="8"/>
  <c r="J34" i="3"/>
  <c r="M34" i="3"/>
  <c r="E34" i="3"/>
  <c r="L3" i="4"/>
  <c r="J34" i="4"/>
  <c r="J36" i="4" s="1"/>
  <c r="F34" i="4"/>
  <c r="F36" i="4" s="1"/>
  <c r="H34" i="4"/>
  <c r="H36" i="4" s="1"/>
  <c r="L26" i="4"/>
  <c r="G34" i="4"/>
  <c r="G36" i="4" s="1"/>
  <c r="V35" i="2"/>
  <c r="L34" i="4" l="1"/>
  <c r="L36" i="4" s="1"/>
  <c r="M36" i="4" s="1"/>
  <c r="N34" i="3"/>
  <c r="M34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M20" authorId="0" shapeId="0" xr:uid="{4164D8A3-0099-4144-862A-FDD52ACBE839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NEW METER FIXED </t>
        </r>
      </text>
    </comment>
  </commentList>
</comments>
</file>

<file path=xl/sharedStrings.xml><?xml version="1.0" encoding="utf-8"?>
<sst xmlns="http://schemas.openxmlformats.org/spreadsheetml/2006/main" count="205" uniqueCount="131">
  <si>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</si>
  <si>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</si>
  <si>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</si>
  <si>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</si>
  <si>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</si>
  <si>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</si>
  <si>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</si>
  <si>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</si>
  <si>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</si>
  <si>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</si>
  <si>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</si>
  <si>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>Pastry MWH</t>
  </si>
  <si>
    <t>Feeder 401-419 KWH</t>
  </si>
  <si>
    <t xml:space="preserve"> Feeder 301-319 KWH</t>
  </si>
  <si>
    <t>Kitchen GWH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</si>
  <si>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</si>
  <si>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</si>
  <si>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</si>
  <si>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</si>
  <si>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</si>
  <si>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</si>
  <si>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</si>
  <si>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</si>
  <si>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</si>
  <si>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</si>
  <si>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</si>
  <si>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</si>
  <si>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</si>
  <si>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</si>
  <si>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</si>
  <si>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</si>
  <si>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</si>
  <si>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</si>
  <si>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</si>
  <si>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</si>
  <si>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</si>
  <si>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</si>
  <si>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</si>
  <si>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</si>
  <si>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</si>
  <si>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</si>
  <si>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</si>
  <si>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</si>
  <si>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</si>
  <si>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</si>
  <si>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</si>
  <si>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</si>
  <si>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</si>
  <si>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</si>
  <si>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</si>
  <si>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</si>
  <si>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</si>
  <si>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</si>
  <si>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</si>
  <si>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</si>
  <si>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</si>
  <si>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</si>
  <si>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</si>
  <si>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</si>
  <si>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</si>
  <si>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</si>
  <si>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</si>
  <si>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</si>
  <si>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</si>
  <si>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</si>
  <si>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</si>
  <si>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</si>
  <si>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</si>
  <si>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</si>
  <si>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</si>
  <si>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</si>
  <si>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</si>
  <si>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</si>
  <si>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</si>
  <si>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</si>
  <si>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</si>
  <si>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</si>
  <si>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</si>
  <si>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</si>
  <si>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</si>
  <si>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</si>
  <si>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</si>
  <si>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</si>
  <si>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</si>
  <si>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</si>
  <si>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</si>
  <si>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</si>
  <si>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</si>
  <si>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</si>
  <si>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</si>
  <si>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</si>
  <si>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</si>
  <si>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</si>
  <si>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</si>
  <si>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</si>
  <si>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</si>
  <si>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</si>
  <si>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</si>
  <si>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</si>
  <si>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</si>
  <si>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</si>
  <si>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</si>
  <si>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</si>
  <si>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</si>
  <si>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</si>
  <si>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</si>
  <si>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</si>
  <si>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</si>
  <si>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</si>
  <si>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</si>
  <si>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</si>
  <si>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</si>
  <si>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</si>
  <si>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</si>
  <si>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</si>
  <si>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</si>
  <si>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</si>
  <si>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</si>
  <si>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</si>
  <si>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</si>
  <si>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>LPG $/Kg</t>
  </si>
  <si>
    <t>Fuel Oil  $/Liter</t>
  </si>
  <si>
    <t>Water Utility Supply (m3) m3</t>
  </si>
  <si>
    <t>Water Utility Supply (m3) $/m3</t>
  </si>
  <si>
    <t xml:space="preserve">BOH-1/ B&amp;C Block GWH </t>
  </si>
  <si>
    <t>.</t>
  </si>
  <si>
    <t xml:space="preserve"> </t>
  </si>
  <si>
    <t xml:space="preserve">  </t>
  </si>
  <si>
    <t>LPG (Kg)</t>
  </si>
  <si>
    <t>Total Fuel Oil  (Liter)</t>
  </si>
  <si>
    <t>Feeder 201-208 GWH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</si>
</sst>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  <numFmt numFmtId="168" formatCode="0.000"/>
    <numFmt numFmtId="169" formatCode="0.0000"/>
  </numFmts>
  <fonts count="1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  <font>
      <sz val="11"/>
      <color rgb="FF00000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FF"/>
        <bgColor rgb="FF000000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55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5" fontId="6" fillId="4" borderId="1" xfId="1" applyNumberFormat="1" applyFill="1" applyBorder="1" applyAlignment="1">
      <alignment vertical="center"/>
    </xf>
    <xf numFmtId="166" fontId="6" fillId="9" borderId="1" xfId="1" applyNumberFormat="1" applyFill="1" applyBorder="1" applyAlignment="1">
      <alignment horizontal="left"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6" fillId="11" borderId="1" xfId="0" applyFont="1" applyFill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1" xfId="0" applyFont="1" applyBorder="1"/>
    <xf numFmtId="0" fontId="15" fillId="0" borderId="6" xfId="0" applyFont="1" applyBorder="1"/>
    <xf numFmtId="0" fontId="15" fillId="0" borderId="3" xfId="0" applyFont="1" applyBorder="1"/>
    <xf numFmtId="0" fontId="15" fillId="0" borderId="9" xfId="0" applyFont="1" applyBorder="1"/>
    <xf numFmtId="0" fontId="15" fillId="0" borderId="7" xfId="0" applyFont="1" applyBorder="1"/>
    <xf numFmtId="0" fontId="15" fillId="0" borderId="1" xfId="0" applyFont="1" applyBorder="1" applyAlignment="1">
      <alignment horizontal="center"/>
    </xf>
    <xf numFmtId="2" fontId="7" fillId="0" borderId="4" xfId="1" applyNumberFormat="1" applyFont="1" applyBorder="1" applyAlignment="1">
      <alignment horizontal="center" vertical="center" wrapText="1"/>
    </xf>
    <xf numFmtId="2" fontId="7" fillId="0" borderId="6" xfId="1" applyNumberFormat="1" applyFont="1" applyBorder="1" applyAlignment="1">
      <alignment horizontal="center" vertical="center" wrapText="1"/>
    </xf>
    <xf numFmtId="166" fontId="6" fillId="9" borderId="3" xfId="1" applyNumberFormat="1" applyFill="1" applyBorder="1" applyAlignment="1">
      <alignment horizontal="center" vertical="center"/>
    </xf>
    <xf numFmtId="0" fontId="5" fillId="0" borderId="4" xfId="1" applyFont="1" applyBorder="1" applyAlignment="1">
      <alignment horizontal="center"/>
    </xf>
    <xf numFmtId="0" fontId="5" fillId="0" borderId="2" xfId="1" applyFont="1" applyBorder="1" applyAlignment="1">
      <alignment horizontal="center" vertical="center" wrapText="1"/>
    </xf>
    <xf numFmtId="0" fontId="0" fillId="7" borderId="11" xfId="0" applyFill="1" applyBorder="1" applyAlignment="1">
      <alignment horizontal="center" vertical="center" wrapText="1"/>
    </xf>
    <xf numFmtId="0" fontId="0" fillId="0" borderId="1" xfId="0" applyBorder="1" applyAlignment="1"/>
    <xf numFmtId="0" fontId="15" fillId="0" borderId="1" xfId="0" applyFont="1" applyBorder="1" applyAlignment="1"/>
    <xf numFmtId="0" fontId="15" fillId="0" borderId="7" xfId="0" applyFont="1" applyFill="1" applyBorder="1" applyAlignment="1"/>
    <xf numFmtId="168" fontId="4" fillId="0" borderId="5" xfId="1" applyNumberFormat="1" applyFont="1" applyBorder="1" applyAlignment="1">
      <alignment horizontal="center"/>
    </xf>
    <xf numFmtId="169" fontId="4" fillId="0" borderId="6" xfId="1" applyNumberFormat="1" applyFont="1" applyBorder="1" applyAlignment="1">
      <alignment horizontal="center"/>
    </xf>
    <xf numFmtId="168" fontId="4" fillId="3" borderId="1" xfId="0" applyNumberFormat="1" applyFont="1" applyFill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" fontId="6" fillId="11" borderId="1" xfId="0" applyNumberFormat="1" applyFont="1" applyFill="1" applyBorder="1" applyAlignment="1">
      <alignment horizontal="center"/>
    </xf>
    <xf numFmtId="0" fontId="14" fillId="9" borderId="1" xfId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-585440.00000000012</c:v>
                </c:pt>
                <c:pt idx="1">
                  <c:v>-3254800</c:v>
                </c:pt>
                <c:pt idx="2">
                  <c:v>-313430</c:v>
                </c:pt>
                <c:pt idx="3">
                  <c:v>-1237499.9999999998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-62098</c:v>
                </c:pt>
                <c:pt idx="1">
                  <c:v>0.27020982185593567</c:v>
                </c:pt>
                <c:pt idx="2" formatCode="_(* #,##0.00_);_(* \(#,##0.00\);_(* &quot;-&quot;??_);_(@_)">
                  <c:v>-266268</c:v>
                </c:pt>
                <c:pt idx="3">
                  <c:v>1.1586239306569661</c:v>
                </c:pt>
                <c:pt idx="4" formatCode="0.00">
                  <c:v>-31133</c:v>
                </c:pt>
                <c:pt idx="5">
                  <c:v>0.13547042390802996</c:v>
                </c:pt>
                <c:pt idx="6" formatCode="0.00">
                  <c:v>-44722</c:v>
                </c:pt>
                <c:pt idx="7">
                  <c:v>0.19460085112308215</c:v>
                </c:pt>
                <c:pt idx="8" formatCode="0.00">
                  <c:v>-182</c:v>
                </c:pt>
                <c:pt idx="9">
                  <c:v>7.9194479013463062E-4</c:v>
                </c:pt>
                <c:pt idx="10" formatCode="0.00">
                  <c:v>-1702</c:v>
                </c:pt>
                <c:pt idx="11">
                  <c:v>7.4059891912590181E-3</c:v>
                </c:pt>
                <c:pt idx="12" formatCode="0.00">
                  <c:v>-67184</c:v>
                </c:pt>
                <c:pt idx="13">
                  <c:v>0.29234076252969793</c:v>
                </c:pt>
                <c:pt idx="14" formatCode="_(* #,##0.00_);_(* \(#,##0.00\);_(* &quot;-&quot;??_);_(@_)">
                  <c:v>-270526</c:v>
                </c:pt>
                <c:pt idx="15">
                  <c:v>1.1771519576701159</c:v>
                </c:pt>
                <c:pt idx="16" formatCode="0.00">
                  <c:v>-119680</c:v>
                </c:pt>
                <c:pt idx="17">
                  <c:v>0.5207689696885307</c:v>
                </c:pt>
                <c:pt idx="18" formatCode="0.00">
                  <c:v>-22819</c:v>
                </c:pt>
                <c:pt idx="19">
                  <c:v>9.929334157187987E-2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-229814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-886314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499840"/>
        <c:axId val="144501376"/>
      </c:barChart>
      <c:catAx>
        <c:axId val="144499840"/>
        <c:scaling>
          <c:orientation val="minMax"/>
        </c:scaling>
        <c:delete val="1"/>
        <c:axPos val="b"/>
        <c:majorTickMark val="none"/>
        <c:minorTickMark val="none"/>
        <c:tickLblPos val="nextTo"/>
        <c:crossAx val="144501376"/>
        <c:crosses val="autoZero"/>
        <c:auto val="1"/>
        <c:lblAlgn val="ctr"/>
        <c:lblOffset val="100"/>
        <c:noMultiLvlLbl val="0"/>
      </c:catAx>
      <c:valAx>
        <c:axId val="144501376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444998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"/>
  <sheetViews>
    <sheetView zoomScale="85" zoomScaleNormal="85" workbookViewId="0">
      <selection activeCell="M2" sqref="M2:O10"/>
    </sheetView>
  </sheetViews>
  <sheetFormatPr defaultRowHeight="12.75" x14ac:dyDescent="0.2"/>
  <cols>
    <col min="1" max="1" width="23" style="43" bestFit="1" customWidth="1"/>
    <col min="2" max="4" width="9.140625" style="43"/>
    <col min="5" max="5" width="11" style="43" customWidth="1"/>
    <col min="6" max="6" width="12.140625" style="43" customWidth="1"/>
    <col min="7" max="7" width="10.28515625" style="43" customWidth="1"/>
    <col min="8" max="8" width="10.42578125" style="43" customWidth="1"/>
    <col min="9" max="9" width="10.85546875" style="43" customWidth="1"/>
    <col min="10" max="11" width="9.85546875" style="43" customWidth="1"/>
    <col min="12" max="12" width="9.5703125" style="43" customWidth="1"/>
    <col min="13" max="15" width="10.28515625" style="43" bestFit="1" customWidth="1"/>
    <col min="16" max="16384" width="9.140625" style="43"/>
  </cols>
  <sheetData>
    <row r="1" spans="1:15" ht="75" x14ac:dyDescent="0.2">
      <c r="A1" s="38" t="s">
        <v>0</v>
      </c>
      <c r="B1" s="38" t="s">
        <v>1</v>
      </c>
      <c r="C1" s="39" t="s">
        <v>2</v>
      </c>
      <c r="D1" s="38" t="s">
        <v>3</v>
      </c>
      <c r="E1" s="115" t="s">
        <v>4</v>
      </c>
      <c r="F1" s="111" t="s">
        <v>5</v>
      </c>
      <c r="G1" s="40" t="s">
        <v>129</v>
      </c>
      <c r="H1" s="112" t="s">
        <v>121</v>
      </c>
      <c r="I1" s="40" t="s">
        <v>122</v>
      </c>
      <c r="J1" s="41" t="s">
        <v>123</v>
      </c>
      <c r="K1" s="40" t="s">
        <v>128</v>
      </c>
      <c r="L1" s="42" t="s">
        <v>120</v>
      </c>
      <c r="M1" s="40" t="s">
        <v>6</v>
      </c>
      <c r="N1" s="40" t="s">
        <v>7</v>
      </c>
      <c r="O1" s="40" t="s">
        <v>8</v>
      </c>
    </row>
    <row r="2" spans="1:15" ht="15" x14ac:dyDescent="0.25">
      <c r="A2" s="44" t="s">
        <v>9</v>
      </c>
      <c r="B2" s="45">
        <v>1</v>
      </c>
      <c r="C2" s="46">
        <v>6</v>
      </c>
      <c r="D2" s="114">
        <v>2022</v>
      </c>
      <c r="E2" s="54">
        <v>21320.000000000618</v>
      </c>
      <c r="F2" s="120"/>
      <c r="G2" s="103">
        <v>5862</v>
      </c>
      <c r="H2" s="121"/>
      <c r="I2" s="63">
        <v>326</v>
      </c>
      <c r="J2" s="73"/>
      <c r="K2" s="100"/>
      <c r="L2" s="73"/>
      <c r="M2" s="69">
        <v>20</v>
      </c>
      <c r="N2" s="69">
        <v>59</v>
      </c>
      <c r="O2" s="69">
        <v>143</v>
      </c>
    </row>
    <row r="3" spans="1:15" ht="15" x14ac:dyDescent="0.25">
      <c r="A3" s="44" t="s">
        <v>9</v>
      </c>
      <c r="B3" s="45">
        <f>B2+1</f>
        <v>2</v>
      </c>
      <c r="C3" s="46">
        <v>6</v>
      </c>
      <c r="D3" s="114">
        <v>2022</v>
      </c>
      <c r="E3" s="54">
        <v>22170.000000000757</v>
      </c>
      <c r="F3" s="120"/>
      <c r="G3" s="103">
        <v>5908</v>
      </c>
      <c r="H3" s="121"/>
      <c r="I3" s="63">
        <v>264</v>
      </c>
      <c r="J3" s="73"/>
      <c r="K3" s="100"/>
      <c r="L3" s="73"/>
      <c r="M3" s="69">
        <v>22</v>
      </c>
      <c r="N3" s="69">
        <v>66</v>
      </c>
      <c r="O3" s="69">
        <v>146</v>
      </c>
    </row>
    <row r="4" spans="1:15" ht="15" x14ac:dyDescent="0.25">
      <c r="A4" s="44" t="s">
        <v>9</v>
      </c>
      <c r="B4" s="45">
        <f t="shared" ref="B4:B32" si="0">B3+1</f>
        <v>3</v>
      </c>
      <c r="C4" s="46">
        <v>6</v>
      </c>
      <c r="D4" s="114">
        <v>2022</v>
      </c>
      <c r="E4" s="54">
        <v>21599.999999998545</v>
      </c>
      <c r="F4" s="120"/>
      <c r="G4" s="103">
        <v>5985</v>
      </c>
      <c r="H4" s="121"/>
      <c r="I4" s="63">
        <v>258</v>
      </c>
      <c r="J4" s="73"/>
      <c r="K4" s="100"/>
      <c r="L4" s="73"/>
      <c r="M4" s="69">
        <v>22</v>
      </c>
      <c r="N4" s="69">
        <v>67</v>
      </c>
      <c r="O4" s="69">
        <v>171</v>
      </c>
    </row>
    <row r="5" spans="1:15" ht="15" x14ac:dyDescent="0.25">
      <c r="A5" s="44" t="s">
        <v>9</v>
      </c>
      <c r="B5" s="45">
        <f t="shared" si="0"/>
        <v>4</v>
      </c>
      <c r="C5" s="46">
        <v>6</v>
      </c>
      <c r="D5" s="114">
        <v>2022</v>
      </c>
      <c r="E5" s="54">
        <v>21829.999999999472</v>
      </c>
      <c r="F5" s="120"/>
      <c r="G5" s="103">
        <v>5985</v>
      </c>
      <c r="H5" s="121"/>
      <c r="I5" s="63">
        <v>295</v>
      </c>
      <c r="J5" s="73"/>
      <c r="K5" s="100"/>
      <c r="L5" s="73"/>
      <c r="M5" s="69">
        <v>23</v>
      </c>
      <c r="N5" s="69">
        <v>63</v>
      </c>
      <c r="O5" s="69">
        <v>150</v>
      </c>
    </row>
    <row r="6" spans="1:15" ht="15" x14ac:dyDescent="0.25">
      <c r="A6" s="44" t="s">
        <v>9</v>
      </c>
      <c r="B6" s="45">
        <f t="shared" si="0"/>
        <v>5</v>
      </c>
      <c r="C6" s="46">
        <v>6</v>
      </c>
      <c r="D6" s="114">
        <v>2022</v>
      </c>
      <c r="E6" s="54">
        <v>21140.000000001011</v>
      </c>
      <c r="F6" s="120"/>
      <c r="G6" s="103">
        <v>5849</v>
      </c>
      <c r="H6" s="121"/>
      <c r="I6" s="63">
        <v>291</v>
      </c>
      <c r="J6" s="73"/>
      <c r="K6" s="100"/>
      <c r="L6" s="73"/>
      <c r="M6" s="69">
        <v>27</v>
      </c>
      <c r="N6" s="69">
        <v>74</v>
      </c>
      <c r="O6" s="69">
        <v>172</v>
      </c>
    </row>
    <row r="7" spans="1:15" ht="15" x14ac:dyDescent="0.25">
      <c r="A7" s="44" t="s">
        <v>9</v>
      </c>
      <c r="B7" s="45">
        <f t="shared" si="0"/>
        <v>6</v>
      </c>
      <c r="C7" s="46">
        <v>6</v>
      </c>
      <c r="D7" s="114">
        <v>2022</v>
      </c>
      <c r="E7" s="54">
        <v>21080.000000000837</v>
      </c>
      <c r="F7" s="120"/>
      <c r="G7" s="103">
        <v>6001</v>
      </c>
      <c r="H7" s="121"/>
      <c r="I7" s="63">
        <v>318</v>
      </c>
      <c r="J7" s="73"/>
      <c r="K7" s="100"/>
      <c r="L7" s="73"/>
      <c r="M7" s="69">
        <v>21</v>
      </c>
      <c r="N7" s="69">
        <v>62</v>
      </c>
      <c r="O7" s="69">
        <v>171</v>
      </c>
    </row>
    <row r="8" spans="1:15" ht="15" x14ac:dyDescent="0.25">
      <c r="A8" s="44" t="s">
        <v>9</v>
      </c>
      <c r="B8" s="45">
        <f t="shared" si="0"/>
        <v>7</v>
      </c>
      <c r="C8" s="46">
        <v>6</v>
      </c>
      <c r="D8" s="114">
        <v>2022</v>
      </c>
      <c r="E8" s="103">
        <v>20589.999999998781</v>
      </c>
      <c r="F8" s="120"/>
      <c r="G8" s="103">
        <v>5792</v>
      </c>
      <c r="H8" s="121"/>
      <c r="I8" s="63">
        <v>403</v>
      </c>
      <c r="J8" s="73"/>
      <c r="K8" s="100"/>
      <c r="L8" s="73"/>
      <c r="M8" s="69">
        <v>17</v>
      </c>
      <c r="N8" s="69">
        <v>50</v>
      </c>
      <c r="O8" s="69">
        <v>117</v>
      </c>
    </row>
    <row r="9" spans="1:15" ht="15" x14ac:dyDescent="0.25">
      <c r="A9" s="44" t="s">
        <v>9</v>
      </c>
      <c r="B9" s="45">
        <f t="shared" si="0"/>
        <v>8</v>
      </c>
      <c r="C9" s="46">
        <v>6</v>
      </c>
      <c r="D9" s="114">
        <v>2022</v>
      </c>
      <c r="E9" s="103"/>
      <c r="F9" s="120"/>
      <c r="G9" s="103"/>
      <c r="H9" s="121"/>
      <c r="I9" s="63"/>
      <c r="J9" s="73"/>
      <c r="K9" s="100"/>
      <c r="L9" s="73"/>
      <c r="M9" s="69">
        <v>26</v>
      </c>
      <c r="N9" s="69">
        <v>73</v>
      </c>
      <c r="O9" s="69">
        <v>176</v>
      </c>
    </row>
    <row r="10" spans="1:15" ht="15" x14ac:dyDescent="0.25">
      <c r="A10" s="44" t="s">
        <v>9</v>
      </c>
      <c r="B10" s="45">
        <f t="shared" si="0"/>
        <v>9</v>
      </c>
      <c r="C10" s="46">
        <v>6</v>
      </c>
      <c r="D10" s="114">
        <v>2022</v>
      </c>
      <c r="E10" s="103"/>
      <c r="F10" s="120"/>
      <c r="G10" s="103"/>
      <c r="H10" s="121"/>
      <c r="I10" s="63"/>
      <c r="J10" s="73"/>
      <c r="K10" s="100"/>
      <c r="L10" s="73"/>
      <c r="M10" s="69">
        <v>34</v>
      </c>
      <c r="N10" s="69">
        <v>96</v>
      </c>
      <c r="O10" s="69">
        <v>221</v>
      </c>
    </row>
    <row r="11" spans="1:15" ht="15" x14ac:dyDescent="0.25">
      <c r="A11" s="44" t="s">
        <v>9</v>
      </c>
      <c r="B11" s="45">
        <f t="shared" si="0"/>
        <v>10</v>
      </c>
      <c r="C11" s="46">
        <v>6</v>
      </c>
      <c r="D11" s="114">
        <v>2022</v>
      </c>
      <c r="E11" s="103"/>
      <c r="F11" s="120"/>
      <c r="G11" s="103"/>
      <c r="H11" s="121"/>
      <c r="I11" s="63"/>
      <c r="J11" s="73"/>
      <c r="K11" s="100"/>
      <c r="L11" s="73"/>
      <c r="M11" s="69"/>
      <c r="N11" s="69"/>
      <c r="O11" s="69"/>
    </row>
    <row r="12" spans="1:15" ht="15" x14ac:dyDescent="0.25">
      <c r="A12" s="44" t="s">
        <v>9</v>
      </c>
      <c r="B12" s="45">
        <f t="shared" si="0"/>
        <v>11</v>
      </c>
      <c r="C12" s="46">
        <v>6</v>
      </c>
      <c r="D12" s="114">
        <v>2022</v>
      </c>
      <c r="E12" s="103"/>
      <c r="F12" s="120"/>
      <c r="G12" s="103"/>
      <c r="H12" s="121"/>
      <c r="I12" s="63"/>
      <c r="J12" s="73"/>
      <c r="K12" s="100"/>
      <c r="L12" s="73"/>
      <c r="M12" s="69"/>
      <c r="N12" s="69"/>
      <c r="O12" s="69"/>
    </row>
    <row r="13" spans="1:15" ht="15" x14ac:dyDescent="0.25">
      <c r="A13" s="44" t="s">
        <v>9</v>
      </c>
      <c r="B13" s="45">
        <f t="shared" si="0"/>
        <v>12</v>
      </c>
      <c r="C13" s="46">
        <v>6</v>
      </c>
      <c r="D13" s="114">
        <v>2022</v>
      </c>
      <c r="E13" s="103"/>
      <c r="F13" s="120"/>
      <c r="G13" s="103"/>
      <c r="H13" s="121"/>
      <c r="I13" s="63"/>
      <c r="J13" s="73"/>
      <c r="K13" s="100"/>
      <c r="L13" s="73"/>
      <c r="M13" s="69"/>
      <c r="N13" s="69"/>
      <c r="O13" s="69"/>
    </row>
    <row r="14" spans="1:15" ht="15" x14ac:dyDescent="0.25">
      <c r="A14" s="44" t="s">
        <v>9</v>
      </c>
      <c r="B14" s="45">
        <f t="shared" si="0"/>
        <v>13</v>
      </c>
      <c r="C14" s="46">
        <v>6</v>
      </c>
      <c r="D14" s="114">
        <v>2022</v>
      </c>
      <c r="E14" s="103"/>
      <c r="F14" s="120"/>
      <c r="G14" s="103"/>
      <c r="H14" s="121"/>
      <c r="I14" s="63"/>
      <c r="J14" s="73"/>
      <c r="K14" s="100"/>
      <c r="L14" s="73"/>
      <c r="M14" s="69"/>
      <c r="N14" s="69"/>
      <c r="O14" s="69"/>
    </row>
    <row r="15" spans="1:15" ht="15" x14ac:dyDescent="0.25">
      <c r="A15" s="44" t="s">
        <v>9</v>
      </c>
      <c r="B15" s="45">
        <f t="shared" si="0"/>
        <v>14</v>
      </c>
      <c r="C15" s="46">
        <v>6</v>
      </c>
      <c r="D15" s="114">
        <v>2022</v>
      </c>
      <c r="E15" s="103"/>
      <c r="F15" s="120"/>
      <c r="G15" s="103"/>
      <c r="H15" s="121"/>
      <c r="I15" s="63"/>
      <c r="J15" s="73"/>
      <c r="K15" s="100"/>
      <c r="L15" s="73"/>
      <c r="M15" s="69"/>
      <c r="N15" s="69"/>
      <c r="O15" s="69"/>
    </row>
    <row r="16" spans="1:15" ht="15" x14ac:dyDescent="0.25">
      <c r="A16" s="44" t="s">
        <v>9</v>
      </c>
      <c r="B16" s="45">
        <f t="shared" si="0"/>
        <v>15</v>
      </c>
      <c r="C16" s="46">
        <v>6</v>
      </c>
      <c r="D16" s="114">
        <v>2022</v>
      </c>
      <c r="E16" s="103"/>
      <c r="F16" s="120"/>
      <c r="G16" s="103"/>
      <c r="H16" s="121"/>
      <c r="I16" s="63"/>
      <c r="J16" s="73"/>
      <c r="K16" s="100"/>
      <c r="L16" s="73"/>
      <c r="M16" s="69"/>
      <c r="N16" s="69"/>
      <c r="O16" s="69"/>
    </row>
    <row r="17" spans="1:15" ht="15" x14ac:dyDescent="0.25">
      <c r="A17" s="44" t="s">
        <v>9</v>
      </c>
      <c r="B17" s="45">
        <f t="shared" si="0"/>
        <v>16</v>
      </c>
      <c r="C17" s="46">
        <v>6</v>
      </c>
      <c r="D17" s="114">
        <v>2022</v>
      </c>
      <c r="E17" s="103"/>
      <c r="F17" s="120"/>
      <c r="G17" s="103"/>
      <c r="H17" s="121"/>
      <c r="I17" s="63"/>
      <c r="J17" s="73"/>
      <c r="K17" s="100"/>
      <c r="L17" s="73"/>
      <c r="M17" s="69"/>
      <c r="N17" s="69"/>
      <c r="O17" s="69"/>
    </row>
    <row r="18" spans="1:15" ht="15" x14ac:dyDescent="0.25">
      <c r="A18" s="44" t="s">
        <v>9</v>
      </c>
      <c r="B18" s="45">
        <f t="shared" si="0"/>
        <v>17</v>
      </c>
      <c r="C18" s="46">
        <v>6</v>
      </c>
      <c r="D18" s="114">
        <v>2022</v>
      </c>
      <c r="E18" s="103"/>
      <c r="F18" s="120"/>
      <c r="G18" s="103"/>
      <c r="H18" s="121"/>
      <c r="I18" s="63"/>
      <c r="J18" s="73"/>
      <c r="K18" s="100"/>
      <c r="L18" s="73"/>
      <c r="M18" s="69"/>
      <c r="N18" s="69"/>
      <c r="O18" s="69"/>
    </row>
    <row r="19" spans="1:15" ht="15" x14ac:dyDescent="0.25">
      <c r="A19" s="44" t="s">
        <v>9</v>
      </c>
      <c r="B19" s="45">
        <f t="shared" si="0"/>
        <v>18</v>
      </c>
      <c r="C19" s="46">
        <v>6</v>
      </c>
      <c r="D19" s="114">
        <v>2022</v>
      </c>
      <c r="E19" s="103"/>
      <c r="F19" s="120"/>
      <c r="G19" s="103"/>
      <c r="H19" s="121"/>
      <c r="I19" s="63"/>
      <c r="J19" s="73"/>
      <c r="K19" s="100"/>
      <c r="L19" s="73"/>
      <c r="M19" s="69"/>
      <c r="N19" s="69"/>
      <c r="O19" s="69"/>
    </row>
    <row r="20" spans="1:15" ht="15" x14ac:dyDescent="0.25">
      <c r="A20" s="44" t="s">
        <v>9</v>
      </c>
      <c r="B20" s="45">
        <f t="shared" si="0"/>
        <v>19</v>
      </c>
      <c r="C20" s="46">
        <v>6</v>
      </c>
      <c r="D20" s="114">
        <v>2022</v>
      </c>
      <c r="E20" s="103"/>
      <c r="F20" s="120"/>
      <c r="G20" s="103"/>
      <c r="H20" s="121"/>
      <c r="I20" s="63"/>
      <c r="J20" s="73"/>
      <c r="K20" s="100"/>
      <c r="L20" s="73"/>
      <c r="M20" s="69"/>
      <c r="N20" s="69"/>
      <c r="O20" s="69"/>
    </row>
    <row r="21" spans="1:15" ht="15" x14ac:dyDescent="0.25">
      <c r="A21" s="44" t="s">
        <v>9</v>
      </c>
      <c r="B21" s="45">
        <f t="shared" si="0"/>
        <v>20</v>
      </c>
      <c r="C21" s="46">
        <v>6</v>
      </c>
      <c r="D21" s="114">
        <v>2022</v>
      </c>
      <c r="E21" s="103"/>
      <c r="F21" s="120"/>
      <c r="G21" s="103"/>
      <c r="H21" s="121"/>
      <c r="I21" s="63"/>
      <c r="J21" s="73"/>
      <c r="K21" s="100"/>
      <c r="L21" s="73"/>
      <c r="M21" s="69"/>
      <c r="N21" s="69"/>
      <c r="O21" s="69"/>
    </row>
    <row r="22" spans="1:15" ht="15" x14ac:dyDescent="0.25">
      <c r="A22" s="44" t="s">
        <v>9</v>
      </c>
      <c r="B22" s="45">
        <f t="shared" si="0"/>
        <v>21</v>
      </c>
      <c r="C22" s="46">
        <v>6</v>
      </c>
      <c r="D22" s="114">
        <v>2022</v>
      </c>
      <c r="E22" s="103"/>
      <c r="F22" s="120"/>
      <c r="G22" s="103"/>
      <c r="H22" s="121"/>
      <c r="I22" s="63"/>
      <c r="J22" s="73"/>
      <c r="K22" s="100"/>
      <c r="L22" s="73"/>
      <c r="M22" s="69"/>
      <c r="N22" s="69"/>
      <c r="O22" s="69"/>
    </row>
    <row r="23" spans="1:15" ht="15" x14ac:dyDescent="0.25">
      <c r="A23" s="44" t="s">
        <v>9</v>
      </c>
      <c r="B23" s="45">
        <f t="shared" si="0"/>
        <v>22</v>
      </c>
      <c r="C23" s="46">
        <v>6</v>
      </c>
      <c r="D23" s="114">
        <v>2022</v>
      </c>
      <c r="E23" s="103"/>
      <c r="F23" s="120"/>
      <c r="G23" s="103"/>
      <c r="H23" s="121"/>
      <c r="I23" s="63"/>
      <c r="J23" s="73"/>
      <c r="K23" s="100"/>
      <c r="L23" s="73"/>
      <c r="M23" s="69"/>
      <c r="N23" s="69"/>
      <c r="O23" s="69"/>
    </row>
    <row r="24" spans="1:15" ht="15" x14ac:dyDescent="0.25">
      <c r="A24" s="44" t="s">
        <v>9</v>
      </c>
      <c r="B24" s="45">
        <f t="shared" si="0"/>
        <v>23</v>
      </c>
      <c r="C24" s="46">
        <v>6</v>
      </c>
      <c r="D24" s="114">
        <v>2022</v>
      </c>
      <c r="E24" s="103"/>
      <c r="F24" s="120"/>
      <c r="G24" s="103"/>
      <c r="H24" s="121"/>
      <c r="I24" s="63"/>
      <c r="J24" s="73"/>
      <c r="K24" s="100"/>
      <c r="L24" s="73"/>
      <c r="M24" s="69"/>
      <c r="N24" s="69"/>
      <c r="O24" s="69"/>
    </row>
    <row r="25" spans="1:15" ht="15" x14ac:dyDescent="0.25">
      <c r="A25" s="44" t="s">
        <v>9</v>
      </c>
      <c r="B25" s="45">
        <f t="shared" si="0"/>
        <v>24</v>
      </c>
      <c r="C25" s="46">
        <v>6</v>
      </c>
      <c r="D25" s="114">
        <v>2022</v>
      </c>
      <c r="E25" s="103"/>
      <c r="F25" s="120"/>
      <c r="G25" s="103"/>
      <c r="H25" s="121"/>
      <c r="I25" s="63"/>
      <c r="J25" s="73"/>
      <c r="K25" s="100"/>
      <c r="L25" s="73"/>
      <c r="M25" s="69"/>
      <c r="N25" s="69"/>
      <c r="O25" s="69"/>
    </row>
    <row r="26" spans="1:15" ht="15" x14ac:dyDescent="0.25">
      <c r="A26" s="44" t="s">
        <v>9</v>
      </c>
      <c r="B26" s="45">
        <f>B25+1</f>
        <v>25</v>
      </c>
      <c r="C26" s="46">
        <v>6</v>
      </c>
      <c r="D26" s="114">
        <v>2022</v>
      </c>
      <c r="E26" s="103"/>
      <c r="F26" s="120"/>
      <c r="G26" s="103"/>
      <c r="H26" s="121"/>
      <c r="I26" s="63"/>
      <c r="J26" s="73"/>
      <c r="K26" s="100"/>
      <c r="L26" s="73"/>
      <c r="M26" s="69"/>
      <c r="N26" s="69"/>
      <c r="O26" s="69"/>
    </row>
    <row r="27" spans="1:15" ht="15" x14ac:dyDescent="0.25">
      <c r="A27" s="44" t="s">
        <v>9</v>
      </c>
      <c r="B27" s="45">
        <f t="shared" si="0"/>
        <v>26</v>
      </c>
      <c r="C27" s="46">
        <v>6</v>
      </c>
      <c r="D27" s="114">
        <v>2022</v>
      </c>
      <c r="E27" s="103"/>
      <c r="F27" s="120"/>
      <c r="G27" s="103"/>
      <c r="H27" s="121"/>
      <c r="I27" s="63"/>
      <c r="J27" s="73"/>
      <c r="K27" s="100"/>
      <c r="L27" s="73"/>
      <c r="M27" s="69"/>
      <c r="N27" s="69"/>
      <c r="O27" s="69"/>
    </row>
    <row r="28" spans="1:15" ht="15" x14ac:dyDescent="0.25">
      <c r="A28" s="44" t="s">
        <v>9</v>
      </c>
      <c r="B28" s="45">
        <f t="shared" si="0"/>
        <v>27</v>
      </c>
      <c r="C28" s="46">
        <v>6</v>
      </c>
      <c r="D28" s="114">
        <v>2022</v>
      </c>
      <c r="E28" s="103"/>
      <c r="F28" s="120"/>
      <c r="G28" s="103"/>
      <c r="H28" s="121"/>
      <c r="I28" s="63"/>
      <c r="J28" s="73"/>
      <c r="K28" s="100"/>
      <c r="L28" s="73"/>
      <c r="M28" s="69"/>
      <c r="N28" s="69"/>
      <c r="O28" s="69"/>
    </row>
    <row r="29" spans="1:15" ht="15" x14ac:dyDescent="0.25">
      <c r="A29" s="44" t="s">
        <v>9</v>
      </c>
      <c r="B29" s="45">
        <f t="shared" si="0"/>
        <v>28</v>
      </c>
      <c r="C29" s="46">
        <v>6</v>
      </c>
      <c r="D29" s="114">
        <v>2022</v>
      </c>
      <c r="E29" s="103"/>
      <c r="F29" s="120"/>
      <c r="G29" s="103"/>
      <c r="H29" s="121"/>
      <c r="I29" s="63"/>
      <c r="J29" s="73"/>
      <c r="K29" s="100"/>
      <c r="L29" s="73"/>
      <c r="M29" s="69"/>
      <c r="N29" s="69"/>
      <c r="O29" s="69"/>
    </row>
    <row r="30" spans="1:15" ht="15" x14ac:dyDescent="0.25">
      <c r="A30" s="44" t="s">
        <v>9</v>
      </c>
      <c r="B30" s="45">
        <f t="shared" si="0"/>
        <v>29</v>
      </c>
      <c r="C30" s="46">
        <v>6</v>
      </c>
      <c r="D30" s="114">
        <v>2022</v>
      </c>
      <c r="E30" s="103"/>
      <c r="F30" s="120"/>
      <c r="G30" s="103"/>
      <c r="H30" s="121"/>
      <c r="I30" s="63"/>
      <c r="J30" s="73"/>
      <c r="K30" s="100"/>
      <c r="L30" s="73"/>
      <c r="M30" s="69"/>
      <c r="N30" s="69"/>
      <c r="O30" s="69"/>
    </row>
    <row r="31" spans="1:15" ht="15" x14ac:dyDescent="0.25">
      <c r="A31" s="44" t="s">
        <v>9</v>
      </c>
      <c r="B31" s="45">
        <f t="shared" si="0"/>
        <v>30</v>
      </c>
      <c r="C31" s="46">
        <v>6</v>
      </c>
      <c r="D31" s="114">
        <v>2022</v>
      </c>
      <c r="E31" s="99"/>
      <c r="F31" s="120"/>
      <c r="G31" s="99"/>
      <c r="H31" s="121"/>
      <c r="I31" s="63"/>
      <c r="J31" s="73"/>
      <c r="K31" s="100"/>
      <c r="L31" s="73"/>
      <c r="M31" s="69"/>
      <c r="N31" s="69"/>
      <c r="O31" s="69"/>
    </row>
    <row r="32" spans="1:15" ht="15" x14ac:dyDescent="0.25">
      <c r="A32" s="44" t="s">
        <v>9</v>
      </c>
      <c r="B32" s="45">
        <f t="shared" si="0"/>
        <v>31</v>
      </c>
      <c r="C32" s="46">
        <v>6</v>
      </c>
      <c r="D32" s="114">
        <v>2022</v>
      </c>
      <c r="E32" s="99"/>
      <c r="F32" s="120"/>
      <c r="G32" s="99"/>
      <c r="H32" s="121"/>
      <c r="I32" s="63"/>
      <c r="J32" s="73"/>
      <c r="K32" s="100"/>
      <c r="L32" s="73"/>
      <c r="M32" s="69"/>
      <c r="N32" s="69"/>
      <c r="O32" s="69"/>
    </row>
    <row r="33" spans="1:15" ht="18.75" customHeight="1" x14ac:dyDescent="0.2">
      <c r="A33" s="125" t="s">
        <v>51</v>
      </c>
      <c r="B33" s="125"/>
      <c r="C33" s="125"/>
      <c r="D33" s="125"/>
      <c r="E33" s="113"/>
      <c r="F33" s="96">
        <v>0</v>
      </c>
      <c r="G33" s="113"/>
      <c r="H33" s="94">
        <v>0</v>
      </c>
      <c r="I33" s="95"/>
      <c r="J33" s="96">
        <v>0</v>
      </c>
      <c r="K33" s="97">
        <f>SUM(K2:K32)</f>
        <v>0</v>
      </c>
      <c r="L33" s="94">
        <v>0</v>
      </c>
      <c r="M33" s="98">
        <f>SUM(M2:M32)</f>
        <v>212</v>
      </c>
      <c r="N33" s="98">
        <f>SUM(N2:N32)</f>
        <v>610</v>
      </c>
      <c r="O33" s="98">
        <f>SUM(O2:O32)</f>
        <v>1467</v>
      </c>
    </row>
    <row r="40" spans="1:15" x14ac:dyDescent="0.2">
      <c r="C40" s="43" t="s">
        <v>126</v>
      </c>
    </row>
  </sheetData>
  <mergeCells count="1">
    <mergeCell ref="A33:D33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tabSelected="1" zoomScale="78" zoomScaleNormal="78" workbookViewId="0">
      <selection activeCell="V4" sqref="V4:X12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26" t="s">
        <v>10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74"/>
      <c r="V1" s="74"/>
    </row>
    <row r="2" spans="1:25" s="17" customFormat="1" ht="33" customHeight="1" x14ac:dyDescent="0.25">
      <c r="A2" s="28" t="s">
        <v>2</v>
      </c>
      <c r="B2" s="133" t="s">
        <v>124</v>
      </c>
      <c r="C2" s="133" t="s">
        <v>11</v>
      </c>
      <c r="D2" s="133" t="s">
        <v>12</v>
      </c>
      <c r="E2" s="133" t="s">
        <v>13</v>
      </c>
      <c r="F2" s="133" t="s">
        <v>14</v>
      </c>
      <c r="G2" s="128" t="s">
        <v>130</v>
      </c>
      <c r="H2" s="130" t="s">
        <v>15</v>
      </c>
      <c r="I2" s="133" t="s">
        <v>16</v>
      </c>
      <c r="J2" s="135" t="s">
        <v>17</v>
      </c>
      <c r="K2" s="136"/>
      <c r="L2" s="137"/>
      <c r="M2" s="128" t="s">
        <v>18</v>
      </c>
      <c r="N2" s="130" t="s">
        <v>19</v>
      </c>
      <c r="O2" s="131" t="s">
        <v>20</v>
      </c>
      <c r="P2" s="130" t="s">
        <v>21</v>
      </c>
      <c r="Q2" s="138" t="s">
        <v>22</v>
      </c>
      <c r="R2" s="133" t="s">
        <v>23</v>
      </c>
      <c r="S2" s="133" t="s">
        <v>24</v>
      </c>
      <c r="T2" s="133" t="s">
        <v>25</v>
      </c>
      <c r="V2" s="140" t="s">
        <v>6</v>
      </c>
      <c r="W2" s="140" t="s">
        <v>7</v>
      </c>
      <c r="X2" s="140" t="s">
        <v>8</v>
      </c>
    </row>
    <row r="3" spans="1:25" s="17" customFormat="1" ht="45" customHeight="1" x14ac:dyDescent="0.25">
      <c r="A3" s="29"/>
      <c r="B3" s="134"/>
      <c r="C3" s="134"/>
      <c r="D3" s="134"/>
      <c r="E3" s="134"/>
      <c r="F3" s="134"/>
      <c r="G3" s="129"/>
      <c r="H3" s="130"/>
      <c r="I3" s="134"/>
      <c r="J3" s="18" t="s">
        <v>26</v>
      </c>
      <c r="K3" s="18" t="s">
        <v>27</v>
      </c>
      <c r="L3" s="18" t="s">
        <v>28</v>
      </c>
      <c r="M3" s="129"/>
      <c r="N3" s="130"/>
      <c r="O3" s="132"/>
      <c r="P3" s="130"/>
      <c r="Q3" s="139"/>
      <c r="R3" s="134"/>
      <c r="S3" s="134"/>
      <c r="T3" s="134"/>
      <c r="V3" s="140"/>
      <c r="W3" s="140"/>
      <c r="X3" s="140"/>
    </row>
    <row r="4" spans="1:25" ht="21" customHeight="1" x14ac:dyDescent="0.25">
      <c r="A4" s="8">
        <v>44713</v>
      </c>
      <c r="B4" s="105">
        <v>1.3819999999999999</v>
      </c>
      <c r="C4" s="106">
        <v>313.43</v>
      </c>
      <c r="D4" s="106">
        <v>8189226.5300000003</v>
      </c>
      <c r="E4" s="106">
        <v>9144633.5299999993</v>
      </c>
      <c r="F4" s="106">
        <v>3.2547999999999999</v>
      </c>
      <c r="G4" s="106">
        <v>1.0458000000000001</v>
      </c>
      <c r="H4" s="106">
        <v>943.61</v>
      </c>
      <c r="I4" s="106">
        <v>338.16</v>
      </c>
      <c r="J4" s="106">
        <v>467.59</v>
      </c>
      <c r="K4" s="106">
        <v>458.27</v>
      </c>
      <c r="L4" s="106">
        <v>311.64</v>
      </c>
      <c r="M4" s="106">
        <v>776.06</v>
      </c>
      <c r="N4" s="106">
        <v>727.05</v>
      </c>
      <c r="O4" s="106">
        <v>223.53</v>
      </c>
      <c r="P4" s="106">
        <v>948.62</v>
      </c>
      <c r="Q4" s="106">
        <v>704.27</v>
      </c>
      <c r="R4" s="106">
        <v>190.15</v>
      </c>
      <c r="S4" s="106">
        <v>161.04</v>
      </c>
      <c r="T4" s="106">
        <v>585.44000000000005</v>
      </c>
      <c r="V4" s="69">
        <v>20</v>
      </c>
      <c r="W4" s="69">
        <v>59</v>
      </c>
      <c r="X4" s="69">
        <v>143</v>
      </c>
      <c r="Y4" s="17"/>
    </row>
    <row r="5" spans="1:25" ht="21" customHeight="1" x14ac:dyDescent="0.25">
      <c r="A5" s="8">
        <v>44714</v>
      </c>
      <c r="B5" s="107">
        <v>1.3831</v>
      </c>
      <c r="C5" s="108">
        <v>313.66000000000003</v>
      </c>
      <c r="D5" s="108">
        <v>8191103.9100000001</v>
      </c>
      <c r="E5" s="108">
        <v>9147470.8300000001</v>
      </c>
      <c r="F5" s="108">
        <v>3.2574999999999998</v>
      </c>
      <c r="G5" s="108">
        <v>1.0465</v>
      </c>
      <c r="H5" s="108">
        <v>944.73</v>
      </c>
      <c r="I5" s="108">
        <v>338.5</v>
      </c>
      <c r="J5" s="108">
        <v>468.12</v>
      </c>
      <c r="K5" s="108">
        <v>458.61</v>
      </c>
      <c r="L5" s="108">
        <v>311.88</v>
      </c>
      <c r="M5" s="108">
        <v>776.87</v>
      </c>
      <c r="N5" s="108">
        <v>727.31</v>
      </c>
      <c r="O5" s="108">
        <v>223.74</v>
      </c>
      <c r="P5" s="108">
        <v>949.28</v>
      </c>
      <c r="Q5" s="108">
        <v>704.84</v>
      </c>
      <c r="R5" s="106">
        <v>190.15</v>
      </c>
      <c r="S5" s="108">
        <v>161.18</v>
      </c>
      <c r="T5" s="108">
        <v>585.94000000000005</v>
      </c>
      <c r="V5" s="69">
        <v>22</v>
      </c>
      <c r="W5" s="69">
        <v>66</v>
      </c>
      <c r="X5" s="69">
        <v>146</v>
      </c>
      <c r="Y5" s="17"/>
    </row>
    <row r="6" spans="1:25" ht="21" customHeight="1" x14ac:dyDescent="0.25">
      <c r="A6" s="8">
        <v>44715</v>
      </c>
      <c r="B6" s="107">
        <v>1.3842000000000001</v>
      </c>
      <c r="C6" s="108">
        <v>313.89999999999998</v>
      </c>
      <c r="D6" s="108">
        <v>8192995.6299999999</v>
      </c>
      <c r="E6" s="108">
        <v>9150608.1799999997</v>
      </c>
      <c r="F6" s="108">
        <v>3.2602000000000002</v>
      </c>
      <c r="G6" s="108">
        <v>1.0474000000000001</v>
      </c>
      <c r="H6" s="108">
        <v>946.02</v>
      </c>
      <c r="I6" s="108">
        <v>338.86</v>
      </c>
      <c r="J6" s="108">
        <v>468.39</v>
      </c>
      <c r="K6" s="108">
        <v>458.86</v>
      </c>
      <c r="L6" s="108">
        <v>312.10000000000002</v>
      </c>
      <c r="M6" s="108">
        <v>777.73</v>
      </c>
      <c r="N6" s="108">
        <v>727.59</v>
      </c>
      <c r="O6" s="108">
        <v>223.94</v>
      </c>
      <c r="P6" s="108">
        <v>950</v>
      </c>
      <c r="Q6" s="108">
        <v>705.55</v>
      </c>
      <c r="R6" s="106">
        <v>190.15</v>
      </c>
      <c r="S6" s="108">
        <v>161.33000000000001</v>
      </c>
      <c r="T6" s="108">
        <v>586.44000000000005</v>
      </c>
      <c r="V6" s="69">
        <v>22</v>
      </c>
      <c r="W6" s="69">
        <v>67</v>
      </c>
      <c r="X6" s="69">
        <v>171</v>
      </c>
      <c r="Y6" s="17"/>
    </row>
    <row r="7" spans="1:25" ht="21" customHeight="1" x14ac:dyDescent="0.25">
      <c r="A7" s="8">
        <v>44716</v>
      </c>
      <c r="B7" s="107">
        <v>1.3852</v>
      </c>
      <c r="C7" s="108">
        <v>314.14999999999998</v>
      </c>
      <c r="D7" s="108">
        <v>8194961.8300000001</v>
      </c>
      <c r="E7" s="108">
        <v>9153397.5800000001</v>
      </c>
      <c r="F7" s="108">
        <v>3.2629000000000001</v>
      </c>
      <c r="G7" s="108">
        <v>1.0483</v>
      </c>
      <c r="H7" s="108">
        <v>947.37</v>
      </c>
      <c r="I7" s="108">
        <v>339.23</v>
      </c>
      <c r="J7" s="108">
        <v>468.8</v>
      </c>
      <c r="K7" s="108">
        <v>459.17</v>
      </c>
      <c r="L7" s="108">
        <v>312.32</v>
      </c>
      <c r="M7" s="108">
        <v>778.61</v>
      </c>
      <c r="N7" s="108">
        <v>727.85</v>
      </c>
      <c r="O7" s="108">
        <v>224.14</v>
      </c>
      <c r="P7" s="108">
        <v>950.72</v>
      </c>
      <c r="Q7" s="108">
        <v>706.32</v>
      </c>
      <c r="R7" s="108">
        <v>190.15</v>
      </c>
      <c r="S7" s="108">
        <v>161.46</v>
      </c>
      <c r="T7" s="108">
        <v>586.72</v>
      </c>
      <c r="V7" s="69">
        <v>23</v>
      </c>
      <c r="W7" s="69">
        <v>63</v>
      </c>
      <c r="X7" s="69">
        <v>150</v>
      </c>
      <c r="Y7" s="17"/>
    </row>
    <row r="8" spans="1:25" ht="21" customHeight="1" x14ac:dyDescent="0.25">
      <c r="A8" s="8">
        <v>44717</v>
      </c>
      <c r="B8" s="107">
        <v>1.3863000000000001</v>
      </c>
      <c r="C8" s="108">
        <v>318.37</v>
      </c>
      <c r="D8" s="108">
        <v>8196793.8499999996</v>
      </c>
      <c r="E8" s="108">
        <v>9156412.1999999993</v>
      </c>
      <c r="F8" s="108">
        <v>3.2656000000000001</v>
      </c>
      <c r="G8" s="108">
        <v>1.0491999999999999</v>
      </c>
      <c r="H8" s="108">
        <v>948.61</v>
      </c>
      <c r="I8" s="108">
        <v>339.59</v>
      </c>
      <c r="J8" s="108">
        <v>469.16</v>
      </c>
      <c r="K8" s="108">
        <v>959.44</v>
      </c>
      <c r="L8" s="108">
        <v>312.52999999999997</v>
      </c>
      <c r="M8" s="108">
        <v>779.5</v>
      </c>
      <c r="N8" s="108">
        <v>728.11</v>
      </c>
      <c r="O8" s="108">
        <v>224.34</v>
      </c>
      <c r="P8" s="108">
        <v>951.42</v>
      </c>
      <c r="Q8" s="108">
        <v>706.96</v>
      </c>
      <c r="R8" s="108">
        <v>190.15</v>
      </c>
      <c r="S8" s="108">
        <v>161.6</v>
      </c>
      <c r="T8" s="108">
        <v>587.20000000000005</v>
      </c>
      <c r="V8" s="102">
        <v>27</v>
      </c>
      <c r="W8" s="102">
        <v>74</v>
      </c>
      <c r="X8" s="124">
        <v>172</v>
      </c>
      <c r="Y8" s="17"/>
    </row>
    <row r="9" spans="1:25" ht="21" customHeight="1" x14ac:dyDescent="0.25">
      <c r="A9" s="8">
        <v>44718</v>
      </c>
      <c r="B9" s="109">
        <v>1.3873</v>
      </c>
      <c r="C9" s="108">
        <v>314.58</v>
      </c>
      <c r="D9" s="108">
        <v>8198744.5899999999</v>
      </c>
      <c r="E9" s="108">
        <v>9159357.3800000008</v>
      </c>
      <c r="F9" s="108">
        <v>3.2684000000000002</v>
      </c>
      <c r="G9" s="108">
        <v>1.0501</v>
      </c>
      <c r="H9" s="108">
        <v>949.71</v>
      </c>
      <c r="I9" s="108">
        <v>339.93</v>
      </c>
      <c r="J9" s="108">
        <v>469.47</v>
      </c>
      <c r="K9" s="108">
        <v>459.71</v>
      </c>
      <c r="L9" s="108">
        <v>312.74</v>
      </c>
      <c r="M9" s="108">
        <v>780.35</v>
      </c>
      <c r="N9" s="108">
        <v>728.37</v>
      </c>
      <c r="O9" s="108">
        <v>224.53</v>
      </c>
      <c r="P9" s="108">
        <v>952.09</v>
      </c>
      <c r="Q9" s="108">
        <v>707.59</v>
      </c>
      <c r="R9" s="108">
        <v>190.15</v>
      </c>
      <c r="S9" s="108">
        <v>161.74</v>
      </c>
      <c r="T9" s="108">
        <v>587.66</v>
      </c>
      <c r="V9" s="102">
        <v>21</v>
      </c>
      <c r="W9" s="102">
        <v>62</v>
      </c>
      <c r="X9" s="124">
        <v>171</v>
      </c>
      <c r="Y9" s="17"/>
    </row>
    <row r="10" spans="1:25" ht="21" customHeight="1" x14ac:dyDescent="0.25">
      <c r="A10" s="8">
        <v>44719</v>
      </c>
      <c r="B10" s="105">
        <v>1.3884000000000001</v>
      </c>
      <c r="C10" s="106">
        <v>314.8</v>
      </c>
      <c r="D10" s="106">
        <v>8200506.2699999996</v>
      </c>
      <c r="E10" s="106">
        <v>9162267.6600000001</v>
      </c>
      <c r="F10" s="106">
        <v>3.2709999999999999</v>
      </c>
      <c r="G10" s="106">
        <v>1.0510999999999999</v>
      </c>
      <c r="H10" s="106">
        <v>950.86</v>
      </c>
      <c r="I10" s="106">
        <v>340.27</v>
      </c>
      <c r="J10" s="108">
        <v>469.91</v>
      </c>
      <c r="K10" s="108">
        <v>459.98</v>
      </c>
      <c r="L10" s="108">
        <v>312.95999999999998</v>
      </c>
      <c r="M10" s="108">
        <v>781.18</v>
      </c>
      <c r="N10" s="108">
        <v>728.63</v>
      </c>
      <c r="O10" s="108">
        <v>224.76</v>
      </c>
      <c r="P10" s="108">
        <v>952.72</v>
      </c>
      <c r="Q10" s="108">
        <v>708.3</v>
      </c>
      <c r="R10" s="108">
        <v>190.15</v>
      </c>
      <c r="S10" s="108">
        <v>161.88</v>
      </c>
      <c r="T10" s="108">
        <v>588.17999999999995</v>
      </c>
      <c r="V10" s="102">
        <v>17</v>
      </c>
      <c r="W10" s="102">
        <v>50</v>
      </c>
      <c r="X10" s="102">
        <v>117</v>
      </c>
      <c r="Y10" s="17"/>
    </row>
    <row r="11" spans="1:25" ht="21" customHeight="1" x14ac:dyDescent="0.25">
      <c r="A11" s="8">
        <v>44720</v>
      </c>
      <c r="B11" s="107">
        <v>1.3894</v>
      </c>
      <c r="C11" s="108">
        <v>315.02</v>
      </c>
      <c r="D11" s="108">
        <v>8202202</v>
      </c>
      <c r="E11" s="108">
        <v>9164140.6600000001</v>
      </c>
      <c r="F11" s="108">
        <v>3.2736000000000001</v>
      </c>
      <c r="G11" s="108">
        <v>1.052</v>
      </c>
      <c r="H11" s="108">
        <v>951.87</v>
      </c>
      <c r="I11" s="108">
        <v>340.64</v>
      </c>
      <c r="J11" s="108">
        <v>470.41</v>
      </c>
      <c r="K11" s="108">
        <v>460.27</v>
      </c>
      <c r="L11" s="108">
        <v>313.16000000000003</v>
      </c>
      <c r="M11" s="108">
        <v>781.9</v>
      </c>
      <c r="N11" s="108">
        <v>728.88</v>
      </c>
      <c r="O11" s="108">
        <v>224.97</v>
      </c>
      <c r="P11" s="108">
        <v>953.35</v>
      </c>
      <c r="Q11" s="108">
        <v>708.94</v>
      </c>
      <c r="R11" s="108">
        <v>190.15</v>
      </c>
      <c r="S11" s="108">
        <v>162.01</v>
      </c>
      <c r="T11" s="108">
        <v>588.66999999999996</v>
      </c>
      <c r="V11" s="102">
        <v>26</v>
      </c>
      <c r="W11" s="102">
        <v>73</v>
      </c>
      <c r="X11" s="102">
        <v>176</v>
      </c>
      <c r="Y11" s="17"/>
    </row>
    <row r="12" spans="1:25" ht="21" customHeight="1" x14ac:dyDescent="0.25">
      <c r="A12" s="8">
        <v>44721</v>
      </c>
      <c r="B12" s="107">
        <v>1.3905000000000001</v>
      </c>
      <c r="C12" s="108">
        <v>315.26</v>
      </c>
      <c r="D12" s="108">
        <v>8203926.8700000001</v>
      </c>
      <c r="E12" s="108">
        <v>9167904.5</v>
      </c>
      <c r="F12" s="108">
        <v>3.2763</v>
      </c>
      <c r="G12" s="108">
        <v>1.0528</v>
      </c>
      <c r="H12" s="108">
        <v>953.12</v>
      </c>
      <c r="I12" s="108">
        <v>340.99</v>
      </c>
      <c r="J12" s="108">
        <v>470.77</v>
      </c>
      <c r="K12" s="108">
        <v>460.55</v>
      </c>
      <c r="L12" s="108">
        <v>313.38</v>
      </c>
      <c r="M12" s="108">
        <v>782.66</v>
      </c>
      <c r="N12" s="108">
        <v>729.12</v>
      </c>
      <c r="O12" s="108">
        <v>225.22</v>
      </c>
      <c r="P12" s="108">
        <v>953.98</v>
      </c>
      <c r="Q12" s="108">
        <v>709.64</v>
      </c>
      <c r="R12" s="108">
        <v>190.15</v>
      </c>
      <c r="S12" s="108">
        <v>162.15</v>
      </c>
      <c r="T12" s="108">
        <v>589.16999999999996</v>
      </c>
      <c r="V12" s="102">
        <v>34</v>
      </c>
      <c r="W12" s="102">
        <v>96</v>
      </c>
      <c r="X12" s="102">
        <v>221</v>
      </c>
      <c r="Y12" s="17"/>
    </row>
    <row r="13" spans="1:25" ht="21" customHeight="1" x14ac:dyDescent="0.25">
      <c r="A13" s="8">
        <v>44722</v>
      </c>
      <c r="B13" s="107">
        <v>1.3915999999999999</v>
      </c>
      <c r="C13" s="109">
        <v>315.52</v>
      </c>
      <c r="D13" s="108">
        <v>8205571.6100000003</v>
      </c>
      <c r="E13" s="108">
        <v>9170458.8499999996</v>
      </c>
      <c r="F13" s="108">
        <v>3.2789999999999999</v>
      </c>
      <c r="G13" s="108">
        <v>1.0537000000000001</v>
      </c>
      <c r="H13" s="108">
        <v>954.32</v>
      </c>
      <c r="I13" s="108">
        <v>341.35</v>
      </c>
      <c r="J13" s="108">
        <v>471.22</v>
      </c>
      <c r="K13" s="108">
        <v>460.82</v>
      </c>
      <c r="L13" s="108">
        <v>313.62</v>
      </c>
      <c r="M13" s="108">
        <v>783.39</v>
      </c>
      <c r="N13" s="108">
        <v>729.38</v>
      </c>
      <c r="O13" s="108">
        <v>225.44</v>
      </c>
      <c r="P13" s="108">
        <v>954.49</v>
      </c>
      <c r="Q13" s="108">
        <v>710.45</v>
      </c>
      <c r="R13" s="108">
        <v>190.15</v>
      </c>
      <c r="S13" s="108">
        <v>162.29</v>
      </c>
      <c r="T13" s="108">
        <v>589.65</v>
      </c>
      <c r="V13" s="102"/>
      <c r="W13" s="102"/>
      <c r="X13" s="102"/>
      <c r="Y13" s="17"/>
    </row>
    <row r="14" spans="1:25" ht="21" customHeight="1" x14ac:dyDescent="0.25">
      <c r="A14" s="8">
        <v>44723</v>
      </c>
      <c r="B14" s="107"/>
      <c r="C14" s="105"/>
      <c r="D14" s="108"/>
      <c r="E14" s="108"/>
      <c r="F14" s="108"/>
      <c r="G14" s="108"/>
      <c r="H14" s="108"/>
      <c r="I14" s="108"/>
      <c r="J14" s="108"/>
      <c r="K14" s="108"/>
      <c r="L14" s="108"/>
      <c r="M14" s="108"/>
      <c r="N14" s="108"/>
      <c r="O14" s="108"/>
      <c r="P14" s="108"/>
      <c r="Q14" s="108"/>
      <c r="R14" s="108"/>
      <c r="S14" s="108"/>
      <c r="T14" s="108"/>
      <c r="V14" s="102"/>
      <c r="W14" s="102"/>
      <c r="X14" s="102"/>
      <c r="Y14" s="17"/>
    </row>
    <row r="15" spans="1:25" ht="21" customHeight="1" x14ac:dyDescent="0.25">
      <c r="A15" s="8">
        <v>44724</v>
      </c>
      <c r="B15" s="107"/>
      <c r="C15" s="107"/>
      <c r="D15" s="108"/>
      <c r="E15" s="108"/>
      <c r="F15" s="108"/>
      <c r="G15" s="108"/>
      <c r="H15" s="108"/>
      <c r="I15" s="108"/>
      <c r="J15" s="108"/>
      <c r="K15" s="108"/>
      <c r="L15" s="108"/>
      <c r="M15" s="108"/>
      <c r="N15" s="108"/>
      <c r="O15" s="108"/>
      <c r="P15" s="108"/>
      <c r="Q15" s="108"/>
      <c r="R15" s="108"/>
      <c r="S15" s="108"/>
      <c r="T15" s="108"/>
      <c r="V15" s="102"/>
      <c r="W15" s="102"/>
      <c r="X15" s="102"/>
      <c r="Y15" s="17"/>
    </row>
    <row r="16" spans="1:25" ht="21" customHeight="1" x14ac:dyDescent="0.25">
      <c r="A16" s="8">
        <v>44725</v>
      </c>
      <c r="B16" s="107"/>
      <c r="C16" s="107"/>
      <c r="D16" s="108"/>
      <c r="E16" s="108"/>
      <c r="F16" s="108"/>
      <c r="G16" s="108"/>
      <c r="H16" s="108"/>
      <c r="I16" s="108"/>
      <c r="J16" s="108"/>
      <c r="K16" s="108"/>
      <c r="L16" s="108"/>
      <c r="M16" s="108"/>
      <c r="N16" s="108"/>
      <c r="O16" s="108"/>
      <c r="P16" s="108"/>
      <c r="Q16" s="108"/>
      <c r="R16" s="108"/>
      <c r="S16" s="108"/>
      <c r="T16" s="108"/>
      <c r="V16" s="102"/>
      <c r="W16" s="102"/>
      <c r="X16" s="102"/>
      <c r="Y16" s="17"/>
    </row>
    <row r="17" spans="1:25" ht="21" customHeight="1" x14ac:dyDescent="0.25">
      <c r="A17" s="8">
        <v>44726</v>
      </c>
      <c r="B17" s="107"/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V17" s="102"/>
      <c r="W17" s="102"/>
      <c r="X17" s="102"/>
      <c r="Y17" s="17"/>
    </row>
    <row r="18" spans="1:25" ht="21" customHeight="1" x14ac:dyDescent="0.25">
      <c r="A18" s="8">
        <v>44727</v>
      </c>
      <c r="B18" s="107"/>
      <c r="C18" s="108"/>
      <c r="D18" s="108"/>
      <c r="E18" s="108"/>
      <c r="F18" s="108"/>
      <c r="G18" s="108"/>
      <c r="H18" s="108"/>
      <c r="I18" s="108"/>
      <c r="J18" s="108"/>
      <c r="K18" s="108"/>
      <c r="L18" s="108"/>
      <c r="M18" s="108"/>
      <c r="N18" s="108"/>
      <c r="O18" s="108"/>
      <c r="P18" s="108"/>
      <c r="Q18" s="108"/>
      <c r="R18" s="108"/>
      <c r="S18" s="108"/>
      <c r="T18" s="108"/>
      <c r="V18" s="102"/>
      <c r="W18" s="102"/>
      <c r="X18" s="102"/>
      <c r="Y18" s="17"/>
    </row>
    <row r="19" spans="1:25" ht="21" customHeight="1" x14ac:dyDescent="0.25">
      <c r="A19" s="8">
        <v>44728</v>
      </c>
      <c r="B19" s="107"/>
      <c r="C19" s="108"/>
      <c r="D19" s="108"/>
      <c r="E19" s="108"/>
      <c r="F19" s="108"/>
      <c r="G19" s="108"/>
      <c r="H19" s="108"/>
      <c r="I19" s="108"/>
      <c r="J19" s="108"/>
      <c r="K19" s="108"/>
      <c r="L19" s="108"/>
      <c r="M19" s="108"/>
      <c r="N19" s="108"/>
      <c r="O19" s="108"/>
      <c r="P19" s="108"/>
      <c r="Q19" s="108"/>
      <c r="R19" s="108"/>
      <c r="S19" s="108"/>
      <c r="T19" s="108"/>
      <c r="V19" s="102"/>
      <c r="W19" s="102"/>
      <c r="X19" s="102"/>
      <c r="Y19" s="17"/>
    </row>
    <row r="20" spans="1:25" ht="21" customHeight="1" x14ac:dyDescent="0.25">
      <c r="A20" s="8">
        <v>44729</v>
      </c>
      <c r="B20" s="107"/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8"/>
      <c r="Q20" s="108"/>
      <c r="R20" s="108"/>
      <c r="S20" s="108"/>
      <c r="T20" s="108"/>
      <c r="V20" s="102"/>
      <c r="W20" s="102"/>
      <c r="X20" s="102"/>
      <c r="Y20" s="17"/>
    </row>
    <row r="21" spans="1:25" ht="21" customHeight="1" x14ac:dyDescent="0.25">
      <c r="A21" s="8">
        <v>44730</v>
      </c>
      <c r="B21" s="107"/>
      <c r="C21" s="108"/>
      <c r="D21" s="108"/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8"/>
      <c r="R21" s="108"/>
      <c r="S21" s="108"/>
      <c r="T21" s="108"/>
      <c r="V21" s="102"/>
      <c r="W21" s="102"/>
      <c r="X21" s="102"/>
      <c r="Y21" s="17"/>
    </row>
    <row r="22" spans="1:25" ht="21" customHeight="1" x14ac:dyDescent="0.25">
      <c r="A22" s="8">
        <v>44731</v>
      </c>
      <c r="B22" s="107"/>
      <c r="C22" s="108"/>
      <c r="D22" s="108"/>
      <c r="E22" s="108"/>
      <c r="F22" s="108"/>
      <c r="G22" s="108"/>
      <c r="H22" s="108"/>
      <c r="I22" s="108"/>
      <c r="J22" s="108"/>
      <c r="K22" s="108"/>
      <c r="L22" s="108"/>
      <c r="M22" s="108"/>
      <c r="N22" s="108"/>
      <c r="O22" s="108"/>
      <c r="P22" s="108"/>
      <c r="Q22" s="108"/>
      <c r="R22" s="108"/>
      <c r="S22" s="108"/>
      <c r="T22" s="108"/>
      <c r="V22" s="102"/>
      <c r="W22" s="102"/>
      <c r="X22" s="102"/>
      <c r="Y22" s="17"/>
    </row>
    <row r="23" spans="1:25" ht="21" customHeight="1" x14ac:dyDescent="0.25">
      <c r="A23" s="8">
        <v>44732</v>
      </c>
      <c r="B23" s="107"/>
      <c r="C23" s="108"/>
      <c r="D23" s="108"/>
      <c r="E23" s="108"/>
      <c r="F23" s="108"/>
      <c r="G23" s="108"/>
      <c r="H23" s="108"/>
      <c r="I23" s="108"/>
      <c r="J23" s="108"/>
      <c r="K23" s="108"/>
      <c r="L23" s="108"/>
      <c r="M23" s="108"/>
      <c r="N23" s="108"/>
      <c r="O23" s="108"/>
      <c r="P23" s="108"/>
      <c r="Q23" s="108"/>
      <c r="R23" s="108"/>
      <c r="S23" s="108"/>
      <c r="T23" s="108"/>
      <c r="V23" s="102"/>
      <c r="W23" s="102"/>
      <c r="X23" s="102"/>
      <c r="Y23" s="17"/>
    </row>
    <row r="24" spans="1:25" ht="21" customHeight="1" x14ac:dyDescent="0.25">
      <c r="A24" s="8">
        <v>44733</v>
      </c>
      <c r="B24" s="107"/>
      <c r="C24" s="108"/>
      <c r="D24" s="108"/>
      <c r="E24" s="108"/>
      <c r="F24" s="108"/>
      <c r="G24" s="108"/>
      <c r="H24" s="108"/>
      <c r="I24" s="108"/>
      <c r="J24" s="108"/>
      <c r="K24" s="108"/>
      <c r="L24" s="108"/>
      <c r="M24" s="108"/>
      <c r="N24" s="108"/>
      <c r="O24" s="108"/>
      <c r="P24" s="108"/>
      <c r="Q24" s="108"/>
      <c r="R24" s="108"/>
      <c r="S24" s="108"/>
      <c r="T24" s="108"/>
      <c r="V24" s="102"/>
      <c r="W24" s="102"/>
      <c r="X24" s="102"/>
      <c r="Y24" s="17"/>
    </row>
    <row r="25" spans="1:25" ht="21" customHeight="1" x14ac:dyDescent="0.25">
      <c r="A25" s="8">
        <v>44734</v>
      </c>
      <c r="B25" s="107"/>
      <c r="C25" s="108"/>
      <c r="D25" s="108"/>
      <c r="E25" s="108"/>
      <c r="F25" s="108"/>
      <c r="G25" s="108"/>
      <c r="H25" s="108"/>
      <c r="I25" s="108"/>
      <c r="J25" s="108"/>
      <c r="K25" s="108"/>
      <c r="L25" s="108"/>
      <c r="M25" s="108"/>
      <c r="N25" s="108"/>
      <c r="O25" s="108"/>
      <c r="P25" s="108"/>
      <c r="Q25" s="108"/>
      <c r="R25" s="108"/>
      <c r="S25" s="108"/>
      <c r="T25" s="108"/>
      <c r="V25" s="102"/>
      <c r="W25" s="102"/>
      <c r="X25" s="102"/>
      <c r="Y25" s="17"/>
    </row>
    <row r="26" spans="1:25" ht="21" customHeight="1" x14ac:dyDescent="0.25">
      <c r="A26" s="8">
        <v>44735</v>
      </c>
      <c r="B26" s="107"/>
      <c r="C26" s="108"/>
      <c r="D26" s="108"/>
      <c r="E26" s="108"/>
      <c r="F26" s="108"/>
      <c r="G26" s="108"/>
      <c r="H26" s="108"/>
      <c r="I26" s="108"/>
      <c r="J26" s="108"/>
      <c r="K26" s="108"/>
      <c r="L26" s="108"/>
      <c r="M26" s="108"/>
      <c r="N26" s="108"/>
      <c r="O26" s="108"/>
      <c r="P26" s="108"/>
      <c r="Q26" s="108"/>
      <c r="R26" s="108"/>
      <c r="S26" s="108"/>
      <c r="T26" s="108"/>
      <c r="V26" s="102"/>
      <c r="W26" s="102"/>
      <c r="X26" s="102"/>
      <c r="Y26" s="17"/>
    </row>
    <row r="27" spans="1:25" ht="21" customHeight="1" x14ac:dyDescent="0.25">
      <c r="A27" s="8">
        <v>44736</v>
      </c>
      <c r="B27" s="107"/>
      <c r="C27" s="108"/>
      <c r="D27" s="108"/>
      <c r="E27" s="108"/>
      <c r="F27" s="108"/>
      <c r="G27" s="108"/>
      <c r="H27" s="108"/>
      <c r="I27" s="108"/>
      <c r="J27" s="108"/>
      <c r="K27" s="108"/>
      <c r="L27" s="108"/>
      <c r="M27" s="108"/>
      <c r="N27" s="108"/>
      <c r="O27" s="108"/>
      <c r="P27" s="108"/>
      <c r="Q27" s="108"/>
      <c r="R27" s="108"/>
      <c r="S27" s="108"/>
      <c r="T27" s="108"/>
      <c r="V27" s="102"/>
      <c r="W27" s="102"/>
      <c r="X27" s="102"/>
      <c r="Y27" s="17"/>
    </row>
    <row r="28" spans="1:25" ht="21" customHeight="1" x14ac:dyDescent="0.25">
      <c r="A28" s="8">
        <v>44737</v>
      </c>
      <c r="B28" s="107"/>
      <c r="C28" s="108"/>
      <c r="D28" s="108"/>
      <c r="E28" s="108"/>
      <c r="F28" s="108"/>
      <c r="G28" s="108"/>
      <c r="H28" s="108"/>
      <c r="I28" s="108"/>
      <c r="J28" s="108"/>
      <c r="K28" s="108"/>
      <c r="L28" s="108"/>
      <c r="M28" s="108"/>
      <c r="N28" s="108"/>
      <c r="O28" s="108"/>
      <c r="P28" s="108"/>
      <c r="Q28" s="108"/>
      <c r="R28" s="108"/>
      <c r="S28" s="108"/>
      <c r="T28" s="108"/>
      <c r="V28" s="102"/>
      <c r="W28" s="102"/>
      <c r="X28" s="102"/>
      <c r="Y28" s="17"/>
    </row>
    <row r="29" spans="1:25" ht="21" customHeight="1" x14ac:dyDescent="0.25">
      <c r="A29" s="8">
        <v>44738</v>
      </c>
      <c r="B29" s="107"/>
      <c r="C29" s="108"/>
      <c r="D29" s="108"/>
      <c r="E29" s="108"/>
      <c r="F29" s="108"/>
      <c r="G29" s="108"/>
      <c r="H29" s="108"/>
      <c r="I29" s="108"/>
      <c r="J29" s="108"/>
      <c r="K29" s="108"/>
      <c r="L29" s="108"/>
      <c r="M29" s="108"/>
      <c r="N29" s="108"/>
      <c r="O29" s="108"/>
      <c r="P29" s="108"/>
      <c r="Q29" s="108"/>
      <c r="R29" s="108"/>
      <c r="S29" s="108"/>
      <c r="T29" s="108"/>
      <c r="V29" s="102"/>
      <c r="W29" s="102"/>
      <c r="X29" s="102"/>
      <c r="Y29" s="17"/>
    </row>
    <row r="30" spans="1:25" ht="21" customHeight="1" x14ac:dyDescent="0.25">
      <c r="A30" s="8">
        <v>44739</v>
      </c>
      <c r="B30" s="107"/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V30" s="102"/>
      <c r="W30" s="102"/>
      <c r="X30" s="102"/>
      <c r="Y30" s="17"/>
    </row>
    <row r="31" spans="1:25" ht="21" customHeight="1" x14ac:dyDescent="0.25">
      <c r="A31" s="8">
        <v>44740</v>
      </c>
      <c r="B31" s="107"/>
      <c r="C31" s="108"/>
      <c r="D31" s="108"/>
      <c r="E31" s="108"/>
      <c r="F31" s="108"/>
      <c r="G31" s="108"/>
      <c r="H31" s="108"/>
      <c r="I31" s="108"/>
      <c r="J31" s="108"/>
      <c r="K31" s="108"/>
      <c r="L31" s="108"/>
      <c r="M31" s="108"/>
      <c r="N31" s="108"/>
      <c r="O31" s="108"/>
      <c r="P31" s="108"/>
      <c r="Q31" s="108"/>
      <c r="R31" s="108"/>
      <c r="S31" s="108"/>
      <c r="T31" s="108"/>
      <c r="V31" s="102"/>
      <c r="W31" s="102"/>
      <c r="X31" s="102"/>
      <c r="Y31" s="17"/>
    </row>
    <row r="32" spans="1:25" ht="21" customHeight="1" x14ac:dyDescent="0.25">
      <c r="A32" s="8">
        <v>44741</v>
      </c>
      <c r="B32" s="105"/>
      <c r="C32" s="105"/>
      <c r="D32" s="105"/>
      <c r="E32" s="110"/>
      <c r="F32" s="105"/>
      <c r="G32" s="105"/>
      <c r="H32" s="105"/>
      <c r="I32" s="105"/>
      <c r="J32" s="105"/>
      <c r="K32" s="105"/>
      <c r="L32" s="105"/>
      <c r="M32" s="105"/>
      <c r="N32" s="105"/>
      <c r="O32" s="105"/>
      <c r="P32" s="105"/>
      <c r="Q32" s="105"/>
      <c r="R32" s="108"/>
      <c r="S32" s="118"/>
      <c r="T32" s="105"/>
      <c r="V32" s="102"/>
      <c r="W32" s="102"/>
      <c r="X32" s="102"/>
      <c r="Y32" s="17"/>
    </row>
    <row r="33" spans="1:25" ht="19.5" customHeight="1" x14ac:dyDescent="0.25">
      <c r="A33" s="8">
        <v>44742</v>
      </c>
      <c r="B33" s="105"/>
      <c r="C33" s="118"/>
      <c r="D33" s="105"/>
      <c r="E33" s="110"/>
      <c r="F33" s="105"/>
      <c r="G33" s="105"/>
      <c r="H33" s="105"/>
      <c r="I33" s="105"/>
      <c r="J33" s="105"/>
      <c r="K33" s="105"/>
      <c r="L33" s="105"/>
      <c r="M33" s="105"/>
      <c r="N33" s="105"/>
      <c r="O33" s="105"/>
      <c r="P33" s="105"/>
      <c r="Q33" s="105"/>
      <c r="R33" s="108"/>
      <c r="S33" s="118"/>
      <c r="T33" s="105"/>
      <c r="V33" s="102"/>
      <c r="W33" s="102"/>
      <c r="X33" s="102"/>
      <c r="Y33" s="17"/>
    </row>
    <row r="34" spans="1:25" ht="19.5" customHeight="1" x14ac:dyDescent="0.25">
      <c r="A34" s="8">
        <v>44743</v>
      </c>
      <c r="B34" s="117"/>
      <c r="C34" s="117"/>
      <c r="D34" s="1"/>
      <c r="E34" s="1"/>
      <c r="F34" s="117"/>
      <c r="G34" s="117"/>
      <c r="H34" s="117"/>
      <c r="I34" s="117"/>
      <c r="J34" s="117"/>
      <c r="K34" s="117"/>
      <c r="L34" s="117"/>
      <c r="M34" s="117"/>
      <c r="N34" s="117"/>
      <c r="O34" s="117"/>
      <c r="P34" s="117"/>
      <c r="Q34" s="117"/>
      <c r="R34" s="105"/>
      <c r="S34" s="117"/>
      <c r="T34" s="117"/>
      <c r="V34" s="102"/>
      <c r="W34" s="102"/>
      <c r="X34" s="102"/>
    </row>
    <row r="35" spans="1:25" ht="21" customHeight="1" x14ac:dyDescent="0.25">
      <c r="A35" s="8"/>
      <c r="B35" s="1"/>
      <c r="C35" s="117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V35" s="75">
        <f>SUM(V4:V34)</f>
        <v>212</v>
      </c>
      <c r="W35" s="75">
        <f>SUM(W4:W34)</f>
        <v>610</v>
      </c>
      <c r="X35" s="75">
        <f>SUM(X4:X34)</f>
        <v>1467</v>
      </c>
    </row>
    <row r="36" spans="1:25" x14ac:dyDescent="0.25">
      <c r="S36" s="119"/>
    </row>
    <row r="42" spans="1:25" x14ac:dyDescent="0.25">
      <c r="T42" s="15" t="s">
        <v>29</v>
      </c>
    </row>
  </sheetData>
  <sheetProtection insertColumns="0" insertRows="0" insertHyperlinks="0" deleteColumns="0" deleteRows="0"/>
  <mergeCells count="21">
    <mergeCell ref="S2:S3"/>
    <mergeCell ref="V2:V3"/>
    <mergeCell ref="W2:W3"/>
    <mergeCell ref="X2:X3"/>
    <mergeCell ref="T2:T3"/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D4" activePane="bottomRight" state="frozen"/>
      <selection pane="topRight" activeCell="C1" sqref="C1"/>
      <selection pane="bottomLeft" activeCell="A4" sqref="A4"/>
      <selection pane="bottomRight" activeCell="A34" sqref="A34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5.7109375" bestFit="1" customWidth="1"/>
  </cols>
  <sheetData>
    <row r="2" spans="1:22" x14ac:dyDescent="0.25">
      <c r="A2" s="131" t="s">
        <v>30</v>
      </c>
      <c r="B2" s="133" t="s">
        <v>31</v>
      </c>
      <c r="C2" s="133" t="s">
        <v>32</v>
      </c>
      <c r="D2" s="133" t="s">
        <v>118</v>
      </c>
      <c r="E2" s="131" t="s">
        <v>33</v>
      </c>
      <c r="F2" s="141" t="s">
        <v>34</v>
      </c>
      <c r="G2" s="142"/>
      <c r="H2" s="143"/>
      <c r="I2" s="144" t="s">
        <v>35</v>
      </c>
      <c r="J2" s="144" t="s">
        <v>36</v>
      </c>
      <c r="K2" s="144" t="s">
        <v>37</v>
      </c>
      <c r="L2" s="144" t="s">
        <v>38</v>
      </c>
      <c r="M2" s="145" t="s">
        <v>39</v>
      </c>
      <c r="N2" s="145"/>
      <c r="O2" s="145"/>
      <c r="P2" s="145"/>
      <c r="Q2" s="145"/>
      <c r="R2" s="145"/>
      <c r="S2" s="144" t="s">
        <v>40</v>
      </c>
      <c r="T2" s="144"/>
      <c r="U2" s="146" t="s">
        <v>41</v>
      </c>
      <c r="V2" s="144" t="s">
        <v>42</v>
      </c>
    </row>
    <row r="3" spans="1:22" x14ac:dyDescent="0.25">
      <c r="A3" s="132"/>
      <c r="B3" s="134"/>
      <c r="C3" s="134"/>
      <c r="D3" s="134"/>
      <c r="E3" s="132"/>
      <c r="F3" s="6" t="s">
        <v>26</v>
      </c>
      <c r="G3" s="6" t="s">
        <v>27</v>
      </c>
      <c r="H3" s="6" t="s">
        <v>28</v>
      </c>
      <c r="I3" s="144"/>
      <c r="J3" s="144"/>
      <c r="K3" s="144"/>
      <c r="L3" s="144"/>
      <c r="M3" s="12" t="s">
        <v>43</v>
      </c>
      <c r="N3" s="12" t="s">
        <v>44</v>
      </c>
      <c r="O3" s="12" t="s">
        <v>45</v>
      </c>
      <c r="P3" s="12" t="s">
        <v>46</v>
      </c>
      <c r="Q3" s="12" t="s">
        <v>47</v>
      </c>
      <c r="R3" s="12" t="s">
        <v>48</v>
      </c>
      <c r="S3" s="12" t="s">
        <v>49</v>
      </c>
      <c r="T3" s="13" t="s">
        <v>50</v>
      </c>
      <c r="U3" s="146"/>
      <c r="V3" s="144"/>
    </row>
    <row r="4" spans="1:22" x14ac:dyDescent="0.25">
      <c r="A4" s="3">
        <f>'Kwh Reading'!A4</f>
        <v>44713</v>
      </c>
      <c r="B4" s="26">
        <f>TOTAL!E2</f>
        <v>21320.000000000618</v>
      </c>
      <c r="C4" s="4">
        <f>('Kwh Reading'!T5-'Kwh Reading'!T4)*1000</f>
        <v>500</v>
      </c>
      <c r="D4" s="2">
        <f>('Kwh Reading'!F5-'Kwh Reading'!F4)*1000000</f>
        <v>2699.9999999999245</v>
      </c>
      <c r="E4" s="2">
        <f>('Kwh Reading'!C5-'Kwh Reading'!C4)*1000</f>
        <v>230.00000000001819</v>
      </c>
      <c r="F4" s="2">
        <f>('Kwh Reading'!J5-'Kwh Reading'!J4)*1000</f>
        <v>530.00000000002956</v>
      </c>
      <c r="G4" s="2">
        <f>('Kwh Reading'!K5-'Kwh Reading'!K4)*1000</f>
        <v>340.00000000003183</v>
      </c>
      <c r="H4" s="2">
        <f>('Kwh Reading'!L5-'Kwh Reading'!L4)*1000</f>
        <v>240.00000000000909</v>
      </c>
      <c r="I4" s="2">
        <f>('Kwh Reading'!R5-'Kwh Reading'!R4)*1000</f>
        <v>0</v>
      </c>
      <c r="J4" s="2">
        <f>('Kwh Reading'!S5-'Kwh Reading'!S4)*1000</f>
        <v>140.00000000001478</v>
      </c>
      <c r="K4" s="2">
        <f>('Kwh Reading'!I5-'Kwh Reading'!I4)*1000</f>
        <v>339.99999999997499</v>
      </c>
      <c r="L4" s="2">
        <f>('Kwh Reading'!B5-'Kwh Reading'!B4)*1000000</f>
        <v>1100.000000000101</v>
      </c>
      <c r="M4" s="2">
        <f>('Kwh Reading'!M5-'Kwh Reading'!M4)*1000</f>
        <v>810.00000000005912</v>
      </c>
      <c r="N4" s="2">
        <f>('Kwh Reading'!H5-'Kwh Reading'!H4)*1000</f>
        <v>1120.0000000000045</v>
      </c>
      <c r="O4" s="2">
        <f>('Kwh Reading'!P5-'Kwh Reading'!P4)*1000</f>
        <v>659.99999999996817</v>
      </c>
      <c r="P4" s="2">
        <f>('Kwh Reading'!G5-'Kwh Reading'!G4)*1000000</f>
        <v>699.99999999992292</v>
      </c>
      <c r="Q4" s="2">
        <f>('Kwh Reading'!Q5-'Kwh Reading'!Q4)*1000</f>
        <v>570.00000000005002</v>
      </c>
      <c r="R4" s="2">
        <f>('Kwh Reading'!N5-'Kwh Reading'!N4)*1000</f>
        <v>259.99999999999091</v>
      </c>
      <c r="S4" s="2">
        <f>'Kwh Reading'!E5-'Kwh Reading'!E4</f>
        <v>2837.3000000007451</v>
      </c>
      <c r="T4" s="2">
        <f>'Kwh Reading'!D5-'Kwh Reading'!D4</f>
        <v>1877.3799999998882</v>
      </c>
      <c r="U4" s="27">
        <f>('Kwh Reading'!O5-'Kwh Reading'!O4)*1000</f>
        <v>210.00000000000796</v>
      </c>
      <c r="V4" s="16">
        <f>B4-(SUM(C4:U4))</f>
        <v>6155.3199999998778</v>
      </c>
    </row>
    <row r="5" spans="1:22" x14ac:dyDescent="0.25">
      <c r="A5" s="3">
        <f>'Kwh Reading'!A5</f>
        <v>44714</v>
      </c>
      <c r="B5" s="26">
        <f>TOTAL!E3</f>
        <v>22170.000000000757</v>
      </c>
      <c r="C5" s="4">
        <f>('Kwh Reading'!T6-'Kwh Reading'!T5)*1000</f>
        <v>500</v>
      </c>
      <c r="D5" s="2">
        <f>('Kwh Reading'!F6-'Kwh Reading'!F5)*1000000</f>
        <v>2700.0000000003688</v>
      </c>
      <c r="E5" s="2">
        <f>('Kwh Reading'!C6-'Kwh Reading'!C5)*1000</f>
        <v>239.99999999995225</v>
      </c>
      <c r="F5" s="2">
        <f>('Kwh Reading'!J6-'Kwh Reading'!J5)*1000</f>
        <v>269.99999999998181</v>
      </c>
      <c r="G5" s="2">
        <f>('Kwh Reading'!K6-'Kwh Reading'!K5)*1000</f>
        <v>250</v>
      </c>
      <c r="H5" s="2">
        <f>('Kwh Reading'!L6-'Kwh Reading'!L5)*1000</f>
        <v>220.00000000002728</v>
      </c>
      <c r="I5" s="2">
        <f>('Kwh Reading'!R6-'Kwh Reading'!R5)*1000</f>
        <v>0</v>
      </c>
      <c r="J5" s="2">
        <f>('Kwh Reading'!S6-'Kwh Reading'!S5)*1000</f>
        <v>150.00000000000568</v>
      </c>
      <c r="K5" s="2">
        <f>('Kwh Reading'!I6-'Kwh Reading'!I5)*1000</f>
        <v>360.00000000001364</v>
      </c>
      <c r="L5" s="2">
        <f>('Kwh Reading'!B6-'Kwh Reading'!B5)*1000000</f>
        <v>1100.000000000101</v>
      </c>
      <c r="M5" s="2">
        <f>('Kwh Reading'!M6-'Kwh Reading'!M5)*1000</f>
        <v>860.00000000001364</v>
      </c>
      <c r="N5" s="2">
        <f>('Kwh Reading'!H6-'Kwh Reading'!H5)*1000</f>
        <v>1289.9999999999636</v>
      </c>
      <c r="O5" s="2">
        <f>('Kwh Reading'!P6-'Kwh Reading'!P5)*1000</f>
        <v>720.00000000002728</v>
      </c>
      <c r="P5" s="2">
        <f>('Kwh Reading'!G6-'Kwh Reading'!G5)*1000000</f>
        <v>900.0000000001229</v>
      </c>
      <c r="Q5" s="2">
        <f>('Kwh Reading'!Q6-'Kwh Reading'!Q5)*1000</f>
        <v>709.99999999992269</v>
      </c>
      <c r="R5" s="2">
        <f>('Kwh Reading'!N6-'Kwh Reading'!N5)*1000</f>
        <v>280.0000000000864</v>
      </c>
      <c r="S5" s="2">
        <f>'Kwh Reading'!E6-'Kwh Reading'!E5</f>
        <v>3137.3499999996275</v>
      </c>
      <c r="T5" s="2">
        <f>'Kwh Reading'!D6-'Kwh Reading'!D5</f>
        <v>1891.7199999997392</v>
      </c>
      <c r="U5" s="27">
        <f>('Kwh Reading'!O6-'Kwh Reading'!O5)*1000</f>
        <v>199.99999999998863</v>
      </c>
      <c r="V5" s="16">
        <f t="shared" ref="V5:V11" si="0">B5-(SUM(C5:U5))</f>
        <v>6390.9300000008116</v>
      </c>
    </row>
    <row r="6" spans="1:22" x14ac:dyDescent="0.25">
      <c r="A6" s="3">
        <f>'Kwh Reading'!A6</f>
        <v>44715</v>
      </c>
      <c r="B6" s="26">
        <f>TOTAL!E4</f>
        <v>21599.999999998545</v>
      </c>
      <c r="C6" s="4">
        <f>('Kwh Reading'!T7-'Kwh Reading'!T6)*1000</f>
        <v>279.99999999997272</v>
      </c>
      <c r="D6" s="2">
        <f>('Kwh Reading'!F7-'Kwh Reading'!F6)*1000000</f>
        <v>2699.9999999999245</v>
      </c>
      <c r="E6" s="2">
        <f>('Kwh Reading'!C7-'Kwh Reading'!C6)*1000</f>
        <v>250</v>
      </c>
      <c r="F6" s="2">
        <f>('Kwh Reading'!J7-'Kwh Reading'!J6)*1000</f>
        <v>410.00000000002501</v>
      </c>
      <c r="G6" s="2">
        <f>('Kwh Reading'!K7-'Kwh Reading'!K6)*1000</f>
        <v>310.00000000000227</v>
      </c>
      <c r="H6" s="2">
        <f>('Kwh Reading'!L7-'Kwh Reading'!L6)*1000</f>
        <v>219.99999999997044</v>
      </c>
      <c r="I6" s="2">
        <f>('Kwh Reading'!R7-'Kwh Reading'!R6)*1000</f>
        <v>0</v>
      </c>
      <c r="J6" s="2">
        <f>('Kwh Reading'!S7-'Kwh Reading'!S6)*1000</f>
        <v>129.99999999999545</v>
      </c>
      <c r="K6" s="2">
        <f>('Kwh Reading'!I7-'Kwh Reading'!I6)*1000</f>
        <v>370.00000000000455</v>
      </c>
      <c r="L6" s="2">
        <f>('Kwh Reading'!B7-'Kwh Reading'!B6)*1000000</f>
        <v>999.99999999988984</v>
      </c>
      <c r="M6" s="2">
        <f>('Kwh Reading'!M7-'Kwh Reading'!M6)*1000</f>
        <v>879.99999999999545</v>
      </c>
      <c r="N6" s="2">
        <f>('Kwh Reading'!H7-'Kwh Reading'!H6)*1000</f>
        <v>1350.0000000000227</v>
      </c>
      <c r="O6" s="2">
        <f>('Kwh Reading'!P7-'Kwh Reading'!P6)*1000</f>
        <v>720.00000000002728</v>
      </c>
      <c r="P6" s="2">
        <f>('Kwh Reading'!G7-'Kwh Reading'!G6)*1000000</f>
        <v>899.99999999990087</v>
      </c>
      <c r="Q6" s="2">
        <f>('Kwh Reading'!Q7-'Kwh Reading'!Q6)*1000</f>
        <v>770.0000000000955</v>
      </c>
      <c r="R6" s="2">
        <f>('Kwh Reading'!N7-'Kwh Reading'!N6)*1000</f>
        <v>259.99999999999091</v>
      </c>
      <c r="S6" s="2">
        <f>'Kwh Reading'!E7-'Kwh Reading'!E6</f>
        <v>2789.4000000003725</v>
      </c>
      <c r="T6" s="2">
        <f>'Kwh Reading'!D7-'Kwh Reading'!D6</f>
        <v>1966.2000000001863</v>
      </c>
      <c r="U6" s="27">
        <f>('Kwh Reading'!O7-'Kwh Reading'!O6)*1000</f>
        <v>199.99999999998863</v>
      </c>
      <c r="V6" s="16">
        <f t="shared" si="0"/>
        <v>6094.3999999981806</v>
      </c>
    </row>
    <row r="7" spans="1:22" x14ac:dyDescent="0.25">
      <c r="A7" s="3">
        <f>'Kwh Reading'!A7</f>
        <v>44716</v>
      </c>
      <c r="B7" s="26">
        <f>TOTAL!E5</f>
        <v>21829.999999999472</v>
      </c>
      <c r="C7" s="4">
        <f>('Kwh Reading'!T8-'Kwh Reading'!T7)*1000</f>
        <v>480.00000000001819</v>
      </c>
      <c r="D7" s="2">
        <f>('Kwh Reading'!F8-'Kwh Reading'!F7)*1000000</f>
        <v>2699.9999999999245</v>
      </c>
      <c r="E7" s="2">
        <f>('Kwh Reading'!C8-'Kwh Reading'!C7)*1000</f>
        <v>4220.0000000000273</v>
      </c>
      <c r="F7" s="2">
        <f>('Kwh Reading'!J8-'Kwh Reading'!J7)*1000</f>
        <v>360.00000000001364</v>
      </c>
      <c r="G7" s="2">
        <f>('Kwh Reading'!K8-'Kwh Reading'!K7)*1000</f>
        <v>500270.00000000006</v>
      </c>
      <c r="H7" s="2">
        <f>('Kwh Reading'!L8-'Kwh Reading'!L7)*1000</f>
        <v>209.99999999997954</v>
      </c>
      <c r="I7" s="2">
        <f>('Kwh Reading'!R8-'Kwh Reading'!R7)*1000</f>
        <v>0</v>
      </c>
      <c r="J7" s="2">
        <f>('Kwh Reading'!S8-'Kwh Reading'!S7)*1000</f>
        <v>139.99999999998636</v>
      </c>
      <c r="K7" s="2">
        <f>('Kwh Reading'!I8-'Kwh Reading'!I7)*1000</f>
        <v>359.9999999999568</v>
      </c>
      <c r="L7" s="2">
        <f>('Kwh Reading'!B8-'Kwh Reading'!B7)*1000000</f>
        <v>1100.000000000101</v>
      </c>
      <c r="M7" s="2">
        <f>('Kwh Reading'!M8-'Kwh Reading'!M7)*1000</f>
        <v>889.99999999998636</v>
      </c>
      <c r="N7" s="2">
        <f>('Kwh Reading'!H8-'Kwh Reading'!H7)*1000</f>
        <v>1240.0000000000091</v>
      </c>
      <c r="O7" s="2">
        <f>('Kwh Reading'!P8-'Kwh Reading'!P7)*1000</f>
        <v>699.99999999993179</v>
      </c>
      <c r="P7" s="2">
        <f>('Kwh Reading'!G8-'Kwh Reading'!G7)*1000000</f>
        <v>899.99999999990087</v>
      </c>
      <c r="Q7" s="2">
        <f>('Kwh Reading'!Q8-'Kwh Reading'!Q7)*1000</f>
        <v>639.99999999998636</v>
      </c>
      <c r="R7" s="2">
        <f>('Kwh Reading'!N8-'Kwh Reading'!N7)*1000</f>
        <v>259.99999999999091</v>
      </c>
      <c r="S7" s="2">
        <f>'Kwh Reading'!E8-'Kwh Reading'!E7</f>
        <v>3014.6199999991804</v>
      </c>
      <c r="T7" s="2">
        <f>'Kwh Reading'!D8-'Kwh Reading'!D7</f>
        <v>1832.019999999553</v>
      </c>
      <c r="U7" s="27">
        <f>('Kwh Reading'!O8-'Kwh Reading'!O7)*1000</f>
        <v>200.00000000001705</v>
      </c>
      <c r="V7" s="16">
        <f t="shared" si="0"/>
        <v>-497686.6399999992</v>
      </c>
    </row>
    <row r="8" spans="1:22" x14ac:dyDescent="0.25">
      <c r="A8" s="3">
        <f>'Kwh Reading'!A8</f>
        <v>44717</v>
      </c>
      <c r="B8" s="26">
        <f>TOTAL!E6</f>
        <v>21140.000000001011</v>
      </c>
      <c r="C8" s="4">
        <f>('Kwh Reading'!T9-'Kwh Reading'!T8)*1000</f>
        <v>459.99999999992269</v>
      </c>
      <c r="D8" s="2">
        <f>('Kwh Reading'!F9-'Kwh Reading'!F8)*1000000</f>
        <v>2800.0000000001355</v>
      </c>
      <c r="E8" s="2">
        <f>('Kwh Reading'!C9-'Kwh Reading'!C8)*1000</f>
        <v>-3790.0000000000205</v>
      </c>
      <c r="F8" s="2">
        <f>('Kwh Reading'!J9-'Kwh Reading'!J8)*1000</f>
        <v>310.00000000000227</v>
      </c>
      <c r="G8" s="2">
        <f>('Kwh Reading'!K9-'Kwh Reading'!K8)*1000</f>
        <v>-499730.00000000006</v>
      </c>
      <c r="H8" s="2">
        <f>('Kwh Reading'!L9-'Kwh Reading'!L8)*1000</f>
        <v>210.00000000003638</v>
      </c>
      <c r="I8" s="2">
        <f>('Kwh Reading'!R9-'Kwh Reading'!R8)*1000</f>
        <v>0</v>
      </c>
      <c r="J8" s="2">
        <f>('Kwh Reading'!S9-'Kwh Reading'!S8)*1000</f>
        <v>140.00000000001478</v>
      </c>
      <c r="K8" s="2">
        <f>('Kwh Reading'!I9-'Kwh Reading'!I8)*1000</f>
        <v>340.00000000003183</v>
      </c>
      <c r="L8" s="2">
        <f>('Kwh Reading'!B9-'Kwh Reading'!B8)*1000000</f>
        <v>999.99999999988984</v>
      </c>
      <c r="M8" s="2">
        <f>('Kwh Reading'!M9-'Kwh Reading'!M8)*1000</f>
        <v>850.00000000002274</v>
      </c>
      <c r="N8" s="2">
        <f>('Kwh Reading'!H9-'Kwh Reading'!H8)*1000</f>
        <v>1100.0000000000227</v>
      </c>
      <c r="O8" s="2">
        <f>('Kwh Reading'!P9-'Kwh Reading'!P8)*1000</f>
        <v>670.00000000007276</v>
      </c>
      <c r="P8" s="2">
        <f>('Kwh Reading'!G9-'Kwh Reading'!G8)*1000000</f>
        <v>900.0000000001229</v>
      </c>
      <c r="Q8" s="2">
        <f>('Kwh Reading'!Q9-'Kwh Reading'!Q8)*1000</f>
        <v>629.99999999999545</v>
      </c>
      <c r="R8" s="2">
        <f>('Kwh Reading'!N9-'Kwh Reading'!N8)*1000</f>
        <v>259.99999999999091</v>
      </c>
      <c r="S8" s="2">
        <f>'Kwh Reading'!E9-'Kwh Reading'!E8</f>
        <v>2945.1800000015646</v>
      </c>
      <c r="T8" s="2">
        <f>'Kwh Reading'!D9-'Kwh Reading'!D8</f>
        <v>1950.7400000002235</v>
      </c>
      <c r="U8" s="27">
        <f>('Kwh Reading'!O9-'Kwh Reading'!O8)*1000</f>
        <v>189.99999999999773</v>
      </c>
      <c r="V8" s="16">
        <f t="shared" si="0"/>
        <v>509904.07999999903</v>
      </c>
    </row>
    <row r="9" spans="1:22" x14ac:dyDescent="0.25">
      <c r="A9" s="3">
        <f>'Kwh Reading'!A9</f>
        <v>44718</v>
      </c>
      <c r="B9" s="26">
        <f>TOTAL!E7</f>
        <v>21080.000000000837</v>
      </c>
      <c r="C9" s="4">
        <f>('Kwh Reading'!T10-'Kwh Reading'!T9)*1000</f>
        <v>519.99999999998181</v>
      </c>
      <c r="D9" s="2">
        <f>('Kwh Reading'!F10-'Kwh Reading'!F9)*1000000</f>
        <v>2599.9999999997135</v>
      </c>
      <c r="E9" s="2">
        <f>('Kwh Reading'!C10-'Kwh Reading'!C9)*1000</f>
        <v>220.00000000002728</v>
      </c>
      <c r="F9" s="2">
        <f>('Kwh Reading'!J10-'Kwh Reading'!J9)*1000</f>
        <v>439.99999999999773</v>
      </c>
      <c r="G9" s="2">
        <f>('Kwh Reading'!K10-'Kwh Reading'!K9)*1000</f>
        <v>270.00000000003865</v>
      </c>
      <c r="H9" s="2">
        <f>('Kwh Reading'!L10-'Kwh Reading'!L9)*1000</f>
        <v>219.99999999997044</v>
      </c>
      <c r="I9" s="2">
        <f>('Kwh Reading'!R10-'Kwh Reading'!R9)*1000</f>
        <v>0</v>
      </c>
      <c r="J9" s="2">
        <f>('Kwh Reading'!S10-'Kwh Reading'!S9)*1000</f>
        <v>139.99999999998636</v>
      </c>
      <c r="K9" s="2">
        <f>('Kwh Reading'!I10-'Kwh Reading'!I9)*1000</f>
        <v>339.99999999997499</v>
      </c>
      <c r="L9" s="2">
        <f>('Kwh Reading'!B10-'Kwh Reading'!B9)*1000000</f>
        <v>1100.000000000101</v>
      </c>
      <c r="M9" s="2">
        <f>('Kwh Reading'!M10-'Kwh Reading'!M9)*1000</f>
        <v>829.99999999992724</v>
      </c>
      <c r="N9" s="2">
        <f>('Kwh Reading'!H10-'Kwh Reading'!H9)*1000</f>
        <v>1149.9999999999773</v>
      </c>
      <c r="O9" s="2">
        <f>('Kwh Reading'!P10-'Kwh Reading'!P9)*1000</f>
        <v>629.99999999999545</v>
      </c>
      <c r="P9" s="2">
        <f>('Kwh Reading'!G10-'Kwh Reading'!G9)*1000000</f>
        <v>999.99999999988984</v>
      </c>
      <c r="Q9" s="2">
        <f>('Kwh Reading'!Q10-'Kwh Reading'!Q9)*1000</f>
        <v>709.99999999992269</v>
      </c>
      <c r="R9" s="2">
        <f>('Kwh Reading'!N10-'Kwh Reading'!N9)*1000</f>
        <v>259.99999999999091</v>
      </c>
      <c r="S9" s="2">
        <f>'Kwh Reading'!E10-'Kwh Reading'!E9</f>
        <v>2910.2799999993294</v>
      </c>
      <c r="T9" s="2">
        <f>'Kwh Reading'!D10-'Kwh Reading'!D9</f>
        <v>1761.679999999702</v>
      </c>
      <c r="U9" s="27">
        <f>('Kwh Reading'!O10-'Kwh Reading'!O9)*1000</f>
        <v>229.99999999998977</v>
      </c>
      <c r="V9" s="16">
        <f t="shared" si="0"/>
        <v>5748.0400000023237</v>
      </c>
    </row>
    <row r="10" spans="1:22" x14ac:dyDescent="0.25">
      <c r="A10" s="3">
        <f>'Kwh Reading'!A10</f>
        <v>44719</v>
      </c>
      <c r="B10" s="26">
        <f>TOTAL!E8</f>
        <v>20589.999999998781</v>
      </c>
      <c r="C10" s="4">
        <f>('Kwh Reading'!T11-'Kwh Reading'!T10)*1000</f>
        <v>490.00000000000909</v>
      </c>
      <c r="D10" s="2">
        <f>('Kwh Reading'!F11-'Kwh Reading'!F10)*1000000</f>
        <v>2600.0000000001578</v>
      </c>
      <c r="E10" s="2">
        <f>('Kwh Reading'!C11-'Kwh Reading'!C10)*1000</f>
        <v>219.99999999997044</v>
      </c>
      <c r="F10" s="2">
        <f>('Kwh Reading'!J11-'Kwh Reading'!J10)*1000</f>
        <v>500</v>
      </c>
      <c r="G10" s="2">
        <f>('Kwh Reading'!K11-'Kwh Reading'!K10)*1000</f>
        <v>289.99999999996362</v>
      </c>
      <c r="H10" s="2">
        <f>('Kwh Reading'!L11-'Kwh Reading'!L10)*1000</f>
        <v>200.00000000004547</v>
      </c>
      <c r="I10" s="2">
        <f>('Kwh Reading'!R11-'Kwh Reading'!R10)*1000</f>
        <v>0</v>
      </c>
      <c r="J10" s="2">
        <f>('Kwh Reading'!S11-'Kwh Reading'!S10)*1000</f>
        <v>129.99999999999545</v>
      </c>
      <c r="K10" s="2">
        <f>('Kwh Reading'!I11-'Kwh Reading'!I10)*1000</f>
        <v>370.00000000000455</v>
      </c>
      <c r="L10" s="2">
        <f>('Kwh Reading'!B11-'Kwh Reading'!B10)*1000000</f>
        <v>999.99999999988984</v>
      </c>
      <c r="M10" s="2">
        <f>('Kwh Reading'!M11-'Kwh Reading'!M10)*1000</f>
        <v>720.00000000002728</v>
      </c>
      <c r="N10" s="2">
        <f>('Kwh Reading'!H11-'Kwh Reading'!H10)*1000</f>
        <v>1009.9999999999909</v>
      </c>
      <c r="O10" s="2">
        <f>('Kwh Reading'!P11-'Kwh Reading'!P10)*1000</f>
        <v>629.99999999999545</v>
      </c>
      <c r="P10" s="2">
        <f>('Kwh Reading'!G11-'Kwh Reading'!G10)*1000000</f>
        <v>900.0000000001229</v>
      </c>
      <c r="Q10" s="2">
        <f>('Kwh Reading'!Q11-'Kwh Reading'!Q10)*1000</f>
        <v>640.00000000010004</v>
      </c>
      <c r="R10" s="2">
        <f>('Kwh Reading'!N11-'Kwh Reading'!N10)*1000</f>
        <v>250</v>
      </c>
      <c r="S10" s="33">
        <f>'Kwh Reading'!E11-'Kwh Reading'!E10</f>
        <v>1873</v>
      </c>
      <c r="T10" s="33">
        <f>'Kwh Reading'!D11-'Kwh Reading'!D10</f>
        <v>1695.730000000447</v>
      </c>
      <c r="U10" s="27">
        <f>('Kwh Reading'!O11-'Kwh Reading'!O10)*1000</f>
        <v>210.00000000000796</v>
      </c>
      <c r="V10" s="16">
        <f t="shared" si="0"/>
        <v>6861.2699999980541</v>
      </c>
    </row>
    <row r="11" spans="1:22" x14ac:dyDescent="0.25">
      <c r="A11" s="3">
        <f>'Kwh Reading'!A11</f>
        <v>44720</v>
      </c>
      <c r="B11" s="26">
        <f>TOTAL!E9</f>
        <v>0</v>
      </c>
      <c r="C11" s="4">
        <f>('Kwh Reading'!T12-'Kwh Reading'!T11)*1000</f>
        <v>500</v>
      </c>
      <c r="D11" s="2">
        <f>('Kwh Reading'!F12-'Kwh Reading'!F11)*1000000</f>
        <v>2699.9999999999245</v>
      </c>
      <c r="E11" s="2">
        <f>('Kwh Reading'!C12-'Kwh Reading'!C11)*1000</f>
        <v>240.00000000000909</v>
      </c>
      <c r="F11" s="2">
        <f>('Kwh Reading'!J12-'Kwh Reading'!J11)*1000</f>
        <v>359.9999999999568</v>
      </c>
      <c r="G11" s="2">
        <f>('Kwh Reading'!K12-'Kwh Reading'!K11)*1000</f>
        <v>280.00000000002956</v>
      </c>
      <c r="H11" s="2">
        <f>('Kwh Reading'!L12-'Kwh Reading'!L11)*1000</f>
        <v>219.99999999997044</v>
      </c>
      <c r="I11" s="2">
        <f>('Kwh Reading'!R12-'Kwh Reading'!R11)*1000</f>
        <v>0</v>
      </c>
      <c r="J11" s="2">
        <f>('Kwh Reading'!S12-'Kwh Reading'!S11)*1000</f>
        <v>140.00000000001478</v>
      </c>
      <c r="K11" s="2">
        <f>('Kwh Reading'!I12-'Kwh Reading'!I11)*1000</f>
        <v>350.00000000002274</v>
      </c>
      <c r="L11" s="2">
        <f>('Kwh Reading'!B12-'Kwh Reading'!B11)*1000000</f>
        <v>1100.000000000101</v>
      </c>
      <c r="M11" s="2">
        <f>('Kwh Reading'!M12-'Kwh Reading'!M11)*1000</f>
        <v>759.99999999999091</v>
      </c>
      <c r="N11" s="2">
        <f>('Kwh Reading'!H12-'Kwh Reading'!H11)*1000</f>
        <v>1250</v>
      </c>
      <c r="O11" s="2">
        <f>('Kwh Reading'!P12-'Kwh Reading'!P11)*1000</f>
        <v>629.99999999999545</v>
      </c>
      <c r="P11" s="2">
        <f>('Kwh Reading'!G12-'Kwh Reading'!G11)*1000000</f>
        <v>799.99999999991189</v>
      </c>
      <c r="Q11" s="2">
        <f>('Kwh Reading'!Q12-'Kwh Reading'!Q11)*1000</f>
        <v>699.99999999993179</v>
      </c>
      <c r="R11" s="2">
        <f>('Kwh Reading'!N12-'Kwh Reading'!N11)*1000</f>
        <v>240.00000000000909</v>
      </c>
      <c r="S11" s="33">
        <f>'Kwh Reading'!E12-'Kwh Reading'!E11</f>
        <v>3763.839999999851</v>
      </c>
      <c r="T11" s="33">
        <f>'Kwh Reading'!D12-'Kwh Reading'!D11</f>
        <v>1724.8700000001118</v>
      </c>
      <c r="U11" s="27">
        <f>('Kwh Reading'!O12-'Kwh Reading'!O11)*1000</f>
        <v>250</v>
      </c>
      <c r="V11" s="16">
        <f t="shared" si="0"/>
        <v>-16008.70999999983</v>
      </c>
    </row>
    <row r="12" spans="1:22" x14ac:dyDescent="0.25">
      <c r="A12" s="3">
        <f>'Kwh Reading'!A12</f>
        <v>44721</v>
      </c>
      <c r="B12" s="26">
        <f>TOTAL!E10</f>
        <v>0</v>
      </c>
      <c r="C12" s="4">
        <f>('Kwh Reading'!T13-'Kwh Reading'!T12)*1000</f>
        <v>480.00000000001819</v>
      </c>
      <c r="D12" s="2">
        <f>('Kwh Reading'!F13-'Kwh Reading'!F12)*1000000</f>
        <v>2699.9999999999245</v>
      </c>
      <c r="E12" s="2">
        <f>('Kwh Reading'!C13-'Kwh Reading'!C12)*1000</f>
        <v>259.99999999999091</v>
      </c>
      <c r="F12" s="2">
        <f>('Kwh Reading'!J13-'Kwh Reading'!J12)*1000</f>
        <v>450.00000000004547</v>
      </c>
      <c r="G12" s="2">
        <f>('Kwh Reading'!K13-'Kwh Reading'!K12)*1000</f>
        <v>269.99999999998181</v>
      </c>
      <c r="H12" s="2">
        <f>('Kwh Reading'!L13-'Kwh Reading'!L12)*1000</f>
        <v>240.00000000000909</v>
      </c>
      <c r="I12" s="2">
        <f>('Kwh Reading'!R13-'Kwh Reading'!R12)*1000</f>
        <v>0</v>
      </c>
      <c r="J12" s="2">
        <f>('Kwh Reading'!S13-'Kwh Reading'!S12)*1000</f>
        <v>139.99999999998636</v>
      </c>
      <c r="K12" s="2">
        <f>('Kwh Reading'!I13-'Kwh Reading'!I12)*1000</f>
        <v>360.00000000001364</v>
      </c>
      <c r="L12" s="2">
        <f>('Kwh Reading'!B13-'Kwh Reading'!B12)*1000000</f>
        <v>1099.9999999998788</v>
      </c>
      <c r="M12" s="2">
        <f>('Kwh Reading'!M13-'Kwh Reading'!M12)*1000</f>
        <v>730.00000000001819</v>
      </c>
      <c r="N12" s="2">
        <f>('Kwh Reading'!H13-'Kwh Reading'!H12)*1000</f>
        <v>1200.0000000000455</v>
      </c>
      <c r="O12" s="2">
        <f>('Kwh Reading'!P13-'Kwh Reading'!P12)*1000</f>
        <v>509.99999999999091</v>
      </c>
      <c r="P12" s="2">
        <f>('Kwh Reading'!G13-'Kwh Reading'!G12)*1000000</f>
        <v>900.0000000001229</v>
      </c>
      <c r="Q12" s="2">
        <f>('Kwh Reading'!Q13-'Kwh Reading'!Q12)*1000</f>
        <v>810.00000000005912</v>
      </c>
      <c r="R12" s="2">
        <f>('Kwh Reading'!N13-'Kwh Reading'!N12)*1000</f>
        <v>259.99999999999091</v>
      </c>
      <c r="S12" s="33">
        <f>'Kwh Reading'!E13-'Kwh Reading'!E12</f>
        <v>2554.3499999996275</v>
      </c>
      <c r="T12" s="33">
        <f>'Kwh Reading'!D13-'Kwh Reading'!D12</f>
        <v>1644.7400000002235</v>
      </c>
      <c r="U12" s="27">
        <f>('Kwh Reading'!O13-'Kwh Reading'!O12)*1000</f>
        <v>219.99999999999886</v>
      </c>
      <c r="V12" s="16">
        <f t="shared" ref="V12:V34" si="1">B12-(SUM(C12:U12))</f>
        <v>-14829.089999999927</v>
      </c>
    </row>
    <row r="13" spans="1:22" x14ac:dyDescent="0.25">
      <c r="A13" s="3">
        <f>'Kwh Reading'!A13</f>
        <v>44722</v>
      </c>
      <c r="B13" s="26">
        <f>TOTAL!E11</f>
        <v>0</v>
      </c>
      <c r="C13" s="4">
        <f>('Kwh Reading'!T14-'Kwh Reading'!T13)*1000</f>
        <v>-589650</v>
      </c>
      <c r="D13" s="2">
        <f>('Kwh Reading'!F14-'Kwh Reading'!F13)*1000000</f>
        <v>-3279000</v>
      </c>
      <c r="E13" s="2">
        <f>('Kwh Reading'!C14-'Kwh Reading'!C13)*1000</f>
        <v>-315520</v>
      </c>
      <c r="F13" s="2">
        <f>('Kwh Reading'!J14-'Kwh Reading'!J13)*1000</f>
        <v>-471220</v>
      </c>
      <c r="G13" s="2">
        <f>('Kwh Reading'!K14-'Kwh Reading'!K13)*1000</f>
        <v>-460820</v>
      </c>
      <c r="H13" s="2">
        <f>('Kwh Reading'!L14-'Kwh Reading'!L13)*1000</f>
        <v>-313620</v>
      </c>
      <c r="I13" s="2">
        <f>('Kwh Reading'!R14-'Kwh Reading'!R13)*1000</f>
        <v>-190150</v>
      </c>
      <c r="J13" s="2">
        <f>('Kwh Reading'!S14-'Kwh Reading'!S13)*1000</f>
        <v>-162290</v>
      </c>
      <c r="K13" s="2">
        <f>('Kwh Reading'!I14-'Kwh Reading'!I13)*1000</f>
        <v>-341350</v>
      </c>
      <c r="L13" s="2">
        <f>('Kwh Reading'!B14-'Kwh Reading'!B13)*1000000</f>
        <v>-1391600</v>
      </c>
      <c r="M13" s="2">
        <f>('Kwh Reading'!M14-'Kwh Reading'!M13)*1000</f>
        <v>-783390</v>
      </c>
      <c r="N13" s="2">
        <f>('Kwh Reading'!H14-'Kwh Reading'!H13)*1000</f>
        <v>-954320</v>
      </c>
      <c r="O13" s="2">
        <f>('Kwh Reading'!P14-'Kwh Reading'!P13)*1000</f>
        <v>-954490</v>
      </c>
      <c r="P13" s="2">
        <f>('Kwh Reading'!G14-'Kwh Reading'!G13)*1000000</f>
        <v>-1053700</v>
      </c>
      <c r="Q13" s="2">
        <f>('Kwh Reading'!Q14-'Kwh Reading'!Q13)*1000</f>
        <v>-710450</v>
      </c>
      <c r="R13" s="2">
        <f>('Kwh Reading'!N14-'Kwh Reading'!N13)*1000</f>
        <v>-729380</v>
      </c>
      <c r="S13" s="33">
        <f>'Kwh Reading'!E14-'Kwh Reading'!E13</f>
        <v>-9170458.8499999996</v>
      </c>
      <c r="T13" s="33">
        <f>'Kwh Reading'!D14-'Kwh Reading'!D13</f>
        <v>-8205571.6100000003</v>
      </c>
      <c r="U13" s="27">
        <f>('Kwh Reading'!O14-'Kwh Reading'!O13)*1000</f>
        <v>-225440</v>
      </c>
      <c r="V13" s="16">
        <f t="shared" si="1"/>
        <v>30302420.460000001</v>
      </c>
    </row>
    <row r="14" spans="1:22" x14ac:dyDescent="0.25">
      <c r="A14" s="3">
        <f>'Kwh Reading'!A14</f>
        <v>44723</v>
      </c>
      <c r="B14" s="26">
        <f>TOTAL!E12</f>
        <v>0</v>
      </c>
      <c r="C14" s="4">
        <f>('Kwh Reading'!T15-'Kwh Reading'!T14)*1000</f>
        <v>0</v>
      </c>
      <c r="D14" s="2">
        <f>('Kwh Reading'!F15-'Kwh Reading'!F14)*1000000</f>
        <v>0</v>
      </c>
      <c r="E14" s="2">
        <f>('Kwh Reading'!C15-'Kwh Reading'!C14)*1000</f>
        <v>0</v>
      </c>
      <c r="F14" s="2">
        <f>('Kwh Reading'!J15-'Kwh Reading'!J14)*1000</f>
        <v>0</v>
      </c>
      <c r="G14" s="2">
        <f>('Kwh Reading'!K15-'Kwh Reading'!K14)*1000</f>
        <v>0</v>
      </c>
      <c r="H14" s="2">
        <f>('Kwh Reading'!L15-'Kwh Reading'!L14)*1000</f>
        <v>0</v>
      </c>
      <c r="I14" s="2">
        <f>('Kwh Reading'!R15-'Kwh Reading'!R14)*1000</f>
        <v>0</v>
      </c>
      <c r="J14" s="2">
        <f>('Kwh Reading'!S15-'Kwh Reading'!S14)*1000</f>
        <v>0</v>
      </c>
      <c r="K14" s="2">
        <f>('Kwh Reading'!I15-'Kwh Reading'!I14)*1000</f>
        <v>0</v>
      </c>
      <c r="L14" s="2">
        <f>('Kwh Reading'!B15-'Kwh Reading'!B14)*1000000</f>
        <v>0</v>
      </c>
      <c r="M14" s="2">
        <f>('Kwh Reading'!M15-'Kwh Reading'!M14)*1000</f>
        <v>0</v>
      </c>
      <c r="N14" s="2">
        <f>('Kwh Reading'!H15-'Kwh Reading'!H14)*1000</f>
        <v>0</v>
      </c>
      <c r="O14" s="2">
        <f>('Kwh Reading'!P15-'Kwh Reading'!P14)*1000</f>
        <v>0</v>
      </c>
      <c r="P14" s="2">
        <f>('Kwh Reading'!G15-'Kwh Reading'!G14)*1000000</f>
        <v>0</v>
      </c>
      <c r="Q14" s="2">
        <f>('Kwh Reading'!Q15-'Kwh Reading'!Q14)*1000</f>
        <v>0</v>
      </c>
      <c r="R14" s="2">
        <f>('Kwh Reading'!N15-'Kwh Reading'!N14)*1000</f>
        <v>0</v>
      </c>
      <c r="S14" s="33">
        <f>'Kwh Reading'!E15-'Kwh Reading'!E14</f>
        <v>0</v>
      </c>
      <c r="T14" s="33">
        <f>'Kwh Reading'!D15-'Kwh Reading'!D14</f>
        <v>0</v>
      </c>
      <c r="U14" s="27">
        <f>('Kwh Reading'!O15-'Kwh Reading'!O14)*1000</f>
        <v>0</v>
      </c>
      <c r="V14" s="16">
        <f t="shared" si="1"/>
        <v>0</v>
      </c>
    </row>
    <row r="15" spans="1:22" x14ac:dyDescent="0.25">
      <c r="A15" s="3">
        <f>'Kwh Reading'!A15</f>
        <v>44724</v>
      </c>
      <c r="B15" s="26">
        <f>TOTAL!E13</f>
        <v>0</v>
      </c>
      <c r="C15" s="4">
        <f>('Kwh Reading'!T16-'Kwh Reading'!T15)*1000</f>
        <v>0</v>
      </c>
      <c r="D15" s="2">
        <f>('Kwh Reading'!F16-'Kwh Reading'!F15)*1000000</f>
        <v>0</v>
      </c>
      <c r="E15" s="2">
        <f>('Kwh Reading'!C16-'Kwh Reading'!C15)*1000</f>
        <v>0</v>
      </c>
      <c r="F15" s="2">
        <f>('Kwh Reading'!J16-'Kwh Reading'!J15)*1000</f>
        <v>0</v>
      </c>
      <c r="G15" s="2">
        <f>('Kwh Reading'!K16-'Kwh Reading'!K15)*1000</f>
        <v>0</v>
      </c>
      <c r="H15" s="2">
        <f>('Kwh Reading'!L16-'Kwh Reading'!L15)*1000</f>
        <v>0</v>
      </c>
      <c r="I15" s="2">
        <f>('Kwh Reading'!R16-'Kwh Reading'!R15)*1000</f>
        <v>0</v>
      </c>
      <c r="J15" s="2">
        <f>('Kwh Reading'!S16-'Kwh Reading'!S15)*1000</f>
        <v>0</v>
      </c>
      <c r="K15" s="2">
        <f>('Kwh Reading'!I16-'Kwh Reading'!I15)*1000</f>
        <v>0</v>
      </c>
      <c r="L15" s="2">
        <f>('Kwh Reading'!B16-'Kwh Reading'!B15)*1000000</f>
        <v>0</v>
      </c>
      <c r="M15" s="2">
        <f>('Kwh Reading'!M16-'Kwh Reading'!M15)*1000</f>
        <v>0</v>
      </c>
      <c r="N15" s="2">
        <f>('Kwh Reading'!H16-'Kwh Reading'!H15)*1000</f>
        <v>0</v>
      </c>
      <c r="O15" s="2">
        <f>('Kwh Reading'!P16-'Kwh Reading'!P15)*1000</f>
        <v>0</v>
      </c>
      <c r="P15" s="2">
        <f>('Kwh Reading'!G16-'Kwh Reading'!G15)*1000000</f>
        <v>0</v>
      </c>
      <c r="Q15" s="2">
        <f>('Kwh Reading'!Q16-'Kwh Reading'!Q15)*1000</f>
        <v>0</v>
      </c>
      <c r="R15" s="2">
        <f>('Kwh Reading'!N16-'Kwh Reading'!N15)*1000</f>
        <v>0</v>
      </c>
      <c r="S15" s="33">
        <f>'Kwh Reading'!E16-'Kwh Reading'!E15</f>
        <v>0</v>
      </c>
      <c r="T15" s="33">
        <f>'Kwh Reading'!D16-'Kwh Reading'!D15</f>
        <v>0</v>
      </c>
      <c r="U15" s="27">
        <f>('Kwh Reading'!O16-'Kwh Reading'!O15)*1000</f>
        <v>0</v>
      </c>
      <c r="V15" s="16">
        <f t="shared" si="1"/>
        <v>0</v>
      </c>
    </row>
    <row r="16" spans="1:22" x14ac:dyDescent="0.25">
      <c r="A16" s="3">
        <f>'Kwh Reading'!A16</f>
        <v>44725</v>
      </c>
      <c r="B16" s="26">
        <f>TOTAL!E14</f>
        <v>0</v>
      </c>
      <c r="C16" s="4">
        <f>('Kwh Reading'!T17-'Kwh Reading'!T16)*1000</f>
        <v>0</v>
      </c>
      <c r="D16" s="2">
        <f>('Kwh Reading'!F17-'Kwh Reading'!F16)*1000000</f>
        <v>0</v>
      </c>
      <c r="E16" s="2">
        <f>('Kwh Reading'!C17-'Kwh Reading'!C16)*1000</f>
        <v>0</v>
      </c>
      <c r="F16" s="2">
        <f>('Kwh Reading'!J17-'Kwh Reading'!J16)*1000</f>
        <v>0</v>
      </c>
      <c r="G16" s="2">
        <f>('Kwh Reading'!K17-'Kwh Reading'!K16)*1000</f>
        <v>0</v>
      </c>
      <c r="H16" s="2">
        <f>('Kwh Reading'!L17-'Kwh Reading'!L16)*1000</f>
        <v>0</v>
      </c>
      <c r="I16" s="2">
        <f>('Kwh Reading'!R17-'Kwh Reading'!R16)*1000</f>
        <v>0</v>
      </c>
      <c r="J16" s="2">
        <f>('Kwh Reading'!S17-'Kwh Reading'!S16)*1000</f>
        <v>0</v>
      </c>
      <c r="K16" s="2">
        <f>('Kwh Reading'!I17-'Kwh Reading'!I16)*1000</f>
        <v>0</v>
      </c>
      <c r="L16" s="2">
        <f>('Kwh Reading'!B17-'Kwh Reading'!B16)*1000000</f>
        <v>0</v>
      </c>
      <c r="M16" s="2">
        <f>('Kwh Reading'!M17-'Kwh Reading'!M16)*1000</f>
        <v>0</v>
      </c>
      <c r="N16" s="2">
        <f>('Kwh Reading'!H17-'Kwh Reading'!H16)*1000</f>
        <v>0</v>
      </c>
      <c r="O16" s="2">
        <f>('Kwh Reading'!P17-'Kwh Reading'!P16)*1000</f>
        <v>0</v>
      </c>
      <c r="P16" s="2">
        <f>('Kwh Reading'!G17-'Kwh Reading'!G16)*1000000</f>
        <v>0</v>
      </c>
      <c r="Q16" s="2">
        <f>('Kwh Reading'!Q17-'Kwh Reading'!Q16)*1000</f>
        <v>0</v>
      </c>
      <c r="R16" s="2">
        <f>('Kwh Reading'!N17-'Kwh Reading'!N16)*1000</f>
        <v>0</v>
      </c>
      <c r="S16" s="33">
        <f>'Kwh Reading'!E17-'Kwh Reading'!E16</f>
        <v>0</v>
      </c>
      <c r="T16" s="33">
        <f>'Kwh Reading'!D17-'Kwh Reading'!D16</f>
        <v>0</v>
      </c>
      <c r="U16" s="27">
        <f>('Kwh Reading'!O17-'Kwh Reading'!O16)*1000</f>
        <v>0</v>
      </c>
      <c r="V16" s="16">
        <f t="shared" si="1"/>
        <v>0</v>
      </c>
    </row>
    <row r="17" spans="1:22" x14ac:dyDescent="0.25">
      <c r="A17" s="3">
        <f>'Kwh Reading'!A17</f>
        <v>44726</v>
      </c>
      <c r="B17" s="26">
        <f>TOTAL!E15</f>
        <v>0</v>
      </c>
      <c r="C17" s="4">
        <f>('Kwh Reading'!T18-'Kwh Reading'!T17)*1000</f>
        <v>0</v>
      </c>
      <c r="D17" s="2">
        <f>('Kwh Reading'!F18-'Kwh Reading'!F17)*1000000</f>
        <v>0</v>
      </c>
      <c r="E17" s="2">
        <f>('Kwh Reading'!C18-'Kwh Reading'!C17)*1000</f>
        <v>0</v>
      </c>
      <c r="F17" s="2">
        <f>('Kwh Reading'!J18-'Kwh Reading'!J17)*1000</f>
        <v>0</v>
      </c>
      <c r="G17" s="2">
        <f>('Kwh Reading'!K18-'Kwh Reading'!K17)*1000</f>
        <v>0</v>
      </c>
      <c r="H17" s="2">
        <f>('Kwh Reading'!L18-'Kwh Reading'!L17)*1000</f>
        <v>0</v>
      </c>
      <c r="I17" s="2">
        <f>('Kwh Reading'!R18-'Kwh Reading'!R17)*1000</f>
        <v>0</v>
      </c>
      <c r="J17" s="2">
        <f>('Kwh Reading'!S18-'Kwh Reading'!S17)*1000</f>
        <v>0</v>
      </c>
      <c r="K17" s="2">
        <f>('Kwh Reading'!I18-'Kwh Reading'!I17)*1000</f>
        <v>0</v>
      </c>
      <c r="L17" s="2">
        <f>('Kwh Reading'!B18-'Kwh Reading'!B17)*1000000</f>
        <v>0</v>
      </c>
      <c r="M17" s="2">
        <f>('Kwh Reading'!M18-'Kwh Reading'!M17)*1000</f>
        <v>0</v>
      </c>
      <c r="N17" s="2">
        <f>('Kwh Reading'!H18-'Kwh Reading'!H17)*1000</f>
        <v>0</v>
      </c>
      <c r="O17" s="2">
        <f>('Kwh Reading'!P18-'Kwh Reading'!P17)*1000</f>
        <v>0</v>
      </c>
      <c r="P17" s="2">
        <f>('Kwh Reading'!G18-'Kwh Reading'!G17)*1000000</f>
        <v>0</v>
      </c>
      <c r="Q17" s="2">
        <f>('Kwh Reading'!Q18-'Kwh Reading'!Q17)*1000</f>
        <v>0</v>
      </c>
      <c r="R17" s="2">
        <f>('Kwh Reading'!N18-'Kwh Reading'!N17)*1000</f>
        <v>0</v>
      </c>
      <c r="S17" s="33">
        <f>'Kwh Reading'!E18-'Kwh Reading'!E17</f>
        <v>0</v>
      </c>
      <c r="T17" s="33">
        <f>'Kwh Reading'!D18-'Kwh Reading'!D17</f>
        <v>0</v>
      </c>
      <c r="U17" s="27">
        <f>('Kwh Reading'!O18-'Kwh Reading'!O17)*1000</f>
        <v>0</v>
      </c>
      <c r="V17" s="16">
        <f t="shared" si="1"/>
        <v>0</v>
      </c>
    </row>
    <row r="18" spans="1:22" x14ac:dyDescent="0.25">
      <c r="A18" s="3">
        <f>'Kwh Reading'!A18</f>
        <v>44727</v>
      </c>
      <c r="B18" s="26">
        <f>TOTAL!E16</f>
        <v>0</v>
      </c>
      <c r="C18" s="4">
        <f>('Kwh Reading'!T19-'Kwh Reading'!T18)*1000</f>
        <v>0</v>
      </c>
      <c r="D18" s="2">
        <f>('Kwh Reading'!F19-'Kwh Reading'!F18)*1000000</f>
        <v>0</v>
      </c>
      <c r="E18" s="2">
        <f>('Kwh Reading'!C19-'Kwh Reading'!C18)*1000</f>
        <v>0</v>
      </c>
      <c r="F18" s="2">
        <f>('Kwh Reading'!J19-'Kwh Reading'!J18)*1000</f>
        <v>0</v>
      </c>
      <c r="G18" s="2">
        <f>('Kwh Reading'!K19-'Kwh Reading'!K18)*1000</f>
        <v>0</v>
      </c>
      <c r="H18" s="2">
        <f>('Kwh Reading'!L19-'Kwh Reading'!L18)*1000</f>
        <v>0</v>
      </c>
      <c r="I18" s="2">
        <f>('Kwh Reading'!R19-'Kwh Reading'!R18)*1000</f>
        <v>0</v>
      </c>
      <c r="J18" s="2">
        <f>('Kwh Reading'!S19-'Kwh Reading'!S18)*1000</f>
        <v>0</v>
      </c>
      <c r="K18" s="2">
        <f>('Kwh Reading'!I19-'Kwh Reading'!I18)*1000</f>
        <v>0</v>
      </c>
      <c r="L18" s="2">
        <f>('Kwh Reading'!B19-'Kwh Reading'!B18)*1000000</f>
        <v>0</v>
      </c>
      <c r="M18" s="2">
        <f>('Kwh Reading'!M19-'Kwh Reading'!M18)*1000</f>
        <v>0</v>
      </c>
      <c r="N18" s="2">
        <f>('Kwh Reading'!H19-'Kwh Reading'!H18)*1000</f>
        <v>0</v>
      </c>
      <c r="O18" s="2">
        <f>('Kwh Reading'!P19-'Kwh Reading'!P18)*1000</f>
        <v>0</v>
      </c>
      <c r="P18" s="2">
        <f>('Kwh Reading'!G19-'Kwh Reading'!G18)*1000000</f>
        <v>0</v>
      </c>
      <c r="Q18" s="2">
        <f>('Kwh Reading'!Q19-'Kwh Reading'!Q18)*1000</f>
        <v>0</v>
      </c>
      <c r="R18" s="2">
        <f>('Kwh Reading'!N19-'Kwh Reading'!N18)*1000</f>
        <v>0</v>
      </c>
      <c r="S18" s="33">
        <f>'Kwh Reading'!E19-'Kwh Reading'!E18</f>
        <v>0</v>
      </c>
      <c r="T18" s="33">
        <f>'Kwh Reading'!D19-'Kwh Reading'!D18</f>
        <v>0</v>
      </c>
      <c r="U18" s="27">
        <f>('Kwh Reading'!O19-'Kwh Reading'!O18)*1000</f>
        <v>0</v>
      </c>
      <c r="V18" s="16">
        <f t="shared" si="1"/>
        <v>0</v>
      </c>
    </row>
    <row r="19" spans="1:22" x14ac:dyDescent="0.25">
      <c r="A19" s="3">
        <f>'Kwh Reading'!A19</f>
        <v>44728</v>
      </c>
      <c r="B19" s="26">
        <f>TOTAL!E17</f>
        <v>0</v>
      </c>
      <c r="C19" s="4">
        <f>('Kwh Reading'!T20-'Kwh Reading'!T19)*1000</f>
        <v>0</v>
      </c>
      <c r="D19" s="2">
        <f>('Kwh Reading'!F20-'Kwh Reading'!F19)*1000000</f>
        <v>0</v>
      </c>
      <c r="E19" s="2">
        <f>('Kwh Reading'!C20-'Kwh Reading'!C19)*1000</f>
        <v>0</v>
      </c>
      <c r="F19" s="2">
        <f>('Kwh Reading'!J20-'Kwh Reading'!J19)*1000</f>
        <v>0</v>
      </c>
      <c r="G19" s="2">
        <f>('Kwh Reading'!K20-'Kwh Reading'!K19)*1000</f>
        <v>0</v>
      </c>
      <c r="H19" s="2">
        <f>('Kwh Reading'!L20-'Kwh Reading'!L19)*1000</f>
        <v>0</v>
      </c>
      <c r="I19" s="2">
        <f>('Kwh Reading'!R20-'Kwh Reading'!R19)*1000</f>
        <v>0</v>
      </c>
      <c r="J19" s="2">
        <f>('Kwh Reading'!S20-'Kwh Reading'!S19)*1000</f>
        <v>0</v>
      </c>
      <c r="K19" s="2">
        <f>('Kwh Reading'!I20-'Kwh Reading'!I19)*1000</f>
        <v>0</v>
      </c>
      <c r="L19" s="2">
        <f>('Kwh Reading'!B20-'Kwh Reading'!B19)*1000000</f>
        <v>0</v>
      </c>
      <c r="M19" s="2">
        <f>('Kwh Reading'!M20-'Kwh Reading'!M19)*1000</f>
        <v>0</v>
      </c>
      <c r="N19" s="2">
        <f>('Kwh Reading'!H20-'Kwh Reading'!H19)*1000</f>
        <v>0</v>
      </c>
      <c r="O19" s="2">
        <f>('Kwh Reading'!P20-'Kwh Reading'!P19)*1000</f>
        <v>0</v>
      </c>
      <c r="P19" s="2">
        <f>('Kwh Reading'!G20-'Kwh Reading'!G19)*1000000</f>
        <v>0</v>
      </c>
      <c r="Q19" s="2">
        <f>('Kwh Reading'!Q20-'Kwh Reading'!Q19)*1000</f>
        <v>0</v>
      </c>
      <c r="R19" s="2">
        <f>('Kwh Reading'!N20-'Kwh Reading'!N19)*1000</f>
        <v>0</v>
      </c>
      <c r="S19" s="33">
        <f>'Kwh Reading'!E20-'Kwh Reading'!E19</f>
        <v>0</v>
      </c>
      <c r="T19" s="33">
        <f>'Kwh Reading'!D20-'Kwh Reading'!D19</f>
        <v>0</v>
      </c>
      <c r="U19" s="27">
        <f>('Kwh Reading'!O20-'Kwh Reading'!O19)*1000</f>
        <v>0</v>
      </c>
      <c r="V19" s="16">
        <f t="shared" si="1"/>
        <v>0</v>
      </c>
    </row>
    <row r="20" spans="1:22" x14ac:dyDescent="0.25">
      <c r="A20" s="3">
        <f>'Kwh Reading'!A20</f>
        <v>44729</v>
      </c>
      <c r="B20" s="26">
        <f>TOTAL!E18</f>
        <v>0</v>
      </c>
      <c r="C20" s="4">
        <f>('Kwh Reading'!T21-'Kwh Reading'!T20)*1000</f>
        <v>0</v>
      </c>
      <c r="D20" s="2">
        <f>('Kwh Reading'!F21-'Kwh Reading'!F20)*1000000</f>
        <v>0</v>
      </c>
      <c r="E20" s="2">
        <f>('Kwh Reading'!C21-'Kwh Reading'!C20)*1000</f>
        <v>0</v>
      </c>
      <c r="F20" s="2">
        <f>('Kwh Reading'!J21-'Kwh Reading'!J20)*1000</f>
        <v>0</v>
      </c>
      <c r="G20" s="2">
        <f>('Kwh Reading'!K21-'Kwh Reading'!K20)*1000</f>
        <v>0</v>
      </c>
      <c r="H20" s="2">
        <f>('Kwh Reading'!L21-'Kwh Reading'!L20)*1000</f>
        <v>0</v>
      </c>
      <c r="I20" s="2">
        <f>('Kwh Reading'!R21-'Kwh Reading'!R20)*1000</f>
        <v>0</v>
      </c>
      <c r="J20" s="2">
        <f>('Kwh Reading'!S21-'Kwh Reading'!S20)*1000</f>
        <v>0</v>
      </c>
      <c r="K20" s="2">
        <f>('Kwh Reading'!I21-'Kwh Reading'!I20)*1000</f>
        <v>0</v>
      </c>
      <c r="L20" s="2">
        <f>('Kwh Reading'!B21-'Kwh Reading'!B20)*1000000</f>
        <v>0</v>
      </c>
      <c r="M20" s="2">
        <f>('Kwh Reading'!M21-'Kwh Reading'!M20)*1000</f>
        <v>0</v>
      </c>
      <c r="N20" s="2">
        <f>('Kwh Reading'!H21-'Kwh Reading'!H20)*1000</f>
        <v>0</v>
      </c>
      <c r="O20" s="2">
        <f>('Kwh Reading'!P21-'Kwh Reading'!P20)*1000</f>
        <v>0</v>
      </c>
      <c r="P20" s="2">
        <f>('Kwh Reading'!G21-'Kwh Reading'!G20)*1000000</f>
        <v>0</v>
      </c>
      <c r="Q20" s="2">
        <f>('Kwh Reading'!Q21-'Kwh Reading'!Q20)*1000</f>
        <v>0</v>
      </c>
      <c r="R20" s="2">
        <f>('Kwh Reading'!N21-'Kwh Reading'!N20)*1000</f>
        <v>0</v>
      </c>
      <c r="S20" s="33">
        <f>'Kwh Reading'!E21-'Kwh Reading'!E20</f>
        <v>0</v>
      </c>
      <c r="T20" s="33">
        <f>'Kwh Reading'!D21-'Kwh Reading'!D20</f>
        <v>0</v>
      </c>
      <c r="U20" s="27">
        <f>('Kwh Reading'!O21-'Kwh Reading'!O20)*1000</f>
        <v>0</v>
      </c>
      <c r="V20" s="16">
        <f t="shared" si="1"/>
        <v>0</v>
      </c>
    </row>
    <row r="21" spans="1:22" ht="16.5" customHeight="1" x14ac:dyDescent="0.25">
      <c r="A21" s="3">
        <f>'Kwh Reading'!A21</f>
        <v>44730</v>
      </c>
      <c r="B21" s="26">
        <f>TOTAL!E19</f>
        <v>0</v>
      </c>
      <c r="C21" s="4">
        <f>('Kwh Reading'!T22-'Kwh Reading'!T21)*1000</f>
        <v>0</v>
      </c>
      <c r="D21" s="2">
        <f>('Kwh Reading'!F22-'Kwh Reading'!F21)*1000000</f>
        <v>0</v>
      </c>
      <c r="E21" s="2">
        <f>('Kwh Reading'!C22-'Kwh Reading'!C21)*1000</f>
        <v>0</v>
      </c>
      <c r="F21" s="2">
        <f>('Kwh Reading'!J22-'Kwh Reading'!J21)*1000</f>
        <v>0</v>
      </c>
      <c r="G21" s="2">
        <f>('Kwh Reading'!K22-'Kwh Reading'!K21)*1000</f>
        <v>0</v>
      </c>
      <c r="H21" s="2">
        <f>('Kwh Reading'!L22-'Kwh Reading'!L21)*1000</f>
        <v>0</v>
      </c>
      <c r="I21" s="2">
        <f>('Kwh Reading'!R22-'Kwh Reading'!R21)*1000</f>
        <v>0</v>
      </c>
      <c r="J21" s="2">
        <f>('Kwh Reading'!S22-'Kwh Reading'!S21)*1000</f>
        <v>0</v>
      </c>
      <c r="K21" s="2">
        <f>('Kwh Reading'!I22-'Kwh Reading'!I21)*1000</f>
        <v>0</v>
      </c>
      <c r="L21" s="2">
        <f>('Kwh Reading'!B22-'Kwh Reading'!B21)*1000000</f>
        <v>0</v>
      </c>
      <c r="M21" s="2">
        <f>('Kwh Reading'!M22-'Kwh Reading'!M21)*1000</f>
        <v>0</v>
      </c>
      <c r="N21" s="2">
        <f>('Kwh Reading'!H22-'Kwh Reading'!H21)*1000</f>
        <v>0</v>
      </c>
      <c r="O21" s="2">
        <f>('Kwh Reading'!P22-'Kwh Reading'!P21)*1000</f>
        <v>0</v>
      </c>
      <c r="P21" s="2">
        <f>('Kwh Reading'!G22-'Kwh Reading'!G21)*1000000</f>
        <v>0</v>
      </c>
      <c r="Q21" s="2">
        <f>('Kwh Reading'!Q22-'Kwh Reading'!Q21)*1000</f>
        <v>0</v>
      </c>
      <c r="R21" s="2">
        <f>('Kwh Reading'!N22-'Kwh Reading'!N21)*1000</f>
        <v>0</v>
      </c>
      <c r="S21" s="33">
        <f>'Kwh Reading'!E22-'Kwh Reading'!E21</f>
        <v>0</v>
      </c>
      <c r="T21" s="33">
        <f>'Kwh Reading'!D22-'Kwh Reading'!D21</f>
        <v>0</v>
      </c>
      <c r="U21" s="27">
        <f>('Kwh Reading'!O22-'Kwh Reading'!O21)*1000</f>
        <v>0</v>
      </c>
      <c r="V21" s="16">
        <f t="shared" si="1"/>
        <v>0</v>
      </c>
    </row>
    <row r="22" spans="1:22" x14ac:dyDescent="0.25">
      <c r="A22" s="3">
        <f>'Kwh Reading'!A22</f>
        <v>44731</v>
      </c>
      <c r="B22" s="26">
        <f>TOTAL!E20</f>
        <v>0</v>
      </c>
      <c r="C22" s="4">
        <f>('Kwh Reading'!T23-'Kwh Reading'!T22)*1000</f>
        <v>0</v>
      </c>
      <c r="D22" s="2">
        <f>('Kwh Reading'!F23-'Kwh Reading'!F22)*1000000</f>
        <v>0</v>
      </c>
      <c r="E22" s="2">
        <f>('Kwh Reading'!C23-'Kwh Reading'!C22)*1000</f>
        <v>0</v>
      </c>
      <c r="F22" s="2">
        <f>('Kwh Reading'!J23-'Kwh Reading'!J22)*1000</f>
        <v>0</v>
      </c>
      <c r="G22" s="2">
        <f>('Kwh Reading'!K23-'Kwh Reading'!K22)*1000</f>
        <v>0</v>
      </c>
      <c r="H22" s="2">
        <f>('Kwh Reading'!L23-'Kwh Reading'!L22)*1000</f>
        <v>0</v>
      </c>
      <c r="I22" s="2">
        <f>('Kwh Reading'!R23-'Kwh Reading'!R22)*1000</f>
        <v>0</v>
      </c>
      <c r="J22" s="2">
        <f>('Kwh Reading'!S23-'Kwh Reading'!S22)*1000</f>
        <v>0</v>
      </c>
      <c r="K22" s="2">
        <f>('Kwh Reading'!I23-'Kwh Reading'!I22)*1000</f>
        <v>0</v>
      </c>
      <c r="L22" s="2">
        <f>('Kwh Reading'!B23-'Kwh Reading'!B22)*1000000</f>
        <v>0</v>
      </c>
      <c r="M22" s="2">
        <f>('Kwh Reading'!M23-'Kwh Reading'!M22)*1000</f>
        <v>0</v>
      </c>
      <c r="N22" s="2">
        <f>('Kwh Reading'!H23-'Kwh Reading'!H22)*1000</f>
        <v>0</v>
      </c>
      <c r="O22" s="2">
        <f>('Kwh Reading'!P23-'Kwh Reading'!P22)*1000</f>
        <v>0</v>
      </c>
      <c r="P22" s="2">
        <f>('Kwh Reading'!G23-'Kwh Reading'!G22)*1000000</f>
        <v>0</v>
      </c>
      <c r="Q22" s="2">
        <f>('Kwh Reading'!Q23-'Kwh Reading'!Q22)*1000</f>
        <v>0</v>
      </c>
      <c r="R22" s="2">
        <f>('Kwh Reading'!N23-'Kwh Reading'!N22)*1000</f>
        <v>0</v>
      </c>
      <c r="S22" s="33">
        <f>'Kwh Reading'!E23-'Kwh Reading'!E22</f>
        <v>0</v>
      </c>
      <c r="T22" s="33">
        <f>'Kwh Reading'!D23-'Kwh Reading'!D22</f>
        <v>0</v>
      </c>
      <c r="U22" s="27">
        <f>('Kwh Reading'!O23-'Kwh Reading'!O22)*1000</f>
        <v>0</v>
      </c>
      <c r="V22" s="16">
        <f t="shared" si="1"/>
        <v>0</v>
      </c>
    </row>
    <row r="23" spans="1:22" x14ac:dyDescent="0.25">
      <c r="A23" s="3">
        <f>'Kwh Reading'!A23</f>
        <v>44732</v>
      </c>
      <c r="B23" s="26">
        <f>TOTAL!E21</f>
        <v>0</v>
      </c>
      <c r="C23" s="4">
        <f>('Kwh Reading'!T24-'Kwh Reading'!T23)*1000</f>
        <v>0</v>
      </c>
      <c r="D23" s="2">
        <f>('Kwh Reading'!F24-'Kwh Reading'!F23)*1000000</f>
        <v>0</v>
      </c>
      <c r="E23" s="2">
        <f>('Kwh Reading'!C24-'Kwh Reading'!C23)*1000</f>
        <v>0</v>
      </c>
      <c r="F23" s="2">
        <f>('Kwh Reading'!J24-'Kwh Reading'!J23)*1000</f>
        <v>0</v>
      </c>
      <c r="G23" s="2">
        <f>('Kwh Reading'!K24-'Kwh Reading'!K23)*1000</f>
        <v>0</v>
      </c>
      <c r="H23" s="2">
        <f>('Kwh Reading'!L24-'Kwh Reading'!L23)*1000</f>
        <v>0</v>
      </c>
      <c r="I23" s="2">
        <f>('Kwh Reading'!R24-'Kwh Reading'!R23)*1000</f>
        <v>0</v>
      </c>
      <c r="J23" s="2">
        <f>('Kwh Reading'!S24-'Kwh Reading'!S23)*1000</f>
        <v>0</v>
      </c>
      <c r="K23" s="2">
        <f>('Kwh Reading'!I24-'Kwh Reading'!I23)*1000</f>
        <v>0</v>
      </c>
      <c r="L23" s="2">
        <f>('Kwh Reading'!B24-'Kwh Reading'!B23)*1000000</f>
        <v>0</v>
      </c>
      <c r="M23" s="2">
        <f>('Kwh Reading'!M24-'Kwh Reading'!M23)*1000</f>
        <v>0</v>
      </c>
      <c r="N23" s="2">
        <f>('Kwh Reading'!H24-'Kwh Reading'!H23)*1000</f>
        <v>0</v>
      </c>
      <c r="O23" s="2">
        <f>('Kwh Reading'!P24-'Kwh Reading'!P23)*1000</f>
        <v>0</v>
      </c>
      <c r="P23" s="2">
        <f>('Kwh Reading'!G24-'Kwh Reading'!G23)*1000000</f>
        <v>0</v>
      </c>
      <c r="Q23" s="2">
        <f>('Kwh Reading'!Q24-'Kwh Reading'!Q23)*1000</f>
        <v>0</v>
      </c>
      <c r="R23" s="2">
        <f>('Kwh Reading'!N24-'Kwh Reading'!N23)*1000</f>
        <v>0</v>
      </c>
      <c r="S23" s="33">
        <f>'Kwh Reading'!E24-'Kwh Reading'!E23</f>
        <v>0</v>
      </c>
      <c r="T23" s="33">
        <f>'Kwh Reading'!D24-'Kwh Reading'!D23</f>
        <v>0</v>
      </c>
      <c r="U23" s="27">
        <f>('Kwh Reading'!O24-'Kwh Reading'!O23)*1000</f>
        <v>0</v>
      </c>
      <c r="V23" s="16">
        <f t="shared" si="1"/>
        <v>0</v>
      </c>
    </row>
    <row r="24" spans="1:22" x14ac:dyDescent="0.25">
      <c r="A24" s="3">
        <f>'Kwh Reading'!A24</f>
        <v>44733</v>
      </c>
      <c r="B24" s="26">
        <f>TOTAL!E22</f>
        <v>0</v>
      </c>
      <c r="C24" s="4">
        <f>('Kwh Reading'!T25-'Kwh Reading'!T24)*1000</f>
        <v>0</v>
      </c>
      <c r="D24" s="2">
        <f>('Kwh Reading'!F25-'Kwh Reading'!F24)*1000000</f>
        <v>0</v>
      </c>
      <c r="E24" s="2">
        <f>('Kwh Reading'!C25-'Kwh Reading'!C24)*1000</f>
        <v>0</v>
      </c>
      <c r="F24" s="2">
        <f>('Kwh Reading'!J25-'Kwh Reading'!J24)*1000</f>
        <v>0</v>
      </c>
      <c r="G24" s="2">
        <f>('Kwh Reading'!K25-'Kwh Reading'!K24)*1000</f>
        <v>0</v>
      </c>
      <c r="H24" s="2">
        <f>('Kwh Reading'!L25-'Kwh Reading'!L24)*1000</f>
        <v>0</v>
      </c>
      <c r="I24" s="2">
        <f>('Kwh Reading'!R25-'Kwh Reading'!R24)*1000</f>
        <v>0</v>
      </c>
      <c r="J24" s="2">
        <f>('Kwh Reading'!S25-'Kwh Reading'!S24)*1000</f>
        <v>0</v>
      </c>
      <c r="K24" s="2">
        <f>('Kwh Reading'!I25-'Kwh Reading'!I24)*1000</f>
        <v>0</v>
      </c>
      <c r="L24" s="2">
        <f>('Kwh Reading'!B25-'Kwh Reading'!B24)*1000000</f>
        <v>0</v>
      </c>
      <c r="M24" s="2">
        <f>('Kwh Reading'!M25-'Kwh Reading'!M24)*1000</f>
        <v>0</v>
      </c>
      <c r="N24" s="2">
        <f>('Kwh Reading'!H25-'Kwh Reading'!H24)*1000</f>
        <v>0</v>
      </c>
      <c r="O24" s="2">
        <f>('Kwh Reading'!P25-'Kwh Reading'!P24)*1000</f>
        <v>0</v>
      </c>
      <c r="P24" s="2">
        <f>('Kwh Reading'!G25-'Kwh Reading'!G24)*1000000</f>
        <v>0</v>
      </c>
      <c r="Q24" s="2">
        <f>('Kwh Reading'!Q25-'Kwh Reading'!Q24)*1000</f>
        <v>0</v>
      </c>
      <c r="R24" s="2">
        <f>('Kwh Reading'!N25-'Kwh Reading'!N24)*1000</f>
        <v>0</v>
      </c>
      <c r="S24" s="2">
        <f>'Kwh Reading'!E25-'Kwh Reading'!E24</f>
        <v>0</v>
      </c>
      <c r="T24" s="2">
        <f>'Kwh Reading'!D25-'Kwh Reading'!D24</f>
        <v>0</v>
      </c>
      <c r="U24" s="27">
        <f>('Kwh Reading'!O25-'Kwh Reading'!O24)*1000</f>
        <v>0</v>
      </c>
      <c r="V24" s="16">
        <f t="shared" si="1"/>
        <v>0</v>
      </c>
    </row>
    <row r="25" spans="1:22" x14ac:dyDescent="0.25">
      <c r="A25" s="3">
        <f>'Kwh Reading'!A25</f>
        <v>44734</v>
      </c>
      <c r="B25" s="26">
        <f>TOTAL!E23</f>
        <v>0</v>
      </c>
      <c r="C25" s="4">
        <f>('Kwh Reading'!T26-'Kwh Reading'!T25)*1000</f>
        <v>0</v>
      </c>
      <c r="D25" s="2">
        <f>('Kwh Reading'!F26-'Kwh Reading'!F25)*1000000</f>
        <v>0</v>
      </c>
      <c r="E25" s="2">
        <f>('Kwh Reading'!C26-'Kwh Reading'!C25)*1000</f>
        <v>0</v>
      </c>
      <c r="F25" s="2">
        <f>('Kwh Reading'!J26-'Kwh Reading'!J25)*1000</f>
        <v>0</v>
      </c>
      <c r="G25" s="2">
        <f>('Kwh Reading'!K26-'Kwh Reading'!K25)*1000</f>
        <v>0</v>
      </c>
      <c r="H25" s="2">
        <f>('Kwh Reading'!L26-'Kwh Reading'!L25)*1000</f>
        <v>0</v>
      </c>
      <c r="I25" s="2">
        <f>('Kwh Reading'!R26-'Kwh Reading'!R25)*1000</f>
        <v>0</v>
      </c>
      <c r="J25" s="2">
        <f>('Kwh Reading'!S26-'Kwh Reading'!S25)*1000</f>
        <v>0</v>
      </c>
      <c r="K25" s="2">
        <f>('Kwh Reading'!I26-'Kwh Reading'!I25)*1000</f>
        <v>0</v>
      </c>
      <c r="L25" s="2">
        <f>('Kwh Reading'!B26-'Kwh Reading'!B25)*1000000</f>
        <v>0</v>
      </c>
      <c r="M25" s="2">
        <f>('Kwh Reading'!M26-'Kwh Reading'!M25)*1000</f>
        <v>0</v>
      </c>
      <c r="N25" s="2">
        <f>('Kwh Reading'!H26-'Kwh Reading'!H25)*1000</f>
        <v>0</v>
      </c>
      <c r="O25" s="2">
        <f>('Kwh Reading'!P26-'Kwh Reading'!P25)*1000</f>
        <v>0</v>
      </c>
      <c r="P25" s="2">
        <f>('Kwh Reading'!G26-'Kwh Reading'!G25)*1000000</f>
        <v>0</v>
      </c>
      <c r="Q25" s="2">
        <f>('Kwh Reading'!Q26-'Kwh Reading'!Q25)*1000</f>
        <v>0</v>
      </c>
      <c r="R25" s="2">
        <f>('Kwh Reading'!N26-'Kwh Reading'!N25)*1000</f>
        <v>0</v>
      </c>
      <c r="S25" s="2">
        <f>'Kwh Reading'!E26-'Kwh Reading'!E25</f>
        <v>0</v>
      </c>
      <c r="T25" s="2">
        <f>'Kwh Reading'!D26-'Kwh Reading'!D25</f>
        <v>0</v>
      </c>
      <c r="U25" s="27">
        <f>('Kwh Reading'!O26-'Kwh Reading'!O25)*1000</f>
        <v>0</v>
      </c>
      <c r="V25" s="16">
        <f t="shared" si="1"/>
        <v>0</v>
      </c>
    </row>
    <row r="26" spans="1:22" x14ac:dyDescent="0.25">
      <c r="A26" s="3">
        <f>'Kwh Reading'!A26</f>
        <v>44735</v>
      </c>
      <c r="B26" s="26">
        <f>TOTAL!E24</f>
        <v>0</v>
      </c>
      <c r="C26" s="4">
        <f>('Kwh Reading'!T27-'Kwh Reading'!T26)*1000</f>
        <v>0</v>
      </c>
      <c r="D26" s="2">
        <f>('Kwh Reading'!F27-'Kwh Reading'!F26)*1000000</f>
        <v>0</v>
      </c>
      <c r="E26" s="2">
        <f>('Kwh Reading'!C27-'Kwh Reading'!C26)*1000</f>
        <v>0</v>
      </c>
      <c r="F26" s="2">
        <f>('Kwh Reading'!J27-'Kwh Reading'!J26)*1000</f>
        <v>0</v>
      </c>
      <c r="G26" s="2">
        <f>('Kwh Reading'!K27-'Kwh Reading'!K26)*1000</f>
        <v>0</v>
      </c>
      <c r="H26" s="2">
        <f>('Kwh Reading'!L27-'Kwh Reading'!L26)*1000</f>
        <v>0</v>
      </c>
      <c r="I26" s="2">
        <f>('Kwh Reading'!R27-'Kwh Reading'!R26)*1000</f>
        <v>0</v>
      </c>
      <c r="J26" s="2">
        <f>('Kwh Reading'!S27-'Kwh Reading'!S26)*1000</f>
        <v>0</v>
      </c>
      <c r="K26" s="2">
        <f>('Kwh Reading'!I27-'Kwh Reading'!I26)*1000</f>
        <v>0</v>
      </c>
      <c r="L26" s="2">
        <f>('Kwh Reading'!B27-'Kwh Reading'!B26)*1000000</f>
        <v>0</v>
      </c>
      <c r="M26" s="2">
        <f>('Kwh Reading'!M27-'Kwh Reading'!M26)*1000</f>
        <v>0</v>
      </c>
      <c r="N26" s="2">
        <f>('Kwh Reading'!H27-'Kwh Reading'!H26)*1000</f>
        <v>0</v>
      </c>
      <c r="O26" s="2">
        <f>('Kwh Reading'!P27-'Kwh Reading'!P26)*1000</f>
        <v>0</v>
      </c>
      <c r="P26" s="2">
        <f>('Kwh Reading'!G27-'Kwh Reading'!G26)*1000000</f>
        <v>0</v>
      </c>
      <c r="Q26" s="2">
        <f>('Kwh Reading'!Q27-'Kwh Reading'!Q26)*1000</f>
        <v>0</v>
      </c>
      <c r="R26" s="2">
        <f>('Kwh Reading'!N27-'Kwh Reading'!N26)*1000</f>
        <v>0</v>
      </c>
      <c r="S26" s="2">
        <f>'Kwh Reading'!E27-'Kwh Reading'!E26</f>
        <v>0</v>
      </c>
      <c r="T26" s="2">
        <f>'Kwh Reading'!D27-'Kwh Reading'!D26</f>
        <v>0</v>
      </c>
      <c r="U26" s="27">
        <f>('Kwh Reading'!O27-'Kwh Reading'!O26)*1000</f>
        <v>0</v>
      </c>
      <c r="V26" s="16">
        <f t="shared" si="1"/>
        <v>0</v>
      </c>
    </row>
    <row r="27" spans="1:22" x14ac:dyDescent="0.25">
      <c r="A27" s="3">
        <f>'Kwh Reading'!A27</f>
        <v>44736</v>
      </c>
      <c r="B27" s="26">
        <f>TOTAL!E25</f>
        <v>0</v>
      </c>
      <c r="C27" s="4">
        <f>('Kwh Reading'!T28-'Kwh Reading'!T27)*1000</f>
        <v>0</v>
      </c>
      <c r="D27" s="2">
        <f>('Kwh Reading'!F28-'Kwh Reading'!F27)*1000000</f>
        <v>0</v>
      </c>
      <c r="E27" s="2">
        <f>('Kwh Reading'!C28-'Kwh Reading'!C27)*1000</f>
        <v>0</v>
      </c>
      <c r="F27" s="2">
        <f>('Kwh Reading'!J28-'Kwh Reading'!J27)*1000</f>
        <v>0</v>
      </c>
      <c r="G27" s="2">
        <f>('Kwh Reading'!K28-'Kwh Reading'!K27)*1000</f>
        <v>0</v>
      </c>
      <c r="H27" s="2">
        <f>('Kwh Reading'!L28-'Kwh Reading'!L27)*1000</f>
        <v>0</v>
      </c>
      <c r="I27" s="2">
        <f>('Kwh Reading'!R28-'Kwh Reading'!R27)*1000</f>
        <v>0</v>
      </c>
      <c r="J27" s="2">
        <f>('Kwh Reading'!S28-'Kwh Reading'!S27)*1000</f>
        <v>0</v>
      </c>
      <c r="K27" s="2">
        <f>('Kwh Reading'!I28-'Kwh Reading'!I27)*1000</f>
        <v>0</v>
      </c>
      <c r="L27" s="2">
        <f>('Kwh Reading'!B28-'Kwh Reading'!B27)*1000000</f>
        <v>0</v>
      </c>
      <c r="M27" s="2">
        <f>('Kwh Reading'!M28-'Kwh Reading'!M27)*1000</f>
        <v>0</v>
      </c>
      <c r="N27" s="2">
        <f>('Kwh Reading'!H28-'Kwh Reading'!H27)*1000</f>
        <v>0</v>
      </c>
      <c r="O27" s="2">
        <f>('Kwh Reading'!P28-'Kwh Reading'!P27)*1000</f>
        <v>0</v>
      </c>
      <c r="P27" s="2">
        <f>('Kwh Reading'!G28-'Kwh Reading'!G27)*1000000</f>
        <v>0</v>
      </c>
      <c r="Q27" s="2">
        <f>('Kwh Reading'!Q28-'Kwh Reading'!Q27)*1000</f>
        <v>0</v>
      </c>
      <c r="R27" s="2">
        <f>('Kwh Reading'!N28-'Kwh Reading'!N27)*1000</f>
        <v>0</v>
      </c>
      <c r="S27" s="2">
        <f>'Kwh Reading'!E28-'Kwh Reading'!E27</f>
        <v>0</v>
      </c>
      <c r="T27" s="2">
        <f>'Kwh Reading'!D28-'Kwh Reading'!D27</f>
        <v>0</v>
      </c>
      <c r="U27" s="27">
        <f>('Kwh Reading'!O28-'Kwh Reading'!O27)*1000</f>
        <v>0</v>
      </c>
      <c r="V27" s="16">
        <f t="shared" si="1"/>
        <v>0</v>
      </c>
    </row>
    <row r="28" spans="1:22" x14ac:dyDescent="0.25">
      <c r="A28" s="3">
        <f>'Kwh Reading'!A28</f>
        <v>44737</v>
      </c>
      <c r="B28" s="26">
        <f>TOTAL!E26</f>
        <v>0</v>
      </c>
      <c r="C28" s="4">
        <f>('Kwh Reading'!T29-'Kwh Reading'!T28)*1000</f>
        <v>0</v>
      </c>
      <c r="D28" s="2">
        <f>('Kwh Reading'!F29-'Kwh Reading'!F28)*1000000</f>
        <v>0</v>
      </c>
      <c r="E28" s="2">
        <f>('Kwh Reading'!C29-'Kwh Reading'!C28)*1000</f>
        <v>0</v>
      </c>
      <c r="F28" s="2">
        <f>('Kwh Reading'!J29-'Kwh Reading'!J28)*1000</f>
        <v>0</v>
      </c>
      <c r="G28" s="2">
        <f>('Kwh Reading'!K29-'Kwh Reading'!K28)*1000</f>
        <v>0</v>
      </c>
      <c r="H28" s="2">
        <f>('Kwh Reading'!L29-'Kwh Reading'!L28)*1000</f>
        <v>0</v>
      </c>
      <c r="I28" s="2">
        <f>('Kwh Reading'!R29-'Kwh Reading'!R28)*1000</f>
        <v>0</v>
      </c>
      <c r="J28" s="2">
        <f>('Kwh Reading'!S29-'Kwh Reading'!S28)*1000</f>
        <v>0</v>
      </c>
      <c r="K28" s="2">
        <f>('Kwh Reading'!I29-'Kwh Reading'!I28)*1000</f>
        <v>0</v>
      </c>
      <c r="L28" s="2">
        <f>('Kwh Reading'!B29-'Kwh Reading'!B28)*1000000</f>
        <v>0</v>
      </c>
      <c r="M28" s="2">
        <f>('Kwh Reading'!M29-'Kwh Reading'!M28)*1000</f>
        <v>0</v>
      </c>
      <c r="N28" s="2">
        <f>('Kwh Reading'!H29-'Kwh Reading'!H28)*1000</f>
        <v>0</v>
      </c>
      <c r="O28" s="2">
        <f>('Kwh Reading'!P29-'Kwh Reading'!P28)*1000</f>
        <v>0</v>
      </c>
      <c r="P28" s="2">
        <f>('Kwh Reading'!G29-'Kwh Reading'!G28)*1000000</f>
        <v>0</v>
      </c>
      <c r="Q28" s="2">
        <f>('Kwh Reading'!Q29-'Kwh Reading'!Q28)*1000</f>
        <v>0</v>
      </c>
      <c r="R28" s="2">
        <f>('Kwh Reading'!N29-'Kwh Reading'!N28)*1000</f>
        <v>0</v>
      </c>
      <c r="S28" s="2">
        <f>'Kwh Reading'!E29-'Kwh Reading'!E28</f>
        <v>0</v>
      </c>
      <c r="T28" s="2">
        <f>'Kwh Reading'!D29-'Kwh Reading'!D28</f>
        <v>0</v>
      </c>
      <c r="U28" s="27">
        <f>('Kwh Reading'!O29-'Kwh Reading'!O28)*1000</f>
        <v>0</v>
      </c>
      <c r="V28" s="16">
        <f t="shared" si="1"/>
        <v>0</v>
      </c>
    </row>
    <row r="29" spans="1:22" x14ac:dyDescent="0.25">
      <c r="A29" s="3">
        <f>'Kwh Reading'!A29</f>
        <v>44738</v>
      </c>
      <c r="B29" s="26">
        <f>TOTAL!E27</f>
        <v>0</v>
      </c>
      <c r="C29" s="4">
        <f>('Kwh Reading'!T30-'Kwh Reading'!T29)*1000</f>
        <v>0</v>
      </c>
      <c r="D29" s="2">
        <f>('Kwh Reading'!F30-'Kwh Reading'!F29)*1000000</f>
        <v>0</v>
      </c>
      <c r="E29" s="2">
        <f>('Kwh Reading'!C30-'Kwh Reading'!C29)*1000</f>
        <v>0</v>
      </c>
      <c r="F29" s="2">
        <f>('Kwh Reading'!J30-'Kwh Reading'!J29)*1000</f>
        <v>0</v>
      </c>
      <c r="G29" s="2">
        <f>('Kwh Reading'!K30-'Kwh Reading'!K29)*1000</f>
        <v>0</v>
      </c>
      <c r="H29" s="2">
        <f>('Kwh Reading'!L30-'Kwh Reading'!L29)*1000</f>
        <v>0</v>
      </c>
      <c r="I29" s="2">
        <f>('Kwh Reading'!R30-'Kwh Reading'!R29)*1000</f>
        <v>0</v>
      </c>
      <c r="J29" s="2">
        <f>('Kwh Reading'!S30-'Kwh Reading'!S29)*1000</f>
        <v>0</v>
      </c>
      <c r="K29" s="2">
        <f>('Kwh Reading'!I30-'Kwh Reading'!I29)*1000</f>
        <v>0</v>
      </c>
      <c r="L29" s="2">
        <f>('Kwh Reading'!B30-'Kwh Reading'!B29)*1000000</f>
        <v>0</v>
      </c>
      <c r="M29" s="2">
        <f>('Kwh Reading'!M30-'Kwh Reading'!M29)*1000</f>
        <v>0</v>
      </c>
      <c r="N29" s="2">
        <f>('Kwh Reading'!H30-'Kwh Reading'!H29)*1000</f>
        <v>0</v>
      </c>
      <c r="O29" s="2">
        <f>('Kwh Reading'!P30-'Kwh Reading'!P29)*1000</f>
        <v>0</v>
      </c>
      <c r="P29" s="2">
        <f>('Kwh Reading'!G30-'Kwh Reading'!G29)*1000000</f>
        <v>0</v>
      </c>
      <c r="Q29" s="2">
        <f>('Kwh Reading'!Q30-'Kwh Reading'!Q29)*1000</f>
        <v>0</v>
      </c>
      <c r="R29" s="2">
        <f>('Kwh Reading'!N30-'Kwh Reading'!N29)*1000</f>
        <v>0</v>
      </c>
      <c r="S29" s="2">
        <f>'Kwh Reading'!E30-'Kwh Reading'!E29</f>
        <v>0</v>
      </c>
      <c r="T29" s="2">
        <f>'Kwh Reading'!D30-'Kwh Reading'!D29</f>
        <v>0</v>
      </c>
      <c r="U29" s="27">
        <f>('Kwh Reading'!O30-'Kwh Reading'!O29)*1000</f>
        <v>0</v>
      </c>
      <c r="V29" s="16">
        <f t="shared" si="1"/>
        <v>0</v>
      </c>
    </row>
    <row r="30" spans="1:22" x14ac:dyDescent="0.25">
      <c r="A30" s="3">
        <f>'Kwh Reading'!A30</f>
        <v>44739</v>
      </c>
      <c r="B30" s="26">
        <f>TOTAL!E28</f>
        <v>0</v>
      </c>
      <c r="C30" s="4">
        <f>('Kwh Reading'!T31-'Kwh Reading'!T30)*1000</f>
        <v>0</v>
      </c>
      <c r="D30" s="2">
        <f>('Kwh Reading'!F31-'Kwh Reading'!F30)*1000000</f>
        <v>0</v>
      </c>
      <c r="E30" s="2">
        <f>('Kwh Reading'!C31-'Kwh Reading'!C30)*1000</f>
        <v>0</v>
      </c>
      <c r="F30" s="2">
        <f>('Kwh Reading'!J31-'Kwh Reading'!J30)*1000</f>
        <v>0</v>
      </c>
      <c r="G30" s="2">
        <f>('Kwh Reading'!K31-'Kwh Reading'!K30)*1000</f>
        <v>0</v>
      </c>
      <c r="H30" s="2">
        <f>('Kwh Reading'!L31-'Kwh Reading'!L30)*1000</f>
        <v>0</v>
      </c>
      <c r="I30" s="2">
        <f>('Kwh Reading'!R31-'Kwh Reading'!R30)*1000</f>
        <v>0</v>
      </c>
      <c r="J30" s="2">
        <f>('Kwh Reading'!S31-'Kwh Reading'!S30)*1000</f>
        <v>0</v>
      </c>
      <c r="K30" s="2">
        <f>('Kwh Reading'!I31-'Kwh Reading'!I30)*1000</f>
        <v>0</v>
      </c>
      <c r="L30" s="2">
        <f>('Kwh Reading'!B31-'Kwh Reading'!B30)*1000000</f>
        <v>0</v>
      </c>
      <c r="M30" s="2">
        <f>('Kwh Reading'!M31-'Kwh Reading'!M30)*1000</f>
        <v>0</v>
      </c>
      <c r="N30" s="2">
        <f>('Kwh Reading'!H31-'Kwh Reading'!H30)*1000</f>
        <v>0</v>
      </c>
      <c r="O30" s="2">
        <f>('Kwh Reading'!P31-'Kwh Reading'!P30)*1000</f>
        <v>0</v>
      </c>
      <c r="P30" s="2">
        <f>('Kwh Reading'!G31-'Kwh Reading'!G30)*1000000</f>
        <v>0</v>
      </c>
      <c r="Q30" s="2">
        <f>('Kwh Reading'!Q31-'Kwh Reading'!Q30)*1000</f>
        <v>0</v>
      </c>
      <c r="R30" s="2">
        <f>('Kwh Reading'!N31-'Kwh Reading'!N30)*1000</f>
        <v>0</v>
      </c>
      <c r="S30" s="2">
        <f>'Kwh Reading'!E31-'Kwh Reading'!E30</f>
        <v>0</v>
      </c>
      <c r="T30" s="2">
        <f>'Kwh Reading'!D31-'Kwh Reading'!D30</f>
        <v>0</v>
      </c>
      <c r="U30" s="27">
        <f>('Kwh Reading'!O31-'Kwh Reading'!O30)*1000</f>
        <v>0</v>
      </c>
      <c r="V30" s="16">
        <f t="shared" si="1"/>
        <v>0</v>
      </c>
    </row>
    <row r="31" spans="1:22" x14ac:dyDescent="0.25">
      <c r="A31" s="3">
        <f>'Kwh Reading'!A31</f>
        <v>44740</v>
      </c>
      <c r="B31" s="26">
        <f>TOTAL!E29</f>
        <v>0</v>
      </c>
      <c r="C31" s="4">
        <f>('Kwh Reading'!T32-'Kwh Reading'!T31)*1000</f>
        <v>0</v>
      </c>
      <c r="D31" s="2">
        <f>('Kwh Reading'!F32-'Kwh Reading'!F31)*1000000</f>
        <v>0</v>
      </c>
      <c r="E31" s="2">
        <f>('Kwh Reading'!C32-'Kwh Reading'!C31)*1000</f>
        <v>0</v>
      </c>
      <c r="F31" s="2">
        <f>('Kwh Reading'!J32-'Kwh Reading'!J31)*1000</f>
        <v>0</v>
      </c>
      <c r="G31" s="2">
        <f>('Kwh Reading'!K32-'Kwh Reading'!K31)*1000</f>
        <v>0</v>
      </c>
      <c r="H31" s="2">
        <f>('Kwh Reading'!L32-'Kwh Reading'!L31)*1000</f>
        <v>0</v>
      </c>
      <c r="I31" s="2">
        <f>('Kwh Reading'!R32-'Kwh Reading'!R31)*1000</f>
        <v>0</v>
      </c>
      <c r="J31" s="2">
        <f>('Kwh Reading'!S32-'Kwh Reading'!S31)*1000</f>
        <v>0</v>
      </c>
      <c r="K31" s="2">
        <f>('Kwh Reading'!I32-'Kwh Reading'!I31)*1000</f>
        <v>0</v>
      </c>
      <c r="L31" s="2">
        <f>('Kwh Reading'!B32-'Kwh Reading'!B31)*1000000</f>
        <v>0</v>
      </c>
      <c r="M31" s="2">
        <f>('Kwh Reading'!M32-'Kwh Reading'!M31)*1000</f>
        <v>0</v>
      </c>
      <c r="N31" s="2">
        <f>('Kwh Reading'!H32-'Kwh Reading'!H31)*1000</f>
        <v>0</v>
      </c>
      <c r="O31" s="2">
        <f>('Kwh Reading'!P32-'Kwh Reading'!P31)*1000</f>
        <v>0</v>
      </c>
      <c r="P31" s="2">
        <f>('Kwh Reading'!G32-'Kwh Reading'!G31)*1000000</f>
        <v>0</v>
      </c>
      <c r="Q31" s="2">
        <f>('Kwh Reading'!Q32-'Kwh Reading'!Q31)*1000</f>
        <v>0</v>
      </c>
      <c r="R31" s="2">
        <f>('Kwh Reading'!N32-'Kwh Reading'!N31)*1000</f>
        <v>0</v>
      </c>
      <c r="S31" s="2">
        <f>'Kwh Reading'!E32-'Kwh Reading'!E31</f>
        <v>0</v>
      </c>
      <c r="T31" s="2">
        <f>'Kwh Reading'!D32-'Kwh Reading'!D31</f>
        <v>0</v>
      </c>
      <c r="U31" s="27">
        <f>('Kwh Reading'!O32-'Kwh Reading'!O31)*1000</f>
        <v>0</v>
      </c>
      <c r="V31" s="16">
        <f t="shared" si="1"/>
        <v>0</v>
      </c>
    </row>
    <row r="32" spans="1:22" x14ac:dyDescent="0.25">
      <c r="A32" s="3">
        <f>'Kwh Reading'!A32</f>
        <v>44741</v>
      </c>
      <c r="B32" s="26">
        <f>TOTAL!E30</f>
        <v>0</v>
      </c>
      <c r="C32" s="4">
        <f>('Kwh Reading'!T33-'Kwh Reading'!T32)*1000</f>
        <v>0</v>
      </c>
      <c r="D32" s="2">
        <f>('Kwh Reading'!F33-'Kwh Reading'!F32)*1000000</f>
        <v>0</v>
      </c>
      <c r="E32" s="2">
        <f>('Kwh Reading'!C33-'Kwh Reading'!C32)*1000</f>
        <v>0</v>
      </c>
      <c r="F32" s="2">
        <f>('Kwh Reading'!J33-'Kwh Reading'!J32)*1000</f>
        <v>0</v>
      </c>
      <c r="G32" s="2">
        <f>('Kwh Reading'!K33-'Kwh Reading'!K32)*1000</f>
        <v>0</v>
      </c>
      <c r="H32" s="2">
        <f>('Kwh Reading'!L33-'Kwh Reading'!L32)*1000</f>
        <v>0</v>
      </c>
      <c r="I32" s="2">
        <f>('Kwh Reading'!R33-'Kwh Reading'!R32)*1000</f>
        <v>0</v>
      </c>
      <c r="J32" s="2">
        <f>('Kwh Reading'!S33-'Kwh Reading'!S32)*1000</f>
        <v>0</v>
      </c>
      <c r="K32" s="2">
        <f>('Kwh Reading'!I33-'Kwh Reading'!I32)*1000</f>
        <v>0</v>
      </c>
      <c r="L32" s="2">
        <f>('Kwh Reading'!B33-'Kwh Reading'!B32)*1000000</f>
        <v>0</v>
      </c>
      <c r="M32" s="2">
        <f>('Kwh Reading'!M33-'Kwh Reading'!M32)*1000</f>
        <v>0</v>
      </c>
      <c r="N32" s="2">
        <f>('Kwh Reading'!H33-'Kwh Reading'!H32)*1000</f>
        <v>0</v>
      </c>
      <c r="O32" s="2">
        <f>('Kwh Reading'!P33-'Kwh Reading'!P32)*1000</f>
        <v>0</v>
      </c>
      <c r="P32" s="2">
        <f>('Kwh Reading'!G33-'Kwh Reading'!G32)*1000000</f>
        <v>0</v>
      </c>
      <c r="Q32" s="2">
        <f>('Kwh Reading'!Q33-'Kwh Reading'!Q32)*1000</f>
        <v>0</v>
      </c>
      <c r="R32" s="2">
        <f>('Kwh Reading'!N33-'Kwh Reading'!N32)*1000</f>
        <v>0</v>
      </c>
      <c r="S32" s="2">
        <f>'Kwh Reading'!E33-'Kwh Reading'!E32</f>
        <v>0</v>
      </c>
      <c r="T32" s="2">
        <f>'Kwh Reading'!D33-'Kwh Reading'!D32</f>
        <v>0</v>
      </c>
      <c r="U32" s="27">
        <f>('Kwh Reading'!O33-'Kwh Reading'!O32)*1000</f>
        <v>0</v>
      </c>
      <c r="V32" s="16">
        <f t="shared" si="1"/>
        <v>0</v>
      </c>
    </row>
    <row r="33" spans="1:22" x14ac:dyDescent="0.25">
      <c r="A33" s="3">
        <f>'Kwh Reading'!A33</f>
        <v>44742</v>
      </c>
      <c r="B33" s="26">
        <f>TOTAL!E31</f>
        <v>0</v>
      </c>
      <c r="C33" s="4">
        <f>('Kwh Reading'!T34-'Kwh Reading'!T33)*1000</f>
        <v>0</v>
      </c>
      <c r="D33" s="2">
        <f>('Kwh Reading'!F34-'Kwh Reading'!F33)*1000000</f>
        <v>0</v>
      </c>
      <c r="E33" s="2">
        <f>('Kwh Reading'!C34-'Kwh Reading'!C33)*1000</f>
        <v>0</v>
      </c>
      <c r="F33" s="2">
        <f>('Kwh Reading'!J34-'Kwh Reading'!J33)*1000</f>
        <v>0</v>
      </c>
      <c r="G33" s="2">
        <f>('Kwh Reading'!K34-'Kwh Reading'!K33)*1000</f>
        <v>0</v>
      </c>
      <c r="H33" s="2">
        <f>('Kwh Reading'!L34-'Kwh Reading'!L33)*1000</f>
        <v>0</v>
      </c>
      <c r="I33" s="2">
        <f>('Kwh Reading'!R34-'Kwh Reading'!R33)*1000</f>
        <v>0</v>
      </c>
      <c r="J33" s="2">
        <f>('Kwh Reading'!S34-'Kwh Reading'!S33)*1000</f>
        <v>0</v>
      </c>
      <c r="K33" s="2">
        <f>('Kwh Reading'!I34-'Kwh Reading'!I33)*1000</f>
        <v>0</v>
      </c>
      <c r="L33" s="2">
        <f>('Kwh Reading'!B34-'Kwh Reading'!B33)*1000000</f>
        <v>0</v>
      </c>
      <c r="M33" s="2">
        <f>('Kwh Reading'!M34-'Kwh Reading'!M33)*1000</f>
        <v>0</v>
      </c>
      <c r="N33" s="2">
        <f>('Kwh Reading'!H34-'Kwh Reading'!H33)*1000</f>
        <v>0</v>
      </c>
      <c r="O33" s="2">
        <f>('Kwh Reading'!P34-'Kwh Reading'!P33)*1000</f>
        <v>0</v>
      </c>
      <c r="P33" s="2">
        <f>('Kwh Reading'!G34-'Kwh Reading'!G33)*1000000</f>
        <v>0</v>
      </c>
      <c r="Q33" s="2">
        <f>('Kwh Reading'!Q34-'Kwh Reading'!Q33)*1000</f>
        <v>0</v>
      </c>
      <c r="R33" s="2">
        <f>('Kwh Reading'!N34-'Kwh Reading'!N33)*1000</f>
        <v>0</v>
      </c>
      <c r="S33" s="2">
        <f>'Kwh Reading'!E34-'Kwh Reading'!E33</f>
        <v>0</v>
      </c>
      <c r="T33" s="2">
        <f>'Kwh Reading'!D34-'Kwh Reading'!D33</f>
        <v>0</v>
      </c>
      <c r="U33" s="27">
        <f>('Kwh Reading'!O34-'Kwh Reading'!O33)*1000</f>
        <v>0</v>
      </c>
      <c r="V33" s="16">
        <f t="shared" si="1"/>
        <v>0</v>
      </c>
    </row>
    <row r="34" spans="1:22" x14ac:dyDescent="0.25">
      <c r="A34" s="3">
        <f>'Kwh Reading'!A34</f>
        <v>44743</v>
      </c>
      <c r="B34" s="26">
        <f>TOTAL!E32</f>
        <v>0</v>
      </c>
      <c r="C34" s="4">
        <f>('Kwh Reading'!T35-'Kwh Reading'!T34)*1000</f>
        <v>0</v>
      </c>
      <c r="D34" s="2">
        <f>('Kwh Reading'!F35-'Kwh Reading'!F34)*1000000</f>
        <v>0</v>
      </c>
      <c r="E34" s="2">
        <f>('Kwh Reading'!C35-'Kwh Reading'!C34)*1000</f>
        <v>0</v>
      </c>
      <c r="F34" s="2">
        <f>('Kwh Reading'!J35-'Kwh Reading'!J34)*1000</f>
        <v>0</v>
      </c>
      <c r="G34" s="2">
        <f>('Kwh Reading'!K35-'Kwh Reading'!K34)*1000</f>
        <v>0</v>
      </c>
      <c r="H34" s="2">
        <f>('Kwh Reading'!L35-'Kwh Reading'!L34)*1000</f>
        <v>0</v>
      </c>
      <c r="I34" s="2">
        <f>('Kwh Reading'!R35-'Kwh Reading'!R34)*1000</f>
        <v>0</v>
      </c>
      <c r="J34" s="2">
        <f>('Kwh Reading'!S35-'Kwh Reading'!S34)*1000</f>
        <v>0</v>
      </c>
      <c r="K34" s="2">
        <f>('Kwh Reading'!I35-'Kwh Reading'!I34)*1000</f>
        <v>0</v>
      </c>
      <c r="L34" s="2">
        <f>('Kwh Reading'!B35-'Kwh Reading'!B34)*1000000</f>
        <v>0</v>
      </c>
      <c r="M34" s="2">
        <f>('Kwh Reading'!M35-'Kwh Reading'!M34)*1000</f>
        <v>0</v>
      </c>
      <c r="N34" s="2">
        <f>('Kwh Reading'!H35-'Kwh Reading'!H34)*1000</f>
        <v>0</v>
      </c>
      <c r="O34" s="2">
        <f>('Kwh Reading'!P35-'Kwh Reading'!P34)*1000</f>
        <v>0</v>
      </c>
      <c r="P34" s="2">
        <f>('Kwh Reading'!G35-'Kwh Reading'!G34)*1000000</f>
        <v>0</v>
      </c>
      <c r="Q34" s="2">
        <f>('Kwh Reading'!Q35-'Kwh Reading'!Q34)*1000</f>
        <v>0</v>
      </c>
      <c r="R34" s="2">
        <f>('Kwh Reading'!N35-'Kwh Reading'!N34)*1000</f>
        <v>0</v>
      </c>
      <c r="S34" s="2">
        <f>'Kwh Reading'!E35-'Kwh Reading'!E34</f>
        <v>0</v>
      </c>
      <c r="T34" s="2">
        <f>'Kwh Reading'!D35-'Kwh Reading'!D34</f>
        <v>0</v>
      </c>
      <c r="U34" s="27">
        <f>('Kwh Reading'!O35-'Kwh Reading'!O34)*1000</f>
        <v>0</v>
      </c>
      <c r="V34" s="16">
        <f t="shared" si="1"/>
        <v>0</v>
      </c>
    </row>
    <row r="35" spans="1:22" x14ac:dyDescent="0.25">
      <c r="A35" s="77" t="s">
        <v>51</v>
      </c>
      <c r="B35" s="76">
        <f>SUM(B4:B34)</f>
        <v>149730.00000000003</v>
      </c>
      <c r="C35" s="72">
        <f t="shared" ref="C35" si="2">SUM(C4:C34)</f>
        <v>-585440.00000000012</v>
      </c>
      <c r="D35" s="72">
        <f t="shared" ref="D35" si="3">SUM(D4:D34)</f>
        <v>-3254800</v>
      </c>
      <c r="E35" s="72">
        <f t="shared" ref="E35" si="4">SUM(E4:E34)</f>
        <v>-313430</v>
      </c>
      <c r="F35" s="72">
        <f t="shared" ref="F35" si="5">SUM(F4:F34)</f>
        <v>-467589.99999999994</v>
      </c>
      <c r="G35" s="72">
        <f t="shared" ref="G35:U35" si="6">SUM(G4:G34)</f>
        <v>-458269.99999999994</v>
      </c>
      <c r="H35" s="72">
        <f t="shared" si="6"/>
        <v>-311640</v>
      </c>
      <c r="I35" s="72">
        <f t="shared" si="6"/>
        <v>-190150</v>
      </c>
      <c r="J35" s="72">
        <f t="shared" si="6"/>
        <v>-161040</v>
      </c>
      <c r="K35" s="72">
        <f t="shared" si="6"/>
        <v>-338160</v>
      </c>
      <c r="L35" s="72">
        <f t="shared" si="6"/>
        <v>-1382000</v>
      </c>
      <c r="M35" s="72">
        <f t="shared" si="6"/>
        <v>-776060</v>
      </c>
      <c r="N35" s="72">
        <f t="shared" si="6"/>
        <v>-943610</v>
      </c>
      <c r="O35" s="72">
        <f t="shared" si="6"/>
        <v>-948620</v>
      </c>
      <c r="P35" s="72">
        <f t="shared" si="6"/>
        <v>-1045800</v>
      </c>
      <c r="Q35" s="72">
        <f t="shared" si="6"/>
        <v>-704269.99999999988</v>
      </c>
      <c r="R35" s="72">
        <f t="shared" si="6"/>
        <v>-727050</v>
      </c>
      <c r="S35" s="72">
        <f t="shared" si="6"/>
        <v>-9144633.5299999993</v>
      </c>
      <c r="T35" s="72">
        <f t="shared" si="6"/>
        <v>-8189226.5300000003</v>
      </c>
      <c r="U35" s="72">
        <f t="shared" si="6"/>
        <v>-223530</v>
      </c>
      <c r="V35" s="72">
        <f>SUM(V4:V34)</f>
        <v>30315050.059999999</v>
      </c>
    </row>
    <row r="40" spans="1:22" x14ac:dyDescent="0.25">
      <c r="S40" s="78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E51" sqref="E51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5" width="14.28515625" style="15" customWidth="1"/>
    <col min="6" max="6" width="15.28515625" style="15" bestFit="1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31</v>
      </c>
      <c r="C2" s="34" t="s">
        <v>52</v>
      </c>
      <c r="D2" s="34" t="s">
        <v>53</v>
      </c>
      <c r="E2" s="34" t="s">
        <v>54</v>
      </c>
      <c r="F2" s="34" t="s">
        <v>55</v>
      </c>
      <c r="G2" s="20" t="s">
        <v>56</v>
      </c>
      <c r="H2" s="70" t="s">
        <v>57</v>
      </c>
      <c r="I2" s="23" t="s">
        <v>39</v>
      </c>
      <c r="J2" s="23" t="s">
        <v>58</v>
      </c>
      <c r="K2" s="23" t="s">
        <v>59</v>
      </c>
      <c r="L2" s="37" t="s">
        <v>60</v>
      </c>
    </row>
    <row r="3" spans="1:12" x14ac:dyDescent="0.25">
      <c r="A3" s="14">
        <f>'Kwh Reading'!A4</f>
        <v>44713</v>
      </c>
      <c r="B3" s="80">
        <f>TOTAL!E2</f>
        <v>21320.000000000618</v>
      </c>
      <c r="C3" s="1">
        <f>'Kwh Consumption'!C4</f>
        <v>500</v>
      </c>
      <c r="D3" s="1">
        <f>'Kwh Consumption'!D4</f>
        <v>2699.9999999999245</v>
      </c>
      <c r="E3" s="1">
        <f>'Kwh Consumption'!E4</f>
        <v>230.00000000001819</v>
      </c>
      <c r="F3" s="1">
        <f>('Kwh Consumption'!F4+'Kwh Consumption'!G4+'Kwh Consumption'!H4)</f>
        <v>1110.0000000000705</v>
      </c>
      <c r="G3" s="16">
        <f>('Kwh Consumption'!I4+'Kwh Consumption'!J4)</f>
        <v>140.00000000001478</v>
      </c>
      <c r="H3" s="1">
        <f>('Kwh Consumption'!K4+'Kwh Consumption'!L4)</f>
        <v>1440.0000000000759</v>
      </c>
      <c r="I3" s="1">
        <f>('Kwh Consumption'!M4+'Kwh Consumption'!N4+'Kwh Consumption'!O4+'Kwh Consumption'!P4+'Kwh Consumption'!Q4+'Kwh Consumption'!R4)</f>
        <v>4119.9999999999955</v>
      </c>
      <c r="J3" s="1">
        <f>('Kwh Consumption'!S4+'Kwh Consumption'!T4)</f>
        <v>4714.6800000006333</v>
      </c>
      <c r="K3" s="1">
        <f>'Kwh Consumption'!U4</f>
        <v>210.00000000000796</v>
      </c>
      <c r="L3" s="31">
        <f t="shared" ref="L3:L33" si="0">B3-C3-D3-E3-F3-G3-H3-I3-J3-K3</f>
        <v>6155.3199999998787</v>
      </c>
    </row>
    <row r="4" spans="1:12" x14ac:dyDescent="0.25">
      <c r="A4" s="14">
        <f>'Kwh Reading'!A5</f>
        <v>44714</v>
      </c>
      <c r="B4" s="80">
        <f>TOTAL!E3</f>
        <v>22170.000000000757</v>
      </c>
      <c r="C4" s="1">
        <f>'Kwh Consumption'!C5</f>
        <v>500</v>
      </c>
      <c r="D4" s="1">
        <f>'Kwh Consumption'!D5</f>
        <v>2700.0000000003688</v>
      </c>
      <c r="E4" s="1">
        <f>'Kwh Consumption'!E5</f>
        <v>239.99999999995225</v>
      </c>
      <c r="F4" s="1">
        <f>('Kwh Consumption'!F5+'Kwh Consumption'!G5+'Kwh Consumption'!H5)</f>
        <v>740.00000000000909</v>
      </c>
      <c r="G4" s="16">
        <f>('Kwh Consumption'!I5+'Kwh Consumption'!J5)</f>
        <v>150.00000000000568</v>
      </c>
      <c r="H4" s="1">
        <f>('Kwh Consumption'!K5+'Kwh Consumption'!L5)</f>
        <v>1460.0000000001146</v>
      </c>
      <c r="I4" s="1">
        <f>('Kwh Consumption'!M5+'Kwh Consumption'!N5+'Kwh Consumption'!O5+'Kwh Consumption'!P5+'Kwh Consumption'!Q5+'Kwh Consumption'!R5)</f>
        <v>4760.0000000001364</v>
      </c>
      <c r="J4" s="1">
        <f>('Kwh Consumption'!S5+'Kwh Consumption'!T5)</f>
        <v>5029.0699999993667</v>
      </c>
      <c r="K4" s="1">
        <f>'Kwh Consumption'!U5</f>
        <v>199.99999999998863</v>
      </c>
      <c r="L4" s="31">
        <f t="shared" si="0"/>
        <v>6390.9300000008152</v>
      </c>
    </row>
    <row r="5" spans="1:12" x14ac:dyDescent="0.25">
      <c r="A5" s="14">
        <f>'Kwh Reading'!A6</f>
        <v>44715</v>
      </c>
      <c r="B5" s="80">
        <f>TOTAL!E4</f>
        <v>21599.999999998545</v>
      </c>
      <c r="C5" s="1">
        <f>'Kwh Consumption'!C6</f>
        <v>279.99999999997272</v>
      </c>
      <c r="D5" s="1">
        <f>'Kwh Consumption'!D6</f>
        <v>2699.9999999999245</v>
      </c>
      <c r="E5" s="1">
        <f>'Kwh Consumption'!E6</f>
        <v>250</v>
      </c>
      <c r="F5" s="1">
        <f>('Kwh Consumption'!F6+'Kwh Consumption'!G6+'Kwh Consumption'!H6)</f>
        <v>939.99999999999773</v>
      </c>
      <c r="G5" s="16">
        <f>('Kwh Consumption'!I6+'Kwh Consumption'!J6)</f>
        <v>129.99999999999545</v>
      </c>
      <c r="H5" s="1">
        <f>('Kwh Consumption'!K6+'Kwh Consumption'!L6)</f>
        <v>1369.9999999998945</v>
      </c>
      <c r="I5" s="1">
        <f>('Kwh Consumption'!M6+'Kwh Consumption'!N6+'Kwh Consumption'!O6+'Kwh Consumption'!P6+'Kwh Consumption'!Q6+'Kwh Consumption'!R6)</f>
        <v>4880.0000000000327</v>
      </c>
      <c r="J5" s="1">
        <f>('Kwh Consumption'!S6+'Kwh Consumption'!T6)</f>
        <v>4755.6000000005588</v>
      </c>
      <c r="K5" s="1">
        <f>'Kwh Consumption'!U6</f>
        <v>199.99999999998863</v>
      </c>
      <c r="L5" s="31">
        <f t="shared" si="0"/>
        <v>6094.3999999981825</v>
      </c>
    </row>
    <row r="6" spans="1:12" x14ac:dyDescent="0.25">
      <c r="A6" s="14">
        <f>'Kwh Reading'!A7</f>
        <v>44716</v>
      </c>
      <c r="B6" s="80">
        <f>TOTAL!E5</f>
        <v>21829.999999999472</v>
      </c>
      <c r="C6" s="1">
        <f>'Kwh Consumption'!C7</f>
        <v>480.00000000001819</v>
      </c>
      <c r="D6" s="1">
        <f>'Kwh Consumption'!D7</f>
        <v>2699.9999999999245</v>
      </c>
      <c r="E6" s="1">
        <f>'Kwh Consumption'!E7</f>
        <v>4220.0000000000273</v>
      </c>
      <c r="F6" s="1">
        <f>('Kwh Consumption'!F7+'Kwh Consumption'!G7+'Kwh Consumption'!H7)</f>
        <v>500840.00000000006</v>
      </c>
      <c r="G6" s="16">
        <f>('Kwh Consumption'!I7+'Kwh Consumption'!J7)</f>
        <v>139.99999999998636</v>
      </c>
      <c r="H6" s="1">
        <f>('Kwh Consumption'!K7+'Kwh Consumption'!L7)</f>
        <v>1460.0000000000578</v>
      </c>
      <c r="I6" s="1">
        <f>('Kwh Consumption'!M7+'Kwh Consumption'!N7+'Kwh Consumption'!O7+'Kwh Consumption'!P7+'Kwh Consumption'!Q7+'Kwh Consumption'!R7)</f>
        <v>4629.9999999998054</v>
      </c>
      <c r="J6" s="1">
        <f>('Kwh Consumption'!S7+'Kwh Consumption'!T7)</f>
        <v>4846.6399999987334</v>
      </c>
      <c r="K6" s="1">
        <f>'Kwh Consumption'!U7</f>
        <v>200.00000000001705</v>
      </c>
      <c r="L6" s="31">
        <f t="shared" si="0"/>
        <v>-497686.6399999992</v>
      </c>
    </row>
    <row r="7" spans="1:12" x14ac:dyDescent="0.25">
      <c r="A7" s="14">
        <f>'Kwh Reading'!A8</f>
        <v>44717</v>
      </c>
      <c r="B7" s="80">
        <f>TOTAL!E6</f>
        <v>21140.000000001011</v>
      </c>
      <c r="C7" s="1">
        <f>'Kwh Consumption'!C8</f>
        <v>459.99999999992269</v>
      </c>
      <c r="D7" s="1">
        <f>'Kwh Consumption'!D8</f>
        <v>2800.0000000001355</v>
      </c>
      <c r="E7" s="1">
        <f>'Kwh Consumption'!E8</f>
        <v>-3790.0000000000205</v>
      </c>
      <c r="F7" s="1">
        <f>('Kwh Consumption'!F8+'Kwh Consumption'!G8+'Kwh Consumption'!H8)</f>
        <v>-499210</v>
      </c>
      <c r="G7" s="16">
        <f>('Kwh Consumption'!I8+'Kwh Consumption'!J8)</f>
        <v>140.00000000001478</v>
      </c>
      <c r="H7" s="1">
        <f>('Kwh Consumption'!K8+'Kwh Consumption'!L8)</f>
        <v>1339.9999999999218</v>
      </c>
      <c r="I7" s="1">
        <f>('Kwh Consumption'!M8+'Kwh Consumption'!N8+'Kwh Consumption'!O8+'Kwh Consumption'!P8+'Kwh Consumption'!Q8+'Kwh Consumption'!R8)</f>
        <v>4410.0000000002274</v>
      </c>
      <c r="J7" s="1">
        <f>('Kwh Consumption'!S8+'Kwh Consumption'!T8)</f>
        <v>4895.9200000017881</v>
      </c>
      <c r="K7" s="1">
        <f>'Kwh Consumption'!U8</f>
        <v>189.99999999999773</v>
      </c>
      <c r="L7" s="31">
        <f t="shared" si="0"/>
        <v>509904.07999999903</v>
      </c>
    </row>
    <row r="8" spans="1:12" x14ac:dyDescent="0.25">
      <c r="A8" s="14">
        <f>'Kwh Reading'!A9</f>
        <v>44718</v>
      </c>
      <c r="B8" s="80">
        <f>TOTAL!E7</f>
        <v>21080.000000000837</v>
      </c>
      <c r="C8" s="1">
        <f>'Kwh Consumption'!C9</f>
        <v>519.99999999998181</v>
      </c>
      <c r="D8" s="1">
        <f>'Kwh Consumption'!D9</f>
        <v>2599.9999999997135</v>
      </c>
      <c r="E8" s="1">
        <f>'Kwh Consumption'!E9</f>
        <v>220.00000000002728</v>
      </c>
      <c r="F8" s="1">
        <f>('Kwh Consumption'!F9+'Kwh Consumption'!G9+'Kwh Consumption'!H9)</f>
        <v>930.00000000000682</v>
      </c>
      <c r="G8" s="16">
        <f>('Kwh Consumption'!I9+'Kwh Consumption'!J9)</f>
        <v>139.99999999998636</v>
      </c>
      <c r="H8" s="1">
        <f>('Kwh Consumption'!K9+'Kwh Consumption'!L9)</f>
        <v>1440.0000000000759</v>
      </c>
      <c r="I8" s="1">
        <f>('Kwh Consumption'!M9+'Kwh Consumption'!N9+'Kwh Consumption'!O9+'Kwh Consumption'!P9+'Kwh Consumption'!Q9+'Kwh Consumption'!R9)</f>
        <v>4579.9999999997035</v>
      </c>
      <c r="J8" s="1">
        <f>('Kwh Consumption'!S9+'Kwh Consumption'!T9)</f>
        <v>4671.9599999990314</v>
      </c>
      <c r="K8" s="1">
        <f>'Kwh Consumption'!U9</f>
        <v>229.99999999998977</v>
      </c>
      <c r="L8" s="31">
        <f t="shared" si="0"/>
        <v>5748.0400000023192</v>
      </c>
    </row>
    <row r="9" spans="1:12" x14ac:dyDescent="0.25">
      <c r="A9" s="14">
        <f>'Kwh Reading'!A10</f>
        <v>44719</v>
      </c>
      <c r="B9" s="80">
        <f>TOTAL!E8</f>
        <v>20589.999999998781</v>
      </c>
      <c r="C9" s="1">
        <f>'Kwh Consumption'!C10</f>
        <v>490.00000000000909</v>
      </c>
      <c r="D9" s="1">
        <f>'Kwh Consumption'!D10</f>
        <v>2600.0000000001578</v>
      </c>
      <c r="E9" s="1">
        <f>'Kwh Consumption'!E10</f>
        <v>219.99999999997044</v>
      </c>
      <c r="F9" s="1">
        <f>('Kwh Consumption'!F10+'Kwh Consumption'!G10+'Kwh Consumption'!H10)</f>
        <v>990.00000000000909</v>
      </c>
      <c r="G9" s="16">
        <f>('Kwh Consumption'!I10+'Kwh Consumption'!J10)</f>
        <v>129.99999999999545</v>
      </c>
      <c r="H9" s="1">
        <f>('Kwh Consumption'!K10+'Kwh Consumption'!L10)</f>
        <v>1369.9999999998945</v>
      </c>
      <c r="I9" s="1">
        <f>('Kwh Consumption'!M10+'Kwh Consumption'!N10+'Kwh Consumption'!O10+'Kwh Consumption'!P10+'Kwh Consumption'!Q10+'Kwh Consumption'!R10)</f>
        <v>4150.0000000002365</v>
      </c>
      <c r="J9" s="1">
        <f>('Kwh Consumption'!S10+'Kwh Consumption'!T10)</f>
        <v>3568.730000000447</v>
      </c>
      <c r="K9" s="1">
        <f>'Kwh Consumption'!U10</f>
        <v>210.00000000000796</v>
      </c>
      <c r="L9" s="31">
        <f t="shared" si="0"/>
        <v>6861.2699999980532</v>
      </c>
    </row>
    <row r="10" spans="1:12" x14ac:dyDescent="0.25">
      <c r="A10" s="14">
        <f>'Kwh Reading'!A11</f>
        <v>44720</v>
      </c>
      <c r="B10" s="80">
        <f>TOTAL!E9</f>
        <v>0</v>
      </c>
      <c r="C10" s="1">
        <f>'Kwh Consumption'!C11</f>
        <v>500</v>
      </c>
      <c r="D10" s="1">
        <f>'Kwh Consumption'!D11</f>
        <v>2699.9999999999245</v>
      </c>
      <c r="E10" s="1">
        <f>'Kwh Consumption'!E11</f>
        <v>240.00000000000909</v>
      </c>
      <c r="F10" s="1">
        <f>('Kwh Consumption'!F11+'Kwh Consumption'!G11+'Kwh Consumption'!H11)</f>
        <v>859.9999999999568</v>
      </c>
      <c r="G10" s="16">
        <f>('Kwh Consumption'!I11+'Kwh Consumption'!J11)</f>
        <v>140.00000000001478</v>
      </c>
      <c r="H10" s="1">
        <f>('Kwh Consumption'!K11+'Kwh Consumption'!L11)</f>
        <v>1450.0000000001237</v>
      </c>
      <c r="I10" s="1">
        <f>('Kwh Consumption'!M11+'Kwh Consumption'!N11+'Kwh Consumption'!O11+'Kwh Consumption'!P11+'Kwh Consumption'!Q11+'Kwh Consumption'!R11)</f>
        <v>4379.999999999839</v>
      </c>
      <c r="J10" s="1">
        <f>('Kwh Consumption'!S11+'Kwh Consumption'!T11)</f>
        <v>5488.7099999999627</v>
      </c>
      <c r="K10" s="1">
        <f>'Kwh Consumption'!U11</f>
        <v>250</v>
      </c>
      <c r="L10" s="31">
        <f t="shared" si="0"/>
        <v>-16008.709999999832</v>
      </c>
    </row>
    <row r="11" spans="1:12" x14ac:dyDescent="0.25">
      <c r="A11" s="14">
        <f>'Kwh Reading'!A12</f>
        <v>44721</v>
      </c>
      <c r="B11" s="80">
        <f>TOTAL!E10</f>
        <v>0</v>
      </c>
      <c r="C11" s="1">
        <f>'Kwh Consumption'!C12</f>
        <v>480.00000000001819</v>
      </c>
      <c r="D11" s="1">
        <f>'Kwh Consumption'!D12</f>
        <v>2699.9999999999245</v>
      </c>
      <c r="E11" s="1">
        <f>'Kwh Consumption'!E12</f>
        <v>259.99999999999091</v>
      </c>
      <c r="F11" s="1">
        <f>('Kwh Consumption'!F12+'Kwh Consumption'!G12+'Kwh Consumption'!H12)</f>
        <v>960.00000000003638</v>
      </c>
      <c r="G11" s="16">
        <f>('Kwh Consumption'!I12+'Kwh Consumption'!J12)</f>
        <v>139.99999999998636</v>
      </c>
      <c r="H11" s="1">
        <f>('Kwh Consumption'!K12+'Kwh Consumption'!L12)</f>
        <v>1459.9999999998925</v>
      </c>
      <c r="I11" s="1">
        <f>('Kwh Consumption'!M12+'Kwh Consumption'!N12+'Kwh Consumption'!O12+'Kwh Consumption'!P12+'Kwh Consumption'!Q12+'Kwh Consumption'!R12)</f>
        <v>4410.0000000002274</v>
      </c>
      <c r="J11" s="1">
        <f>('Kwh Consumption'!S12+'Kwh Consumption'!T12)</f>
        <v>4199.089999999851</v>
      </c>
      <c r="K11" s="1">
        <f>'Kwh Consumption'!U12</f>
        <v>219.99999999999886</v>
      </c>
      <c r="L11" s="31">
        <f t="shared" si="0"/>
        <v>-14829.089999999926</v>
      </c>
    </row>
    <row r="12" spans="1:12" x14ac:dyDescent="0.25">
      <c r="A12" s="14">
        <f>'Kwh Reading'!A13</f>
        <v>44722</v>
      </c>
      <c r="B12" s="80">
        <f>TOTAL!E11</f>
        <v>0</v>
      </c>
      <c r="C12" s="1">
        <f>'Kwh Consumption'!C13</f>
        <v>-589650</v>
      </c>
      <c r="D12" s="1">
        <f>'Kwh Consumption'!D13</f>
        <v>-3279000</v>
      </c>
      <c r="E12" s="1">
        <f>'Kwh Consumption'!E13</f>
        <v>-315520</v>
      </c>
      <c r="F12" s="1">
        <f>('Kwh Consumption'!F13+'Kwh Consumption'!G13+'Kwh Consumption'!H13)</f>
        <v>-1245660</v>
      </c>
      <c r="G12" s="16">
        <f>('Kwh Consumption'!I13+'Kwh Consumption'!J13)</f>
        <v>-352440</v>
      </c>
      <c r="H12" s="1">
        <f>('Kwh Consumption'!K13+'Kwh Consumption'!L13)</f>
        <v>-1732950</v>
      </c>
      <c r="I12" s="1">
        <f>('Kwh Consumption'!M13+'Kwh Consumption'!N13+'Kwh Consumption'!O13+'Kwh Consumption'!P13+'Kwh Consumption'!Q13+'Kwh Consumption'!R13)</f>
        <v>-5185730</v>
      </c>
      <c r="J12" s="1">
        <f>('Kwh Consumption'!S13+'Kwh Consumption'!T13)</f>
        <v>-17376030.460000001</v>
      </c>
      <c r="K12" s="1">
        <f>'Kwh Consumption'!U13</f>
        <v>-225440</v>
      </c>
      <c r="L12" s="31">
        <f t="shared" si="0"/>
        <v>30302420.460000001</v>
      </c>
    </row>
    <row r="13" spans="1:12" x14ac:dyDescent="0.25">
      <c r="A13" s="14">
        <f>'Kwh Reading'!A14</f>
        <v>44723</v>
      </c>
      <c r="B13" s="80">
        <f>TOTAL!E12</f>
        <v>0</v>
      </c>
      <c r="C13" s="1">
        <f>'Kwh Consumption'!C14</f>
        <v>0</v>
      </c>
      <c r="D13" s="1">
        <f>'Kwh Consumption'!D14</f>
        <v>0</v>
      </c>
      <c r="E13" s="1">
        <f>'Kwh Consumption'!E14</f>
        <v>0</v>
      </c>
      <c r="F13" s="1">
        <f>('Kwh Consumption'!F14+'Kwh Consumption'!G14+'Kwh Consumption'!H14)</f>
        <v>0</v>
      </c>
      <c r="G13" s="16">
        <f>('Kwh Consumption'!I14+'Kwh Consumption'!J14)</f>
        <v>0</v>
      </c>
      <c r="H13" s="1">
        <f>('Kwh Consumption'!K14+'Kwh Consumption'!L14)</f>
        <v>0</v>
      </c>
      <c r="I13" s="1">
        <f>('Kwh Consumption'!M14+'Kwh Consumption'!N14+'Kwh Consumption'!O14+'Kwh Consumption'!P14+'Kwh Consumption'!Q14+'Kwh Consumption'!R14)</f>
        <v>0</v>
      </c>
      <c r="J13" s="1">
        <f>('Kwh Consumption'!S14+'Kwh Consumption'!T14)</f>
        <v>0</v>
      </c>
      <c r="K13" s="1">
        <f>'Kwh Consumption'!U14</f>
        <v>0</v>
      </c>
      <c r="L13" s="31">
        <f t="shared" si="0"/>
        <v>0</v>
      </c>
    </row>
    <row r="14" spans="1:12" x14ac:dyDescent="0.25">
      <c r="A14" s="14">
        <f>'Kwh Reading'!A15</f>
        <v>44724</v>
      </c>
      <c r="B14" s="80">
        <f>TOTAL!E13</f>
        <v>0</v>
      </c>
      <c r="C14" s="1">
        <f>'Kwh Consumption'!C15</f>
        <v>0</v>
      </c>
      <c r="D14" s="1">
        <f>'Kwh Consumption'!D15</f>
        <v>0</v>
      </c>
      <c r="E14" s="1">
        <f>'Kwh Consumption'!E15</f>
        <v>0</v>
      </c>
      <c r="F14" s="1">
        <f>('Kwh Consumption'!F15+'Kwh Consumption'!G15+'Kwh Consumption'!H15)</f>
        <v>0</v>
      </c>
      <c r="G14" s="16">
        <f>('Kwh Consumption'!I15+'Kwh Consumption'!J15)</f>
        <v>0</v>
      </c>
      <c r="H14" s="1">
        <f>('Kwh Consumption'!K15+'Kwh Consumption'!L15)</f>
        <v>0</v>
      </c>
      <c r="I14" s="1">
        <f>('Kwh Consumption'!M15+'Kwh Consumption'!N15+'Kwh Consumption'!O15+'Kwh Consumption'!P15+'Kwh Consumption'!Q15+'Kwh Consumption'!R15)</f>
        <v>0</v>
      </c>
      <c r="J14" s="1">
        <f>('Kwh Consumption'!S15+'Kwh Consumption'!T15)</f>
        <v>0</v>
      </c>
      <c r="K14" s="1">
        <f>'Kwh Consumption'!U15</f>
        <v>0</v>
      </c>
      <c r="L14" s="31">
        <f t="shared" si="0"/>
        <v>0</v>
      </c>
    </row>
    <row r="15" spans="1:12" x14ac:dyDescent="0.25">
      <c r="A15" s="14">
        <f>'Kwh Reading'!A16</f>
        <v>44725</v>
      </c>
      <c r="B15" s="80">
        <f>TOTAL!E14</f>
        <v>0</v>
      </c>
      <c r="C15" s="1">
        <f>'Kwh Consumption'!C16</f>
        <v>0</v>
      </c>
      <c r="D15" s="1">
        <f>'Kwh Consumption'!D16</f>
        <v>0</v>
      </c>
      <c r="E15" s="1">
        <f>'Kwh Consumption'!E16</f>
        <v>0</v>
      </c>
      <c r="F15" s="1">
        <f>('Kwh Consumption'!F16+'Kwh Consumption'!G16+'Kwh Consumption'!H16)</f>
        <v>0</v>
      </c>
      <c r="G15" s="16">
        <f>('Kwh Consumption'!I16+'Kwh Consumption'!J16)</f>
        <v>0</v>
      </c>
      <c r="H15" s="1">
        <f>('Kwh Consumption'!K16+'Kwh Consumption'!L16)</f>
        <v>0</v>
      </c>
      <c r="I15" s="1">
        <f>('Kwh Consumption'!M16+'Kwh Consumption'!N16+'Kwh Consumption'!O16+'Kwh Consumption'!P16+'Kwh Consumption'!Q16+'Kwh Consumption'!R16)</f>
        <v>0</v>
      </c>
      <c r="J15" s="1">
        <f>('Kwh Consumption'!S16+'Kwh Consumption'!T16)</f>
        <v>0</v>
      </c>
      <c r="K15" s="1">
        <f>'Kwh Consumption'!U16</f>
        <v>0</v>
      </c>
      <c r="L15" s="31">
        <f t="shared" si="0"/>
        <v>0</v>
      </c>
    </row>
    <row r="16" spans="1:12" x14ac:dyDescent="0.25">
      <c r="A16" s="14">
        <f>'Kwh Reading'!A17</f>
        <v>44726</v>
      </c>
      <c r="B16" s="80">
        <f>TOTAL!E15</f>
        <v>0</v>
      </c>
      <c r="C16" s="1">
        <f>'Kwh Consumption'!C17</f>
        <v>0</v>
      </c>
      <c r="D16" s="1">
        <f>'Kwh Consumption'!D17</f>
        <v>0</v>
      </c>
      <c r="E16" s="1">
        <f>'Kwh Consumption'!E17</f>
        <v>0</v>
      </c>
      <c r="F16" s="1">
        <f>('Kwh Consumption'!F17+'Kwh Consumption'!G17+'Kwh Consumption'!H17)</f>
        <v>0</v>
      </c>
      <c r="G16" s="16">
        <f>('Kwh Consumption'!I17+'Kwh Consumption'!J17)</f>
        <v>0</v>
      </c>
      <c r="H16" s="1">
        <f>('Kwh Consumption'!K17+'Kwh Consumption'!L17)</f>
        <v>0</v>
      </c>
      <c r="I16" s="1">
        <f>('Kwh Consumption'!M17+'Kwh Consumption'!N17+'Kwh Consumption'!O17+'Kwh Consumption'!P17+'Kwh Consumption'!Q17+'Kwh Consumption'!R17)</f>
        <v>0</v>
      </c>
      <c r="J16" s="1">
        <f>('Kwh Consumption'!S17+'Kwh Consumption'!T17)</f>
        <v>0</v>
      </c>
      <c r="K16" s="1">
        <f>'Kwh Consumption'!U17</f>
        <v>0</v>
      </c>
      <c r="L16" s="31">
        <f t="shared" si="0"/>
        <v>0</v>
      </c>
    </row>
    <row r="17" spans="1:12" x14ac:dyDescent="0.25">
      <c r="A17" s="14">
        <f>'Kwh Reading'!A18</f>
        <v>44727</v>
      </c>
      <c r="B17" s="80">
        <f>TOTAL!E16</f>
        <v>0</v>
      </c>
      <c r="C17" s="1">
        <f>'Kwh Consumption'!C18</f>
        <v>0</v>
      </c>
      <c r="D17" s="1">
        <f>'Kwh Consumption'!D18</f>
        <v>0</v>
      </c>
      <c r="E17" s="1">
        <f>'Kwh Consumption'!E18</f>
        <v>0</v>
      </c>
      <c r="F17" s="1">
        <f>('Kwh Consumption'!F18+'Kwh Consumption'!G18+'Kwh Consumption'!H18)</f>
        <v>0</v>
      </c>
      <c r="G17" s="16">
        <f>('Kwh Consumption'!I18+'Kwh Consumption'!J18)</f>
        <v>0</v>
      </c>
      <c r="H17" s="1">
        <f>('Kwh Consumption'!K18+'Kwh Consumption'!L18)</f>
        <v>0</v>
      </c>
      <c r="I17" s="1">
        <f>('Kwh Consumption'!M18+'Kwh Consumption'!N18+'Kwh Consumption'!O18+'Kwh Consumption'!P18+'Kwh Consumption'!Q18+'Kwh Consumption'!R18)</f>
        <v>0</v>
      </c>
      <c r="J17" s="1">
        <f>('Kwh Consumption'!S18+'Kwh Consumption'!T18)</f>
        <v>0</v>
      </c>
      <c r="K17" s="30">
        <f>'Kwh Consumption'!U18</f>
        <v>0</v>
      </c>
      <c r="L17" s="31">
        <f t="shared" si="0"/>
        <v>0</v>
      </c>
    </row>
    <row r="18" spans="1:12" x14ac:dyDescent="0.25">
      <c r="A18" s="14">
        <f>'Kwh Reading'!A19</f>
        <v>44728</v>
      </c>
      <c r="B18" s="80">
        <f>TOTAL!E17</f>
        <v>0</v>
      </c>
      <c r="C18" s="1">
        <f>'Kwh Consumption'!C19</f>
        <v>0</v>
      </c>
      <c r="D18" s="1">
        <f>'Kwh Consumption'!D19</f>
        <v>0</v>
      </c>
      <c r="E18" s="1">
        <f>'Kwh Consumption'!E19</f>
        <v>0</v>
      </c>
      <c r="F18" s="1">
        <f>('Kwh Consumption'!F19+'Kwh Consumption'!G19+'Kwh Consumption'!H19)</f>
        <v>0</v>
      </c>
      <c r="G18" s="16">
        <f>('Kwh Consumption'!I19+'Kwh Consumption'!J19)</f>
        <v>0</v>
      </c>
      <c r="H18" s="1">
        <f>('Kwh Consumption'!K19+'Kwh Consumption'!L19)</f>
        <v>0</v>
      </c>
      <c r="I18" s="1">
        <f>('Kwh Consumption'!M19+'Kwh Consumption'!N19+'Kwh Consumption'!O19+'Kwh Consumption'!P19+'Kwh Consumption'!Q19+'Kwh Consumption'!R19)</f>
        <v>0</v>
      </c>
      <c r="J18" s="1">
        <f>('Kwh Consumption'!S19+'Kwh Consumption'!T19)</f>
        <v>0</v>
      </c>
      <c r="K18" s="30">
        <f>'Kwh Consumption'!U19</f>
        <v>0</v>
      </c>
      <c r="L18" s="31">
        <f t="shared" si="0"/>
        <v>0</v>
      </c>
    </row>
    <row r="19" spans="1:12" x14ac:dyDescent="0.25">
      <c r="A19" s="14">
        <f>'Kwh Reading'!A20</f>
        <v>44729</v>
      </c>
      <c r="B19" s="80">
        <f>TOTAL!E18</f>
        <v>0</v>
      </c>
      <c r="C19" s="1">
        <f>'Kwh Consumption'!C20</f>
        <v>0</v>
      </c>
      <c r="D19" s="1">
        <f>'Kwh Consumption'!D20</f>
        <v>0</v>
      </c>
      <c r="E19" s="1">
        <f>'Kwh Consumption'!E20</f>
        <v>0</v>
      </c>
      <c r="F19" s="1">
        <f>('Kwh Consumption'!F20+'Kwh Consumption'!G20+'Kwh Consumption'!H20)</f>
        <v>0</v>
      </c>
      <c r="G19" s="16">
        <f>('Kwh Consumption'!I20+'Kwh Consumption'!J20)</f>
        <v>0</v>
      </c>
      <c r="H19" s="1">
        <f>('Kwh Consumption'!K20+'Kwh Consumption'!L20)</f>
        <v>0</v>
      </c>
      <c r="I19" s="1">
        <f>('Kwh Consumption'!M20+'Kwh Consumption'!N20+'Kwh Consumption'!O20+'Kwh Consumption'!P20+'Kwh Consumption'!Q20+'Kwh Consumption'!R20)</f>
        <v>0</v>
      </c>
      <c r="J19" s="1">
        <f>('Kwh Consumption'!S20+'Kwh Consumption'!T20)</f>
        <v>0</v>
      </c>
      <c r="K19" s="1">
        <f>'Kwh Consumption'!U20</f>
        <v>0</v>
      </c>
      <c r="L19" s="31">
        <f t="shared" si="0"/>
        <v>0</v>
      </c>
    </row>
    <row r="20" spans="1:12" x14ac:dyDescent="0.25">
      <c r="A20" s="14">
        <f>'Kwh Reading'!A21</f>
        <v>44730</v>
      </c>
      <c r="B20" s="80">
        <f>TOTAL!E19</f>
        <v>0</v>
      </c>
      <c r="C20" s="1">
        <f>'Kwh Consumption'!C21</f>
        <v>0</v>
      </c>
      <c r="D20" s="1">
        <f>'Kwh Consumption'!D21</f>
        <v>0</v>
      </c>
      <c r="E20" s="1">
        <f>'Kwh Consumption'!E21</f>
        <v>0</v>
      </c>
      <c r="F20" s="1">
        <f>('Kwh Consumption'!F21+'Kwh Consumption'!G21+'Kwh Consumption'!H21)</f>
        <v>0</v>
      </c>
      <c r="G20" s="16">
        <f>('Kwh Consumption'!I21+'Kwh Consumption'!J21)</f>
        <v>0</v>
      </c>
      <c r="H20" s="1">
        <f>('Kwh Consumption'!K21+'Kwh Consumption'!L21)</f>
        <v>0</v>
      </c>
      <c r="I20" s="1">
        <f>('Kwh Consumption'!M21+'Kwh Consumption'!N21+'Kwh Consumption'!O21+'Kwh Consumption'!P21+'Kwh Consumption'!Q21+'Kwh Consumption'!R21)</f>
        <v>0</v>
      </c>
      <c r="J20" s="1">
        <f>('Kwh Consumption'!S21+'Kwh Consumption'!T21)</f>
        <v>0</v>
      </c>
      <c r="K20" s="1">
        <f>'Kwh Consumption'!U21</f>
        <v>0</v>
      </c>
      <c r="L20" s="31">
        <f t="shared" si="0"/>
        <v>0</v>
      </c>
    </row>
    <row r="21" spans="1:12" x14ac:dyDescent="0.25">
      <c r="A21" s="14">
        <f>'Kwh Reading'!A22</f>
        <v>44731</v>
      </c>
      <c r="B21" s="80">
        <f>TOTAL!E20</f>
        <v>0</v>
      </c>
      <c r="C21" s="1">
        <f>'Kwh Consumption'!C22</f>
        <v>0</v>
      </c>
      <c r="D21" s="1">
        <f>'Kwh Consumption'!D22</f>
        <v>0</v>
      </c>
      <c r="E21" s="1">
        <f>'Kwh Consumption'!E22</f>
        <v>0</v>
      </c>
      <c r="F21" s="1">
        <f>('Kwh Consumption'!F22+'Kwh Consumption'!G22+'Kwh Consumption'!H22)</f>
        <v>0</v>
      </c>
      <c r="G21" s="16">
        <f>('Kwh Consumption'!I22+'Kwh Consumption'!J22)</f>
        <v>0</v>
      </c>
      <c r="H21" s="1">
        <f>('Kwh Consumption'!K22+'Kwh Consumption'!L22)</f>
        <v>0</v>
      </c>
      <c r="I21" s="1">
        <f>('Kwh Consumption'!M22+'Kwh Consumption'!N22+'Kwh Consumption'!O22+'Kwh Consumption'!P22+'Kwh Consumption'!Q22+'Kwh Consumption'!R22)</f>
        <v>0</v>
      </c>
      <c r="J21" s="1">
        <f>('Kwh Consumption'!S22+'Kwh Consumption'!T22)</f>
        <v>0</v>
      </c>
      <c r="K21" s="1">
        <f>'Kwh Consumption'!U22</f>
        <v>0</v>
      </c>
      <c r="L21" s="31">
        <f t="shared" si="0"/>
        <v>0</v>
      </c>
    </row>
    <row r="22" spans="1:12" x14ac:dyDescent="0.25">
      <c r="A22" s="14">
        <f>'Kwh Reading'!A23</f>
        <v>44732</v>
      </c>
      <c r="B22" s="80">
        <f>TOTAL!E21</f>
        <v>0</v>
      </c>
      <c r="C22" s="1">
        <f>'Kwh Consumption'!C23</f>
        <v>0</v>
      </c>
      <c r="D22" s="1">
        <f>'Kwh Consumption'!D23</f>
        <v>0</v>
      </c>
      <c r="E22" s="1">
        <f>'Kwh Consumption'!E23</f>
        <v>0</v>
      </c>
      <c r="F22" s="1">
        <f>('Kwh Consumption'!F23+'Kwh Consumption'!G23+'Kwh Consumption'!H23)</f>
        <v>0</v>
      </c>
      <c r="G22" s="16">
        <f>('Kwh Consumption'!I23+'Kwh Consumption'!J23)</f>
        <v>0</v>
      </c>
      <c r="H22" s="1">
        <f>('Kwh Consumption'!K23+'Kwh Consumption'!L23)</f>
        <v>0</v>
      </c>
      <c r="I22" s="1">
        <f>('Kwh Consumption'!M23+'Kwh Consumption'!N23+'Kwh Consumption'!O23+'Kwh Consumption'!P23+'Kwh Consumption'!Q23+'Kwh Consumption'!R23)</f>
        <v>0</v>
      </c>
      <c r="J22" s="1">
        <f>('Kwh Consumption'!S23+'Kwh Consumption'!T23)</f>
        <v>0</v>
      </c>
      <c r="K22" s="1">
        <f>'Kwh Consumption'!U23</f>
        <v>0</v>
      </c>
      <c r="L22" s="31">
        <f t="shared" si="0"/>
        <v>0</v>
      </c>
    </row>
    <row r="23" spans="1:12" x14ac:dyDescent="0.25">
      <c r="A23" s="14">
        <f>'Kwh Reading'!A24</f>
        <v>44733</v>
      </c>
      <c r="B23" s="80">
        <f>TOTAL!E22</f>
        <v>0</v>
      </c>
      <c r="C23" s="1">
        <f>'Kwh Consumption'!C24</f>
        <v>0</v>
      </c>
      <c r="D23" s="1">
        <f>'Kwh Consumption'!D24</f>
        <v>0</v>
      </c>
      <c r="E23" s="1">
        <f>'Kwh Consumption'!E24</f>
        <v>0</v>
      </c>
      <c r="F23" s="1">
        <f>('Kwh Consumption'!F24+'Kwh Consumption'!G24+'Kwh Consumption'!H24)</f>
        <v>0</v>
      </c>
      <c r="G23" s="16">
        <f>('Kwh Consumption'!I24+'Kwh Consumption'!J24)</f>
        <v>0</v>
      </c>
      <c r="H23" s="1">
        <f>('Kwh Consumption'!K24+'Kwh Consumption'!L24)</f>
        <v>0</v>
      </c>
      <c r="I23" s="1">
        <f>('Kwh Consumption'!M24+'Kwh Consumption'!N24+'Kwh Consumption'!O24+'Kwh Consumption'!P24+'Kwh Consumption'!Q24+'Kwh Consumption'!R24)</f>
        <v>0</v>
      </c>
      <c r="J23" s="1">
        <f>('Kwh Consumption'!S24+'Kwh Consumption'!T24)</f>
        <v>0</v>
      </c>
      <c r="K23" s="1">
        <f>'Kwh Consumption'!U24</f>
        <v>0</v>
      </c>
      <c r="L23" s="31">
        <f t="shared" si="0"/>
        <v>0</v>
      </c>
    </row>
    <row r="24" spans="1:12" x14ac:dyDescent="0.25">
      <c r="A24" s="14">
        <f>'Kwh Reading'!A25</f>
        <v>44734</v>
      </c>
      <c r="B24" s="80">
        <f>TOTAL!E23</f>
        <v>0</v>
      </c>
      <c r="C24" s="1">
        <f>'Kwh Consumption'!C25</f>
        <v>0</v>
      </c>
      <c r="D24" s="1">
        <f>'Kwh Consumption'!D25</f>
        <v>0</v>
      </c>
      <c r="E24" s="1">
        <f>'Kwh Consumption'!E25</f>
        <v>0</v>
      </c>
      <c r="F24" s="1">
        <f>('Kwh Consumption'!F25+'Kwh Consumption'!G25+'Kwh Consumption'!H25)</f>
        <v>0</v>
      </c>
      <c r="G24" s="16">
        <f>('Kwh Consumption'!I25+'Kwh Consumption'!J25)</f>
        <v>0</v>
      </c>
      <c r="H24" s="1">
        <f>('Kwh Consumption'!K25+'Kwh Consumption'!L25)</f>
        <v>0</v>
      </c>
      <c r="I24" s="1">
        <f>('Kwh Consumption'!M25+'Kwh Consumption'!N25+'Kwh Consumption'!O25+'Kwh Consumption'!P25+'Kwh Consumption'!Q25+'Kwh Consumption'!R25)</f>
        <v>0</v>
      </c>
      <c r="J24" s="1">
        <f>('Kwh Consumption'!S25+'Kwh Consumption'!T25)</f>
        <v>0</v>
      </c>
      <c r="K24" s="1">
        <f>'Kwh Consumption'!U25</f>
        <v>0</v>
      </c>
      <c r="L24" s="31">
        <f t="shared" si="0"/>
        <v>0</v>
      </c>
    </row>
    <row r="25" spans="1:12" x14ac:dyDescent="0.25">
      <c r="A25" s="14">
        <f>'Kwh Reading'!A26</f>
        <v>44735</v>
      </c>
      <c r="B25" s="80">
        <f>TOTAL!E24</f>
        <v>0</v>
      </c>
      <c r="C25" s="1">
        <f>'Kwh Consumption'!C26</f>
        <v>0</v>
      </c>
      <c r="D25" s="1">
        <f>'Kwh Consumption'!D26</f>
        <v>0</v>
      </c>
      <c r="E25" s="1">
        <f>'Kwh Consumption'!E26</f>
        <v>0</v>
      </c>
      <c r="F25" s="1">
        <f>('Kwh Consumption'!F26+'Kwh Consumption'!G26+'Kwh Consumption'!H26)</f>
        <v>0</v>
      </c>
      <c r="G25" s="16">
        <f>('Kwh Consumption'!I26+'Kwh Consumption'!J26)</f>
        <v>0</v>
      </c>
      <c r="H25" s="1">
        <f>('Kwh Consumption'!K26+'Kwh Consumption'!L26)</f>
        <v>0</v>
      </c>
      <c r="I25" s="1">
        <f>('Kwh Consumption'!M26+'Kwh Consumption'!N26+'Kwh Consumption'!O26+'Kwh Consumption'!P26+'Kwh Consumption'!Q26+'Kwh Consumption'!R26)</f>
        <v>0</v>
      </c>
      <c r="J25" s="1">
        <f>('Kwh Consumption'!S26+'Kwh Consumption'!T26)</f>
        <v>0</v>
      </c>
      <c r="K25" s="1">
        <f>'Kwh Consumption'!U26</f>
        <v>0</v>
      </c>
      <c r="L25" s="31">
        <f t="shared" si="0"/>
        <v>0</v>
      </c>
    </row>
    <row r="26" spans="1:12" x14ac:dyDescent="0.25">
      <c r="A26" s="14">
        <f>'Kwh Reading'!A27</f>
        <v>44736</v>
      </c>
      <c r="B26" s="80">
        <f>TOTAL!E25</f>
        <v>0</v>
      </c>
      <c r="C26" s="1">
        <f>'Kwh Consumption'!C27</f>
        <v>0</v>
      </c>
      <c r="D26" s="1">
        <f>'Kwh Consumption'!D27</f>
        <v>0</v>
      </c>
      <c r="E26" s="1">
        <f>'Kwh Consumption'!E27</f>
        <v>0</v>
      </c>
      <c r="F26" s="1">
        <f>('Kwh Consumption'!F27+'Kwh Consumption'!G27+'Kwh Consumption'!H27)</f>
        <v>0</v>
      </c>
      <c r="G26" s="16">
        <f>('Kwh Consumption'!I27+'Kwh Consumption'!J27)</f>
        <v>0</v>
      </c>
      <c r="H26" s="1">
        <f>('Kwh Consumption'!K27+'Kwh Consumption'!L27)</f>
        <v>0</v>
      </c>
      <c r="I26" s="1">
        <f>('Kwh Consumption'!M27+'Kwh Consumption'!N27+'Kwh Consumption'!O27+'Kwh Consumption'!P27+'Kwh Consumption'!Q27+'Kwh Consumption'!R27)</f>
        <v>0</v>
      </c>
      <c r="J26" s="1">
        <f>('Kwh Consumption'!S27+'Kwh Consumption'!T27)</f>
        <v>0</v>
      </c>
      <c r="K26" s="1">
        <f>'Kwh Consumption'!U27</f>
        <v>0</v>
      </c>
      <c r="L26" s="31">
        <f t="shared" si="0"/>
        <v>0</v>
      </c>
    </row>
    <row r="27" spans="1:12" x14ac:dyDescent="0.25">
      <c r="A27" s="14">
        <f>'Kwh Reading'!A28</f>
        <v>44737</v>
      </c>
      <c r="B27" s="80">
        <f>TOTAL!E26</f>
        <v>0</v>
      </c>
      <c r="C27" s="1">
        <f>'Kwh Consumption'!C28</f>
        <v>0</v>
      </c>
      <c r="D27" s="1">
        <f>'Kwh Consumption'!D28</f>
        <v>0</v>
      </c>
      <c r="E27" s="1">
        <f>'Kwh Consumption'!E28</f>
        <v>0</v>
      </c>
      <c r="F27" s="1">
        <f>('Kwh Consumption'!F28+'Kwh Consumption'!G28+'Kwh Consumption'!H28)</f>
        <v>0</v>
      </c>
      <c r="G27" s="16">
        <f>('Kwh Consumption'!I28+'Kwh Consumption'!J28)</f>
        <v>0</v>
      </c>
      <c r="H27" s="1">
        <f>('Kwh Consumption'!K28+'Kwh Consumption'!L28)</f>
        <v>0</v>
      </c>
      <c r="I27" s="1">
        <f>('Kwh Consumption'!M28+'Kwh Consumption'!N28+'Kwh Consumption'!O28+'Kwh Consumption'!P28+'Kwh Consumption'!Q28+'Kwh Consumption'!R28)</f>
        <v>0</v>
      </c>
      <c r="J27" s="1">
        <f>('Kwh Consumption'!S28+'Kwh Consumption'!T28)</f>
        <v>0</v>
      </c>
      <c r="K27" s="1">
        <f>'Kwh Consumption'!U28</f>
        <v>0</v>
      </c>
      <c r="L27" s="31">
        <f t="shared" si="0"/>
        <v>0</v>
      </c>
    </row>
    <row r="28" spans="1:12" x14ac:dyDescent="0.25">
      <c r="A28" s="14">
        <f>'Kwh Reading'!A29</f>
        <v>44738</v>
      </c>
      <c r="B28" s="80">
        <f>TOTAL!E27</f>
        <v>0</v>
      </c>
      <c r="C28" s="1">
        <f>'Kwh Consumption'!C29</f>
        <v>0</v>
      </c>
      <c r="D28" s="1">
        <f>'Kwh Consumption'!D29</f>
        <v>0</v>
      </c>
      <c r="E28" s="1">
        <f>'Kwh Consumption'!E29</f>
        <v>0</v>
      </c>
      <c r="F28" s="1">
        <f>('Kwh Consumption'!F29+'Kwh Consumption'!G29+'Kwh Consumption'!H29)</f>
        <v>0</v>
      </c>
      <c r="G28" s="16">
        <f>('Kwh Consumption'!I29+'Kwh Consumption'!J29)</f>
        <v>0</v>
      </c>
      <c r="H28" s="1">
        <f>('Kwh Consumption'!K29+'Kwh Consumption'!L29)</f>
        <v>0</v>
      </c>
      <c r="I28" s="1">
        <f>('Kwh Consumption'!M29+'Kwh Consumption'!N29+'Kwh Consumption'!O29+'Kwh Consumption'!P29+'Kwh Consumption'!Q29+'Kwh Consumption'!R29)</f>
        <v>0</v>
      </c>
      <c r="J28" s="1">
        <f>('Kwh Consumption'!S29+'Kwh Consumption'!T29)</f>
        <v>0</v>
      </c>
      <c r="K28" s="1">
        <f>'Kwh Consumption'!U29</f>
        <v>0</v>
      </c>
      <c r="L28" s="31">
        <f t="shared" si="0"/>
        <v>0</v>
      </c>
    </row>
    <row r="29" spans="1:12" x14ac:dyDescent="0.25">
      <c r="A29" s="14">
        <f>'Kwh Reading'!A30</f>
        <v>44739</v>
      </c>
      <c r="B29" s="80">
        <f>TOTAL!E28</f>
        <v>0</v>
      </c>
      <c r="C29" s="1">
        <f>'Kwh Consumption'!C30</f>
        <v>0</v>
      </c>
      <c r="D29" s="1">
        <f>'Kwh Consumption'!D30</f>
        <v>0</v>
      </c>
      <c r="E29" s="1">
        <f>'Kwh Consumption'!E30</f>
        <v>0</v>
      </c>
      <c r="F29" s="1">
        <f>('Kwh Consumption'!F30+'Kwh Consumption'!G30+'Kwh Consumption'!H30)</f>
        <v>0</v>
      </c>
      <c r="G29" s="16">
        <f>('Kwh Consumption'!I30+'Kwh Consumption'!J30)</f>
        <v>0</v>
      </c>
      <c r="H29" s="1">
        <f>('Kwh Consumption'!K30+'Kwh Consumption'!L30)</f>
        <v>0</v>
      </c>
      <c r="I29" s="1">
        <f>('Kwh Consumption'!M30+'Kwh Consumption'!N30+'Kwh Consumption'!O30+'Kwh Consumption'!P30+'Kwh Consumption'!Q30+'Kwh Consumption'!R30)</f>
        <v>0</v>
      </c>
      <c r="J29" s="1">
        <f>('Kwh Consumption'!S30+'Kwh Consumption'!T30)</f>
        <v>0</v>
      </c>
      <c r="K29" s="1">
        <f>'Kwh Consumption'!U30</f>
        <v>0</v>
      </c>
      <c r="L29" s="31">
        <f t="shared" si="0"/>
        <v>0</v>
      </c>
    </row>
    <row r="30" spans="1:12" x14ac:dyDescent="0.25">
      <c r="A30" s="14">
        <f>'Kwh Reading'!A31</f>
        <v>44740</v>
      </c>
      <c r="B30" s="80">
        <f>TOTAL!E29</f>
        <v>0</v>
      </c>
      <c r="C30" s="1">
        <f>'Kwh Consumption'!C31</f>
        <v>0</v>
      </c>
      <c r="D30" s="1">
        <f>'Kwh Consumption'!D31</f>
        <v>0</v>
      </c>
      <c r="E30" s="1">
        <f>'Kwh Consumption'!E31</f>
        <v>0</v>
      </c>
      <c r="F30" s="1">
        <f>('Kwh Consumption'!F31+'Kwh Consumption'!G31+'Kwh Consumption'!H31)</f>
        <v>0</v>
      </c>
      <c r="G30" s="16">
        <f>('Kwh Consumption'!I31+'Kwh Consumption'!J31)</f>
        <v>0</v>
      </c>
      <c r="H30" s="1">
        <f>('Kwh Consumption'!K31+'Kwh Consumption'!L31)</f>
        <v>0</v>
      </c>
      <c r="I30" s="1">
        <f>('Kwh Consumption'!M31+'Kwh Consumption'!N31+'Kwh Consumption'!O31+'Kwh Consumption'!P31+'Kwh Consumption'!Q31+'Kwh Consumption'!R31)</f>
        <v>0</v>
      </c>
      <c r="J30" s="1">
        <f>('Kwh Consumption'!S31+'Kwh Consumption'!T31)</f>
        <v>0</v>
      </c>
      <c r="K30" s="1">
        <f>'Kwh Consumption'!U31</f>
        <v>0</v>
      </c>
      <c r="L30" s="31">
        <f t="shared" si="0"/>
        <v>0</v>
      </c>
    </row>
    <row r="31" spans="1:12" x14ac:dyDescent="0.25">
      <c r="A31" s="14">
        <f>'Kwh Reading'!A32</f>
        <v>44741</v>
      </c>
      <c r="B31" s="80">
        <f>TOTAL!E30</f>
        <v>0</v>
      </c>
      <c r="C31" s="1">
        <f>'Kwh Consumption'!C32</f>
        <v>0</v>
      </c>
      <c r="D31" s="1">
        <f>'Kwh Consumption'!D32</f>
        <v>0</v>
      </c>
      <c r="E31" s="1">
        <f>'Kwh Consumption'!E32</f>
        <v>0</v>
      </c>
      <c r="F31" s="1">
        <f>('Kwh Consumption'!F32+'Kwh Consumption'!G32+'Kwh Consumption'!H32)</f>
        <v>0</v>
      </c>
      <c r="G31" s="16">
        <f>('Kwh Consumption'!I32+'Kwh Consumption'!J32)</f>
        <v>0</v>
      </c>
      <c r="H31" s="1">
        <f>('Kwh Consumption'!K32+'Kwh Consumption'!L32)</f>
        <v>0</v>
      </c>
      <c r="I31" s="1">
        <f>('Kwh Consumption'!M32+'Kwh Consumption'!N32+'Kwh Consumption'!O32+'Kwh Consumption'!P32+'Kwh Consumption'!Q32+'Kwh Consumption'!R32)</f>
        <v>0</v>
      </c>
      <c r="J31" s="1">
        <f>('Kwh Consumption'!S32+'Kwh Consumption'!T32)</f>
        <v>0</v>
      </c>
      <c r="K31" s="1">
        <f>'Kwh Consumption'!U32</f>
        <v>0</v>
      </c>
      <c r="L31" s="31">
        <f t="shared" si="0"/>
        <v>0</v>
      </c>
    </row>
    <row r="32" spans="1:12" x14ac:dyDescent="0.25">
      <c r="A32" s="14">
        <f>'Kwh Reading'!A33</f>
        <v>44742</v>
      </c>
      <c r="B32" s="80">
        <f>TOTAL!E31</f>
        <v>0</v>
      </c>
      <c r="C32" s="1">
        <f>'Kwh Consumption'!C33</f>
        <v>0</v>
      </c>
      <c r="D32" s="1">
        <f>'Kwh Consumption'!D33</f>
        <v>0</v>
      </c>
      <c r="E32" s="1">
        <f>'Kwh Consumption'!E33</f>
        <v>0</v>
      </c>
      <c r="F32" s="1">
        <f>('Kwh Consumption'!F33+'Kwh Consumption'!G33+'Kwh Consumption'!H33)</f>
        <v>0</v>
      </c>
      <c r="G32" s="16">
        <f>('Kwh Consumption'!I33+'Kwh Consumption'!J33)</f>
        <v>0</v>
      </c>
      <c r="H32" s="1">
        <f>('Kwh Consumption'!K33+'Kwh Consumption'!L33)</f>
        <v>0</v>
      </c>
      <c r="I32" s="1">
        <f>('Kwh Consumption'!M33+'Kwh Consumption'!N33+'Kwh Consumption'!O33+'Kwh Consumption'!P33+'Kwh Consumption'!Q33+'Kwh Consumption'!R33)</f>
        <v>0</v>
      </c>
      <c r="J32" s="1">
        <f>('Kwh Consumption'!S33+'Kwh Consumption'!T33)</f>
        <v>0</v>
      </c>
      <c r="K32" s="1">
        <f>'Kwh Consumption'!U33</f>
        <v>0</v>
      </c>
      <c r="L32" s="31">
        <f t="shared" si="0"/>
        <v>0</v>
      </c>
    </row>
    <row r="33" spans="1:13" x14ac:dyDescent="0.25">
      <c r="A33" s="14">
        <f>'Kwh Reading'!A34</f>
        <v>44743</v>
      </c>
      <c r="B33" s="80">
        <f>TOTAL!E32</f>
        <v>0</v>
      </c>
      <c r="C33" s="1">
        <f>'Kwh Consumption'!C34</f>
        <v>0</v>
      </c>
      <c r="D33" s="1">
        <f>'Kwh Consumption'!D34</f>
        <v>0</v>
      </c>
      <c r="E33" s="1">
        <f>'Kwh Consumption'!E34</f>
        <v>0</v>
      </c>
      <c r="F33" s="1">
        <f>('Kwh Consumption'!F34+'Kwh Consumption'!G34+'Kwh Consumption'!H34)</f>
        <v>0</v>
      </c>
      <c r="G33" s="16">
        <f>('Kwh Consumption'!I34+'Kwh Consumption'!J34)</f>
        <v>0</v>
      </c>
      <c r="H33" s="1">
        <f>('Kwh Consumption'!K34+'Kwh Consumption'!L34)</f>
        <v>0</v>
      </c>
      <c r="I33" s="1">
        <f>('Kwh Consumption'!M34+'Kwh Consumption'!N34+'Kwh Consumption'!O34+'Kwh Consumption'!P34+'Kwh Consumption'!Q34+'Kwh Consumption'!R34)</f>
        <v>0</v>
      </c>
      <c r="J33" s="1">
        <f>('Kwh Consumption'!S34+'Kwh Consumption'!T34)</f>
        <v>0</v>
      </c>
      <c r="K33" s="1">
        <f>'Kwh Consumption'!U34</f>
        <v>0</v>
      </c>
      <c r="L33" s="31">
        <f t="shared" si="0"/>
        <v>0</v>
      </c>
    </row>
    <row r="34" spans="1:13" ht="15.75" x14ac:dyDescent="0.25">
      <c r="A34" s="82" t="s">
        <v>119</v>
      </c>
      <c r="B34" s="72">
        <f>SUM(B3:B33)</f>
        <v>149730.00000000003</v>
      </c>
      <c r="C34" s="72">
        <f>SUM(C3:C33)</f>
        <v>-585440.00000000012</v>
      </c>
      <c r="D34" s="72">
        <f t="shared" ref="D34:L34" si="1">SUM(D3:D33)</f>
        <v>-3254800</v>
      </c>
      <c r="E34" s="72">
        <f t="shared" si="1"/>
        <v>-313430</v>
      </c>
      <c r="F34" s="72">
        <f t="shared" si="1"/>
        <v>-1237499.9999999998</v>
      </c>
      <c r="G34" s="72">
        <f t="shared" si="1"/>
        <v>-351190</v>
      </c>
      <c r="H34" s="72">
        <f t="shared" si="1"/>
        <v>-1720160</v>
      </c>
      <c r="I34" s="72">
        <f t="shared" si="1"/>
        <v>-5145410</v>
      </c>
      <c r="J34" s="72">
        <f t="shared" si="1"/>
        <v>-17333860.060000002</v>
      </c>
      <c r="K34" s="72">
        <f t="shared" si="1"/>
        <v>-223530</v>
      </c>
      <c r="L34" s="72">
        <f t="shared" si="1"/>
        <v>30315050.059999999</v>
      </c>
      <c r="M34" s="81">
        <f>C34+D34+E34+F34+G34+H34+I34+J34+K34+L34</f>
        <v>149729.99999999627</v>
      </c>
    </row>
    <row r="36" spans="1:13" ht="15.75" x14ac:dyDescent="0.25">
      <c r="A36" s="82" t="s">
        <v>62</v>
      </c>
      <c r="B36" s="122">
        <f>TOTAL!F2</f>
        <v>0</v>
      </c>
      <c r="C36" s="72">
        <f>C34*B36</f>
        <v>0</v>
      </c>
      <c r="D36" s="72">
        <f>D34*B36</f>
        <v>0</v>
      </c>
      <c r="E36" s="72">
        <f>E34*B36</f>
        <v>0</v>
      </c>
      <c r="F36" s="72">
        <f>F34*B36</f>
        <v>0</v>
      </c>
      <c r="G36" s="72">
        <f>G34*B36</f>
        <v>0</v>
      </c>
      <c r="H36" s="72">
        <f>H34*B36</f>
        <v>0</v>
      </c>
      <c r="I36" s="72">
        <f>I34*B36</f>
        <v>0</v>
      </c>
      <c r="J36" s="72">
        <f>J34*B36</f>
        <v>0</v>
      </c>
      <c r="K36" s="72">
        <f>K34*B36</f>
        <v>0</v>
      </c>
      <c r="L36" s="72">
        <f>L34*B36</f>
        <v>0</v>
      </c>
      <c r="M36" s="81">
        <f>C36+D36+E36+F36+G36+H36+I36+J36+K36+L36</f>
        <v>0</v>
      </c>
    </row>
    <row r="37" spans="1:13" x14ac:dyDescent="0.25">
      <c r="J37" s="79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F36" sqref="F36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6" t="s">
        <v>61</v>
      </c>
      <c r="C2" s="35" t="s">
        <v>62</v>
      </c>
      <c r="D2" s="34" t="s">
        <v>63</v>
      </c>
      <c r="E2" s="34" t="s">
        <v>64</v>
      </c>
      <c r="F2" s="35" t="s">
        <v>65</v>
      </c>
      <c r="G2" s="34" t="s">
        <v>66</v>
      </c>
      <c r="H2" s="20" t="s">
        <v>67</v>
      </c>
      <c r="I2" s="21" t="s">
        <v>68</v>
      </c>
      <c r="J2" s="22" t="s">
        <v>69</v>
      </c>
      <c r="K2" s="23" t="s">
        <v>70</v>
      </c>
      <c r="L2" s="25" t="s">
        <v>71</v>
      </c>
      <c r="M2" s="25" t="s">
        <v>72</v>
      </c>
    </row>
    <row r="3" spans="1:13" x14ac:dyDescent="0.25">
      <c r="A3" s="14">
        <f>'Kwh Reading'!A4</f>
        <v>44713</v>
      </c>
      <c r="B3" s="123">
        <f>TOTAL!F2</f>
        <v>0</v>
      </c>
      <c r="C3" s="11">
        <f>'Kwh Consumption'!B4*' Kwh area wise $ '!B3</f>
        <v>0</v>
      </c>
      <c r="D3" s="1">
        <f>'Kwh Consumption'!C4*' Kwh area wise $ '!B3</f>
        <v>0</v>
      </c>
      <c r="E3" s="1">
        <f>'Kwh Consumption'!D4*' Kwh area wise $ '!B3</f>
        <v>0</v>
      </c>
      <c r="F3" s="1">
        <f>'Kwh Consumption'!E4*' Kwh area wise $ '!B3</f>
        <v>0</v>
      </c>
      <c r="G3" s="1">
        <f>('Kwh Consumption'!F4+'Kwh Consumption'!G4+'Kwh Consumption'!H4)*' Kwh area wise $ '!B3</f>
        <v>0</v>
      </c>
      <c r="H3" s="16">
        <f>('Kwh Consumption'!I4+'Kwh Consumption'!J4)*' Kwh area wise $ '!B3</f>
        <v>0</v>
      </c>
      <c r="I3" s="1">
        <f>('Kwh Consumption'!K4+'Kwh Consumption'!L4)*' Kwh area wise $ '!B3</f>
        <v>0</v>
      </c>
      <c r="J3" s="1">
        <f>('Kwh Consumption'!M4+'Kwh Consumption'!N4+'Kwh Consumption'!O4+'Kwh Consumption'!P4+'Kwh Consumption'!Q4+'Kwh Consumption'!R4)*' Kwh area wise $ '!B3</f>
        <v>0</v>
      </c>
      <c r="K3" s="31">
        <f>('Kwh Consumption'!S4+'Kwh Consumption'!T4)*' Kwh area wise $ '!B3</f>
        <v>0</v>
      </c>
      <c r="L3" s="1">
        <f>'Kwh Consumption'!U4*' Kwh area wise $ '!B3</f>
        <v>0</v>
      </c>
      <c r="M3" s="31">
        <f>'Kwh Consumption'!V4*' Kwh area wise $ '!B3</f>
        <v>0</v>
      </c>
    </row>
    <row r="4" spans="1:13" x14ac:dyDescent="0.25">
      <c r="A4" s="14">
        <f>'Kwh Reading'!A5</f>
        <v>44714</v>
      </c>
      <c r="B4" s="123">
        <f>TOTAL!F3</f>
        <v>0</v>
      </c>
      <c r="C4" s="11">
        <f>'Kwh Consumption'!B5*' Kwh area wise $ '!B4</f>
        <v>0</v>
      </c>
      <c r="D4" s="1">
        <f>'Kwh Consumption'!C5*' Kwh area wise $ '!B4</f>
        <v>0</v>
      </c>
      <c r="E4" s="1">
        <f>'Kwh Consumption'!D5*' Kwh area wise $ '!B4</f>
        <v>0</v>
      </c>
      <c r="F4" s="1">
        <f>'Kwh Consumption'!E5*' Kwh area wise $ '!B4</f>
        <v>0</v>
      </c>
      <c r="G4" s="1">
        <f>('Kwh Consumption'!F5+'Kwh Consumption'!G5+'Kwh Consumption'!H5)*' Kwh area wise $ '!B4</f>
        <v>0</v>
      </c>
      <c r="H4" s="16">
        <f>('Kwh Consumption'!I5+'Kwh Consumption'!J5)*' Kwh area wise $ '!B4</f>
        <v>0</v>
      </c>
      <c r="I4" s="1">
        <f>('Kwh Consumption'!K5+'Kwh Consumption'!L5)*' Kwh area wise $ '!B4</f>
        <v>0</v>
      </c>
      <c r="J4" s="1">
        <f>('Kwh Consumption'!M5+'Kwh Consumption'!N5+'Kwh Consumption'!O5+'Kwh Consumption'!P5+'Kwh Consumption'!Q5+'Kwh Consumption'!R5)*' Kwh area wise $ '!B4</f>
        <v>0</v>
      </c>
      <c r="K4" s="31">
        <f>('Kwh Consumption'!S5+'Kwh Consumption'!T5)*' Kwh area wise $ '!B4</f>
        <v>0</v>
      </c>
      <c r="L4" s="1">
        <f>'Kwh Consumption'!U5*' Kwh area wise $ '!B4</f>
        <v>0</v>
      </c>
      <c r="M4" s="31">
        <f>'Kwh Consumption'!V5*' Kwh area wise $ '!B4</f>
        <v>0</v>
      </c>
    </row>
    <row r="5" spans="1:13" x14ac:dyDescent="0.25">
      <c r="A5" s="14">
        <f>'Kwh Reading'!A6</f>
        <v>44715</v>
      </c>
      <c r="B5" s="123">
        <f>TOTAL!F4</f>
        <v>0</v>
      </c>
      <c r="C5" s="11">
        <f>'Kwh Consumption'!B6*' Kwh area wise $ '!B5</f>
        <v>0</v>
      </c>
      <c r="D5" s="1">
        <f>'Kwh Consumption'!C6*' Kwh area wise $ '!B5</f>
        <v>0</v>
      </c>
      <c r="E5" s="1">
        <f>'Kwh Consumption'!D6*' Kwh area wise $ '!B5</f>
        <v>0</v>
      </c>
      <c r="F5" s="1">
        <f>'Kwh Consumption'!E6*' Kwh area wise $ '!B5</f>
        <v>0</v>
      </c>
      <c r="G5" s="1">
        <f>('Kwh Consumption'!F6+'Kwh Consumption'!G6+'Kwh Consumption'!H6)*' Kwh area wise $ '!B5</f>
        <v>0</v>
      </c>
      <c r="H5" s="16">
        <f>('Kwh Consumption'!I6+'Kwh Consumption'!J6)*' Kwh area wise $ '!B5</f>
        <v>0</v>
      </c>
      <c r="I5" s="1">
        <f>('Kwh Consumption'!K6+'Kwh Consumption'!L6)*' Kwh area wise $ '!B5</f>
        <v>0</v>
      </c>
      <c r="J5" s="1">
        <f>('Kwh Consumption'!M6+'Kwh Consumption'!N6+'Kwh Consumption'!O6+'Kwh Consumption'!P6+'Kwh Consumption'!Q6+'Kwh Consumption'!R6)*' Kwh area wise $ '!B5</f>
        <v>0</v>
      </c>
      <c r="K5" s="31">
        <f>('Kwh Consumption'!S6+'Kwh Consumption'!T6)*' Kwh area wise $ '!B5</f>
        <v>0</v>
      </c>
      <c r="L5" s="1">
        <f>'Kwh Consumption'!U6*' Kwh area wise $ '!B5</f>
        <v>0</v>
      </c>
      <c r="M5" s="31">
        <f>'Kwh Consumption'!V6*' Kwh area wise $ '!B5</f>
        <v>0</v>
      </c>
    </row>
    <row r="6" spans="1:13" x14ac:dyDescent="0.25">
      <c r="A6" s="14">
        <f>'Kwh Reading'!A7</f>
        <v>44716</v>
      </c>
      <c r="B6" s="123">
        <f>TOTAL!F5</f>
        <v>0</v>
      </c>
      <c r="C6" s="11">
        <f>'Kwh Consumption'!B7*' Kwh area wise $ '!B6</f>
        <v>0</v>
      </c>
      <c r="D6" s="1">
        <f>'Kwh Consumption'!C7*' Kwh area wise $ '!B6</f>
        <v>0</v>
      </c>
      <c r="E6" s="1">
        <f>'Kwh Consumption'!D7*' Kwh area wise $ '!B6</f>
        <v>0</v>
      </c>
      <c r="F6" s="1">
        <f>'Kwh Consumption'!E7*' Kwh area wise $ '!B6</f>
        <v>0</v>
      </c>
      <c r="G6" s="1">
        <f>('Kwh Consumption'!F7+'Kwh Consumption'!G7+'Kwh Consumption'!H7)*' Kwh area wise $ '!B6</f>
        <v>0</v>
      </c>
      <c r="H6" s="16">
        <f>('Kwh Consumption'!I7+'Kwh Consumption'!J7)*' Kwh area wise $ '!B6</f>
        <v>0</v>
      </c>
      <c r="I6" s="1">
        <f>('Kwh Consumption'!K7+'Kwh Consumption'!L7)*' Kwh area wise $ '!B6</f>
        <v>0</v>
      </c>
      <c r="J6" s="1">
        <f>('Kwh Consumption'!M7+'Kwh Consumption'!N7+'Kwh Consumption'!O7+'Kwh Consumption'!P7+'Kwh Consumption'!Q7+'Kwh Consumption'!R7)*' Kwh area wise $ '!B6</f>
        <v>0</v>
      </c>
      <c r="K6" s="31">
        <f>('Kwh Consumption'!S7+'Kwh Consumption'!T7)*' Kwh area wise $ '!B6</f>
        <v>0</v>
      </c>
      <c r="L6" s="1">
        <f>'Kwh Consumption'!U7*' Kwh area wise $ '!B6</f>
        <v>0</v>
      </c>
      <c r="M6" s="31">
        <f>'Kwh Consumption'!V7*' Kwh area wise $ '!B6</f>
        <v>0</v>
      </c>
    </row>
    <row r="7" spans="1:13" x14ac:dyDescent="0.25">
      <c r="A7" s="14">
        <f>'Kwh Reading'!A8</f>
        <v>44717</v>
      </c>
      <c r="B7" s="123">
        <f>TOTAL!F6</f>
        <v>0</v>
      </c>
      <c r="C7" s="11">
        <f>'Kwh Consumption'!B8*' Kwh area wise $ '!B7</f>
        <v>0</v>
      </c>
      <c r="D7" s="1">
        <f>'Kwh Consumption'!C8*' Kwh area wise $ '!B7</f>
        <v>0</v>
      </c>
      <c r="E7" s="1">
        <f>'Kwh Consumption'!D8*' Kwh area wise $ '!B7</f>
        <v>0</v>
      </c>
      <c r="F7" s="1">
        <f>'Kwh Consumption'!E8*' Kwh area wise $ '!B7</f>
        <v>0</v>
      </c>
      <c r="G7" s="1">
        <f>('Kwh Consumption'!F8+'Kwh Consumption'!G8+'Kwh Consumption'!H8)*' Kwh area wise $ '!B7</f>
        <v>0</v>
      </c>
      <c r="H7" s="16">
        <f>('Kwh Consumption'!I8+'Kwh Consumption'!J8)*' Kwh area wise $ '!B7</f>
        <v>0</v>
      </c>
      <c r="I7" s="1">
        <f>('Kwh Consumption'!K8+'Kwh Consumption'!L8)*' Kwh area wise $ '!B7</f>
        <v>0</v>
      </c>
      <c r="J7" s="1">
        <f>('Kwh Consumption'!M8+'Kwh Consumption'!N8+'Kwh Consumption'!O8+'Kwh Consumption'!P8+'Kwh Consumption'!Q8+'Kwh Consumption'!R8)*' Kwh area wise $ '!B7</f>
        <v>0</v>
      </c>
      <c r="K7" s="31">
        <f>('Kwh Consumption'!S8+'Kwh Consumption'!T8)*' Kwh area wise $ '!B7</f>
        <v>0</v>
      </c>
      <c r="L7" s="1">
        <f>'Kwh Consumption'!U8*' Kwh area wise $ '!B7</f>
        <v>0</v>
      </c>
      <c r="M7" s="31">
        <f>'Kwh Consumption'!V8*' Kwh area wise $ '!B7</f>
        <v>0</v>
      </c>
    </row>
    <row r="8" spans="1:13" x14ac:dyDescent="0.25">
      <c r="A8" s="14">
        <f>'Kwh Reading'!A9</f>
        <v>44718</v>
      </c>
      <c r="B8" s="123">
        <f>TOTAL!F7</f>
        <v>0</v>
      </c>
      <c r="C8" s="11">
        <f>'Kwh Consumption'!B9*' Kwh area wise $ '!B8</f>
        <v>0</v>
      </c>
      <c r="D8" s="1">
        <f>'Kwh Consumption'!C9*' Kwh area wise $ '!B8</f>
        <v>0</v>
      </c>
      <c r="E8" s="1">
        <f>'Kwh Consumption'!D9*' Kwh area wise $ '!B8</f>
        <v>0</v>
      </c>
      <c r="F8" s="1">
        <f>'Kwh Consumption'!E9*' Kwh area wise $ '!B8</f>
        <v>0</v>
      </c>
      <c r="G8" s="1">
        <f>('Kwh Consumption'!F9+'Kwh Consumption'!G9+'Kwh Consumption'!H9)*' Kwh area wise $ '!B8</f>
        <v>0</v>
      </c>
      <c r="H8" s="16">
        <f>('Kwh Consumption'!I9+'Kwh Consumption'!J9)*' Kwh area wise $ '!B8</f>
        <v>0</v>
      </c>
      <c r="I8" s="1">
        <f>('Kwh Consumption'!K9+'Kwh Consumption'!L9)*' Kwh area wise $ '!B8</f>
        <v>0</v>
      </c>
      <c r="J8" s="1">
        <f>('Kwh Consumption'!M9+'Kwh Consumption'!N9+'Kwh Consumption'!O9+'Kwh Consumption'!P9+'Kwh Consumption'!Q9+'Kwh Consumption'!R9)*' Kwh area wise $ '!B8</f>
        <v>0</v>
      </c>
      <c r="K8" s="31">
        <f>('Kwh Consumption'!S9+'Kwh Consumption'!T9)*' Kwh area wise $ '!B8</f>
        <v>0</v>
      </c>
      <c r="L8" s="1">
        <f>'Kwh Consumption'!U9*' Kwh area wise $ '!B8</f>
        <v>0</v>
      </c>
      <c r="M8" s="31">
        <f>'Kwh Consumption'!V9*' Kwh area wise $ '!B8</f>
        <v>0</v>
      </c>
    </row>
    <row r="9" spans="1:13" x14ac:dyDescent="0.25">
      <c r="A9" s="14">
        <f>'Kwh Reading'!A10</f>
        <v>44719</v>
      </c>
      <c r="B9" s="123">
        <f>TOTAL!F8</f>
        <v>0</v>
      </c>
      <c r="C9" s="11">
        <f>'Kwh Consumption'!B10*' Kwh area wise $ '!B9</f>
        <v>0</v>
      </c>
      <c r="D9" s="1">
        <f>'Kwh Consumption'!C10*' Kwh area wise $ '!B9</f>
        <v>0</v>
      </c>
      <c r="E9" s="1">
        <f>'Kwh Consumption'!D10*' Kwh area wise $ '!B9</f>
        <v>0</v>
      </c>
      <c r="F9" s="1">
        <f>'Kwh Consumption'!E10*' Kwh area wise $ '!B9</f>
        <v>0</v>
      </c>
      <c r="G9" s="1">
        <f>('Kwh Consumption'!F10+'Kwh Consumption'!G10+'Kwh Consumption'!H10)*' Kwh area wise $ '!B9</f>
        <v>0</v>
      </c>
      <c r="H9" s="16">
        <f>('Kwh Consumption'!I10+'Kwh Consumption'!J10)*' Kwh area wise $ '!B9</f>
        <v>0</v>
      </c>
      <c r="I9" s="1">
        <f>('Kwh Consumption'!K10+'Kwh Consumption'!L10)*' Kwh area wise $ '!B9</f>
        <v>0</v>
      </c>
      <c r="J9" s="1">
        <f>('Kwh Consumption'!M10+'Kwh Consumption'!N10+'Kwh Consumption'!O10+'Kwh Consumption'!P10+'Kwh Consumption'!Q10+'Kwh Consumption'!R10)*' Kwh area wise $ '!B9</f>
        <v>0</v>
      </c>
      <c r="K9" s="31">
        <f>('Kwh Consumption'!S10+'Kwh Consumption'!T10)*' Kwh area wise $ '!B9</f>
        <v>0</v>
      </c>
      <c r="L9" s="1">
        <f>'Kwh Consumption'!U10*' Kwh area wise $ '!B9</f>
        <v>0</v>
      </c>
      <c r="M9" s="31">
        <f>'Kwh Consumption'!V10*' Kwh area wise $ '!B9</f>
        <v>0</v>
      </c>
    </row>
    <row r="10" spans="1:13" x14ac:dyDescent="0.25">
      <c r="A10" s="14">
        <f>'Kwh Reading'!A11</f>
        <v>44720</v>
      </c>
      <c r="B10" s="123">
        <f>TOTAL!F9</f>
        <v>0</v>
      </c>
      <c r="C10" s="11">
        <f>'Kwh Consumption'!B11*' Kwh area wise $ '!B10</f>
        <v>0</v>
      </c>
      <c r="D10" s="1">
        <f>'Kwh Consumption'!C11*' Kwh area wise $ '!B10</f>
        <v>0</v>
      </c>
      <c r="E10" s="1">
        <f>'Kwh Consumption'!D11*' Kwh area wise $ '!B10</f>
        <v>0</v>
      </c>
      <c r="F10" s="1">
        <f>'Kwh Consumption'!E11*' Kwh area wise $ '!B10</f>
        <v>0</v>
      </c>
      <c r="G10" s="1">
        <f>('Kwh Consumption'!F11+'Kwh Consumption'!G11+'Kwh Consumption'!H11)*' Kwh area wise $ '!B10</f>
        <v>0</v>
      </c>
      <c r="H10" s="16">
        <f>('Kwh Consumption'!I11+'Kwh Consumption'!J11)*' Kwh area wise $ '!B10</f>
        <v>0</v>
      </c>
      <c r="I10" s="1">
        <f>('Kwh Consumption'!K11+'Kwh Consumption'!L11)*' Kwh area wise $ '!B10</f>
        <v>0</v>
      </c>
      <c r="J10" s="1">
        <f>('Kwh Consumption'!M11+'Kwh Consumption'!N11+'Kwh Consumption'!O11+'Kwh Consumption'!P11+'Kwh Consumption'!Q11+'Kwh Consumption'!R11)*' Kwh area wise $ '!B10</f>
        <v>0</v>
      </c>
      <c r="K10" s="31">
        <f>('Kwh Consumption'!S11+'Kwh Consumption'!T11)*' Kwh area wise $ '!B10</f>
        <v>0</v>
      </c>
      <c r="L10" s="1">
        <f>'Kwh Consumption'!U11*' Kwh area wise $ '!B10</f>
        <v>0</v>
      </c>
      <c r="M10" s="31">
        <f>'Kwh Consumption'!V11*' Kwh area wise $ '!B10</f>
        <v>0</v>
      </c>
    </row>
    <row r="11" spans="1:13" x14ac:dyDescent="0.25">
      <c r="A11" s="14">
        <f>'Kwh Reading'!A12</f>
        <v>44721</v>
      </c>
      <c r="B11" s="123">
        <f>TOTAL!F10</f>
        <v>0</v>
      </c>
      <c r="C11" s="11">
        <f>'Kwh Consumption'!B12*' Kwh area wise $ '!B11</f>
        <v>0</v>
      </c>
      <c r="D11" s="1">
        <f>'Kwh Consumption'!C12*' Kwh area wise $ '!B11</f>
        <v>0</v>
      </c>
      <c r="E11" s="1">
        <f>'Kwh Consumption'!D12*' Kwh area wise $ '!B11</f>
        <v>0</v>
      </c>
      <c r="F11" s="1">
        <f>'Kwh Consumption'!E12*' Kwh area wise $ '!B11</f>
        <v>0</v>
      </c>
      <c r="G11" s="1">
        <f>('Kwh Consumption'!F12+'Kwh Consumption'!G12+'Kwh Consumption'!H12)*' Kwh area wise $ '!B11</f>
        <v>0</v>
      </c>
      <c r="H11" s="16">
        <f>('Kwh Consumption'!I12+'Kwh Consumption'!J12)*' Kwh area wise $ '!B11</f>
        <v>0</v>
      </c>
      <c r="I11" s="1">
        <f>('Kwh Consumption'!K12+'Kwh Consumption'!L12)*' Kwh area wise $ '!B11</f>
        <v>0</v>
      </c>
      <c r="J11" s="1">
        <f>('Kwh Consumption'!M12+'Kwh Consumption'!N12+'Kwh Consumption'!O12+'Kwh Consumption'!P12+'Kwh Consumption'!Q12+'Kwh Consumption'!R12)*' Kwh area wise $ '!B11</f>
        <v>0</v>
      </c>
      <c r="K11" s="31">
        <f>('Kwh Consumption'!S12+'Kwh Consumption'!T12)*' Kwh area wise $ '!B11</f>
        <v>0</v>
      </c>
      <c r="L11" s="1">
        <f>'Kwh Consumption'!U12*' Kwh area wise $ '!B11</f>
        <v>0</v>
      </c>
      <c r="M11" s="31">
        <f>'Kwh Consumption'!V12*' Kwh area wise $ '!B11</f>
        <v>0</v>
      </c>
    </row>
    <row r="12" spans="1:13" x14ac:dyDescent="0.25">
      <c r="A12" s="14">
        <f>'Kwh Reading'!A13</f>
        <v>44722</v>
      </c>
      <c r="B12" s="123">
        <f>TOTAL!F11</f>
        <v>0</v>
      </c>
      <c r="C12" s="11">
        <f>'Kwh Consumption'!B13*' Kwh area wise $ '!B12</f>
        <v>0</v>
      </c>
      <c r="D12" s="1">
        <f>'Kwh Consumption'!C13*' Kwh area wise $ '!B12</f>
        <v>0</v>
      </c>
      <c r="E12" s="1">
        <f>'Kwh Consumption'!D13*' Kwh area wise $ '!B12</f>
        <v>0</v>
      </c>
      <c r="F12" s="1">
        <f>'Kwh Consumption'!E13*' Kwh area wise $ '!B12</f>
        <v>0</v>
      </c>
      <c r="G12" s="1">
        <f>('Kwh Consumption'!F13+'Kwh Consumption'!G13+'Kwh Consumption'!H13)*' Kwh area wise $ '!B12</f>
        <v>0</v>
      </c>
      <c r="H12" s="16">
        <f>('Kwh Consumption'!I13+'Kwh Consumption'!J13)*' Kwh area wise $ '!B12</f>
        <v>0</v>
      </c>
      <c r="I12" s="1">
        <f>('Kwh Consumption'!K13+'Kwh Consumption'!L13)*' Kwh area wise $ '!B12</f>
        <v>0</v>
      </c>
      <c r="J12" s="1">
        <f>('Kwh Consumption'!M13+'Kwh Consumption'!N13+'Kwh Consumption'!O13+'Kwh Consumption'!P13+'Kwh Consumption'!Q13+'Kwh Consumption'!R13)*' Kwh area wise $ '!B12</f>
        <v>0</v>
      </c>
      <c r="K12" s="31">
        <f>('Kwh Consumption'!S13+'Kwh Consumption'!T13)*' Kwh area wise $ '!B12</f>
        <v>0</v>
      </c>
      <c r="L12" s="1">
        <f>'Kwh Consumption'!U13*' Kwh area wise $ '!B12</f>
        <v>0</v>
      </c>
      <c r="M12" s="31">
        <f>'Kwh Consumption'!V13*' Kwh area wise $ '!B12</f>
        <v>0</v>
      </c>
    </row>
    <row r="13" spans="1:13" x14ac:dyDescent="0.25">
      <c r="A13" s="14">
        <f>'Kwh Reading'!A14</f>
        <v>44723</v>
      </c>
      <c r="B13" s="123">
        <f>TOTAL!F12</f>
        <v>0</v>
      </c>
      <c r="C13" s="11">
        <f>'Kwh Consumption'!B14*' Kwh area wise $ '!B13</f>
        <v>0</v>
      </c>
      <c r="D13" s="1">
        <f>'Kwh Consumption'!C14*' Kwh area wise $ '!B13</f>
        <v>0</v>
      </c>
      <c r="E13" s="1">
        <f>'Kwh Consumption'!D14*' Kwh area wise $ '!B13</f>
        <v>0</v>
      </c>
      <c r="F13" s="1">
        <f>'Kwh Consumption'!E14*' Kwh area wise $ '!B13</f>
        <v>0</v>
      </c>
      <c r="G13" s="1">
        <f>('Kwh Consumption'!F14+'Kwh Consumption'!G14+'Kwh Consumption'!H14)*' Kwh area wise $ '!B13</f>
        <v>0</v>
      </c>
      <c r="H13" s="16">
        <f>('Kwh Consumption'!I14+'Kwh Consumption'!J14)*' Kwh area wise $ '!B13</f>
        <v>0</v>
      </c>
      <c r="I13" s="1">
        <f>('Kwh Consumption'!K14+'Kwh Consumption'!L14)*' Kwh area wise $ '!B13</f>
        <v>0</v>
      </c>
      <c r="J13" s="1">
        <f>('Kwh Consumption'!M14+'Kwh Consumption'!N14+'Kwh Consumption'!O14+'Kwh Consumption'!P14+'Kwh Consumption'!Q14+'Kwh Consumption'!R14)*' Kwh area wise $ '!B13</f>
        <v>0</v>
      </c>
      <c r="K13" s="31">
        <f>('Kwh Consumption'!S14+'Kwh Consumption'!T14)*' Kwh area wise $ '!B13</f>
        <v>0</v>
      </c>
      <c r="L13" s="1">
        <f>'Kwh Consumption'!U14*' Kwh area wise $ '!B13</f>
        <v>0</v>
      </c>
      <c r="M13" s="31">
        <f>'Kwh Consumption'!V14*' Kwh area wise $ '!B13</f>
        <v>0</v>
      </c>
    </row>
    <row r="14" spans="1:13" x14ac:dyDescent="0.25">
      <c r="A14" s="14">
        <f>'Kwh Reading'!A15</f>
        <v>44724</v>
      </c>
      <c r="B14" s="123">
        <f>TOTAL!F13</f>
        <v>0</v>
      </c>
      <c r="C14" s="11">
        <f>'Kwh Consumption'!B15*' Kwh area wise $ '!B14</f>
        <v>0</v>
      </c>
      <c r="D14" s="1">
        <f>'Kwh Consumption'!C15*' Kwh area wise $ '!B14</f>
        <v>0</v>
      </c>
      <c r="E14" s="1">
        <f>'Kwh Consumption'!D15*' Kwh area wise $ '!B14</f>
        <v>0</v>
      </c>
      <c r="F14" s="1">
        <f>'Kwh Consumption'!E15*' Kwh area wise $ '!B14</f>
        <v>0</v>
      </c>
      <c r="G14" s="1">
        <f>('Kwh Consumption'!F15+'Kwh Consumption'!G15+'Kwh Consumption'!H15)*' Kwh area wise $ '!B14</f>
        <v>0</v>
      </c>
      <c r="H14" s="16">
        <f>('Kwh Consumption'!I15+'Kwh Consumption'!J15)*' Kwh area wise $ '!B14</f>
        <v>0</v>
      </c>
      <c r="I14" s="1">
        <f>('Kwh Consumption'!K15+'Kwh Consumption'!L15)*' Kwh area wise $ '!B14</f>
        <v>0</v>
      </c>
      <c r="J14" s="1">
        <f>('Kwh Consumption'!M15+'Kwh Consumption'!N15+'Kwh Consumption'!O15+'Kwh Consumption'!P15+'Kwh Consumption'!Q15+'Kwh Consumption'!R15)*' Kwh area wise $ '!B14</f>
        <v>0</v>
      </c>
      <c r="K14" s="31">
        <f>('Kwh Consumption'!S15+'Kwh Consumption'!T15)*' Kwh area wise $ '!B14</f>
        <v>0</v>
      </c>
      <c r="L14" s="1">
        <f>'Kwh Consumption'!U15*' Kwh area wise $ '!B14</f>
        <v>0</v>
      </c>
      <c r="M14" s="31">
        <f>'Kwh Consumption'!V15*' Kwh area wise $ '!B14</f>
        <v>0</v>
      </c>
    </row>
    <row r="15" spans="1:13" x14ac:dyDescent="0.25">
      <c r="A15" s="14">
        <f>'Kwh Reading'!A16</f>
        <v>44725</v>
      </c>
      <c r="B15" s="123">
        <f>TOTAL!F14</f>
        <v>0</v>
      </c>
      <c r="C15" s="11">
        <f>'Kwh Consumption'!B16*' Kwh area wise $ '!B15</f>
        <v>0</v>
      </c>
      <c r="D15" s="1">
        <f>'Kwh Consumption'!C16*' Kwh area wise $ '!B15</f>
        <v>0</v>
      </c>
      <c r="E15" s="1">
        <f>'Kwh Consumption'!D16*' Kwh area wise $ '!B15</f>
        <v>0</v>
      </c>
      <c r="F15" s="1">
        <f>'Kwh Consumption'!E16*' Kwh area wise $ '!B15</f>
        <v>0</v>
      </c>
      <c r="G15" s="1">
        <f>('Kwh Consumption'!F16+'Kwh Consumption'!G16+'Kwh Consumption'!H16)*' Kwh area wise $ '!B15</f>
        <v>0</v>
      </c>
      <c r="H15" s="16">
        <f>('Kwh Consumption'!I16+'Kwh Consumption'!J16)*' Kwh area wise $ '!B15</f>
        <v>0</v>
      </c>
      <c r="I15" s="1">
        <f>('Kwh Consumption'!K16+'Kwh Consumption'!L16)*' Kwh area wise $ '!B15</f>
        <v>0</v>
      </c>
      <c r="J15" s="1">
        <f>('Kwh Consumption'!M16+'Kwh Consumption'!N16+'Kwh Consumption'!O16+'Kwh Consumption'!P16+'Kwh Consumption'!Q16+'Kwh Consumption'!R16)*' Kwh area wise $ '!B15</f>
        <v>0</v>
      </c>
      <c r="K15" s="31">
        <f>('Kwh Consumption'!S16+'Kwh Consumption'!T16)*' Kwh area wise $ '!B15</f>
        <v>0</v>
      </c>
      <c r="L15" s="1">
        <f>'Kwh Consumption'!U16*' Kwh area wise $ '!B15</f>
        <v>0</v>
      </c>
      <c r="M15" s="31">
        <f>'Kwh Consumption'!V16*' Kwh area wise $ '!B15</f>
        <v>0</v>
      </c>
    </row>
    <row r="16" spans="1:13" x14ac:dyDescent="0.25">
      <c r="A16" s="14">
        <f>'Kwh Reading'!A17</f>
        <v>44726</v>
      </c>
      <c r="B16" s="123">
        <f>TOTAL!F15</f>
        <v>0</v>
      </c>
      <c r="C16" s="11">
        <f>'Kwh Consumption'!B17*' Kwh area wise $ '!B16</f>
        <v>0</v>
      </c>
      <c r="D16" s="1">
        <f>'Kwh Consumption'!C17*' Kwh area wise $ '!B16</f>
        <v>0</v>
      </c>
      <c r="E16" s="1">
        <f>'Kwh Consumption'!D17*' Kwh area wise $ '!B16</f>
        <v>0</v>
      </c>
      <c r="F16" s="1">
        <f>'Kwh Consumption'!E17*' Kwh area wise $ '!B16</f>
        <v>0</v>
      </c>
      <c r="G16" s="1">
        <f>('Kwh Consumption'!F17+'Kwh Consumption'!G17+'Kwh Consumption'!H17)*' Kwh area wise $ '!B16</f>
        <v>0</v>
      </c>
      <c r="H16" s="16">
        <f>('Kwh Consumption'!I17+'Kwh Consumption'!J17)*' Kwh area wise $ '!B16</f>
        <v>0</v>
      </c>
      <c r="I16" s="1">
        <f>('Kwh Consumption'!K17+'Kwh Consumption'!L17)*' Kwh area wise $ '!B16</f>
        <v>0</v>
      </c>
      <c r="J16" s="1">
        <f>('Kwh Consumption'!M17+'Kwh Consumption'!N17+'Kwh Consumption'!O17+'Kwh Consumption'!P17+'Kwh Consumption'!Q17+'Kwh Consumption'!R17)*' Kwh area wise $ '!B16</f>
        <v>0</v>
      </c>
      <c r="K16" s="31">
        <f>('Kwh Consumption'!S17+'Kwh Consumption'!T17)*' Kwh area wise $ '!B16</f>
        <v>0</v>
      </c>
      <c r="L16" s="1">
        <f>'Kwh Consumption'!U17*' Kwh area wise $ '!B16</f>
        <v>0</v>
      </c>
      <c r="M16" s="31">
        <f>'Kwh Consumption'!V17*' Kwh area wise $ '!B16</f>
        <v>0</v>
      </c>
    </row>
    <row r="17" spans="1:13" x14ac:dyDescent="0.25">
      <c r="A17" s="14">
        <f>'Kwh Reading'!A18</f>
        <v>44727</v>
      </c>
      <c r="B17" s="123">
        <f>TOTAL!F16</f>
        <v>0</v>
      </c>
      <c r="C17" s="11">
        <f>'Kwh Consumption'!B18*' Kwh area wise $ '!B17</f>
        <v>0</v>
      </c>
      <c r="D17" s="1">
        <f>'Kwh Consumption'!C18*' Kwh area wise $ '!B17</f>
        <v>0</v>
      </c>
      <c r="E17" s="1">
        <f>'Kwh Consumption'!D18*' Kwh area wise $ '!B17</f>
        <v>0</v>
      </c>
      <c r="F17" s="1">
        <f>'Kwh Consumption'!E18*' Kwh area wise $ '!B17</f>
        <v>0</v>
      </c>
      <c r="G17" s="1">
        <f>('Kwh Consumption'!F18+'Kwh Consumption'!G18+'Kwh Consumption'!H18)*' Kwh area wise $ '!B17</f>
        <v>0</v>
      </c>
      <c r="H17" s="16">
        <f>('Kwh Consumption'!I18+'Kwh Consumption'!J18)*' Kwh area wise $ '!B17</f>
        <v>0</v>
      </c>
      <c r="I17" s="1">
        <f>('Kwh Consumption'!K18+'Kwh Consumption'!L18)*' Kwh area wise $ '!B17</f>
        <v>0</v>
      </c>
      <c r="J17" s="1">
        <f>('Kwh Consumption'!M18+'Kwh Consumption'!N18+'Kwh Consumption'!O18+'Kwh Consumption'!P18+'Kwh Consumption'!Q18+'Kwh Consumption'!R18)*' Kwh area wise $ '!B17</f>
        <v>0</v>
      </c>
      <c r="K17" s="31">
        <f>('Kwh Consumption'!S18+'Kwh Consumption'!T18)*' Kwh area wise $ '!B17</f>
        <v>0</v>
      </c>
      <c r="L17" s="1">
        <f>'Kwh Consumption'!U18*' Kwh area wise $ '!B17</f>
        <v>0</v>
      </c>
      <c r="M17" s="31">
        <f>'Kwh Consumption'!V18*' Kwh area wise $ '!B17</f>
        <v>0</v>
      </c>
    </row>
    <row r="18" spans="1:13" x14ac:dyDescent="0.25">
      <c r="A18" s="14">
        <f>'Kwh Reading'!A19</f>
        <v>44728</v>
      </c>
      <c r="B18" s="123">
        <f>TOTAL!F17</f>
        <v>0</v>
      </c>
      <c r="C18" s="11">
        <f>'Kwh Consumption'!B19*' Kwh area wise $ '!B18</f>
        <v>0</v>
      </c>
      <c r="D18" s="1">
        <f>'Kwh Consumption'!C19*' Kwh area wise $ '!B18</f>
        <v>0</v>
      </c>
      <c r="E18" s="1">
        <f>'Kwh Consumption'!D19*' Kwh area wise $ '!B18</f>
        <v>0</v>
      </c>
      <c r="F18" s="1">
        <f>'Kwh Consumption'!E19*' Kwh area wise $ '!B18</f>
        <v>0</v>
      </c>
      <c r="G18" s="1">
        <f>('Kwh Consumption'!F19+'Kwh Consumption'!G19+'Kwh Consumption'!H19)*' Kwh area wise $ '!B18</f>
        <v>0</v>
      </c>
      <c r="H18" s="16">
        <f>('Kwh Consumption'!I19+'Kwh Consumption'!J19)*' Kwh area wise $ '!B18</f>
        <v>0</v>
      </c>
      <c r="I18" s="1">
        <f>('Kwh Consumption'!K19+'Kwh Consumption'!L19)*' Kwh area wise $ '!B18</f>
        <v>0</v>
      </c>
      <c r="J18" s="1">
        <f>('Kwh Consumption'!M19+'Kwh Consumption'!N19+'Kwh Consumption'!O19+'Kwh Consumption'!P19+'Kwh Consumption'!Q19+'Kwh Consumption'!R19)*' Kwh area wise $ '!B18</f>
        <v>0</v>
      </c>
      <c r="K18" s="31">
        <f>('Kwh Consumption'!S19+'Kwh Consumption'!T19)*' Kwh area wise $ '!B18</f>
        <v>0</v>
      </c>
      <c r="L18" s="1">
        <f>'Kwh Consumption'!U19*' Kwh area wise $ '!B18</f>
        <v>0</v>
      </c>
      <c r="M18" s="31">
        <f>'Kwh Consumption'!V19*' Kwh area wise $ '!B18</f>
        <v>0</v>
      </c>
    </row>
    <row r="19" spans="1:13" x14ac:dyDescent="0.25">
      <c r="A19" s="14">
        <f>'Kwh Reading'!A20</f>
        <v>44729</v>
      </c>
      <c r="B19" s="123">
        <f>TOTAL!F18</f>
        <v>0</v>
      </c>
      <c r="C19" s="11">
        <f>'Kwh Consumption'!B20*' Kwh area wise $ '!B19</f>
        <v>0</v>
      </c>
      <c r="D19" s="1">
        <f>'Kwh Consumption'!C20*' Kwh area wise $ '!B19</f>
        <v>0</v>
      </c>
      <c r="E19" s="1">
        <f>'Kwh Consumption'!D20*' Kwh area wise $ '!B19</f>
        <v>0</v>
      </c>
      <c r="F19" s="1">
        <f>'Kwh Consumption'!E20*' Kwh area wise $ '!B19</f>
        <v>0</v>
      </c>
      <c r="G19" s="1">
        <f>('Kwh Consumption'!F20+'Kwh Consumption'!G20+'Kwh Consumption'!H20)*' Kwh area wise $ '!B19</f>
        <v>0</v>
      </c>
      <c r="H19" s="16">
        <f>('Kwh Consumption'!I20+'Kwh Consumption'!J20)*' Kwh area wise $ '!B19</f>
        <v>0</v>
      </c>
      <c r="I19" s="1">
        <f>('Kwh Consumption'!K20+'Kwh Consumption'!L20)*' Kwh area wise $ '!B19</f>
        <v>0</v>
      </c>
      <c r="J19" s="1">
        <f>('Kwh Consumption'!M20+'Kwh Consumption'!N20+'Kwh Consumption'!O20+'Kwh Consumption'!P20+'Kwh Consumption'!Q20+'Kwh Consumption'!R20)*' Kwh area wise $ '!B19</f>
        <v>0</v>
      </c>
      <c r="K19" s="31">
        <f>('Kwh Consumption'!S20+'Kwh Consumption'!T20)*' Kwh area wise $ '!B19</f>
        <v>0</v>
      </c>
      <c r="L19" s="1">
        <f>'Kwh Consumption'!U20*' Kwh area wise $ '!B19</f>
        <v>0</v>
      </c>
      <c r="M19" s="31">
        <f>'Kwh Consumption'!V20*' Kwh area wise $ '!B19</f>
        <v>0</v>
      </c>
    </row>
    <row r="20" spans="1:13" x14ac:dyDescent="0.25">
      <c r="A20" s="14">
        <f>'Kwh Reading'!A21</f>
        <v>44730</v>
      </c>
      <c r="B20" s="123">
        <f>TOTAL!F19</f>
        <v>0</v>
      </c>
      <c r="C20" s="11">
        <f>'Kwh Consumption'!B21*' Kwh area wise $ '!B20</f>
        <v>0</v>
      </c>
      <c r="D20" s="1">
        <f>'Kwh Consumption'!C21*' Kwh area wise $ '!B20</f>
        <v>0</v>
      </c>
      <c r="E20" s="1">
        <f>'Kwh Consumption'!D21*' Kwh area wise $ '!B20</f>
        <v>0</v>
      </c>
      <c r="F20" s="1">
        <f>'Kwh Consumption'!E21*' Kwh area wise $ '!B20</f>
        <v>0</v>
      </c>
      <c r="G20" s="1">
        <f>('Kwh Consumption'!F21+'Kwh Consumption'!G21+'Kwh Consumption'!H21)*' Kwh area wise $ '!B20</f>
        <v>0</v>
      </c>
      <c r="H20" s="16">
        <f>('Kwh Consumption'!I21+'Kwh Consumption'!J21)*' Kwh area wise $ '!B20</f>
        <v>0</v>
      </c>
      <c r="I20" s="1">
        <f>('Kwh Consumption'!K21+'Kwh Consumption'!L21)*' Kwh area wise $ '!B20</f>
        <v>0</v>
      </c>
      <c r="J20" s="1">
        <f>('Kwh Consumption'!M21+'Kwh Consumption'!N21+'Kwh Consumption'!O21+'Kwh Consumption'!P21+'Kwh Consumption'!Q21+'Kwh Consumption'!R21)*' Kwh area wise $ '!B20</f>
        <v>0</v>
      </c>
      <c r="K20" s="31">
        <f>('Kwh Consumption'!S21+'Kwh Consumption'!T21)*' Kwh area wise $ '!B20</f>
        <v>0</v>
      </c>
      <c r="L20" s="1">
        <f>'Kwh Consumption'!U21*' Kwh area wise $ '!B20</f>
        <v>0</v>
      </c>
      <c r="M20" s="31">
        <f>'Kwh Consumption'!V21*' Kwh area wise $ '!B20</f>
        <v>0</v>
      </c>
    </row>
    <row r="21" spans="1:13" x14ac:dyDescent="0.25">
      <c r="A21" s="14">
        <f>'Kwh Reading'!A22</f>
        <v>44731</v>
      </c>
      <c r="B21" s="123">
        <f>TOTAL!F20</f>
        <v>0</v>
      </c>
      <c r="C21" s="11">
        <f>'Kwh Consumption'!B22*' Kwh area wise $ '!B21</f>
        <v>0</v>
      </c>
      <c r="D21" s="1">
        <f>'Kwh Consumption'!C22*' Kwh area wise $ '!B21</f>
        <v>0</v>
      </c>
      <c r="E21" s="1">
        <f>'Kwh Consumption'!D22*' Kwh area wise $ '!B21</f>
        <v>0</v>
      </c>
      <c r="F21" s="1">
        <f>'Kwh Consumption'!E22*' Kwh area wise $ '!B21</f>
        <v>0</v>
      </c>
      <c r="G21" s="1">
        <f>('Kwh Consumption'!F22+'Kwh Consumption'!G22+'Kwh Consumption'!H22)*' Kwh area wise $ '!B21</f>
        <v>0</v>
      </c>
      <c r="H21" s="16">
        <f>('Kwh Consumption'!I22+'Kwh Consumption'!J22)*' Kwh area wise $ '!B21</f>
        <v>0</v>
      </c>
      <c r="I21" s="1">
        <f>('Kwh Consumption'!K22+'Kwh Consumption'!L22)*' Kwh area wise $ '!B21</f>
        <v>0</v>
      </c>
      <c r="J21" s="1">
        <f>('Kwh Consumption'!M22+'Kwh Consumption'!N22+'Kwh Consumption'!O22+'Kwh Consumption'!P22+'Kwh Consumption'!Q22+'Kwh Consumption'!R22)*' Kwh area wise $ '!B21</f>
        <v>0</v>
      </c>
      <c r="K21" s="31">
        <f>('Kwh Consumption'!S22+'Kwh Consumption'!T22)*' Kwh area wise $ '!B21</f>
        <v>0</v>
      </c>
      <c r="L21" s="1">
        <f>'Kwh Consumption'!U22*' Kwh area wise $ '!B21</f>
        <v>0</v>
      </c>
      <c r="M21" s="31">
        <f>'Kwh Consumption'!V22*' Kwh area wise $ '!B21</f>
        <v>0</v>
      </c>
    </row>
    <row r="22" spans="1:13" x14ac:dyDescent="0.25">
      <c r="A22" s="14">
        <f>'Kwh Reading'!A23</f>
        <v>44732</v>
      </c>
      <c r="B22" s="123">
        <f>TOTAL!F21</f>
        <v>0</v>
      </c>
      <c r="C22" s="11">
        <f>'Kwh Consumption'!B23*' Kwh area wise $ '!B22</f>
        <v>0</v>
      </c>
      <c r="D22" s="1">
        <f>'Kwh Consumption'!C23*' Kwh area wise $ '!B22</f>
        <v>0</v>
      </c>
      <c r="E22" s="1">
        <f>'Kwh Consumption'!D23*' Kwh area wise $ '!B22</f>
        <v>0</v>
      </c>
      <c r="F22" s="1">
        <f>'Kwh Consumption'!E23*' Kwh area wise $ '!B22</f>
        <v>0</v>
      </c>
      <c r="G22" s="1">
        <f>('Kwh Consumption'!F23+'Kwh Consumption'!G23+'Kwh Consumption'!H23)*' Kwh area wise $ '!B22</f>
        <v>0</v>
      </c>
      <c r="H22" s="16">
        <f>('Kwh Consumption'!I23+'Kwh Consumption'!J23)*' Kwh area wise $ '!B22</f>
        <v>0</v>
      </c>
      <c r="I22" s="1">
        <f>('Kwh Consumption'!K23+'Kwh Consumption'!L23)*' Kwh area wise $ '!B22</f>
        <v>0</v>
      </c>
      <c r="J22" s="1">
        <f>('Kwh Consumption'!M23+'Kwh Consumption'!N23+'Kwh Consumption'!O23+'Kwh Consumption'!P23+'Kwh Consumption'!Q23+'Kwh Consumption'!R23)*' Kwh area wise $ '!B22</f>
        <v>0</v>
      </c>
      <c r="K22" s="31">
        <f>('Kwh Consumption'!S23+'Kwh Consumption'!T23)*' Kwh area wise $ '!B22</f>
        <v>0</v>
      </c>
      <c r="L22" s="1">
        <f>'Kwh Consumption'!U23*' Kwh area wise $ '!B22</f>
        <v>0</v>
      </c>
      <c r="M22" s="31">
        <f>'Kwh Consumption'!V23*' Kwh area wise $ '!B22</f>
        <v>0</v>
      </c>
    </row>
    <row r="23" spans="1:13" x14ac:dyDescent="0.25">
      <c r="A23" s="14">
        <f>'Kwh Reading'!A24</f>
        <v>44733</v>
      </c>
      <c r="B23" s="123">
        <f>TOTAL!F22</f>
        <v>0</v>
      </c>
      <c r="C23" s="11">
        <f>'Kwh Consumption'!B24*' Kwh area wise $ '!B23</f>
        <v>0</v>
      </c>
      <c r="D23" s="1">
        <f>'Kwh Consumption'!C24*' Kwh area wise $ '!B23</f>
        <v>0</v>
      </c>
      <c r="E23" s="1">
        <f>'Kwh Consumption'!D24*' Kwh area wise $ '!B23</f>
        <v>0</v>
      </c>
      <c r="F23" s="1">
        <f>'Kwh Consumption'!E24*' Kwh area wise $ '!B23</f>
        <v>0</v>
      </c>
      <c r="G23" s="1">
        <f>('Kwh Consumption'!F24+'Kwh Consumption'!G24+'Kwh Consumption'!H24)*' Kwh area wise $ '!B23</f>
        <v>0</v>
      </c>
      <c r="H23" s="16">
        <f>('Kwh Consumption'!I24+'Kwh Consumption'!J24)*' Kwh area wise $ '!B23</f>
        <v>0</v>
      </c>
      <c r="I23" s="1">
        <f>('Kwh Consumption'!K24+'Kwh Consumption'!L24)*' Kwh area wise $ '!B23</f>
        <v>0</v>
      </c>
      <c r="J23" s="1">
        <f>('Kwh Consumption'!M24+'Kwh Consumption'!N24+'Kwh Consumption'!O24+'Kwh Consumption'!P24+'Kwh Consumption'!Q24+'Kwh Consumption'!R24)*' Kwh area wise $ '!B23</f>
        <v>0</v>
      </c>
      <c r="K23" s="31">
        <f>('Kwh Consumption'!S24+'Kwh Consumption'!T24)*' Kwh area wise $ '!B23</f>
        <v>0</v>
      </c>
      <c r="L23" s="1">
        <f>'Kwh Consumption'!U24*' Kwh area wise $ '!B23</f>
        <v>0</v>
      </c>
      <c r="M23" s="31">
        <f>'Kwh Consumption'!V24*' Kwh area wise $ '!B23</f>
        <v>0</v>
      </c>
    </row>
    <row r="24" spans="1:13" x14ac:dyDescent="0.25">
      <c r="A24" s="14">
        <f>'Kwh Reading'!A25</f>
        <v>44734</v>
      </c>
      <c r="B24" s="123">
        <f>TOTAL!F23</f>
        <v>0</v>
      </c>
      <c r="C24" s="11">
        <f>'Kwh Consumption'!B25*' Kwh area wise $ '!B24</f>
        <v>0</v>
      </c>
      <c r="D24" s="1">
        <f>'Kwh Consumption'!C25*' Kwh area wise $ '!B24</f>
        <v>0</v>
      </c>
      <c r="E24" s="1">
        <f>'Kwh Consumption'!D25*' Kwh area wise $ '!B24</f>
        <v>0</v>
      </c>
      <c r="F24" s="1">
        <f>'Kwh Consumption'!E25*' Kwh area wise $ '!B24</f>
        <v>0</v>
      </c>
      <c r="G24" s="1">
        <f>('Kwh Consumption'!F25+'Kwh Consumption'!G25+'Kwh Consumption'!H25)*' Kwh area wise $ '!B24</f>
        <v>0</v>
      </c>
      <c r="H24" s="16">
        <f>('Kwh Consumption'!I25+'Kwh Consumption'!J25)*' Kwh area wise $ '!B24</f>
        <v>0</v>
      </c>
      <c r="I24" s="1">
        <f>('Kwh Consumption'!K25+'Kwh Consumption'!L25)*' Kwh area wise $ '!B24</f>
        <v>0</v>
      </c>
      <c r="J24" s="1">
        <f>('Kwh Consumption'!M25+'Kwh Consumption'!N25+'Kwh Consumption'!O25+'Kwh Consumption'!P25+'Kwh Consumption'!Q25+'Kwh Consumption'!R25)*' Kwh area wise $ '!B24</f>
        <v>0</v>
      </c>
      <c r="K24" s="31">
        <f>('Kwh Consumption'!S25+'Kwh Consumption'!T25)*' Kwh area wise $ '!B24</f>
        <v>0</v>
      </c>
      <c r="L24" s="1">
        <f>'Kwh Consumption'!U25*' Kwh area wise $ '!B24</f>
        <v>0</v>
      </c>
      <c r="M24" s="31">
        <f>'Kwh Consumption'!V25*' Kwh area wise $ '!B24</f>
        <v>0</v>
      </c>
    </row>
    <row r="25" spans="1:13" x14ac:dyDescent="0.25">
      <c r="A25" s="14">
        <f>'Kwh Reading'!A26</f>
        <v>44735</v>
      </c>
      <c r="B25" s="123">
        <f>TOTAL!F24</f>
        <v>0</v>
      </c>
      <c r="C25" s="11">
        <f>'Kwh Consumption'!B26*' Kwh area wise $ '!B25</f>
        <v>0</v>
      </c>
      <c r="D25" s="1">
        <f>'Kwh Consumption'!C26*' Kwh area wise $ '!B25</f>
        <v>0</v>
      </c>
      <c r="E25" s="1">
        <f>'Kwh Consumption'!D26*' Kwh area wise $ '!B25</f>
        <v>0</v>
      </c>
      <c r="F25" s="1">
        <f>'Kwh Consumption'!E26*' Kwh area wise $ '!B25</f>
        <v>0</v>
      </c>
      <c r="G25" s="1">
        <f>('Kwh Consumption'!F26+'Kwh Consumption'!G26+'Kwh Consumption'!H26)*' Kwh area wise $ '!B25</f>
        <v>0</v>
      </c>
      <c r="H25" s="16">
        <f>('Kwh Consumption'!I26+'Kwh Consumption'!J26)*' Kwh area wise $ '!B25</f>
        <v>0</v>
      </c>
      <c r="I25" s="1">
        <f>('Kwh Consumption'!K26+'Kwh Consumption'!L26)*' Kwh area wise $ '!B25</f>
        <v>0</v>
      </c>
      <c r="J25" s="1">
        <f>('Kwh Consumption'!M26+'Kwh Consumption'!N26+'Kwh Consumption'!O26+'Kwh Consumption'!P26+'Kwh Consumption'!Q26+'Kwh Consumption'!R26)*' Kwh area wise $ '!B25</f>
        <v>0</v>
      </c>
      <c r="K25" s="31">
        <f>('Kwh Consumption'!S26+'Kwh Consumption'!T26)*' Kwh area wise $ '!B25</f>
        <v>0</v>
      </c>
      <c r="L25" s="1">
        <f>'Kwh Consumption'!U26*' Kwh area wise $ '!B25</f>
        <v>0</v>
      </c>
      <c r="M25" s="31">
        <f>'Kwh Consumption'!V26*' Kwh area wise $ '!B25</f>
        <v>0</v>
      </c>
    </row>
    <row r="26" spans="1:13" x14ac:dyDescent="0.25">
      <c r="A26" s="14">
        <f>'Kwh Reading'!A27</f>
        <v>44736</v>
      </c>
      <c r="B26" s="123">
        <f>TOTAL!F25</f>
        <v>0</v>
      </c>
      <c r="C26" s="11">
        <f>'Kwh Consumption'!B27*' Kwh area wise $ '!B26</f>
        <v>0</v>
      </c>
      <c r="D26" s="1">
        <f>'Kwh Consumption'!C27*' Kwh area wise $ '!B26</f>
        <v>0</v>
      </c>
      <c r="E26" s="1">
        <f>'Kwh Consumption'!D27*' Kwh area wise $ '!B26</f>
        <v>0</v>
      </c>
      <c r="F26" s="1">
        <f>'Kwh Consumption'!E27*' Kwh area wise $ '!B26</f>
        <v>0</v>
      </c>
      <c r="G26" s="1">
        <f>('Kwh Consumption'!F27+'Kwh Consumption'!G27+'Kwh Consumption'!H27)*' Kwh area wise $ '!B26</f>
        <v>0</v>
      </c>
      <c r="H26" s="16">
        <f>('Kwh Consumption'!I27+'Kwh Consumption'!J27)*' Kwh area wise $ '!B26</f>
        <v>0</v>
      </c>
      <c r="I26" s="1">
        <f>('Kwh Consumption'!K27+'Kwh Consumption'!L27)*' Kwh area wise $ '!B26</f>
        <v>0</v>
      </c>
      <c r="J26" s="1">
        <f>('Kwh Consumption'!M27+'Kwh Consumption'!N27+'Kwh Consumption'!O27+'Kwh Consumption'!P27+'Kwh Consumption'!Q27+'Kwh Consumption'!R27)*' Kwh area wise $ '!B26</f>
        <v>0</v>
      </c>
      <c r="K26" s="31">
        <f>('Kwh Consumption'!S27+'Kwh Consumption'!T27)*' Kwh area wise $ '!B26</f>
        <v>0</v>
      </c>
      <c r="L26" s="1">
        <f>'Kwh Consumption'!U27*' Kwh area wise $ '!B26</f>
        <v>0</v>
      </c>
      <c r="M26" s="31">
        <f>'Kwh Consumption'!V27*' Kwh area wise $ '!B26</f>
        <v>0</v>
      </c>
    </row>
    <row r="27" spans="1:13" x14ac:dyDescent="0.25">
      <c r="A27" s="14">
        <f>'Kwh Reading'!A28</f>
        <v>44737</v>
      </c>
      <c r="B27" s="123">
        <f>TOTAL!F26</f>
        <v>0</v>
      </c>
      <c r="C27" s="11">
        <f>'Kwh Consumption'!B28*' Kwh area wise $ '!B27</f>
        <v>0</v>
      </c>
      <c r="D27" s="1">
        <f>'Kwh Consumption'!C28*' Kwh area wise $ '!B27</f>
        <v>0</v>
      </c>
      <c r="E27" s="1">
        <f>'Kwh Consumption'!D28*' Kwh area wise $ '!B27</f>
        <v>0</v>
      </c>
      <c r="F27" s="1">
        <f>'Kwh Consumption'!E28*' Kwh area wise $ '!B27</f>
        <v>0</v>
      </c>
      <c r="G27" s="1">
        <f>('Kwh Consumption'!F28+'Kwh Consumption'!G28+'Kwh Consumption'!H28)*' Kwh area wise $ '!B27</f>
        <v>0</v>
      </c>
      <c r="H27" s="16">
        <f>('Kwh Consumption'!I28+'Kwh Consumption'!J28)*' Kwh area wise $ '!B27</f>
        <v>0</v>
      </c>
      <c r="I27" s="1">
        <f>('Kwh Consumption'!K28+'Kwh Consumption'!L28)*' Kwh area wise $ '!B27</f>
        <v>0</v>
      </c>
      <c r="J27" s="1">
        <f>('Kwh Consumption'!M28+'Kwh Consumption'!N28+'Kwh Consumption'!O28+'Kwh Consumption'!P28+'Kwh Consumption'!Q28+'Kwh Consumption'!R28)*' Kwh area wise $ '!B27</f>
        <v>0</v>
      </c>
      <c r="K27" s="31">
        <f>('Kwh Consumption'!S28+'Kwh Consumption'!T28)*' Kwh area wise $ '!B27</f>
        <v>0</v>
      </c>
      <c r="L27" s="1">
        <f>'Kwh Consumption'!U28*' Kwh area wise $ '!B27</f>
        <v>0</v>
      </c>
      <c r="M27" s="31">
        <f>'Kwh Consumption'!V28*' Kwh area wise $ '!B27</f>
        <v>0</v>
      </c>
    </row>
    <row r="28" spans="1:13" x14ac:dyDescent="0.25">
      <c r="A28" s="14">
        <f>'Kwh Reading'!A29</f>
        <v>44738</v>
      </c>
      <c r="B28" s="123">
        <f>TOTAL!F27</f>
        <v>0</v>
      </c>
      <c r="C28" s="11">
        <f>'Kwh Consumption'!B29*' Kwh area wise $ '!B28</f>
        <v>0</v>
      </c>
      <c r="D28" s="1">
        <f>'Kwh Consumption'!C29*' Kwh area wise $ '!B28</f>
        <v>0</v>
      </c>
      <c r="E28" s="1">
        <f>'Kwh Consumption'!D29*' Kwh area wise $ '!B28</f>
        <v>0</v>
      </c>
      <c r="F28" s="1">
        <f>'Kwh Consumption'!E29*' Kwh area wise $ '!B28</f>
        <v>0</v>
      </c>
      <c r="G28" s="1">
        <f>('Kwh Consumption'!F29+'Kwh Consumption'!G29+'Kwh Consumption'!H29)*' Kwh area wise $ '!B28</f>
        <v>0</v>
      </c>
      <c r="H28" s="16">
        <f>('Kwh Consumption'!I29+'Kwh Consumption'!J29)*' Kwh area wise $ '!B28</f>
        <v>0</v>
      </c>
      <c r="I28" s="1">
        <f>('Kwh Consumption'!K29+'Kwh Consumption'!L29)*' Kwh area wise $ '!B28</f>
        <v>0</v>
      </c>
      <c r="J28" s="1">
        <f>('Kwh Consumption'!M29+'Kwh Consumption'!N29+'Kwh Consumption'!O29+'Kwh Consumption'!P29+'Kwh Consumption'!Q29+'Kwh Consumption'!R29)*' Kwh area wise $ '!B28</f>
        <v>0</v>
      </c>
      <c r="K28" s="31">
        <f>('Kwh Consumption'!S29+'Kwh Consumption'!T29)*' Kwh area wise $ '!B28</f>
        <v>0</v>
      </c>
      <c r="L28" s="1">
        <f>'Kwh Consumption'!U29*' Kwh area wise $ '!B28</f>
        <v>0</v>
      </c>
      <c r="M28" s="31">
        <f>'Kwh Consumption'!V29*' Kwh area wise $ '!B28</f>
        <v>0</v>
      </c>
    </row>
    <row r="29" spans="1:13" x14ac:dyDescent="0.25">
      <c r="A29" s="14">
        <f>'Kwh Reading'!A30</f>
        <v>44739</v>
      </c>
      <c r="B29" s="123">
        <f>TOTAL!F28</f>
        <v>0</v>
      </c>
      <c r="C29" s="11">
        <f>'Kwh Consumption'!B30*' Kwh area wise $ '!B29</f>
        <v>0</v>
      </c>
      <c r="D29" s="1">
        <f>'Kwh Consumption'!C30*' Kwh area wise $ '!B29</f>
        <v>0</v>
      </c>
      <c r="E29" s="1">
        <f>'Kwh Consumption'!D30*' Kwh area wise $ '!B29</f>
        <v>0</v>
      </c>
      <c r="F29" s="1">
        <f>'Kwh Consumption'!E30*' Kwh area wise $ '!B29</f>
        <v>0</v>
      </c>
      <c r="G29" s="1">
        <f>('Kwh Consumption'!F30+'Kwh Consumption'!G30+'Kwh Consumption'!H30)*' Kwh area wise $ '!B29</f>
        <v>0</v>
      </c>
      <c r="H29" s="16">
        <f>('Kwh Consumption'!I30+'Kwh Consumption'!J30)*' Kwh area wise $ '!B29</f>
        <v>0</v>
      </c>
      <c r="I29" s="1">
        <f>('Kwh Consumption'!K30+'Kwh Consumption'!L30)*' Kwh area wise $ '!B29</f>
        <v>0</v>
      </c>
      <c r="J29" s="1">
        <f>('Kwh Consumption'!M30+'Kwh Consumption'!N30+'Kwh Consumption'!O30+'Kwh Consumption'!P30+'Kwh Consumption'!Q30+'Kwh Consumption'!R30)*' Kwh area wise $ '!B29</f>
        <v>0</v>
      </c>
      <c r="K29" s="31">
        <f>('Kwh Consumption'!S30+'Kwh Consumption'!T30)*' Kwh area wise $ '!B29</f>
        <v>0</v>
      </c>
      <c r="L29" s="1">
        <f>'Kwh Consumption'!U30*' Kwh area wise $ '!B29</f>
        <v>0</v>
      </c>
      <c r="M29" s="31">
        <f>'Kwh Consumption'!V30*' Kwh area wise $ '!B29</f>
        <v>0</v>
      </c>
    </row>
    <row r="30" spans="1:13" x14ac:dyDescent="0.25">
      <c r="A30" s="14">
        <f>'Kwh Reading'!A31</f>
        <v>44740</v>
      </c>
      <c r="B30" s="123">
        <f>TOTAL!F29</f>
        <v>0</v>
      </c>
      <c r="C30" s="11">
        <f>'Kwh Consumption'!B31*' Kwh area wise $ '!B30</f>
        <v>0</v>
      </c>
      <c r="D30" s="1">
        <f>'Kwh Consumption'!C31*' Kwh area wise $ '!B30</f>
        <v>0</v>
      </c>
      <c r="E30" s="1">
        <f>'Kwh Consumption'!D31*' Kwh area wise $ '!B30</f>
        <v>0</v>
      </c>
      <c r="F30" s="1">
        <f>'Kwh Consumption'!E31*' Kwh area wise $ '!B30</f>
        <v>0</v>
      </c>
      <c r="G30" s="1">
        <f>('Kwh Consumption'!F31+'Kwh Consumption'!G31+'Kwh Consumption'!H31)*' Kwh area wise $ '!B30</f>
        <v>0</v>
      </c>
      <c r="H30" s="16">
        <f>('Kwh Consumption'!I31+'Kwh Consumption'!J31)*' Kwh area wise $ '!B30</f>
        <v>0</v>
      </c>
      <c r="I30" s="1">
        <f>('Kwh Consumption'!K31+'Kwh Consumption'!L31)*' Kwh area wise $ '!B30</f>
        <v>0</v>
      </c>
      <c r="J30" s="1">
        <f>('Kwh Consumption'!M31+'Kwh Consumption'!N31+'Kwh Consumption'!O31+'Kwh Consumption'!P31+'Kwh Consumption'!Q31+'Kwh Consumption'!R31)*' Kwh area wise $ '!B30</f>
        <v>0</v>
      </c>
      <c r="K30" s="31">
        <f>('Kwh Consumption'!S31+'Kwh Consumption'!T31)*' Kwh area wise $ '!B30</f>
        <v>0</v>
      </c>
      <c r="L30" s="1">
        <f>'Kwh Consumption'!U31*' Kwh area wise $ '!B30</f>
        <v>0</v>
      </c>
      <c r="M30" s="31">
        <f>'Kwh Consumption'!V31*' Kwh area wise $ '!B30</f>
        <v>0</v>
      </c>
    </row>
    <row r="31" spans="1:13" x14ac:dyDescent="0.25">
      <c r="A31" s="14">
        <f>'Kwh Reading'!A32</f>
        <v>44741</v>
      </c>
      <c r="B31" s="123">
        <f>TOTAL!F30</f>
        <v>0</v>
      </c>
      <c r="C31" s="11">
        <f>'Kwh Consumption'!B32*' Kwh area wise $ '!B31</f>
        <v>0</v>
      </c>
      <c r="D31" s="1">
        <f>'Kwh Consumption'!C32*' Kwh area wise $ '!B31</f>
        <v>0</v>
      </c>
      <c r="E31" s="1">
        <f>'Kwh Consumption'!D32*' Kwh area wise $ '!B31</f>
        <v>0</v>
      </c>
      <c r="F31" s="1">
        <f>'Kwh Consumption'!E32*' Kwh area wise $ '!B31</f>
        <v>0</v>
      </c>
      <c r="G31" s="1">
        <f>('Kwh Consumption'!F32+'Kwh Consumption'!G32+'Kwh Consumption'!H32)*' Kwh area wise $ '!B31</f>
        <v>0</v>
      </c>
      <c r="H31" s="16">
        <f>('Kwh Consumption'!I32+'Kwh Consumption'!J32)*' Kwh area wise $ '!B31</f>
        <v>0</v>
      </c>
      <c r="I31" s="1">
        <f>('Kwh Consumption'!K32+'Kwh Consumption'!L32)*' Kwh area wise $ '!B31</f>
        <v>0</v>
      </c>
      <c r="J31" s="1">
        <f>('Kwh Consumption'!M32+'Kwh Consumption'!N32+'Kwh Consumption'!O32+'Kwh Consumption'!P32+'Kwh Consumption'!Q32+'Kwh Consumption'!R32)*' Kwh area wise $ '!B31</f>
        <v>0</v>
      </c>
      <c r="K31" s="31">
        <f>('Kwh Consumption'!S32+'Kwh Consumption'!T32)*' Kwh area wise $ '!B31</f>
        <v>0</v>
      </c>
      <c r="L31" s="1">
        <f>'Kwh Consumption'!U32*' Kwh area wise $ '!B31</f>
        <v>0</v>
      </c>
      <c r="M31" s="31">
        <f>'Kwh Consumption'!V32*' Kwh area wise $ '!B31</f>
        <v>0</v>
      </c>
    </row>
    <row r="32" spans="1:13" x14ac:dyDescent="0.25">
      <c r="A32" s="14">
        <f>'Kwh Reading'!A33</f>
        <v>44742</v>
      </c>
      <c r="B32" s="123">
        <f>TOTAL!F31</f>
        <v>0</v>
      </c>
      <c r="C32" s="11">
        <f>'Kwh Consumption'!B33*' Kwh area wise $ '!B32</f>
        <v>0</v>
      </c>
      <c r="D32" s="1">
        <f>'Kwh Consumption'!C33*' Kwh area wise $ '!B32</f>
        <v>0</v>
      </c>
      <c r="E32" s="1">
        <f>'Kwh Consumption'!D33*' Kwh area wise $ '!B32</f>
        <v>0</v>
      </c>
      <c r="F32" s="1">
        <f>'Kwh Consumption'!E33*' Kwh area wise $ '!B32</f>
        <v>0</v>
      </c>
      <c r="G32" s="1">
        <f>('Kwh Consumption'!F33+'Kwh Consumption'!G33+'Kwh Consumption'!H33)*' Kwh area wise $ '!B32</f>
        <v>0</v>
      </c>
      <c r="H32" s="16">
        <f>('Kwh Consumption'!I33+'Kwh Consumption'!J33)*' Kwh area wise $ '!B32</f>
        <v>0</v>
      </c>
      <c r="I32" s="1">
        <f>('Kwh Consumption'!K33+'Kwh Consumption'!L33)*' Kwh area wise $ '!B32</f>
        <v>0</v>
      </c>
      <c r="J32" s="1">
        <f>('Kwh Consumption'!M33+'Kwh Consumption'!N33+'Kwh Consumption'!O33+'Kwh Consumption'!P33+'Kwh Consumption'!Q33+'Kwh Consumption'!R33)*' Kwh area wise $ '!B32</f>
        <v>0</v>
      </c>
      <c r="K32" s="31">
        <f>('Kwh Consumption'!S33+'Kwh Consumption'!T33)*' Kwh area wise $ '!B32</f>
        <v>0</v>
      </c>
      <c r="L32" s="1">
        <f>'Kwh Consumption'!U33*' Kwh area wise $ '!B32</f>
        <v>0</v>
      </c>
      <c r="M32" s="31">
        <f>'Kwh Consumption'!V33*' Kwh area wise $ '!B32</f>
        <v>0</v>
      </c>
    </row>
    <row r="33" spans="1:14" x14ac:dyDescent="0.25">
      <c r="A33" s="14">
        <f>'Kwh Reading'!A34</f>
        <v>44743</v>
      </c>
      <c r="B33" s="123">
        <f>TOTAL!F32</f>
        <v>0</v>
      </c>
      <c r="C33" s="11">
        <f>'Kwh Consumption'!B34*' Kwh area wise $ '!B33</f>
        <v>0</v>
      </c>
      <c r="D33" s="1">
        <f>'Kwh Consumption'!C34*' Kwh area wise $ '!B33</f>
        <v>0</v>
      </c>
      <c r="E33" s="1">
        <f>'Kwh Consumption'!D34*' Kwh area wise $ '!B33</f>
        <v>0</v>
      </c>
      <c r="F33" s="1">
        <f>'Kwh Consumption'!E34*' Kwh area wise $ '!B33</f>
        <v>0</v>
      </c>
      <c r="G33" s="1">
        <f>('Kwh Consumption'!F34+'Kwh Consumption'!G34+'Kwh Consumption'!H34)*' Kwh area wise $ '!B33</f>
        <v>0</v>
      </c>
      <c r="H33" s="16">
        <f>('Kwh Consumption'!I34+'Kwh Consumption'!J34)*' Kwh area wise $ '!B33</f>
        <v>0</v>
      </c>
      <c r="I33" s="1">
        <f>('Kwh Consumption'!K34+'Kwh Consumption'!L34)*' Kwh area wise $ '!B33</f>
        <v>0</v>
      </c>
      <c r="J33" s="1">
        <f>('Kwh Consumption'!M34+'Kwh Consumption'!N34+'Kwh Consumption'!O34+'Kwh Consumption'!P34+'Kwh Consumption'!Q34+'Kwh Consumption'!R34)*' Kwh area wise $ '!B33</f>
        <v>0</v>
      </c>
      <c r="K33" s="31">
        <f>('Kwh Consumption'!S34+'Kwh Consumption'!T34)*' Kwh area wise $ '!B33</f>
        <v>0</v>
      </c>
      <c r="L33" s="1">
        <f>'Kwh Consumption'!U34*' Kwh area wise $ '!B33</f>
        <v>0</v>
      </c>
      <c r="M33" s="31">
        <f>'Kwh Consumption'!V34*' Kwh area wise $ '!B33</f>
        <v>0</v>
      </c>
    </row>
    <row r="34" spans="1:14" ht="15.75" x14ac:dyDescent="0.25">
      <c r="A34" s="147" t="s">
        <v>51</v>
      </c>
      <c r="B34" s="147"/>
      <c r="C34" s="72">
        <f t="shared" ref="C34:L34" si="0">SUM(C3:C33)</f>
        <v>0</v>
      </c>
      <c r="D34" s="72">
        <f t="shared" si="0"/>
        <v>0</v>
      </c>
      <c r="E34" s="72">
        <f t="shared" si="0"/>
        <v>0</v>
      </c>
      <c r="F34" s="72">
        <f t="shared" si="0"/>
        <v>0</v>
      </c>
      <c r="G34" s="72">
        <f t="shared" si="0"/>
        <v>0</v>
      </c>
      <c r="H34" s="72">
        <f t="shared" si="0"/>
        <v>0</v>
      </c>
      <c r="I34" s="72">
        <f t="shared" si="0"/>
        <v>0</v>
      </c>
      <c r="J34" s="72">
        <f t="shared" si="0"/>
        <v>0</v>
      </c>
      <c r="K34" s="72">
        <f t="shared" si="0"/>
        <v>0</v>
      </c>
      <c r="L34" s="72">
        <f t="shared" si="0"/>
        <v>0</v>
      </c>
      <c r="M34" s="72">
        <f>SUM(M3:M33)</f>
        <v>0</v>
      </c>
      <c r="N34" s="81">
        <f>D34+E34+F34+G34+H34+I34+J34+K34+L34+M34</f>
        <v>0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7"/>
  <sheetViews>
    <sheetView zoomScale="89" zoomScaleNormal="89" workbookViewId="0">
      <pane xSplit="1" ySplit="2" topLeftCell="B3" activePane="bottomRight" state="frozen"/>
      <selection pane="topRight" activeCell="C25" sqref="C25"/>
      <selection pane="bottomLeft" activeCell="C25" sqref="C25"/>
      <selection pane="bottomRight" activeCell="B12" sqref="B12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21" ht="15.75" thickBot="1" x14ac:dyDescent="0.3">
      <c r="B1" s="47" t="s">
        <v>73</v>
      </c>
      <c r="C1" s="47" t="s">
        <v>74</v>
      </c>
      <c r="D1" s="47" t="s">
        <v>75</v>
      </c>
      <c r="E1" s="47" t="s">
        <v>76</v>
      </c>
      <c r="F1" s="47" t="s">
        <v>77</v>
      </c>
      <c r="G1" s="47" t="s">
        <v>78</v>
      </c>
      <c r="H1" s="47" t="s">
        <v>79</v>
      </c>
      <c r="I1" s="47" t="s">
        <v>80</v>
      </c>
      <c r="J1" s="47" t="s">
        <v>81</v>
      </c>
      <c r="K1" s="47" t="s">
        <v>82</v>
      </c>
      <c r="L1" s="47" t="s">
        <v>83</v>
      </c>
      <c r="M1" s="47" t="s">
        <v>84</v>
      </c>
      <c r="N1" s="47" t="s">
        <v>85</v>
      </c>
      <c r="O1" s="47" t="s">
        <v>86</v>
      </c>
      <c r="P1" s="47" t="s">
        <v>87</v>
      </c>
      <c r="Q1" s="47" t="s">
        <v>88</v>
      </c>
      <c r="R1" s="47" t="s">
        <v>89</v>
      </c>
    </row>
    <row r="2" spans="1:21" s="51" customFormat="1" ht="30.75" thickTop="1" x14ac:dyDescent="0.25">
      <c r="A2" s="48" t="s">
        <v>30</v>
      </c>
      <c r="B2" s="49" t="s">
        <v>90</v>
      </c>
      <c r="C2" s="49" t="s">
        <v>91</v>
      </c>
      <c r="D2" s="116" t="s">
        <v>92</v>
      </c>
      <c r="E2" s="116" t="s">
        <v>93</v>
      </c>
      <c r="F2" s="116" t="s">
        <v>94</v>
      </c>
      <c r="G2" s="116" t="s">
        <v>95</v>
      </c>
      <c r="H2" s="116" t="s">
        <v>96</v>
      </c>
      <c r="I2" s="116" t="s">
        <v>97</v>
      </c>
      <c r="J2" s="50" t="s">
        <v>98</v>
      </c>
      <c r="K2" s="50" t="s">
        <v>99</v>
      </c>
      <c r="L2" s="50" t="s">
        <v>100</v>
      </c>
      <c r="M2" s="50" t="s">
        <v>101</v>
      </c>
      <c r="N2" s="50" t="s">
        <v>102</v>
      </c>
      <c r="O2" s="50" t="s">
        <v>103</v>
      </c>
      <c r="P2" s="50" t="s">
        <v>104</v>
      </c>
      <c r="Q2" s="50" t="s">
        <v>105</v>
      </c>
      <c r="R2" s="50" t="s">
        <v>106</v>
      </c>
    </row>
    <row r="3" spans="1:21" x14ac:dyDescent="0.25">
      <c r="A3" s="52">
        <v>44713</v>
      </c>
      <c r="B3" s="32">
        <v>229814</v>
      </c>
      <c r="C3" s="32"/>
      <c r="D3" s="53">
        <v>268149</v>
      </c>
      <c r="E3" s="53">
        <v>270526</v>
      </c>
      <c r="F3" s="53">
        <v>67184</v>
      </c>
      <c r="G3" s="53">
        <v>119680</v>
      </c>
      <c r="H3" s="54">
        <v>62098</v>
      </c>
      <c r="I3" s="32">
        <v>75855</v>
      </c>
      <c r="J3" s="53">
        <v>22819</v>
      </c>
      <c r="K3" s="53">
        <v>1024</v>
      </c>
      <c r="L3" s="53">
        <v>18685</v>
      </c>
      <c r="M3" s="53">
        <v>27528</v>
      </c>
      <c r="N3" s="53">
        <v>8625</v>
      </c>
      <c r="O3" s="53">
        <v>2149</v>
      </c>
      <c r="P3" s="53">
        <v>31133</v>
      </c>
      <c r="Q3" s="53">
        <v>1702</v>
      </c>
      <c r="R3" s="53">
        <v>189</v>
      </c>
    </row>
    <row r="4" spans="1:21" x14ac:dyDescent="0.25">
      <c r="A4" s="52">
        <v>44714</v>
      </c>
      <c r="B4" s="32">
        <v>230000</v>
      </c>
      <c r="C4" s="32"/>
      <c r="D4" s="32">
        <v>268305</v>
      </c>
      <c r="E4" s="32">
        <v>270612</v>
      </c>
      <c r="F4" s="32">
        <v>67184</v>
      </c>
      <c r="G4" s="32">
        <v>119701</v>
      </c>
      <c r="H4" s="32">
        <v>62098</v>
      </c>
      <c r="I4" s="32">
        <v>75371</v>
      </c>
      <c r="J4" s="54">
        <v>22824</v>
      </c>
      <c r="K4" s="53">
        <v>1024</v>
      </c>
      <c r="L4" s="103">
        <v>18869</v>
      </c>
      <c r="M4" s="103">
        <v>27535</v>
      </c>
      <c r="N4" s="103">
        <v>8626</v>
      </c>
      <c r="O4" s="103">
        <v>2150</v>
      </c>
      <c r="P4" s="103">
        <v>31134</v>
      </c>
      <c r="Q4" s="103">
        <v>1710</v>
      </c>
      <c r="R4" s="103">
        <v>194</v>
      </c>
    </row>
    <row r="5" spans="1:21" x14ac:dyDescent="0.25">
      <c r="A5" s="52">
        <v>44715</v>
      </c>
      <c r="B5" s="32">
        <v>230159</v>
      </c>
      <c r="C5" s="32"/>
      <c r="D5" s="32">
        <v>268437</v>
      </c>
      <c r="E5" s="32">
        <v>270675</v>
      </c>
      <c r="F5" s="32">
        <v>67184</v>
      </c>
      <c r="G5" s="32">
        <v>119719</v>
      </c>
      <c r="H5" s="32">
        <v>62098</v>
      </c>
      <c r="I5" s="32">
        <v>75400</v>
      </c>
      <c r="J5" s="53">
        <v>22830</v>
      </c>
      <c r="K5" s="53">
        <v>1024</v>
      </c>
      <c r="L5" s="103">
        <v>18872</v>
      </c>
      <c r="M5" s="103">
        <v>27542</v>
      </c>
      <c r="N5" s="103">
        <v>8627</v>
      </c>
      <c r="O5" s="103">
        <v>2152</v>
      </c>
      <c r="P5" s="103">
        <v>31134</v>
      </c>
      <c r="Q5" s="103">
        <v>1712</v>
      </c>
      <c r="R5" s="103">
        <v>198</v>
      </c>
    </row>
    <row r="6" spans="1:21" x14ac:dyDescent="0.25">
      <c r="A6" s="52">
        <v>44716</v>
      </c>
      <c r="B6" s="32">
        <v>230320</v>
      </c>
      <c r="C6" s="32"/>
      <c r="D6" s="32">
        <v>268581</v>
      </c>
      <c r="E6" s="32">
        <v>270738</v>
      </c>
      <c r="F6" s="32">
        <v>67185</v>
      </c>
      <c r="G6" s="32">
        <v>119740</v>
      </c>
      <c r="H6" s="32">
        <v>62098</v>
      </c>
      <c r="I6" s="32">
        <v>75416</v>
      </c>
      <c r="J6" s="54">
        <v>22835</v>
      </c>
      <c r="K6" s="54">
        <v>1024</v>
      </c>
      <c r="L6" s="103">
        <v>18877</v>
      </c>
      <c r="M6" s="103">
        <v>27547</v>
      </c>
      <c r="N6" s="103">
        <v>8630</v>
      </c>
      <c r="O6" s="103">
        <v>2154</v>
      </c>
      <c r="P6" s="103">
        <v>31143</v>
      </c>
      <c r="Q6" s="103">
        <v>1714</v>
      </c>
      <c r="R6" s="103">
        <v>199</v>
      </c>
    </row>
    <row r="7" spans="1:21" x14ac:dyDescent="0.25">
      <c r="A7" s="52">
        <v>44717</v>
      </c>
      <c r="B7" s="54">
        <v>230509</v>
      </c>
      <c r="C7" s="32"/>
      <c r="D7" s="103">
        <v>268733</v>
      </c>
      <c r="E7" s="103">
        <v>270799</v>
      </c>
      <c r="F7" s="103">
        <v>67186</v>
      </c>
      <c r="G7" s="103">
        <v>119760</v>
      </c>
      <c r="H7" s="103">
        <v>62098</v>
      </c>
      <c r="I7" s="103">
        <v>75455</v>
      </c>
      <c r="J7" s="103">
        <v>22841</v>
      </c>
      <c r="K7" s="103">
        <v>1024</v>
      </c>
      <c r="L7" s="103">
        <v>18880</v>
      </c>
      <c r="M7" s="103">
        <v>27552</v>
      </c>
      <c r="N7" s="103">
        <v>8631</v>
      </c>
      <c r="O7" s="103">
        <v>2156</v>
      </c>
      <c r="P7" s="103">
        <v>31158</v>
      </c>
      <c r="Q7" s="103">
        <v>1718</v>
      </c>
      <c r="R7" s="103">
        <v>205</v>
      </c>
    </row>
    <row r="8" spans="1:21" x14ac:dyDescent="0.25">
      <c r="A8" s="52">
        <v>44718</v>
      </c>
      <c r="B8" s="54">
        <v>230660</v>
      </c>
      <c r="C8" s="32"/>
      <c r="D8" s="103">
        <v>268895</v>
      </c>
      <c r="E8" s="103">
        <v>270877</v>
      </c>
      <c r="F8" s="103">
        <v>67188</v>
      </c>
      <c r="G8" s="103">
        <v>119779</v>
      </c>
      <c r="H8" s="103">
        <v>62099</v>
      </c>
      <c r="I8" s="103">
        <v>75478</v>
      </c>
      <c r="J8" s="103">
        <v>22846</v>
      </c>
      <c r="K8" s="103">
        <v>1024</v>
      </c>
      <c r="L8" s="103">
        <v>18884</v>
      </c>
      <c r="M8" s="103">
        <v>27559</v>
      </c>
      <c r="N8" s="103">
        <v>8639</v>
      </c>
      <c r="O8" s="103">
        <v>2159</v>
      </c>
      <c r="P8" s="103">
        <v>31163</v>
      </c>
      <c r="Q8" s="103">
        <v>1719</v>
      </c>
      <c r="R8" s="103">
        <v>207</v>
      </c>
    </row>
    <row r="9" spans="1:21" x14ac:dyDescent="0.25">
      <c r="A9" s="52">
        <v>44719</v>
      </c>
      <c r="B9" s="54">
        <v>230822</v>
      </c>
      <c r="C9" s="32"/>
      <c r="D9" s="103">
        <v>269051</v>
      </c>
      <c r="E9" s="103">
        <v>270440</v>
      </c>
      <c r="F9" s="103">
        <v>67187</v>
      </c>
      <c r="G9" s="103">
        <v>119800</v>
      </c>
      <c r="H9" s="103">
        <v>62099</v>
      </c>
      <c r="I9" s="103">
        <v>75509</v>
      </c>
      <c r="J9" s="103">
        <v>22851</v>
      </c>
      <c r="K9" s="103">
        <v>1024</v>
      </c>
      <c r="L9" s="103">
        <v>18887</v>
      </c>
      <c r="M9" s="103">
        <v>27564</v>
      </c>
      <c r="N9" s="103">
        <v>8632</v>
      </c>
      <c r="O9" s="103">
        <v>2161</v>
      </c>
      <c r="P9" s="103">
        <v>31174</v>
      </c>
      <c r="Q9" s="103">
        <v>1720</v>
      </c>
      <c r="R9" s="103">
        <v>210</v>
      </c>
    </row>
    <row r="10" spans="1:21" x14ac:dyDescent="0.25">
      <c r="A10" s="52">
        <v>44720</v>
      </c>
      <c r="B10" s="32">
        <v>230962</v>
      </c>
      <c r="C10" s="54"/>
      <c r="D10" s="103">
        <v>269187</v>
      </c>
      <c r="E10" s="103">
        <v>271002</v>
      </c>
      <c r="F10" s="103">
        <v>67188</v>
      </c>
      <c r="G10" s="103">
        <v>119821</v>
      </c>
      <c r="H10" s="103">
        <v>62099</v>
      </c>
      <c r="I10" s="103">
        <v>75548</v>
      </c>
      <c r="J10" s="103">
        <v>22856</v>
      </c>
      <c r="K10" s="103">
        <v>1024</v>
      </c>
      <c r="L10" s="103">
        <v>18891</v>
      </c>
      <c r="M10" s="103">
        <v>27569</v>
      </c>
      <c r="N10" s="103">
        <v>8635</v>
      </c>
      <c r="O10" s="103">
        <v>2163</v>
      </c>
      <c r="P10" s="103">
        <v>31190</v>
      </c>
      <c r="Q10" s="103">
        <v>1724</v>
      </c>
      <c r="R10" s="103">
        <v>215</v>
      </c>
    </row>
    <row r="11" spans="1:21" x14ac:dyDescent="0.25">
      <c r="A11" s="52">
        <v>44721</v>
      </c>
      <c r="B11" s="54">
        <v>231094</v>
      </c>
      <c r="C11" s="32"/>
      <c r="D11" s="103">
        <v>262394</v>
      </c>
      <c r="E11" s="103">
        <v>271070</v>
      </c>
      <c r="F11" s="103">
        <v>67188</v>
      </c>
      <c r="G11" s="103">
        <v>119838</v>
      </c>
      <c r="H11" s="103">
        <v>62099</v>
      </c>
      <c r="I11" s="103">
        <v>75628</v>
      </c>
      <c r="J11" s="103">
        <v>22862</v>
      </c>
      <c r="K11" s="103">
        <v>1024</v>
      </c>
      <c r="L11" s="103">
        <v>18894</v>
      </c>
      <c r="M11" s="103">
        <v>27576</v>
      </c>
      <c r="N11" s="103">
        <v>8638</v>
      </c>
      <c r="O11" s="103">
        <v>2163</v>
      </c>
      <c r="P11" s="103">
        <v>31208</v>
      </c>
      <c r="Q11" s="103">
        <v>1727</v>
      </c>
      <c r="R11" s="103">
        <v>219</v>
      </c>
    </row>
    <row r="12" spans="1:21" x14ac:dyDescent="0.25">
      <c r="A12" s="52">
        <v>44722</v>
      </c>
      <c r="B12" s="32">
        <v>231217</v>
      </c>
      <c r="C12" s="54"/>
      <c r="D12" s="103">
        <v>269440</v>
      </c>
      <c r="E12" s="103">
        <v>271137</v>
      </c>
      <c r="F12" s="103">
        <v>67189</v>
      </c>
      <c r="G12" s="103">
        <v>119859</v>
      </c>
      <c r="H12" s="103">
        <v>62099</v>
      </c>
      <c r="I12" s="103">
        <v>75628</v>
      </c>
      <c r="J12" s="103">
        <v>22867</v>
      </c>
      <c r="K12" s="103">
        <v>1024</v>
      </c>
      <c r="L12" s="103">
        <v>18898</v>
      </c>
      <c r="M12" s="103">
        <v>27584</v>
      </c>
      <c r="N12" s="103">
        <v>8640</v>
      </c>
      <c r="O12" s="103">
        <v>2166</v>
      </c>
      <c r="P12" s="103">
        <v>31224</v>
      </c>
      <c r="Q12" s="103">
        <v>1728</v>
      </c>
      <c r="R12" s="103">
        <v>224</v>
      </c>
    </row>
    <row r="13" spans="1:21" x14ac:dyDescent="0.25">
      <c r="A13" s="52">
        <v>44723</v>
      </c>
      <c r="B13" s="54"/>
      <c r="C13" s="32"/>
      <c r="D13" s="103"/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</row>
    <row r="14" spans="1:21" x14ac:dyDescent="0.25">
      <c r="A14" s="52">
        <v>44724</v>
      </c>
      <c r="B14" s="32"/>
      <c r="C14" s="32"/>
      <c r="D14" s="103"/>
      <c r="E14" s="103"/>
      <c r="F14" s="103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</row>
    <row r="15" spans="1:21" x14ac:dyDescent="0.25">
      <c r="A15" s="52">
        <v>44725</v>
      </c>
      <c r="B15" s="32"/>
      <c r="C15" s="32"/>
      <c r="D15" s="103"/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103"/>
      <c r="T15" s="101"/>
      <c r="U15" s="101"/>
    </row>
    <row r="16" spans="1:21" x14ac:dyDescent="0.25">
      <c r="A16" s="52">
        <v>44726</v>
      </c>
      <c r="B16" s="32"/>
      <c r="C16" s="54"/>
      <c r="D16" s="103"/>
      <c r="E16" s="103"/>
      <c r="F16" s="103"/>
      <c r="G16" s="103"/>
      <c r="H16" s="103"/>
      <c r="I16" s="103"/>
      <c r="J16" s="103"/>
      <c r="K16" s="103"/>
      <c r="L16" s="103"/>
      <c r="M16" s="103"/>
      <c r="N16" s="103"/>
      <c r="O16" s="103"/>
      <c r="P16" s="103"/>
      <c r="Q16" s="103"/>
      <c r="R16" s="103"/>
    </row>
    <row r="17" spans="1:22" x14ac:dyDescent="0.25">
      <c r="A17" s="52">
        <v>44727</v>
      </c>
      <c r="B17" s="32"/>
      <c r="C17" s="32"/>
      <c r="D17" s="103"/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103"/>
    </row>
    <row r="18" spans="1:22" x14ac:dyDescent="0.25">
      <c r="A18" s="52">
        <v>44728</v>
      </c>
      <c r="B18" s="32"/>
      <c r="C18" s="54"/>
      <c r="D18" s="103"/>
      <c r="E18" s="103"/>
      <c r="F18" s="103"/>
      <c r="G18" s="103"/>
      <c r="H18" s="103"/>
      <c r="I18" s="103"/>
      <c r="J18" s="103"/>
      <c r="K18" s="103"/>
      <c r="L18" s="103"/>
      <c r="M18" s="103"/>
      <c r="N18" s="103"/>
      <c r="O18" s="103"/>
      <c r="P18" s="103"/>
      <c r="Q18" s="103"/>
      <c r="R18" s="103"/>
      <c r="U18" s="101"/>
    </row>
    <row r="19" spans="1:22" x14ac:dyDescent="0.25">
      <c r="A19" s="52">
        <v>44729</v>
      </c>
      <c r="B19" s="32"/>
      <c r="C19" s="32"/>
      <c r="D19" s="103"/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103"/>
    </row>
    <row r="20" spans="1:22" x14ac:dyDescent="0.25">
      <c r="A20" s="52">
        <v>44730</v>
      </c>
      <c r="B20" s="32"/>
      <c r="C20" s="54"/>
      <c r="D20" s="104"/>
      <c r="E20" s="103"/>
      <c r="F20" s="103"/>
      <c r="G20" s="103"/>
      <c r="H20" s="103"/>
      <c r="I20" s="103"/>
      <c r="J20" s="103"/>
      <c r="K20" s="103"/>
      <c r="L20" s="103"/>
      <c r="M20" s="103"/>
      <c r="N20" s="103"/>
      <c r="O20" s="103"/>
      <c r="P20" s="103"/>
      <c r="Q20" s="103"/>
      <c r="R20" s="103"/>
    </row>
    <row r="21" spans="1:22" x14ac:dyDescent="0.25">
      <c r="A21" s="52">
        <v>44731</v>
      </c>
      <c r="B21" s="32"/>
      <c r="C21" s="32"/>
      <c r="D21" s="103"/>
      <c r="E21" s="103"/>
      <c r="F21" s="103"/>
      <c r="G21" s="103"/>
      <c r="H21" s="103"/>
      <c r="I21" s="103"/>
      <c r="J21" s="103"/>
      <c r="K21" s="103"/>
      <c r="L21" s="103"/>
      <c r="M21" s="103"/>
      <c r="N21" s="103"/>
      <c r="O21" s="103"/>
      <c r="P21" s="103"/>
      <c r="Q21" s="103"/>
      <c r="R21" s="103"/>
    </row>
    <row r="22" spans="1:22" x14ac:dyDescent="0.25">
      <c r="A22" s="52">
        <v>44732</v>
      </c>
      <c r="B22" s="32"/>
      <c r="C22" s="54"/>
      <c r="D22" s="103"/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</row>
    <row r="23" spans="1:22" x14ac:dyDescent="0.25">
      <c r="A23" s="52">
        <v>44733</v>
      </c>
      <c r="B23" s="32"/>
      <c r="C23" s="32"/>
      <c r="D23" s="103"/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103"/>
      <c r="S23" s="10" t="s">
        <v>125</v>
      </c>
    </row>
    <row r="24" spans="1:22" x14ac:dyDescent="0.25">
      <c r="A24" s="52">
        <v>44734</v>
      </c>
      <c r="B24" s="32"/>
      <c r="C24" s="54"/>
      <c r="D24" s="103"/>
      <c r="E24" s="103"/>
      <c r="F24" s="103"/>
      <c r="G24" s="103"/>
      <c r="H24" s="103"/>
      <c r="I24" s="103"/>
      <c r="J24" s="103"/>
      <c r="K24" s="103"/>
      <c r="L24" s="103"/>
      <c r="M24" s="103"/>
      <c r="N24" s="103"/>
      <c r="O24" s="103"/>
      <c r="P24" s="103"/>
      <c r="Q24" s="103"/>
      <c r="R24" s="103"/>
      <c r="S24" s="10" t="s">
        <v>127</v>
      </c>
    </row>
    <row r="25" spans="1:22" x14ac:dyDescent="0.25">
      <c r="A25" s="52">
        <v>44735</v>
      </c>
      <c r="B25" s="32"/>
      <c r="C25" s="32"/>
      <c r="D25" s="103"/>
      <c r="E25" s="103"/>
      <c r="F25" s="103"/>
      <c r="G25" s="103"/>
      <c r="H25" s="103"/>
      <c r="I25" s="103"/>
      <c r="J25" s="103"/>
      <c r="K25" s="103"/>
      <c r="L25" s="103"/>
      <c r="M25" s="103"/>
      <c r="N25" s="103"/>
      <c r="O25" s="103"/>
      <c r="P25" s="103"/>
      <c r="Q25" s="103"/>
      <c r="R25" s="103"/>
    </row>
    <row r="26" spans="1:22" x14ac:dyDescent="0.25">
      <c r="A26" s="52">
        <v>44736</v>
      </c>
      <c r="B26" s="32"/>
      <c r="C26" s="54"/>
      <c r="D26" s="103"/>
      <c r="E26" s="103"/>
      <c r="F26" s="103"/>
      <c r="G26" s="103"/>
      <c r="H26" s="103"/>
      <c r="I26" s="103"/>
      <c r="J26" s="103"/>
      <c r="K26" s="103"/>
      <c r="L26" s="103"/>
      <c r="M26" s="103"/>
      <c r="N26" s="103"/>
      <c r="O26" s="103"/>
      <c r="P26" s="103"/>
      <c r="Q26" s="103"/>
      <c r="R26" s="103"/>
    </row>
    <row r="27" spans="1:22" x14ac:dyDescent="0.25">
      <c r="A27" s="52">
        <v>44737</v>
      </c>
      <c r="B27" s="32"/>
      <c r="C27" s="32"/>
      <c r="D27" s="103"/>
      <c r="E27" s="103"/>
      <c r="F27" s="103"/>
      <c r="G27" s="103"/>
      <c r="H27" s="103"/>
      <c r="I27" s="103"/>
      <c r="J27" s="103"/>
      <c r="K27" s="103"/>
      <c r="L27" s="103"/>
      <c r="M27" s="103"/>
      <c r="N27" s="103"/>
      <c r="O27" s="103"/>
      <c r="P27" s="103"/>
      <c r="Q27" s="103"/>
      <c r="R27" s="103"/>
    </row>
    <row r="28" spans="1:22" x14ac:dyDescent="0.25">
      <c r="A28" s="52">
        <v>44738</v>
      </c>
      <c r="B28" s="32"/>
      <c r="C28" s="54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</row>
    <row r="29" spans="1:22" x14ac:dyDescent="0.25">
      <c r="A29" s="52">
        <v>44739</v>
      </c>
      <c r="B29" s="32"/>
      <c r="C29" s="32"/>
      <c r="D29" s="103"/>
      <c r="E29" s="103"/>
      <c r="F29" s="103"/>
      <c r="G29" s="103"/>
      <c r="H29" s="103"/>
      <c r="I29" s="104"/>
      <c r="J29" s="103"/>
      <c r="K29" s="103"/>
      <c r="L29" s="103"/>
      <c r="M29" s="103"/>
      <c r="N29" s="103"/>
      <c r="O29" s="103"/>
      <c r="P29" s="103"/>
      <c r="Q29" s="103"/>
      <c r="R29" s="103"/>
    </row>
    <row r="30" spans="1:22" x14ac:dyDescent="0.25">
      <c r="A30" s="52">
        <v>44740</v>
      </c>
      <c r="B30" s="32"/>
      <c r="C30" s="54"/>
      <c r="D30" s="103"/>
      <c r="E30" s="103"/>
      <c r="F30" s="103"/>
      <c r="G30" s="103"/>
      <c r="H30" s="103"/>
      <c r="I30" s="103"/>
      <c r="J30" s="103"/>
      <c r="K30" s="103"/>
      <c r="L30" s="103"/>
      <c r="M30" s="103"/>
      <c r="N30" s="103"/>
      <c r="O30" s="103"/>
      <c r="P30" s="103"/>
      <c r="Q30" s="103"/>
      <c r="R30" s="103"/>
    </row>
    <row r="31" spans="1:22" x14ac:dyDescent="0.25">
      <c r="A31" s="52">
        <v>44741</v>
      </c>
      <c r="B31" s="32"/>
      <c r="C31" s="32"/>
      <c r="D31" s="53"/>
      <c r="F31" s="53"/>
      <c r="G31" s="53"/>
      <c r="H31" s="32"/>
      <c r="I31" s="53"/>
      <c r="K31" s="103"/>
      <c r="L31" s="53"/>
      <c r="M31" s="53"/>
      <c r="N31" s="53"/>
      <c r="O31" s="53"/>
      <c r="P31" s="53"/>
      <c r="Q31" s="53"/>
      <c r="R31" s="53"/>
      <c r="S31" s="55"/>
      <c r="T31" s="55"/>
      <c r="U31" s="55"/>
      <c r="V31" s="55"/>
    </row>
    <row r="32" spans="1:22" x14ac:dyDescent="0.25">
      <c r="A32" s="52">
        <v>44742</v>
      </c>
      <c r="B32" s="32"/>
      <c r="C32" s="54"/>
      <c r="D32" s="53"/>
      <c r="E32" s="53"/>
      <c r="F32" s="53"/>
      <c r="G32" s="53"/>
      <c r="H32" s="54"/>
      <c r="I32" s="32"/>
      <c r="J32" s="53"/>
      <c r="K32" s="103"/>
      <c r="L32" s="53"/>
      <c r="M32" s="53"/>
      <c r="N32" s="53"/>
      <c r="O32" s="53"/>
      <c r="P32" s="53"/>
      <c r="Q32" s="53"/>
      <c r="R32" s="53"/>
      <c r="S32" s="56"/>
      <c r="T32" s="55"/>
      <c r="U32" s="55"/>
      <c r="V32" s="55"/>
    </row>
    <row r="33" spans="1:22" x14ac:dyDescent="0.25">
      <c r="A33" s="52">
        <v>44743</v>
      </c>
      <c r="B33" s="32"/>
      <c r="C33" s="32"/>
      <c r="D33" s="53"/>
      <c r="E33" s="53"/>
      <c r="F33" s="53"/>
      <c r="G33" s="53"/>
      <c r="H33" s="54"/>
      <c r="I33" s="32"/>
      <c r="J33" s="53"/>
      <c r="K33" s="103"/>
      <c r="L33" s="53"/>
      <c r="M33" s="53"/>
      <c r="N33" s="53"/>
      <c r="O33" s="53"/>
      <c r="P33" s="53"/>
      <c r="Q33" s="53"/>
      <c r="R33" s="53"/>
      <c r="S33" s="56"/>
      <c r="T33" s="55"/>
      <c r="U33" s="55"/>
      <c r="V33" s="55"/>
    </row>
    <row r="34" spans="1:22" x14ac:dyDescent="0.25">
      <c r="A34" s="52"/>
      <c r="B34" s="32"/>
      <c r="C34" s="54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</row>
    <row r="37" spans="1:22" x14ac:dyDescent="0.25">
      <c r="B37" s="101"/>
      <c r="C37" s="101"/>
    </row>
  </sheetData>
  <pageMargins left="0.2" right="0.2" top="0.75" bottom="0.17" header="0.3" footer="0.3"/>
  <pageSetup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topLeftCell="E1" zoomScale="90" zoomScaleNormal="90" workbookViewId="0">
      <pane ySplit="3" topLeftCell="A4" activePane="bottomLeft" state="frozen"/>
      <selection activeCell="C25" sqref="C25"/>
      <selection pane="bottomLeft" activeCell="K4" sqref="K4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7" customFormat="1" ht="45" customHeight="1" thickTop="1" x14ac:dyDescent="0.25">
      <c r="A2" s="148" t="s">
        <v>30</v>
      </c>
      <c r="B2" s="149" t="s">
        <v>107</v>
      </c>
      <c r="C2" s="149" t="s">
        <v>108</v>
      </c>
      <c r="D2" s="149"/>
      <c r="E2" s="150" t="s">
        <v>96</v>
      </c>
      <c r="F2" s="151"/>
      <c r="G2" s="152" t="s">
        <v>111</v>
      </c>
      <c r="H2" s="151"/>
      <c r="I2" s="152" t="s">
        <v>109</v>
      </c>
      <c r="J2" s="151"/>
      <c r="K2" s="152" t="s">
        <v>110</v>
      </c>
      <c r="L2" s="151"/>
      <c r="M2" s="152" t="s">
        <v>106</v>
      </c>
      <c r="N2" s="151"/>
      <c r="O2" s="152" t="s">
        <v>105</v>
      </c>
      <c r="P2" s="151"/>
      <c r="Q2" s="152" t="s">
        <v>112</v>
      </c>
      <c r="R2" s="151"/>
      <c r="S2" s="152" t="s">
        <v>113</v>
      </c>
      <c r="T2" s="151"/>
      <c r="U2" s="152" t="s">
        <v>114</v>
      </c>
      <c r="V2" s="151"/>
      <c r="W2" s="152" t="s">
        <v>98</v>
      </c>
      <c r="X2" s="153"/>
      <c r="Y2" s="154" t="s">
        <v>51</v>
      </c>
      <c r="Z2" s="154"/>
    </row>
    <row r="3" spans="1:26" ht="30" x14ac:dyDescent="0.35">
      <c r="A3" s="148"/>
      <c r="B3" s="149"/>
      <c r="C3" s="58" t="s">
        <v>115</v>
      </c>
      <c r="D3" s="58" t="s">
        <v>116</v>
      </c>
      <c r="E3" s="71" t="s">
        <v>115</v>
      </c>
      <c r="F3" s="60" t="s">
        <v>117</v>
      </c>
      <c r="G3" s="59" t="s">
        <v>115</v>
      </c>
      <c r="H3" s="60" t="s">
        <v>117</v>
      </c>
      <c r="I3" s="59" t="s">
        <v>115</v>
      </c>
      <c r="J3" s="60" t="s">
        <v>117</v>
      </c>
      <c r="K3" s="59" t="s">
        <v>115</v>
      </c>
      <c r="L3" s="60" t="s">
        <v>117</v>
      </c>
      <c r="M3" s="59" t="s">
        <v>115</v>
      </c>
      <c r="N3" s="60" t="s">
        <v>117</v>
      </c>
      <c r="O3" s="59" t="s">
        <v>115</v>
      </c>
      <c r="P3" s="60" t="s">
        <v>117</v>
      </c>
      <c r="Q3" s="59" t="s">
        <v>115</v>
      </c>
      <c r="R3" s="60" t="s">
        <v>117</v>
      </c>
      <c r="S3" s="59" t="s">
        <v>115</v>
      </c>
      <c r="T3" s="60" t="s">
        <v>117</v>
      </c>
      <c r="U3" s="59" t="s">
        <v>115</v>
      </c>
      <c r="V3" s="60" t="s">
        <v>117</v>
      </c>
      <c r="W3" s="59" t="s">
        <v>115</v>
      </c>
      <c r="X3" s="61" t="s">
        <v>117</v>
      </c>
      <c r="Y3" s="62" t="s">
        <v>115</v>
      </c>
      <c r="Z3" s="62" t="s">
        <v>117</v>
      </c>
    </row>
    <row r="4" spans="1:26" x14ac:dyDescent="0.25">
      <c r="A4" s="8">
        <f>'Water Reading'!A3</f>
        <v>44713</v>
      </c>
      <c r="B4" s="63">
        <f>TOTAL!I2</f>
        <v>326</v>
      </c>
      <c r="C4" s="64">
        <f>('Water Reading'!B4-'Water Reading'!B3)+('Water Reading'!C4-'Water Reading'!C3)</f>
        <v>186</v>
      </c>
      <c r="D4" s="65">
        <f>C4/B4</f>
        <v>0.57055214723926384</v>
      </c>
      <c r="E4" s="83">
        <f>'Water Reading'!H4-'Water Reading'!H3</f>
        <v>0</v>
      </c>
      <c r="F4" s="84">
        <f>E4/C4</f>
        <v>0</v>
      </c>
      <c r="G4" s="88">
        <f>('Water Reading'!D4-'Water Reading'!D3)-('Water Reading'!R4-'Water Reading'!R3)-('Water Reading'!Q4-'Water Reading'!Q3)</f>
        <v>143</v>
      </c>
      <c r="H4" s="84">
        <f>G4/C4</f>
        <v>0.76881720430107525</v>
      </c>
      <c r="I4" s="85">
        <f>'Water Reading'!P4-'Water Reading'!P3</f>
        <v>1</v>
      </c>
      <c r="J4" s="66">
        <f>I4/C4</f>
        <v>5.3763440860215058E-3</v>
      </c>
      <c r="K4" s="86">
        <f>('Water Reading'!I4-'Water Reading'!I3)-('Water Reading'!P4-'Water Reading'!P3)</f>
        <v>-485</v>
      </c>
      <c r="L4" s="66">
        <f>K4/C4</f>
        <v>-2.60752688172043</v>
      </c>
      <c r="M4" s="85">
        <f>'Water Reading'!R4-'Water Reading'!R3</f>
        <v>5</v>
      </c>
      <c r="N4" s="87">
        <f>M4/C4</f>
        <v>2.6881720430107527E-2</v>
      </c>
      <c r="O4" s="85">
        <f>'Water Reading'!Q4-'Water Reading'!Q3</f>
        <v>8</v>
      </c>
      <c r="P4" s="92">
        <f>O4/C4</f>
        <v>4.3010752688172046E-2</v>
      </c>
      <c r="Q4" s="86">
        <f>'Water Reading'!F4-'Water Reading'!F3</f>
        <v>0</v>
      </c>
      <c r="R4" s="93">
        <f>Q4/C4</f>
        <v>0</v>
      </c>
      <c r="S4" s="85">
        <f>'Water Reading'!E4-'Water Reading'!E3</f>
        <v>86</v>
      </c>
      <c r="T4" s="93">
        <f>S4/C4</f>
        <v>0.46236559139784944</v>
      </c>
      <c r="U4" s="85">
        <f>'Water Reading'!G4-'Water Reading'!G3</f>
        <v>21</v>
      </c>
      <c r="V4" s="93">
        <f>U4/C4</f>
        <v>0.11290322580645161</v>
      </c>
      <c r="W4" s="86">
        <f>'Water Reading'!J4-'Water Reading'!J3</f>
        <v>5</v>
      </c>
      <c r="X4" s="93">
        <f>W4/C4</f>
        <v>2.6881720430107527E-2</v>
      </c>
      <c r="Y4" s="64">
        <f t="shared" ref="Y4:Y34" si="0">E4+I4+K4+M4+O4+G4+Q4+S4+U4+W4</f>
        <v>-216</v>
      </c>
      <c r="Z4" s="65">
        <f t="shared" ref="Z4:Z35" si="1">Y4/B4</f>
        <v>-0.66257668711656437</v>
      </c>
    </row>
    <row r="5" spans="1:26" x14ac:dyDescent="0.25">
      <c r="A5" s="8">
        <f>'Water Reading'!A4</f>
        <v>44714</v>
      </c>
      <c r="B5" s="63">
        <f>TOTAL!I3</f>
        <v>264</v>
      </c>
      <c r="C5" s="64">
        <f>('Water Reading'!B5-'Water Reading'!B4)+('Water Reading'!C5-'Water Reading'!C4)</f>
        <v>159</v>
      </c>
      <c r="D5" s="65">
        <f t="shared" ref="D5:D34" si="2">C5/B5</f>
        <v>0.60227272727272729</v>
      </c>
      <c r="E5" s="83">
        <f>'Water Reading'!H5-'Water Reading'!H4</f>
        <v>0</v>
      </c>
      <c r="F5" s="84">
        <f t="shared" ref="F5:F34" si="3">E5/C5</f>
        <v>0</v>
      </c>
      <c r="G5" s="88">
        <f>('Water Reading'!D5-'Water Reading'!D4)-('Water Reading'!R5-'Water Reading'!R4)-('Water Reading'!Q5-'Water Reading'!Q4)</f>
        <v>126</v>
      </c>
      <c r="H5" s="84">
        <f t="shared" ref="H5:H34" si="4">G5/C5</f>
        <v>0.79245283018867929</v>
      </c>
      <c r="I5" s="85">
        <f>'Water Reading'!P5-'Water Reading'!P4</f>
        <v>0</v>
      </c>
      <c r="J5" s="66">
        <f t="shared" ref="J5:J34" si="5">I5/C5</f>
        <v>0</v>
      </c>
      <c r="K5" s="86">
        <f>('Water Reading'!I5-'Water Reading'!I4)-('Water Reading'!P5-'Water Reading'!P4)</f>
        <v>29</v>
      </c>
      <c r="L5" s="66">
        <f t="shared" ref="L5:L34" si="6">K5/C5</f>
        <v>0.18238993710691823</v>
      </c>
      <c r="M5" s="85">
        <f>'Water Reading'!R5-'Water Reading'!R4</f>
        <v>4</v>
      </c>
      <c r="N5" s="87">
        <f t="shared" ref="N5:N34" si="7">M5/C5</f>
        <v>2.5157232704402517E-2</v>
      </c>
      <c r="O5" s="85">
        <f>'Water Reading'!Q5-'Water Reading'!Q4</f>
        <v>2</v>
      </c>
      <c r="P5" s="92">
        <f t="shared" ref="P5:P34" si="8">O5/C5</f>
        <v>1.2578616352201259E-2</v>
      </c>
      <c r="Q5" s="86">
        <f>'Water Reading'!F5-'Water Reading'!F4</f>
        <v>0</v>
      </c>
      <c r="R5" s="93">
        <f t="shared" ref="R5:R34" si="9">Q5/C5</f>
        <v>0</v>
      </c>
      <c r="S5" s="85">
        <f>'Water Reading'!E5-'Water Reading'!E4</f>
        <v>63</v>
      </c>
      <c r="T5" s="93">
        <f t="shared" ref="T5:T34" si="10">S5/C5</f>
        <v>0.39622641509433965</v>
      </c>
      <c r="U5" s="85">
        <f>'Water Reading'!G5-'Water Reading'!G4</f>
        <v>18</v>
      </c>
      <c r="V5" s="93">
        <f t="shared" ref="V5:V34" si="11">U5/C5</f>
        <v>0.11320754716981132</v>
      </c>
      <c r="W5" s="86">
        <f>'Water Reading'!J5-'Water Reading'!J4</f>
        <v>6</v>
      </c>
      <c r="X5" s="93">
        <f t="shared" ref="X5:X34" si="12">W5/C5</f>
        <v>3.7735849056603772E-2</v>
      </c>
      <c r="Y5" s="64">
        <f t="shared" si="0"/>
        <v>248</v>
      </c>
      <c r="Z5" s="65">
        <f t="shared" si="1"/>
        <v>0.93939393939393945</v>
      </c>
    </row>
    <row r="6" spans="1:26" x14ac:dyDescent="0.25">
      <c r="A6" s="8">
        <f>'Water Reading'!A5</f>
        <v>44715</v>
      </c>
      <c r="B6" s="63">
        <f>TOTAL!I4</f>
        <v>258</v>
      </c>
      <c r="C6" s="64">
        <f>('Water Reading'!B6-'Water Reading'!B5)+('Water Reading'!C6-'Water Reading'!C5)</f>
        <v>161</v>
      </c>
      <c r="D6" s="65">
        <f t="shared" si="2"/>
        <v>0.62403100775193798</v>
      </c>
      <c r="E6" s="83">
        <f>'Water Reading'!H6-'Water Reading'!H5</f>
        <v>0</v>
      </c>
      <c r="F6" s="84">
        <f t="shared" si="3"/>
        <v>0</v>
      </c>
      <c r="G6" s="88">
        <f>('Water Reading'!D6-'Water Reading'!D5)-('Water Reading'!R6-'Water Reading'!R5)-('Water Reading'!Q6-'Water Reading'!Q5)</f>
        <v>141</v>
      </c>
      <c r="H6" s="84">
        <f t="shared" si="4"/>
        <v>0.87577639751552794</v>
      </c>
      <c r="I6" s="85">
        <f>'Water Reading'!P6-'Water Reading'!P5</f>
        <v>9</v>
      </c>
      <c r="J6" s="66">
        <f t="shared" si="5"/>
        <v>5.5900621118012424E-2</v>
      </c>
      <c r="K6" s="86">
        <f>('Water Reading'!I6-'Water Reading'!I5)-('Water Reading'!P6-'Water Reading'!P5)</f>
        <v>7</v>
      </c>
      <c r="L6" s="66">
        <f t="shared" si="6"/>
        <v>4.3478260869565216E-2</v>
      </c>
      <c r="M6" s="85">
        <f>'Water Reading'!R6-'Water Reading'!R5</f>
        <v>1</v>
      </c>
      <c r="N6" s="87">
        <f t="shared" si="7"/>
        <v>6.2111801242236021E-3</v>
      </c>
      <c r="O6" s="85">
        <f>'Water Reading'!Q6-'Water Reading'!Q5</f>
        <v>2</v>
      </c>
      <c r="P6" s="92">
        <f t="shared" si="8"/>
        <v>1.2422360248447204E-2</v>
      </c>
      <c r="Q6" s="86">
        <f>'Water Reading'!F6-'Water Reading'!F5</f>
        <v>1</v>
      </c>
      <c r="R6" s="93">
        <f t="shared" si="9"/>
        <v>6.2111801242236021E-3</v>
      </c>
      <c r="S6" s="85">
        <f>'Water Reading'!E6-'Water Reading'!E5</f>
        <v>63</v>
      </c>
      <c r="T6" s="93">
        <f t="shared" si="10"/>
        <v>0.39130434782608697</v>
      </c>
      <c r="U6" s="85">
        <f>'Water Reading'!G6-'Water Reading'!G5</f>
        <v>21</v>
      </c>
      <c r="V6" s="93">
        <f t="shared" si="11"/>
        <v>0.13043478260869565</v>
      </c>
      <c r="W6" s="86">
        <f>'Water Reading'!J6-'Water Reading'!J5</f>
        <v>5</v>
      </c>
      <c r="X6" s="93">
        <f t="shared" si="12"/>
        <v>3.1055900621118012E-2</v>
      </c>
      <c r="Y6" s="64">
        <f t="shared" si="0"/>
        <v>250</v>
      </c>
      <c r="Z6" s="65">
        <f t="shared" si="1"/>
        <v>0.96899224806201545</v>
      </c>
    </row>
    <row r="7" spans="1:26" x14ac:dyDescent="0.25">
      <c r="A7" s="8">
        <f>'Water Reading'!A6</f>
        <v>44716</v>
      </c>
      <c r="B7" s="63">
        <f>TOTAL!I5</f>
        <v>295</v>
      </c>
      <c r="C7" s="64">
        <f>('Water Reading'!B7-'Water Reading'!B6)+('Water Reading'!C7-'Water Reading'!C6)</f>
        <v>189</v>
      </c>
      <c r="D7" s="65">
        <f t="shared" si="2"/>
        <v>0.64067796610169492</v>
      </c>
      <c r="E7" s="83">
        <f>'Water Reading'!H7-'Water Reading'!H6</f>
        <v>0</v>
      </c>
      <c r="F7" s="84">
        <f t="shared" si="3"/>
        <v>0</v>
      </c>
      <c r="G7" s="88">
        <f>('Water Reading'!D7-'Water Reading'!D6)-('Water Reading'!R7-'Water Reading'!R6)-('Water Reading'!Q7-'Water Reading'!Q6)</f>
        <v>142</v>
      </c>
      <c r="H7" s="84">
        <f t="shared" si="4"/>
        <v>0.75132275132275128</v>
      </c>
      <c r="I7" s="85">
        <f>'Water Reading'!P7-'Water Reading'!P6</f>
        <v>15</v>
      </c>
      <c r="J7" s="66">
        <f t="shared" si="5"/>
        <v>7.9365079365079361E-2</v>
      </c>
      <c r="K7" s="86">
        <f>('Water Reading'!I7-'Water Reading'!I6)-('Water Reading'!P7-'Water Reading'!P6)</f>
        <v>24</v>
      </c>
      <c r="L7" s="66">
        <f t="shared" si="6"/>
        <v>0.12698412698412698</v>
      </c>
      <c r="M7" s="85">
        <f>'Water Reading'!R7-'Water Reading'!R6</f>
        <v>6</v>
      </c>
      <c r="N7" s="87">
        <f t="shared" si="7"/>
        <v>3.1746031746031744E-2</v>
      </c>
      <c r="O7" s="85">
        <f>'Water Reading'!Q7-'Water Reading'!Q6</f>
        <v>4</v>
      </c>
      <c r="P7" s="92">
        <f t="shared" si="8"/>
        <v>2.1164021164021163E-2</v>
      </c>
      <c r="Q7" s="86">
        <f>'Water Reading'!F7-'Water Reading'!F6</f>
        <v>1</v>
      </c>
      <c r="R7" s="93">
        <f t="shared" si="9"/>
        <v>5.2910052910052907E-3</v>
      </c>
      <c r="S7" s="85">
        <f>'Water Reading'!E7-'Water Reading'!E6</f>
        <v>61</v>
      </c>
      <c r="T7" s="93">
        <f t="shared" si="10"/>
        <v>0.32275132275132273</v>
      </c>
      <c r="U7" s="85">
        <f>'Water Reading'!G7-'Water Reading'!G6</f>
        <v>20</v>
      </c>
      <c r="V7" s="93">
        <f t="shared" si="11"/>
        <v>0.10582010582010581</v>
      </c>
      <c r="W7" s="86">
        <f>'Water Reading'!J7-'Water Reading'!J6</f>
        <v>6</v>
      </c>
      <c r="X7" s="93">
        <f t="shared" si="12"/>
        <v>3.1746031746031744E-2</v>
      </c>
      <c r="Y7" s="64">
        <f t="shared" si="0"/>
        <v>279</v>
      </c>
      <c r="Z7" s="65">
        <f t="shared" si="1"/>
        <v>0.94576271186440675</v>
      </c>
    </row>
    <row r="8" spans="1:26" x14ac:dyDescent="0.25">
      <c r="A8" s="8">
        <f>'Water Reading'!A7</f>
        <v>44717</v>
      </c>
      <c r="B8" s="63">
        <f>TOTAL!I6</f>
        <v>291</v>
      </c>
      <c r="C8" s="64">
        <f>('Water Reading'!B8-'Water Reading'!B7)+('Water Reading'!C8-'Water Reading'!C7)</f>
        <v>151</v>
      </c>
      <c r="D8" s="65">
        <f t="shared" si="2"/>
        <v>0.51890034364261173</v>
      </c>
      <c r="E8" s="83">
        <f>'Water Reading'!H8-'Water Reading'!H7</f>
        <v>1</v>
      </c>
      <c r="F8" s="84">
        <f t="shared" si="3"/>
        <v>6.6225165562913907E-3</v>
      </c>
      <c r="G8" s="88">
        <f>('Water Reading'!D8-'Water Reading'!D7)-('Water Reading'!R8-'Water Reading'!R7)-('Water Reading'!Q8-'Water Reading'!Q7)</f>
        <v>159</v>
      </c>
      <c r="H8" s="84">
        <f t="shared" si="4"/>
        <v>1.0529801324503312</v>
      </c>
      <c r="I8" s="85">
        <f>'Water Reading'!P8-'Water Reading'!P7</f>
        <v>5</v>
      </c>
      <c r="J8" s="66">
        <f t="shared" si="5"/>
        <v>3.3112582781456956E-2</v>
      </c>
      <c r="K8" s="86">
        <f>('Water Reading'!I8-'Water Reading'!I7)-('Water Reading'!P8-'Water Reading'!P7)</f>
        <v>18</v>
      </c>
      <c r="L8" s="66">
        <f t="shared" si="6"/>
        <v>0.11920529801324503</v>
      </c>
      <c r="M8" s="85">
        <f>'Water Reading'!R8-'Water Reading'!R7</f>
        <v>2</v>
      </c>
      <c r="N8" s="87">
        <f t="shared" si="7"/>
        <v>1.3245033112582781E-2</v>
      </c>
      <c r="O8" s="85">
        <f>'Water Reading'!Q8-'Water Reading'!Q7</f>
        <v>1</v>
      </c>
      <c r="P8" s="92">
        <f t="shared" si="8"/>
        <v>6.6225165562913907E-3</v>
      </c>
      <c r="Q8" s="86">
        <f>'Water Reading'!F8-'Water Reading'!F7</f>
        <v>2</v>
      </c>
      <c r="R8" s="93">
        <f t="shared" si="9"/>
        <v>1.3245033112582781E-2</v>
      </c>
      <c r="S8" s="85">
        <f>'Water Reading'!E8-'Water Reading'!E7</f>
        <v>78</v>
      </c>
      <c r="T8" s="93">
        <f t="shared" si="10"/>
        <v>0.51655629139072845</v>
      </c>
      <c r="U8" s="85">
        <f>'Water Reading'!G8-'Water Reading'!G7</f>
        <v>19</v>
      </c>
      <c r="V8" s="93">
        <f t="shared" si="11"/>
        <v>0.12582781456953643</v>
      </c>
      <c r="W8" s="86">
        <f>'Water Reading'!J8-'Water Reading'!J7</f>
        <v>5</v>
      </c>
      <c r="X8" s="93">
        <f t="shared" si="12"/>
        <v>3.3112582781456956E-2</v>
      </c>
      <c r="Y8" s="64">
        <f t="shared" si="0"/>
        <v>290</v>
      </c>
      <c r="Z8" s="65">
        <f t="shared" si="1"/>
        <v>0.99656357388316152</v>
      </c>
    </row>
    <row r="9" spans="1:26" x14ac:dyDescent="0.25">
      <c r="A9" s="8">
        <f>'Water Reading'!A8</f>
        <v>44718</v>
      </c>
      <c r="B9" s="63">
        <f>TOTAL!I7</f>
        <v>318</v>
      </c>
      <c r="C9" s="64">
        <f>('Water Reading'!B9-'Water Reading'!B8)+('Water Reading'!C9-'Water Reading'!C8)</f>
        <v>162</v>
      </c>
      <c r="D9" s="65">
        <f t="shared" si="2"/>
        <v>0.50943396226415094</v>
      </c>
      <c r="E9" s="83">
        <f>'Water Reading'!H9-'Water Reading'!H8</f>
        <v>0</v>
      </c>
      <c r="F9" s="84">
        <f t="shared" si="3"/>
        <v>0</v>
      </c>
      <c r="G9" s="88">
        <f>('Water Reading'!D9-'Water Reading'!D8)-('Water Reading'!R9-'Water Reading'!R8)-('Water Reading'!Q9-'Water Reading'!Q8)</f>
        <v>152</v>
      </c>
      <c r="H9" s="84">
        <f t="shared" si="4"/>
        <v>0.93827160493827155</v>
      </c>
      <c r="I9" s="85">
        <f>'Water Reading'!P9-'Water Reading'!P8</f>
        <v>11</v>
      </c>
      <c r="J9" s="66">
        <f t="shared" si="5"/>
        <v>6.7901234567901231E-2</v>
      </c>
      <c r="K9" s="86">
        <f>('Water Reading'!I9-'Water Reading'!I8)-('Water Reading'!P9-'Water Reading'!P8)</f>
        <v>20</v>
      </c>
      <c r="L9" s="66">
        <f t="shared" si="6"/>
        <v>0.12345679012345678</v>
      </c>
      <c r="M9" s="85">
        <f>'Water Reading'!R9-'Water Reading'!R8</f>
        <v>3</v>
      </c>
      <c r="N9" s="87">
        <f t="shared" si="7"/>
        <v>1.8518518518518517E-2</v>
      </c>
      <c r="O9" s="85">
        <f>'Water Reading'!Q9-'Water Reading'!Q8</f>
        <v>1</v>
      </c>
      <c r="P9" s="92">
        <f t="shared" si="8"/>
        <v>6.1728395061728392E-3</v>
      </c>
      <c r="Q9" s="86">
        <f>'Water Reading'!F9-'Water Reading'!F8</f>
        <v>-1</v>
      </c>
      <c r="R9" s="93">
        <f t="shared" si="9"/>
        <v>-6.1728395061728392E-3</v>
      </c>
      <c r="S9" s="85">
        <f>'Water Reading'!E9-'Water Reading'!E8</f>
        <v>-437</v>
      </c>
      <c r="T9" s="93">
        <f t="shared" si="10"/>
        <v>-2.6975308641975309</v>
      </c>
      <c r="U9" s="85">
        <f>'Water Reading'!G9-'Water Reading'!G8</f>
        <v>21</v>
      </c>
      <c r="V9" s="93">
        <f t="shared" si="11"/>
        <v>0.12962962962962962</v>
      </c>
      <c r="W9" s="86">
        <f>'Water Reading'!J9-'Water Reading'!J8</f>
        <v>5</v>
      </c>
      <c r="X9" s="93">
        <f t="shared" si="12"/>
        <v>3.0864197530864196E-2</v>
      </c>
      <c r="Y9" s="64">
        <f t="shared" si="0"/>
        <v>-225</v>
      </c>
      <c r="Z9" s="65">
        <f t="shared" si="1"/>
        <v>-0.70754716981132071</v>
      </c>
    </row>
    <row r="10" spans="1:26" x14ac:dyDescent="0.25">
      <c r="A10" s="8">
        <f>'Water Reading'!A9</f>
        <v>44719</v>
      </c>
      <c r="B10" s="63">
        <f>TOTAL!I8</f>
        <v>403</v>
      </c>
      <c r="C10" s="64">
        <f>('Water Reading'!B10-'Water Reading'!B9)+('Water Reading'!C10-'Water Reading'!C9)</f>
        <v>140</v>
      </c>
      <c r="D10" s="65">
        <f t="shared" si="2"/>
        <v>0.34739454094292804</v>
      </c>
      <c r="E10" s="83">
        <f>'Water Reading'!H10-'Water Reading'!H9</f>
        <v>0</v>
      </c>
      <c r="F10" s="84">
        <f t="shared" si="3"/>
        <v>0</v>
      </c>
      <c r="G10" s="88">
        <f>('Water Reading'!D10-'Water Reading'!D9)-('Water Reading'!R10-'Water Reading'!R9)-('Water Reading'!Q10-'Water Reading'!Q9)</f>
        <v>127</v>
      </c>
      <c r="H10" s="84">
        <f t="shared" si="4"/>
        <v>0.90714285714285714</v>
      </c>
      <c r="I10" s="85">
        <f>'Water Reading'!P10-'Water Reading'!P9</f>
        <v>16</v>
      </c>
      <c r="J10" s="66">
        <f t="shared" si="5"/>
        <v>0.11428571428571428</v>
      </c>
      <c r="K10" s="86">
        <f>('Water Reading'!I10-'Water Reading'!I9)-('Water Reading'!P10-'Water Reading'!P9)</f>
        <v>23</v>
      </c>
      <c r="L10" s="66">
        <f t="shared" si="6"/>
        <v>0.16428571428571428</v>
      </c>
      <c r="M10" s="85">
        <f>'Water Reading'!R10-'Water Reading'!R9</f>
        <v>5</v>
      </c>
      <c r="N10" s="87">
        <f t="shared" si="7"/>
        <v>3.5714285714285712E-2</v>
      </c>
      <c r="O10" s="85">
        <f>'Water Reading'!Q10-'Water Reading'!Q9</f>
        <v>4</v>
      </c>
      <c r="P10" s="92">
        <f t="shared" si="8"/>
        <v>2.8571428571428571E-2</v>
      </c>
      <c r="Q10" s="86">
        <f>'Water Reading'!F10-'Water Reading'!F9</f>
        <v>1</v>
      </c>
      <c r="R10" s="93">
        <f t="shared" si="9"/>
        <v>7.1428571428571426E-3</v>
      </c>
      <c r="S10" s="85">
        <f>'Water Reading'!E10-'Water Reading'!E9</f>
        <v>562</v>
      </c>
      <c r="T10" s="93">
        <f t="shared" si="10"/>
        <v>4.0142857142857142</v>
      </c>
      <c r="U10" s="85">
        <f>'Water Reading'!G10-'Water Reading'!G9</f>
        <v>21</v>
      </c>
      <c r="V10" s="93">
        <f t="shared" si="11"/>
        <v>0.15</v>
      </c>
      <c r="W10" s="86">
        <f>'Water Reading'!J10-'Water Reading'!J9</f>
        <v>5</v>
      </c>
      <c r="X10" s="93">
        <f t="shared" si="12"/>
        <v>3.5714285714285712E-2</v>
      </c>
      <c r="Y10" s="64">
        <f t="shared" si="0"/>
        <v>764</v>
      </c>
      <c r="Z10" s="65">
        <f t="shared" si="1"/>
        <v>1.8957816377171215</v>
      </c>
    </row>
    <row r="11" spans="1:26" x14ac:dyDescent="0.25">
      <c r="A11" s="8">
        <f>'Water Reading'!A10</f>
        <v>44720</v>
      </c>
      <c r="B11" s="63">
        <f>TOTAL!I9</f>
        <v>0</v>
      </c>
      <c r="C11" s="64">
        <f>('Water Reading'!B11-'Water Reading'!B10)+('Water Reading'!C11-'Water Reading'!C10)</f>
        <v>132</v>
      </c>
      <c r="D11" s="65" t="e">
        <f t="shared" si="2"/>
        <v>#DIV/0!</v>
      </c>
      <c r="E11" s="83">
        <f>'Water Reading'!H11-'Water Reading'!H10</f>
        <v>0</v>
      </c>
      <c r="F11" s="84">
        <f t="shared" si="3"/>
        <v>0</v>
      </c>
      <c r="G11" s="88">
        <f>('Water Reading'!D11-'Water Reading'!D10)-('Water Reading'!R11-'Water Reading'!R10)-('Water Reading'!Q11-'Water Reading'!Q10)</f>
        <v>-6800</v>
      </c>
      <c r="H11" s="84">
        <f t="shared" si="4"/>
        <v>-51.515151515151516</v>
      </c>
      <c r="I11" s="85">
        <f>'Water Reading'!P11-'Water Reading'!P10</f>
        <v>18</v>
      </c>
      <c r="J11" s="66">
        <f t="shared" si="5"/>
        <v>0.13636363636363635</v>
      </c>
      <c r="K11" s="86">
        <f>('Water Reading'!I11-'Water Reading'!I10)-('Water Reading'!P11-'Water Reading'!P10)</f>
        <v>62</v>
      </c>
      <c r="L11" s="66">
        <f t="shared" si="6"/>
        <v>0.46969696969696972</v>
      </c>
      <c r="M11" s="85">
        <f>'Water Reading'!R11-'Water Reading'!R10</f>
        <v>4</v>
      </c>
      <c r="N11" s="87">
        <f t="shared" si="7"/>
        <v>3.0303030303030304E-2</v>
      </c>
      <c r="O11" s="85">
        <f>'Water Reading'!Q11-'Water Reading'!Q10</f>
        <v>3</v>
      </c>
      <c r="P11" s="92">
        <f t="shared" si="8"/>
        <v>2.2727272727272728E-2</v>
      </c>
      <c r="Q11" s="86">
        <f>'Water Reading'!F11-'Water Reading'!F10</f>
        <v>0</v>
      </c>
      <c r="R11" s="93">
        <f t="shared" si="9"/>
        <v>0</v>
      </c>
      <c r="S11" s="85">
        <f>'Water Reading'!E11-'Water Reading'!E10</f>
        <v>68</v>
      </c>
      <c r="T11" s="93">
        <f t="shared" si="10"/>
        <v>0.51515151515151514</v>
      </c>
      <c r="U11" s="85">
        <f>'Water Reading'!G11-'Water Reading'!G10</f>
        <v>17</v>
      </c>
      <c r="V11" s="93">
        <f t="shared" si="11"/>
        <v>0.12878787878787878</v>
      </c>
      <c r="W11" s="86">
        <f>'Water Reading'!J11-'Water Reading'!J10</f>
        <v>6</v>
      </c>
      <c r="X11" s="93">
        <f t="shared" si="12"/>
        <v>4.5454545454545456E-2</v>
      </c>
      <c r="Y11" s="64">
        <f t="shared" si="0"/>
        <v>-6622</v>
      </c>
      <c r="Z11" s="65" t="e">
        <f t="shared" si="1"/>
        <v>#DIV/0!</v>
      </c>
    </row>
    <row r="12" spans="1:26" x14ac:dyDescent="0.25">
      <c r="A12" s="8">
        <f>'Water Reading'!A11</f>
        <v>44721</v>
      </c>
      <c r="B12" s="63">
        <f>TOTAL!I10</f>
        <v>0</v>
      </c>
      <c r="C12" s="64">
        <f>('Water Reading'!B12-'Water Reading'!B11)+('Water Reading'!C12-'Water Reading'!C11)</f>
        <v>123</v>
      </c>
      <c r="D12" s="65" t="e">
        <f t="shared" si="2"/>
        <v>#DIV/0!</v>
      </c>
      <c r="E12" s="83">
        <f>'Water Reading'!H12-'Water Reading'!H11</f>
        <v>0</v>
      </c>
      <c r="F12" s="84">
        <f t="shared" si="3"/>
        <v>0</v>
      </c>
      <c r="G12" s="88">
        <f>('Water Reading'!D12-'Water Reading'!D11)-('Water Reading'!R12-'Water Reading'!R11)-('Water Reading'!Q12-'Water Reading'!Q11)</f>
        <v>7040</v>
      </c>
      <c r="H12" s="84">
        <f t="shared" si="4"/>
        <v>57.235772357723576</v>
      </c>
      <c r="I12" s="85">
        <f>'Water Reading'!P12-'Water Reading'!P11</f>
        <v>16</v>
      </c>
      <c r="J12" s="66">
        <f t="shared" si="5"/>
        <v>0.13008130081300814</v>
      </c>
      <c r="K12" s="86">
        <f>('Water Reading'!I12-'Water Reading'!I11)-('Water Reading'!P12-'Water Reading'!P11)</f>
        <v>-16</v>
      </c>
      <c r="L12" s="66">
        <f t="shared" si="6"/>
        <v>-0.13008130081300814</v>
      </c>
      <c r="M12" s="85">
        <f>'Water Reading'!R12-'Water Reading'!R11</f>
        <v>5</v>
      </c>
      <c r="N12" s="87">
        <f t="shared" si="7"/>
        <v>4.065040650406504E-2</v>
      </c>
      <c r="O12" s="85">
        <f>'Water Reading'!Q12-'Water Reading'!Q11</f>
        <v>1</v>
      </c>
      <c r="P12" s="92">
        <f t="shared" si="8"/>
        <v>8.130081300813009E-3</v>
      </c>
      <c r="Q12" s="86">
        <f>'Water Reading'!F12-'Water Reading'!F11</f>
        <v>1</v>
      </c>
      <c r="R12" s="93">
        <f t="shared" si="9"/>
        <v>8.130081300813009E-3</v>
      </c>
      <c r="S12" s="85">
        <f>'Water Reading'!E12-'Water Reading'!E11</f>
        <v>67</v>
      </c>
      <c r="T12" s="93">
        <f t="shared" si="10"/>
        <v>0.54471544715447151</v>
      </c>
      <c r="U12" s="85">
        <f>'Water Reading'!G12-'Water Reading'!G11</f>
        <v>21</v>
      </c>
      <c r="V12" s="93">
        <f t="shared" si="11"/>
        <v>0.17073170731707318</v>
      </c>
      <c r="W12" s="86">
        <f>'Water Reading'!J12-'Water Reading'!J11</f>
        <v>5</v>
      </c>
      <c r="X12" s="93">
        <f t="shared" si="12"/>
        <v>4.065040650406504E-2</v>
      </c>
      <c r="Y12" s="64">
        <f t="shared" si="0"/>
        <v>7140</v>
      </c>
      <c r="Z12" s="65" t="e">
        <f t="shared" si="1"/>
        <v>#DIV/0!</v>
      </c>
    </row>
    <row r="13" spans="1:26" x14ac:dyDescent="0.25">
      <c r="A13" s="8">
        <f>'Water Reading'!A12</f>
        <v>44722</v>
      </c>
      <c r="B13" s="63">
        <f>TOTAL!I11</f>
        <v>0</v>
      </c>
      <c r="C13" s="64">
        <f>('Water Reading'!B13-'Water Reading'!B12)+('Water Reading'!C13-'Water Reading'!C12)</f>
        <v>-231217</v>
      </c>
      <c r="D13" s="65" t="e">
        <f t="shared" si="2"/>
        <v>#DIV/0!</v>
      </c>
      <c r="E13" s="83">
        <f>'Water Reading'!H13-'Water Reading'!H12</f>
        <v>-62099</v>
      </c>
      <c r="F13" s="84">
        <f t="shared" si="3"/>
        <v>0.26857454252931229</v>
      </c>
      <c r="G13" s="88">
        <f>('Water Reading'!D13-'Water Reading'!D12)-('Water Reading'!R13-'Water Reading'!R12)-('Water Reading'!Q13-'Water Reading'!Q12)</f>
        <v>-267488</v>
      </c>
      <c r="H13" s="84">
        <f t="shared" si="4"/>
        <v>1.1568699533338811</v>
      </c>
      <c r="I13" s="85">
        <f>'Water Reading'!P13-'Water Reading'!P12</f>
        <v>-31224</v>
      </c>
      <c r="J13" s="66">
        <f t="shared" si="5"/>
        <v>0.13504197355730763</v>
      </c>
      <c r="K13" s="86">
        <f>('Water Reading'!I13-'Water Reading'!I12)-('Water Reading'!P13-'Water Reading'!P12)</f>
        <v>-44404</v>
      </c>
      <c r="L13" s="66">
        <f t="shared" si="6"/>
        <v>0.19204470259539741</v>
      </c>
      <c r="M13" s="85">
        <f>'Water Reading'!R13-'Water Reading'!R12</f>
        <v>-224</v>
      </c>
      <c r="N13" s="87">
        <f t="shared" si="7"/>
        <v>9.6878689715721594E-4</v>
      </c>
      <c r="O13" s="85">
        <f>'Water Reading'!Q13-'Water Reading'!Q12</f>
        <v>-1728</v>
      </c>
      <c r="P13" s="92">
        <f t="shared" si="8"/>
        <v>7.4734989209270944E-3</v>
      </c>
      <c r="Q13" s="86">
        <f>'Water Reading'!F13-'Water Reading'!F12</f>
        <v>-67189</v>
      </c>
      <c r="R13" s="93">
        <f t="shared" si="9"/>
        <v>0.29058849479060794</v>
      </c>
      <c r="S13" s="85">
        <f>'Water Reading'!E13-'Water Reading'!E12</f>
        <v>-271137</v>
      </c>
      <c r="T13" s="93">
        <f t="shared" si="10"/>
        <v>1.1726516648862324</v>
      </c>
      <c r="U13" s="85">
        <f>'Water Reading'!G13-'Water Reading'!G12</f>
        <v>-119859</v>
      </c>
      <c r="V13" s="93">
        <f t="shared" si="11"/>
        <v>0.51838316386770866</v>
      </c>
      <c r="W13" s="86">
        <f>'Water Reading'!J13-'Water Reading'!J12</f>
        <v>-22867</v>
      </c>
      <c r="X13" s="93">
        <f t="shared" si="12"/>
        <v>9.8898437398634187E-2</v>
      </c>
      <c r="Y13" s="64">
        <f t="shared" si="0"/>
        <v>-888219</v>
      </c>
      <c r="Z13" s="65" t="e">
        <f t="shared" si="1"/>
        <v>#DIV/0!</v>
      </c>
    </row>
    <row r="14" spans="1:26" x14ac:dyDescent="0.25">
      <c r="A14" s="8">
        <f>'Water Reading'!A13</f>
        <v>44723</v>
      </c>
      <c r="B14" s="63">
        <f>TOTAL!I12</f>
        <v>0</v>
      </c>
      <c r="C14" s="64">
        <f>('Water Reading'!B14-'Water Reading'!B13)+('Water Reading'!C14-'Water Reading'!C13)</f>
        <v>0</v>
      </c>
      <c r="D14" s="65" t="e">
        <f t="shared" si="2"/>
        <v>#DIV/0!</v>
      </c>
      <c r="E14" s="83">
        <f>'Water Reading'!H14-'Water Reading'!H13</f>
        <v>0</v>
      </c>
      <c r="F14" s="84" t="e">
        <f t="shared" si="3"/>
        <v>#DIV/0!</v>
      </c>
      <c r="G14" s="88">
        <f>('Water Reading'!D14-'Water Reading'!D13)-('Water Reading'!R14-'Water Reading'!R13)-('Water Reading'!Q14-'Water Reading'!Q13)</f>
        <v>0</v>
      </c>
      <c r="H14" s="84" t="e">
        <f t="shared" si="4"/>
        <v>#DIV/0!</v>
      </c>
      <c r="I14" s="85">
        <f>'Water Reading'!P14-'Water Reading'!P13</f>
        <v>0</v>
      </c>
      <c r="J14" s="66" t="e">
        <f t="shared" si="5"/>
        <v>#DIV/0!</v>
      </c>
      <c r="K14" s="86">
        <f>('Water Reading'!I14-'Water Reading'!I13)-('Water Reading'!P14-'Water Reading'!P13)</f>
        <v>0</v>
      </c>
      <c r="L14" s="66" t="e">
        <f t="shared" si="6"/>
        <v>#DIV/0!</v>
      </c>
      <c r="M14" s="85">
        <f>'Water Reading'!R14-'Water Reading'!R13</f>
        <v>0</v>
      </c>
      <c r="N14" s="87" t="e">
        <f t="shared" si="7"/>
        <v>#DIV/0!</v>
      </c>
      <c r="O14" s="85">
        <f>'Water Reading'!Q14-'Water Reading'!Q13</f>
        <v>0</v>
      </c>
      <c r="P14" s="92" t="e">
        <f t="shared" si="8"/>
        <v>#DIV/0!</v>
      </c>
      <c r="Q14" s="86">
        <f>'Water Reading'!F14-'Water Reading'!F13</f>
        <v>0</v>
      </c>
      <c r="R14" s="93" t="e">
        <f t="shared" si="9"/>
        <v>#DIV/0!</v>
      </c>
      <c r="S14" s="85">
        <f>'Water Reading'!E14-'Water Reading'!E13</f>
        <v>0</v>
      </c>
      <c r="T14" s="93" t="e">
        <f t="shared" si="10"/>
        <v>#DIV/0!</v>
      </c>
      <c r="U14" s="85">
        <f>'Water Reading'!G14-'Water Reading'!G13</f>
        <v>0</v>
      </c>
      <c r="V14" s="93" t="e">
        <f t="shared" si="11"/>
        <v>#DIV/0!</v>
      </c>
      <c r="W14" s="86">
        <f>'Water Reading'!J14-'Water Reading'!J13</f>
        <v>0</v>
      </c>
      <c r="X14" s="93" t="e">
        <f t="shared" si="12"/>
        <v>#DIV/0!</v>
      </c>
      <c r="Y14" s="64">
        <f t="shared" si="0"/>
        <v>0</v>
      </c>
      <c r="Z14" s="65" t="e">
        <f t="shared" si="1"/>
        <v>#DIV/0!</v>
      </c>
    </row>
    <row r="15" spans="1:26" x14ac:dyDescent="0.25">
      <c r="A15" s="8">
        <f>'Water Reading'!A14</f>
        <v>44724</v>
      </c>
      <c r="B15" s="63">
        <f>TOTAL!I13</f>
        <v>0</v>
      </c>
      <c r="C15" s="64">
        <f>('Water Reading'!B15-'Water Reading'!B14)+('Water Reading'!C15-'Water Reading'!C14)</f>
        <v>0</v>
      </c>
      <c r="D15" s="65" t="e">
        <f t="shared" si="2"/>
        <v>#DIV/0!</v>
      </c>
      <c r="E15" s="83">
        <f>'Water Reading'!H15-'Water Reading'!H14</f>
        <v>0</v>
      </c>
      <c r="F15" s="84" t="e">
        <f t="shared" si="3"/>
        <v>#DIV/0!</v>
      </c>
      <c r="G15" s="88">
        <f>('Water Reading'!D15-'Water Reading'!D14)-('Water Reading'!R15-'Water Reading'!R14)-('Water Reading'!Q15-'Water Reading'!Q14)</f>
        <v>0</v>
      </c>
      <c r="H15" s="84" t="e">
        <f t="shared" si="4"/>
        <v>#DIV/0!</v>
      </c>
      <c r="I15" s="85">
        <f>'Water Reading'!P15-'Water Reading'!P14</f>
        <v>0</v>
      </c>
      <c r="J15" s="66" t="e">
        <f t="shared" si="5"/>
        <v>#DIV/0!</v>
      </c>
      <c r="K15" s="86">
        <f>('Water Reading'!I15-'Water Reading'!I14)-('Water Reading'!P15-'Water Reading'!P14)</f>
        <v>0</v>
      </c>
      <c r="L15" s="66" t="e">
        <f t="shared" si="6"/>
        <v>#DIV/0!</v>
      </c>
      <c r="M15" s="85">
        <f>'Water Reading'!R15-'Water Reading'!R14</f>
        <v>0</v>
      </c>
      <c r="N15" s="87" t="e">
        <f t="shared" si="7"/>
        <v>#DIV/0!</v>
      </c>
      <c r="O15" s="85">
        <f>'Water Reading'!Q15-'Water Reading'!Q14</f>
        <v>0</v>
      </c>
      <c r="P15" s="92" t="e">
        <f t="shared" si="8"/>
        <v>#DIV/0!</v>
      </c>
      <c r="Q15" s="86">
        <f>'Water Reading'!F15-'Water Reading'!F14</f>
        <v>0</v>
      </c>
      <c r="R15" s="93" t="e">
        <f t="shared" si="9"/>
        <v>#DIV/0!</v>
      </c>
      <c r="S15" s="85">
        <f>'Water Reading'!E15-'Water Reading'!E14</f>
        <v>0</v>
      </c>
      <c r="T15" s="93" t="e">
        <f t="shared" si="10"/>
        <v>#DIV/0!</v>
      </c>
      <c r="U15" s="85">
        <f>'Water Reading'!G15-'Water Reading'!G14</f>
        <v>0</v>
      </c>
      <c r="V15" s="93" t="e">
        <f t="shared" si="11"/>
        <v>#DIV/0!</v>
      </c>
      <c r="W15" s="86">
        <f>'Water Reading'!J15-'Water Reading'!J14</f>
        <v>0</v>
      </c>
      <c r="X15" s="93" t="e">
        <f t="shared" si="12"/>
        <v>#DIV/0!</v>
      </c>
      <c r="Y15" s="64">
        <f t="shared" si="0"/>
        <v>0</v>
      </c>
      <c r="Z15" s="65" t="e">
        <f t="shared" si="1"/>
        <v>#DIV/0!</v>
      </c>
    </row>
    <row r="16" spans="1:26" x14ac:dyDescent="0.25">
      <c r="A16" s="8">
        <f>'Water Reading'!A15</f>
        <v>44725</v>
      </c>
      <c r="B16" s="63">
        <f>TOTAL!I14</f>
        <v>0</v>
      </c>
      <c r="C16" s="64">
        <f>('Water Reading'!B16-'Water Reading'!B15)+('Water Reading'!C16-'Water Reading'!C15)</f>
        <v>0</v>
      </c>
      <c r="D16" s="65" t="e">
        <f t="shared" si="2"/>
        <v>#DIV/0!</v>
      </c>
      <c r="E16" s="83">
        <f>'Water Reading'!H16-'Water Reading'!H15</f>
        <v>0</v>
      </c>
      <c r="F16" s="84" t="e">
        <f t="shared" si="3"/>
        <v>#DIV/0!</v>
      </c>
      <c r="G16" s="88">
        <f>('Water Reading'!D16-'Water Reading'!D15)-('Water Reading'!R16-'Water Reading'!R15)-('Water Reading'!Q16-'Water Reading'!Q15)</f>
        <v>0</v>
      </c>
      <c r="H16" s="84" t="e">
        <f t="shared" si="4"/>
        <v>#DIV/0!</v>
      </c>
      <c r="I16" s="85">
        <f>'Water Reading'!P16-'Water Reading'!P15</f>
        <v>0</v>
      </c>
      <c r="J16" s="66" t="e">
        <f t="shared" si="5"/>
        <v>#DIV/0!</v>
      </c>
      <c r="K16" s="86">
        <f>('Water Reading'!I16-'Water Reading'!I15)-('Water Reading'!P16-'Water Reading'!P15)</f>
        <v>0</v>
      </c>
      <c r="L16" s="66" t="e">
        <f t="shared" si="6"/>
        <v>#DIV/0!</v>
      </c>
      <c r="M16" s="85">
        <f>'Water Reading'!R16-'Water Reading'!R15</f>
        <v>0</v>
      </c>
      <c r="N16" s="87" t="e">
        <f t="shared" si="7"/>
        <v>#DIV/0!</v>
      </c>
      <c r="O16" s="85">
        <f>'Water Reading'!Q16-'Water Reading'!Q15</f>
        <v>0</v>
      </c>
      <c r="P16" s="92" t="e">
        <f t="shared" si="8"/>
        <v>#DIV/0!</v>
      </c>
      <c r="Q16" s="86">
        <f>'Water Reading'!F16-'Water Reading'!F15</f>
        <v>0</v>
      </c>
      <c r="R16" s="93" t="e">
        <f t="shared" si="9"/>
        <v>#DIV/0!</v>
      </c>
      <c r="S16" s="85">
        <f>'Water Reading'!E16-'Water Reading'!E15</f>
        <v>0</v>
      </c>
      <c r="T16" s="93" t="e">
        <f t="shared" si="10"/>
        <v>#DIV/0!</v>
      </c>
      <c r="U16" s="85">
        <f>'Water Reading'!G16-'Water Reading'!G15</f>
        <v>0</v>
      </c>
      <c r="V16" s="93" t="e">
        <f t="shared" si="11"/>
        <v>#DIV/0!</v>
      </c>
      <c r="W16" s="86">
        <f>'Water Reading'!J16-'Water Reading'!J15</f>
        <v>0</v>
      </c>
      <c r="X16" s="93" t="e">
        <f t="shared" si="12"/>
        <v>#DIV/0!</v>
      </c>
      <c r="Y16" s="64">
        <f t="shared" si="0"/>
        <v>0</v>
      </c>
      <c r="Z16" s="65" t="e">
        <f t="shared" si="1"/>
        <v>#DIV/0!</v>
      </c>
    </row>
    <row r="17" spans="1:26" x14ac:dyDescent="0.25">
      <c r="A17" s="8">
        <f>'Water Reading'!A16</f>
        <v>44726</v>
      </c>
      <c r="B17" s="63">
        <f>TOTAL!I15</f>
        <v>0</v>
      </c>
      <c r="C17" s="64">
        <f>('Water Reading'!B17-'Water Reading'!B16)+('Water Reading'!C17-'Water Reading'!C16)</f>
        <v>0</v>
      </c>
      <c r="D17" s="65" t="e">
        <f t="shared" si="2"/>
        <v>#DIV/0!</v>
      </c>
      <c r="E17" s="83">
        <f>'Water Reading'!H17-'Water Reading'!H16</f>
        <v>0</v>
      </c>
      <c r="F17" s="84" t="e">
        <f t="shared" si="3"/>
        <v>#DIV/0!</v>
      </c>
      <c r="G17" s="88">
        <f>('Water Reading'!D17-'Water Reading'!D16)-('Water Reading'!R17-'Water Reading'!R16)-('Water Reading'!Q17-'Water Reading'!Q16)</f>
        <v>0</v>
      </c>
      <c r="H17" s="84" t="e">
        <f t="shared" si="4"/>
        <v>#DIV/0!</v>
      </c>
      <c r="I17" s="85">
        <f>'Water Reading'!P17-'Water Reading'!P16</f>
        <v>0</v>
      </c>
      <c r="J17" s="66" t="e">
        <f t="shared" si="5"/>
        <v>#DIV/0!</v>
      </c>
      <c r="K17" s="86">
        <f>('Water Reading'!I17-'Water Reading'!I16)-('Water Reading'!P17-'Water Reading'!P16)</f>
        <v>0</v>
      </c>
      <c r="L17" s="66" t="e">
        <f t="shared" si="6"/>
        <v>#DIV/0!</v>
      </c>
      <c r="M17" s="85">
        <f>'Water Reading'!R17-'Water Reading'!R16</f>
        <v>0</v>
      </c>
      <c r="N17" s="87" t="e">
        <f t="shared" si="7"/>
        <v>#DIV/0!</v>
      </c>
      <c r="O17" s="85">
        <f>'Water Reading'!Q17-'Water Reading'!Q16</f>
        <v>0</v>
      </c>
      <c r="P17" s="92" t="e">
        <f t="shared" si="8"/>
        <v>#DIV/0!</v>
      </c>
      <c r="Q17" s="86">
        <f>'Water Reading'!F17-'Water Reading'!F16</f>
        <v>0</v>
      </c>
      <c r="R17" s="93" t="e">
        <f t="shared" si="9"/>
        <v>#DIV/0!</v>
      </c>
      <c r="S17" s="85">
        <f>'Water Reading'!E17-'Water Reading'!E16</f>
        <v>0</v>
      </c>
      <c r="T17" s="93" t="e">
        <f t="shared" si="10"/>
        <v>#DIV/0!</v>
      </c>
      <c r="U17" s="85">
        <f>'Water Reading'!G17-'Water Reading'!G16</f>
        <v>0</v>
      </c>
      <c r="V17" s="93" t="e">
        <f t="shared" si="11"/>
        <v>#DIV/0!</v>
      </c>
      <c r="W17" s="86">
        <f>'Water Reading'!J17-'Water Reading'!J16</f>
        <v>0</v>
      </c>
      <c r="X17" s="93" t="e">
        <f t="shared" si="12"/>
        <v>#DIV/0!</v>
      </c>
      <c r="Y17" s="64">
        <f t="shared" si="0"/>
        <v>0</v>
      </c>
      <c r="Z17" s="65" t="e">
        <f t="shared" si="1"/>
        <v>#DIV/0!</v>
      </c>
    </row>
    <row r="18" spans="1:26" x14ac:dyDescent="0.25">
      <c r="A18" s="8">
        <f>'Water Reading'!A17</f>
        <v>44727</v>
      </c>
      <c r="B18" s="63">
        <f>TOTAL!I16</f>
        <v>0</v>
      </c>
      <c r="C18" s="64">
        <f>('Water Reading'!B18-'Water Reading'!B17)+('Water Reading'!C18-'Water Reading'!C17)</f>
        <v>0</v>
      </c>
      <c r="D18" s="65" t="e">
        <f t="shared" si="2"/>
        <v>#DIV/0!</v>
      </c>
      <c r="E18" s="83">
        <f>'Water Reading'!H18-'Water Reading'!H17</f>
        <v>0</v>
      </c>
      <c r="F18" s="84" t="e">
        <f t="shared" si="3"/>
        <v>#DIV/0!</v>
      </c>
      <c r="G18" s="88">
        <f>('Water Reading'!D18-'Water Reading'!D17)-('Water Reading'!R18-'Water Reading'!R17)-('Water Reading'!Q18-'Water Reading'!Q17)</f>
        <v>0</v>
      </c>
      <c r="H18" s="84" t="e">
        <f t="shared" si="4"/>
        <v>#DIV/0!</v>
      </c>
      <c r="I18" s="85">
        <f>'Water Reading'!P18-'Water Reading'!P17</f>
        <v>0</v>
      </c>
      <c r="J18" s="66" t="e">
        <f t="shared" si="5"/>
        <v>#DIV/0!</v>
      </c>
      <c r="K18" s="86">
        <f>('Water Reading'!I18-'Water Reading'!I17)-('Water Reading'!P18-'Water Reading'!P17)</f>
        <v>0</v>
      </c>
      <c r="L18" s="66" t="e">
        <f t="shared" si="6"/>
        <v>#DIV/0!</v>
      </c>
      <c r="M18" s="85">
        <f>'Water Reading'!R18-'Water Reading'!R17</f>
        <v>0</v>
      </c>
      <c r="N18" s="87" t="e">
        <f t="shared" si="7"/>
        <v>#DIV/0!</v>
      </c>
      <c r="O18" s="85">
        <f>'Water Reading'!Q18-'Water Reading'!Q17</f>
        <v>0</v>
      </c>
      <c r="P18" s="92" t="e">
        <f t="shared" si="8"/>
        <v>#DIV/0!</v>
      </c>
      <c r="Q18" s="86">
        <f>'Water Reading'!F18-'Water Reading'!F17</f>
        <v>0</v>
      </c>
      <c r="R18" s="93" t="e">
        <f t="shared" si="9"/>
        <v>#DIV/0!</v>
      </c>
      <c r="S18" s="85">
        <f>'Water Reading'!E18-'Water Reading'!E17</f>
        <v>0</v>
      </c>
      <c r="T18" s="93" t="e">
        <f t="shared" si="10"/>
        <v>#DIV/0!</v>
      </c>
      <c r="U18" s="85">
        <f>'Water Reading'!G18-'Water Reading'!G17</f>
        <v>0</v>
      </c>
      <c r="V18" s="93" t="e">
        <f t="shared" si="11"/>
        <v>#DIV/0!</v>
      </c>
      <c r="W18" s="86">
        <f>'Water Reading'!J18-'Water Reading'!J17</f>
        <v>0</v>
      </c>
      <c r="X18" s="93" t="e">
        <f t="shared" si="12"/>
        <v>#DIV/0!</v>
      </c>
      <c r="Y18" s="64">
        <f t="shared" si="0"/>
        <v>0</v>
      </c>
      <c r="Z18" s="65" t="e">
        <f t="shared" si="1"/>
        <v>#DIV/0!</v>
      </c>
    </row>
    <row r="19" spans="1:26" x14ac:dyDescent="0.25">
      <c r="A19" s="8">
        <f>'Water Reading'!A18</f>
        <v>44728</v>
      </c>
      <c r="B19" s="63">
        <f>TOTAL!I17</f>
        <v>0</v>
      </c>
      <c r="C19" s="64">
        <f>('Water Reading'!B19-'Water Reading'!B18)+('Water Reading'!C19-'Water Reading'!C18)</f>
        <v>0</v>
      </c>
      <c r="D19" s="65" t="e">
        <f t="shared" si="2"/>
        <v>#DIV/0!</v>
      </c>
      <c r="E19" s="83">
        <f>'Water Reading'!H19-'Water Reading'!H18</f>
        <v>0</v>
      </c>
      <c r="F19" s="84" t="e">
        <f t="shared" si="3"/>
        <v>#DIV/0!</v>
      </c>
      <c r="G19" s="88">
        <f>('Water Reading'!D19-'Water Reading'!D18)-('Water Reading'!R19-'Water Reading'!R18)-('Water Reading'!Q19-'Water Reading'!Q18)</f>
        <v>0</v>
      </c>
      <c r="H19" s="84" t="e">
        <f t="shared" si="4"/>
        <v>#DIV/0!</v>
      </c>
      <c r="I19" s="85">
        <f>'Water Reading'!P19-'Water Reading'!P18</f>
        <v>0</v>
      </c>
      <c r="J19" s="66" t="e">
        <f t="shared" si="5"/>
        <v>#DIV/0!</v>
      </c>
      <c r="K19" s="86">
        <f>('Water Reading'!I19-'Water Reading'!I18)-('Water Reading'!P19-'Water Reading'!P18)</f>
        <v>0</v>
      </c>
      <c r="L19" s="66" t="e">
        <f t="shared" si="6"/>
        <v>#DIV/0!</v>
      </c>
      <c r="M19" s="85">
        <f>'Water Reading'!R19-'Water Reading'!R18</f>
        <v>0</v>
      </c>
      <c r="N19" s="87" t="e">
        <f t="shared" si="7"/>
        <v>#DIV/0!</v>
      </c>
      <c r="O19" s="85">
        <f>'Water Reading'!Q19-'Water Reading'!Q18</f>
        <v>0</v>
      </c>
      <c r="P19" s="92" t="e">
        <f t="shared" si="8"/>
        <v>#DIV/0!</v>
      </c>
      <c r="Q19" s="86">
        <f>'Water Reading'!F19-'Water Reading'!F18</f>
        <v>0</v>
      </c>
      <c r="R19" s="93" t="e">
        <f t="shared" si="9"/>
        <v>#DIV/0!</v>
      </c>
      <c r="S19" s="85">
        <f>'Water Reading'!E19-'Water Reading'!E18</f>
        <v>0</v>
      </c>
      <c r="T19" s="93" t="e">
        <f t="shared" si="10"/>
        <v>#DIV/0!</v>
      </c>
      <c r="U19" s="85">
        <f>'Water Reading'!G19-'Water Reading'!G18</f>
        <v>0</v>
      </c>
      <c r="V19" s="93" t="e">
        <f t="shared" si="11"/>
        <v>#DIV/0!</v>
      </c>
      <c r="W19" s="86">
        <f>'Water Reading'!J19-'Water Reading'!J18</f>
        <v>0</v>
      </c>
      <c r="X19" s="93" t="e">
        <f t="shared" si="12"/>
        <v>#DIV/0!</v>
      </c>
      <c r="Y19" s="64">
        <f t="shared" si="0"/>
        <v>0</v>
      </c>
      <c r="Z19" s="65" t="e">
        <f t="shared" si="1"/>
        <v>#DIV/0!</v>
      </c>
    </row>
    <row r="20" spans="1:26" x14ac:dyDescent="0.25">
      <c r="A20" s="8">
        <f>'Water Reading'!A19</f>
        <v>44729</v>
      </c>
      <c r="B20" s="63">
        <f>TOTAL!I18</f>
        <v>0</v>
      </c>
      <c r="C20" s="64">
        <f>('Water Reading'!B20-'Water Reading'!B19)+('Water Reading'!C20-'Water Reading'!C19)</f>
        <v>0</v>
      </c>
      <c r="D20" s="65" t="e">
        <f t="shared" si="2"/>
        <v>#DIV/0!</v>
      </c>
      <c r="E20" s="83">
        <f>'Water Reading'!H20-'Water Reading'!H19</f>
        <v>0</v>
      </c>
      <c r="F20" s="84" t="e">
        <f t="shared" si="3"/>
        <v>#DIV/0!</v>
      </c>
      <c r="G20" s="88">
        <f>('Water Reading'!D20-'Water Reading'!D19)-(7)-(3)</f>
        <v>-10</v>
      </c>
      <c r="H20" s="84" t="e">
        <f t="shared" si="4"/>
        <v>#DIV/0!</v>
      </c>
      <c r="I20" s="85">
        <f>'Water Reading'!P20-'Water Reading'!P19</f>
        <v>0</v>
      </c>
      <c r="J20" s="66" t="e">
        <f t="shared" si="5"/>
        <v>#DIV/0!</v>
      </c>
      <c r="K20" s="86">
        <f>('Water Reading'!I20-'Water Reading'!I19)-('Water Reading'!P20-'Water Reading'!P19)</f>
        <v>0</v>
      </c>
      <c r="L20" s="66" t="e">
        <f t="shared" si="6"/>
        <v>#DIV/0!</v>
      </c>
      <c r="M20" s="85">
        <v>7</v>
      </c>
      <c r="N20" s="87" t="e">
        <f t="shared" si="7"/>
        <v>#DIV/0!</v>
      </c>
      <c r="O20" s="85">
        <f>'Water Reading'!Q20-'Water Reading'!Q19</f>
        <v>0</v>
      </c>
      <c r="P20" s="92" t="e">
        <f t="shared" si="8"/>
        <v>#DIV/0!</v>
      </c>
      <c r="Q20" s="86">
        <f>'Water Reading'!F20-'Water Reading'!F19</f>
        <v>0</v>
      </c>
      <c r="R20" s="93" t="e">
        <f t="shared" si="9"/>
        <v>#DIV/0!</v>
      </c>
      <c r="S20" s="85">
        <f>'Water Reading'!E20-'Water Reading'!E19</f>
        <v>0</v>
      </c>
      <c r="T20" s="93" t="e">
        <f t="shared" si="10"/>
        <v>#DIV/0!</v>
      </c>
      <c r="U20" s="85">
        <f>'Water Reading'!G20-'Water Reading'!G19</f>
        <v>0</v>
      </c>
      <c r="V20" s="93" t="e">
        <f t="shared" si="11"/>
        <v>#DIV/0!</v>
      </c>
      <c r="W20" s="86">
        <f>'Water Reading'!J20-'Water Reading'!J19</f>
        <v>0</v>
      </c>
      <c r="X20" s="93" t="e">
        <f t="shared" si="12"/>
        <v>#DIV/0!</v>
      </c>
      <c r="Y20" s="64">
        <f t="shared" si="0"/>
        <v>-3</v>
      </c>
      <c r="Z20" s="65" t="e">
        <f t="shared" si="1"/>
        <v>#DIV/0!</v>
      </c>
    </row>
    <row r="21" spans="1:26" x14ac:dyDescent="0.25">
      <c r="A21" s="8">
        <f>'Water Reading'!A20</f>
        <v>44730</v>
      </c>
      <c r="B21" s="63">
        <f>TOTAL!I19</f>
        <v>0</v>
      </c>
      <c r="C21" s="64">
        <f>('Water Reading'!B21-'Water Reading'!B20)+('Water Reading'!C21-'Water Reading'!C20)</f>
        <v>0</v>
      </c>
      <c r="D21" s="65" t="e">
        <f t="shared" si="2"/>
        <v>#DIV/0!</v>
      </c>
      <c r="E21" s="83">
        <f>'Water Reading'!H21-'Water Reading'!H20</f>
        <v>0</v>
      </c>
      <c r="F21" s="84" t="e">
        <f t="shared" si="3"/>
        <v>#DIV/0!</v>
      </c>
      <c r="G21" s="88">
        <f>('Water Reading'!D21-'Water Reading'!D20)-('Water Reading'!R21-'Water Reading'!R20)-('Water Reading'!Q21-'Water Reading'!Q20)</f>
        <v>0</v>
      </c>
      <c r="H21" s="84" t="e">
        <f t="shared" si="4"/>
        <v>#DIV/0!</v>
      </c>
      <c r="I21" s="85">
        <f>'Water Reading'!P21-'Water Reading'!P20</f>
        <v>0</v>
      </c>
      <c r="J21" s="66" t="e">
        <f t="shared" si="5"/>
        <v>#DIV/0!</v>
      </c>
      <c r="K21" s="86">
        <f>('Water Reading'!I21-'Water Reading'!I20)-('Water Reading'!P21-'Water Reading'!P20)</f>
        <v>0</v>
      </c>
      <c r="L21" s="66" t="e">
        <f t="shared" si="6"/>
        <v>#DIV/0!</v>
      </c>
      <c r="M21" s="85">
        <f>'Water Reading'!R21-'Water Reading'!R20</f>
        <v>0</v>
      </c>
      <c r="N21" s="87" t="e">
        <f t="shared" si="7"/>
        <v>#DIV/0!</v>
      </c>
      <c r="O21" s="85">
        <f>'Water Reading'!Q21-'Water Reading'!Q20</f>
        <v>0</v>
      </c>
      <c r="P21" s="92" t="e">
        <f t="shared" si="8"/>
        <v>#DIV/0!</v>
      </c>
      <c r="Q21" s="86">
        <f>'Water Reading'!F21-'Water Reading'!F20</f>
        <v>0</v>
      </c>
      <c r="R21" s="93" t="e">
        <f t="shared" si="9"/>
        <v>#DIV/0!</v>
      </c>
      <c r="S21" s="85">
        <f>'Water Reading'!E21-'Water Reading'!E20</f>
        <v>0</v>
      </c>
      <c r="T21" s="93" t="e">
        <f t="shared" si="10"/>
        <v>#DIV/0!</v>
      </c>
      <c r="U21" s="85">
        <f>'Water Reading'!G21-'Water Reading'!G20</f>
        <v>0</v>
      </c>
      <c r="V21" s="93" t="e">
        <f t="shared" si="11"/>
        <v>#DIV/0!</v>
      </c>
      <c r="W21" s="86">
        <f>'Water Reading'!J21-'Water Reading'!J20</f>
        <v>0</v>
      </c>
      <c r="X21" s="93" t="e">
        <f t="shared" si="12"/>
        <v>#DIV/0!</v>
      </c>
      <c r="Y21" s="64">
        <f t="shared" si="0"/>
        <v>0</v>
      </c>
      <c r="Z21" s="65" t="e">
        <f t="shared" si="1"/>
        <v>#DIV/0!</v>
      </c>
    </row>
    <row r="22" spans="1:26" x14ac:dyDescent="0.25">
      <c r="A22" s="8">
        <f>'Water Reading'!A21</f>
        <v>44731</v>
      </c>
      <c r="B22" s="63">
        <f>TOTAL!I20</f>
        <v>0</v>
      </c>
      <c r="C22" s="64">
        <f>('Water Reading'!B22-'Water Reading'!B21)+('Water Reading'!C22-'Water Reading'!C21)</f>
        <v>0</v>
      </c>
      <c r="D22" s="65" t="e">
        <f t="shared" si="2"/>
        <v>#DIV/0!</v>
      </c>
      <c r="E22" s="83">
        <f>'Water Reading'!H22-'Water Reading'!H21</f>
        <v>0</v>
      </c>
      <c r="F22" s="84" t="e">
        <f t="shared" si="3"/>
        <v>#DIV/0!</v>
      </c>
      <c r="G22" s="88">
        <f>('Water Reading'!D22-'Water Reading'!D21)-('Water Reading'!R22-'Water Reading'!R21)-('Water Reading'!Q22-'Water Reading'!Q21)</f>
        <v>0</v>
      </c>
      <c r="H22" s="84" t="e">
        <f t="shared" si="4"/>
        <v>#DIV/0!</v>
      </c>
      <c r="I22" s="85">
        <f>'Water Reading'!P22-'Water Reading'!P21</f>
        <v>0</v>
      </c>
      <c r="J22" s="66" t="e">
        <f t="shared" si="5"/>
        <v>#DIV/0!</v>
      </c>
      <c r="K22" s="86">
        <f>('Water Reading'!I22-'Water Reading'!I21)-('Water Reading'!P22-'Water Reading'!P21)</f>
        <v>0</v>
      </c>
      <c r="L22" s="66" t="e">
        <f t="shared" si="6"/>
        <v>#DIV/0!</v>
      </c>
      <c r="M22" s="85">
        <f>'Water Reading'!R22-'Water Reading'!R21</f>
        <v>0</v>
      </c>
      <c r="N22" s="87" t="e">
        <f t="shared" si="7"/>
        <v>#DIV/0!</v>
      </c>
      <c r="O22" s="85">
        <f>'Water Reading'!Q22-'Water Reading'!Q21</f>
        <v>0</v>
      </c>
      <c r="P22" s="92" t="e">
        <f t="shared" si="8"/>
        <v>#DIV/0!</v>
      </c>
      <c r="Q22" s="86">
        <f>'Water Reading'!F22-'Water Reading'!F21</f>
        <v>0</v>
      </c>
      <c r="R22" s="93" t="e">
        <f t="shared" si="9"/>
        <v>#DIV/0!</v>
      </c>
      <c r="S22" s="85">
        <f>'Water Reading'!E22-'Water Reading'!E21</f>
        <v>0</v>
      </c>
      <c r="T22" s="93" t="e">
        <f t="shared" si="10"/>
        <v>#DIV/0!</v>
      </c>
      <c r="U22" s="85">
        <f>'Water Reading'!G22-'Water Reading'!G21</f>
        <v>0</v>
      </c>
      <c r="V22" s="93" t="e">
        <f t="shared" si="11"/>
        <v>#DIV/0!</v>
      </c>
      <c r="W22" s="86">
        <f>'Water Reading'!J22-'Water Reading'!J21</f>
        <v>0</v>
      </c>
      <c r="X22" s="93" t="e">
        <f t="shared" si="12"/>
        <v>#DIV/0!</v>
      </c>
      <c r="Y22" s="64">
        <f t="shared" si="0"/>
        <v>0</v>
      </c>
      <c r="Z22" s="65" t="e">
        <f t="shared" si="1"/>
        <v>#DIV/0!</v>
      </c>
    </row>
    <row r="23" spans="1:26" x14ac:dyDescent="0.25">
      <c r="A23" s="8">
        <f>'Water Reading'!A22</f>
        <v>44732</v>
      </c>
      <c r="B23" s="63">
        <f>TOTAL!I21</f>
        <v>0</v>
      </c>
      <c r="C23" s="64">
        <f>('Water Reading'!B23-'Water Reading'!B22)+('Water Reading'!C23-'Water Reading'!C22)</f>
        <v>0</v>
      </c>
      <c r="D23" s="65" t="e">
        <f t="shared" si="2"/>
        <v>#DIV/0!</v>
      </c>
      <c r="E23" s="83">
        <f>'Water Reading'!H23-'Water Reading'!H22</f>
        <v>0</v>
      </c>
      <c r="F23" s="84" t="e">
        <f t="shared" si="3"/>
        <v>#DIV/0!</v>
      </c>
      <c r="G23" s="88">
        <f>('Water Reading'!D23-'Water Reading'!D22)-('Water Reading'!R23-'Water Reading'!R22)-('Water Reading'!Q23-'Water Reading'!Q22)</f>
        <v>0</v>
      </c>
      <c r="H23" s="84" t="e">
        <f t="shared" si="4"/>
        <v>#DIV/0!</v>
      </c>
      <c r="I23" s="85">
        <f>'Water Reading'!P23-'Water Reading'!P22</f>
        <v>0</v>
      </c>
      <c r="J23" s="66" t="e">
        <f t="shared" si="5"/>
        <v>#DIV/0!</v>
      </c>
      <c r="K23" s="86">
        <f>('Water Reading'!I23-'Water Reading'!I22)-('Water Reading'!P23-'Water Reading'!P22)</f>
        <v>0</v>
      </c>
      <c r="L23" s="66" t="e">
        <f t="shared" si="6"/>
        <v>#DIV/0!</v>
      </c>
      <c r="M23" s="85">
        <f>'Water Reading'!R23-'Water Reading'!R22</f>
        <v>0</v>
      </c>
      <c r="N23" s="87" t="e">
        <f t="shared" si="7"/>
        <v>#DIV/0!</v>
      </c>
      <c r="O23" s="85">
        <f>'Water Reading'!Q23-'Water Reading'!Q22</f>
        <v>0</v>
      </c>
      <c r="P23" s="92" t="e">
        <f t="shared" si="8"/>
        <v>#DIV/0!</v>
      </c>
      <c r="Q23" s="86">
        <f>'Water Reading'!F23-'Water Reading'!F22</f>
        <v>0</v>
      </c>
      <c r="R23" s="93" t="e">
        <f t="shared" si="9"/>
        <v>#DIV/0!</v>
      </c>
      <c r="S23" s="85">
        <f>'Water Reading'!E23-'Water Reading'!E22</f>
        <v>0</v>
      </c>
      <c r="T23" s="93" t="e">
        <f t="shared" si="10"/>
        <v>#DIV/0!</v>
      </c>
      <c r="U23" s="85">
        <f>'Water Reading'!G23-'Water Reading'!G22</f>
        <v>0</v>
      </c>
      <c r="V23" s="93" t="e">
        <f t="shared" si="11"/>
        <v>#DIV/0!</v>
      </c>
      <c r="W23" s="86">
        <f>'Water Reading'!J23-'Water Reading'!J22</f>
        <v>0</v>
      </c>
      <c r="X23" s="93" t="e">
        <f t="shared" si="12"/>
        <v>#DIV/0!</v>
      </c>
      <c r="Y23" s="64">
        <f t="shared" si="0"/>
        <v>0</v>
      </c>
      <c r="Z23" s="65" t="e">
        <f t="shared" si="1"/>
        <v>#DIV/0!</v>
      </c>
    </row>
    <row r="24" spans="1:26" x14ac:dyDescent="0.25">
      <c r="A24" s="8">
        <f>'Water Reading'!A23</f>
        <v>44733</v>
      </c>
      <c r="B24" s="63">
        <f>TOTAL!I22</f>
        <v>0</v>
      </c>
      <c r="C24" s="64">
        <f>('Water Reading'!B24-'Water Reading'!B23)+('Water Reading'!C24-'Water Reading'!C23)</f>
        <v>0</v>
      </c>
      <c r="D24" s="65" t="e">
        <f t="shared" si="2"/>
        <v>#DIV/0!</v>
      </c>
      <c r="E24" s="83">
        <f>'Water Reading'!H24-'Water Reading'!H23</f>
        <v>0</v>
      </c>
      <c r="F24" s="84" t="e">
        <f t="shared" si="3"/>
        <v>#DIV/0!</v>
      </c>
      <c r="G24" s="88">
        <f>('Water Reading'!D24-'Water Reading'!D23)-('Water Reading'!R24-'Water Reading'!R23)-('Water Reading'!Q24-'Water Reading'!Q23)</f>
        <v>0</v>
      </c>
      <c r="H24" s="84" t="e">
        <f t="shared" si="4"/>
        <v>#DIV/0!</v>
      </c>
      <c r="I24" s="85">
        <f>'Water Reading'!P24-'Water Reading'!P23</f>
        <v>0</v>
      </c>
      <c r="J24" s="66" t="e">
        <f t="shared" si="5"/>
        <v>#DIV/0!</v>
      </c>
      <c r="K24" s="86">
        <f>('Water Reading'!I24-'Water Reading'!I23)-('Water Reading'!P24-'Water Reading'!P23)</f>
        <v>0</v>
      </c>
      <c r="L24" s="66" t="e">
        <f t="shared" si="6"/>
        <v>#DIV/0!</v>
      </c>
      <c r="M24" s="85">
        <f>'Water Reading'!R24-'Water Reading'!R23</f>
        <v>0</v>
      </c>
      <c r="N24" s="87" t="e">
        <f t="shared" si="7"/>
        <v>#DIV/0!</v>
      </c>
      <c r="O24" s="85">
        <f>'Water Reading'!Q24-'Water Reading'!Q23</f>
        <v>0</v>
      </c>
      <c r="P24" s="92" t="e">
        <f t="shared" si="8"/>
        <v>#DIV/0!</v>
      </c>
      <c r="Q24" s="86">
        <f>'Water Reading'!F24-'Water Reading'!F23</f>
        <v>0</v>
      </c>
      <c r="R24" s="93" t="e">
        <f t="shared" si="9"/>
        <v>#DIV/0!</v>
      </c>
      <c r="S24" s="85">
        <f>'Water Reading'!E24-'Water Reading'!E23</f>
        <v>0</v>
      </c>
      <c r="T24" s="93" t="e">
        <f t="shared" si="10"/>
        <v>#DIV/0!</v>
      </c>
      <c r="U24" s="85">
        <f>'Water Reading'!G24-'Water Reading'!G23</f>
        <v>0</v>
      </c>
      <c r="V24" s="93" t="e">
        <f t="shared" si="11"/>
        <v>#DIV/0!</v>
      </c>
      <c r="W24" s="86">
        <f>'Water Reading'!J24-'Water Reading'!J23</f>
        <v>0</v>
      </c>
      <c r="X24" s="93" t="e">
        <f t="shared" si="12"/>
        <v>#DIV/0!</v>
      </c>
      <c r="Y24" s="64">
        <f t="shared" si="0"/>
        <v>0</v>
      </c>
      <c r="Z24" s="65" t="e">
        <f t="shared" si="1"/>
        <v>#DIV/0!</v>
      </c>
    </row>
    <row r="25" spans="1:26" x14ac:dyDescent="0.25">
      <c r="A25" s="8">
        <f>'Water Reading'!A24</f>
        <v>44734</v>
      </c>
      <c r="B25" s="63">
        <f>TOTAL!I23</f>
        <v>0</v>
      </c>
      <c r="C25" s="64">
        <f>('Water Reading'!B25-'Water Reading'!B24)+('Water Reading'!C25-'Water Reading'!C24)</f>
        <v>0</v>
      </c>
      <c r="D25" s="65" t="e">
        <f t="shared" si="2"/>
        <v>#DIV/0!</v>
      </c>
      <c r="E25" s="83">
        <f>'Water Reading'!H25-'Water Reading'!H24</f>
        <v>0</v>
      </c>
      <c r="F25" s="84" t="e">
        <f t="shared" si="3"/>
        <v>#DIV/0!</v>
      </c>
      <c r="G25" s="88">
        <f>('Water Reading'!D25-'Water Reading'!D24)-('Water Reading'!R25-'Water Reading'!R24)-('Water Reading'!Q25-'Water Reading'!Q24)</f>
        <v>0</v>
      </c>
      <c r="H25" s="84" t="e">
        <f t="shared" si="4"/>
        <v>#DIV/0!</v>
      </c>
      <c r="I25" s="85">
        <f>'Water Reading'!P25-'Water Reading'!P24</f>
        <v>0</v>
      </c>
      <c r="J25" s="66" t="e">
        <f t="shared" si="5"/>
        <v>#DIV/0!</v>
      </c>
      <c r="K25" s="86">
        <f>('Water Reading'!I25-'Water Reading'!I24)-('Water Reading'!P25-'Water Reading'!P24)</f>
        <v>0</v>
      </c>
      <c r="L25" s="66" t="e">
        <f t="shared" si="6"/>
        <v>#DIV/0!</v>
      </c>
      <c r="M25" s="85">
        <f>'Water Reading'!R25-'Water Reading'!R24</f>
        <v>0</v>
      </c>
      <c r="N25" s="87" t="e">
        <f t="shared" si="7"/>
        <v>#DIV/0!</v>
      </c>
      <c r="O25" s="85">
        <f>'Water Reading'!Q25-'Water Reading'!Q24</f>
        <v>0</v>
      </c>
      <c r="P25" s="92" t="e">
        <f t="shared" si="8"/>
        <v>#DIV/0!</v>
      </c>
      <c r="Q25" s="86">
        <f>'Water Reading'!F25-'Water Reading'!F24</f>
        <v>0</v>
      </c>
      <c r="R25" s="93" t="e">
        <f t="shared" si="9"/>
        <v>#DIV/0!</v>
      </c>
      <c r="S25" s="85">
        <f>'Water Reading'!E25-'Water Reading'!E24</f>
        <v>0</v>
      </c>
      <c r="T25" s="93" t="e">
        <f t="shared" si="10"/>
        <v>#DIV/0!</v>
      </c>
      <c r="U25" s="85">
        <f>'Water Reading'!G25-'Water Reading'!G24</f>
        <v>0</v>
      </c>
      <c r="V25" s="93" t="e">
        <f t="shared" si="11"/>
        <v>#DIV/0!</v>
      </c>
      <c r="W25" s="86">
        <f>'Water Reading'!J25-'Water Reading'!J24</f>
        <v>0</v>
      </c>
      <c r="X25" s="93" t="e">
        <f t="shared" si="12"/>
        <v>#DIV/0!</v>
      </c>
      <c r="Y25" s="64">
        <f t="shared" si="0"/>
        <v>0</v>
      </c>
      <c r="Z25" s="65" t="e">
        <f t="shared" si="1"/>
        <v>#DIV/0!</v>
      </c>
    </row>
    <row r="26" spans="1:26" x14ac:dyDescent="0.25">
      <c r="A26" s="8">
        <f>'Water Reading'!A25</f>
        <v>44735</v>
      </c>
      <c r="B26" s="63">
        <f>TOTAL!I24</f>
        <v>0</v>
      </c>
      <c r="C26" s="64">
        <f>('Water Reading'!B26-'Water Reading'!B25)+('Water Reading'!C26-'Water Reading'!C25)</f>
        <v>0</v>
      </c>
      <c r="D26" s="65" t="e">
        <f t="shared" si="2"/>
        <v>#DIV/0!</v>
      </c>
      <c r="E26" s="83">
        <f>'Water Reading'!H26-'Water Reading'!H25</f>
        <v>0</v>
      </c>
      <c r="F26" s="84" t="e">
        <f t="shared" si="3"/>
        <v>#DIV/0!</v>
      </c>
      <c r="G26" s="88">
        <f>('Water Reading'!D26-'Water Reading'!D25)-('Water Reading'!R26-'Water Reading'!R25)-('Water Reading'!Q26-'Water Reading'!Q25)</f>
        <v>0</v>
      </c>
      <c r="H26" s="84" t="e">
        <f t="shared" si="4"/>
        <v>#DIV/0!</v>
      </c>
      <c r="I26" s="85">
        <f>'Water Reading'!P26-'Water Reading'!P25</f>
        <v>0</v>
      </c>
      <c r="J26" s="66" t="e">
        <f t="shared" si="5"/>
        <v>#DIV/0!</v>
      </c>
      <c r="K26" s="86">
        <f>('Water Reading'!I26-'Water Reading'!I25)-('Water Reading'!P26-'Water Reading'!P25)</f>
        <v>0</v>
      </c>
      <c r="L26" s="66" t="e">
        <f t="shared" si="6"/>
        <v>#DIV/0!</v>
      </c>
      <c r="M26" s="85">
        <f>'Water Reading'!R26-'Water Reading'!R25</f>
        <v>0</v>
      </c>
      <c r="N26" s="87" t="e">
        <f t="shared" si="7"/>
        <v>#DIV/0!</v>
      </c>
      <c r="O26" s="85">
        <f>'Water Reading'!Q26-'Water Reading'!Q25</f>
        <v>0</v>
      </c>
      <c r="P26" s="92" t="e">
        <f t="shared" si="8"/>
        <v>#DIV/0!</v>
      </c>
      <c r="Q26" s="86">
        <f>'Water Reading'!F26-'Water Reading'!F25</f>
        <v>0</v>
      </c>
      <c r="R26" s="93" t="e">
        <f t="shared" si="9"/>
        <v>#DIV/0!</v>
      </c>
      <c r="S26" s="85">
        <f>'Water Reading'!E26-'Water Reading'!E25</f>
        <v>0</v>
      </c>
      <c r="T26" s="93" t="e">
        <f t="shared" si="10"/>
        <v>#DIV/0!</v>
      </c>
      <c r="U26" s="85">
        <f>'Water Reading'!G26-'Water Reading'!G25</f>
        <v>0</v>
      </c>
      <c r="V26" s="93" t="e">
        <f t="shared" si="11"/>
        <v>#DIV/0!</v>
      </c>
      <c r="W26" s="86">
        <f>'Water Reading'!J26-'Water Reading'!J25</f>
        <v>0</v>
      </c>
      <c r="X26" s="93" t="e">
        <f t="shared" si="12"/>
        <v>#DIV/0!</v>
      </c>
      <c r="Y26" s="64">
        <f t="shared" si="0"/>
        <v>0</v>
      </c>
      <c r="Z26" s="65" t="e">
        <f t="shared" si="1"/>
        <v>#DIV/0!</v>
      </c>
    </row>
    <row r="27" spans="1:26" x14ac:dyDescent="0.25">
      <c r="A27" s="8">
        <f>'Water Reading'!A26</f>
        <v>44736</v>
      </c>
      <c r="B27" s="63">
        <f>TOTAL!I25</f>
        <v>0</v>
      </c>
      <c r="C27" s="64">
        <f>('Water Reading'!B27-'Water Reading'!B26)+('Water Reading'!C27-'Water Reading'!C26)</f>
        <v>0</v>
      </c>
      <c r="D27" s="65" t="e">
        <f t="shared" si="2"/>
        <v>#DIV/0!</v>
      </c>
      <c r="E27" s="83">
        <f>'Water Reading'!H27-'Water Reading'!H26</f>
        <v>0</v>
      </c>
      <c r="F27" s="84" t="e">
        <f t="shared" si="3"/>
        <v>#DIV/0!</v>
      </c>
      <c r="G27" s="88">
        <f>('Water Reading'!D27-'Water Reading'!D26)-('Water Reading'!R27-'Water Reading'!R26)-('Water Reading'!Q27-'Water Reading'!Q26)</f>
        <v>0</v>
      </c>
      <c r="H27" s="84" t="e">
        <f t="shared" si="4"/>
        <v>#DIV/0!</v>
      </c>
      <c r="I27" s="85">
        <f>'Water Reading'!P27-'Water Reading'!P26</f>
        <v>0</v>
      </c>
      <c r="J27" s="66" t="e">
        <f t="shared" si="5"/>
        <v>#DIV/0!</v>
      </c>
      <c r="K27" s="86">
        <f>('Water Reading'!I27-'Water Reading'!I26)-('Water Reading'!P27-'Water Reading'!P26)</f>
        <v>0</v>
      </c>
      <c r="L27" s="66" t="e">
        <f t="shared" si="6"/>
        <v>#DIV/0!</v>
      </c>
      <c r="M27" s="85">
        <f>'Water Reading'!R27-'Water Reading'!R26</f>
        <v>0</v>
      </c>
      <c r="N27" s="87" t="e">
        <f t="shared" si="7"/>
        <v>#DIV/0!</v>
      </c>
      <c r="O27" s="85">
        <f>'Water Reading'!Q27-'Water Reading'!Q26</f>
        <v>0</v>
      </c>
      <c r="P27" s="92" t="e">
        <f t="shared" si="8"/>
        <v>#DIV/0!</v>
      </c>
      <c r="Q27" s="86">
        <f>'Water Reading'!F27-'Water Reading'!F26</f>
        <v>0</v>
      </c>
      <c r="R27" s="93" t="e">
        <f t="shared" si="9"/>
        <v>#DIV/0!</v>
      </c>
      <c r="S27" s="85">
        <f>'Water Reading'!E27-'Water Reading'!E26</f>
        <v>0</v>
      </c>
      <c r="T27" s="93" t="e">
        <f t="shared" si="10"/>
        <v>#DIV/0!</v>
      </c>
      <c r="U27" s="85">
        <f>'Water Reading'!G27-'Water Reading'!G26</f>
        <v>0</v>
      </c>
      <c r="V27" s="93" t="e">
        <f t="shared" si="11"/>
        <v>#DIV/0!</v>
      </c>
      <c r="W27" s="86">
        <f>'Water Reading'!J27-'Water Reading'!J26</f>
        <v>0</v>
      </c>
      <c r="X27" s="93" t="e">
        <f t="shared" si="12"/>
        <v>#DIV/0!</v>
      </c>
      <c r="Y27" s="64">
        <f t="shared" si="0"/>
        <v>0</v>
      </c>
      <c r="Z27" s="65" t="e">
        <f t="shared" si="1"/>
        <v>#DIV/0!</v>
      </c>
    </row>
    <row r="28" spans="1:26" x14ac:dyDescent="0.25">
      <c r="A28" s="8">
        <f>'Water Reading'!A27</f>
        <v>44737</v>
      </c>
      <c r="B28" s="63">
        <f>TOTAL!I26</f>
        <v>0</v>
      </c>
      <c r="C28" s="64">
        <f>('Water Reading'!B28-'Water Reading'!B27)+('Water Reading'!C28-'Water Reading'!C27)</f>
        <v>0</v>
      </c>
      <c r="D28" s="65" t="e">
        <f t="shared" si="2"/>
        <v>#DIV/0!</v>
      </c>
      <c r="E28" s="83">
        <f>'Water Reading'!H28-'Water Reading'!H27</f>
        <v>0</v>
      </c>
      <c r="F28" s="84" t="e">
        <f t="shared" si="3"/>
        <v>#DIV/0!</v>
      </c>
      <c r="G28" s="88">
        <f>('Water Reading'!D28-'Water Reading'!D27)-('Water Reading'!R28-'Water Reading'!R27)-('Water Reading'!Q28-'Water Reading'!Q27)</f>
        <v>0</v>
      </c>
      <c r="H28" s="84" t="e">
        <f t="shared" si="4"/>
        <v>#DIV/0!</v>
      </c>
      <c r="I28" s="85">
        <f>'Water Reading'!P28-'Water Reading'!P27</f>
        <v>0</v>
      </c>
      <c r="J28" s="66" t="e">
        <f t="shared" si="5"/>
        <v>#DIV/0!</v>
      </c>
      <c r="K28" s="86">
        <f>('Water Reading'!I28-'Water Reading'!I27)-('Water Reading'!P28-'Water Reading'!P27)</f>
        <v>0</v>
      </c>
      <c r="L28" s="66" t="e">
        <f t="shared" si="6"/>
        <v>#DIV/0!</v>
      </c>
      <c r="M28" s="85">
        <f>'Water Reading'!R28-'Water Reading'!R27</f>
        <v>0</v>
      </c>
      <c r="N28" s="87" t="e">
        <f t="shared" si="7"/>
        <v>#DIV/0!</v>
      </c>
      <c r="O28" s="85">
        <f>'Water Reading'!Q28-'Water Reading'!Q27</f>
        <v>0</v>
      </c>
      <c r="P28" s="92" t="e">
        <f t="shared" si="8"/>
        <v>#DIV/0!</v>
      </c>
      <c r="Q28" s="86">
        <f>'Water Reading'!F28-'Water Reading'!F27</f>
        <v>0</v>
      </c>
      <c r="R28" s="93" t="e">
        <f t="shared" si="9"/>
        <v>#DIV/0!</v>
      </c>
      <c r="S28" s="85">
        <f>'Water Reading'!E28-'Water Reading'!E27</f>
        <v>0</v>
      </c>
      <c r="T28" s="93" t="e">
        <f t="shared" si="10"/>
        <v>#DIV/0!</v>
      </c>
      <c r="U28" s="85">
        <f>'Water Reading'!G28-'Water Reading'!G27</f>
        <v>0</v>
      </c>
      <c r="V28" s="93" t="e">
        <f t="shared" si="11"/>
        <v>#DIV/0!</v>
      </c>
      <c r="W28" s="86">
        <f>'Water Reading'!J28-'Water Reading'!J27</f>
        <v>0</v>
      </c>
      <c r="X28" s="93" t="e">
        <f t="shared" si="12"/>
        <v>#DIV/0!</v>
      </c>
      <c r="Y28" s="64">
        <f t="shared" si="0"/>
        <v>0</v>
      </c>
      <c r="Z28" s="65" t="e">
        <f t="shared" si="1"/>
        <v>#DIV/0!</v>
      </c>
    </row>
    <row r="29" spans="1:26" x14ac:dyDescent="0.25">
      <c r="A29" s="8">
        <f>'Water Reading'!A28</f>
        <v>44738</v>
      </c>
      <c r="B29" s="63">
        <f>TOTAL!I27</f>
        <v>0</v>
      </c>
      <c r="C29" s="64">
        <f>('Water Reading'!B29-'Water Reading'!B28)+('Water Reading'!C29-'Water Reading'!C28)</f>
        <v>0</v>
      </c>
      <c r="D29" s="65" t="e">
        <f t="shared" si="2"/>
        <v>#DIV/0!</v>
      </c>
      <c r="E29" s="83">
        <f>'Water Reading'!H29-'Water Reading'!H28</f>
        <v>0</v>
      </c>
      <c r="F29" s="84" t="e">
        <f t="shared" si="3"/>
        <v>#DIV/0!</v>
      </c>
      <c r="G29" s="88">
        <f>('Water Reading'!D29-'Water Reading'!D28)-('Water Reading'!R29-'Water Reading'!R28)-('Water Reading'!Q29-'Water Reading'!Q28)</f>
        <v>0</v>
      </c>
      <c r="H29" s="84" t="e">
        <f t="shared" si="4"/>
        <v>#DIV/0!</v>
      </c>
      <c r="I29" s="85">
        <f>'Water Reading'!P29-'Water Reading'!P28</f>
        <v>0</v>
      </c>
      <c r="J29" s="66" t="e">
        <f t="shared" si="5"/>
        <v>#DIV/0!</v>
      </c>
      <c r="K29" s="86">
        <f>('Water Reading'!I29-'Water Reading'!I28)-('Water Reading'!P29-'Water Reading'!P28)</f>
        <v>0</v>
      </c>
      <c r="L29" s="66" t="e">
        <f t="shared" si="6"/>
        <v>#DIV/0!</v>
      </c>
      <c r="M29" s="85">
        <f>'Water Reading'!R29-'Water Reading'!R28</f>
        <v>0</v>
      </c>
      <c r="N29" s="87" t="e">
        <f t="shared" si="7"/>
        <v>#DIV/0!</v>
      </c>
      <c r="O29" s="85">
        <f>'Water Reading'!Q29-'Water Reading'!Q28</f>
        <v>0</v>
      </c>
      <c r="P29" s="92" t="e">
        <f t="shared" si="8"/>
        <v>#DIV/0!</v>
      </c>
      <c r="Q29" s="86">
        <f>'Water Reading'!F29-'Water Reading'!F28</f>
        <v>0</v>
      </c>
      <c r="R29" s="93" t="e">
        <f t="shared" si="9"/>
        <v>#DIV/0!</v>
      </c>
      <c r="S29" s="85">
        <f>'Water Reading'!E29-'Water Reading'!E28</f>
        <v>0</v>
      </c>
      <c r="T29" s="93" t="e">
        <f t="shared" si="10"/>
        <v>#DIV/0!</v>
      </c>
      <c r="U29" s="85">
        <f>'Water Reading'!G29-'Water Reading'!G28</f>
        <v>0</v>
      </c>
      <c r="V29" s="93" t="e">
        <f t="shared" si="11"/>
        <v>#DIV/0!</v>
      </c>
      <c r="W29" s="86">
        <f>'Water Reading'!J29-'Water Reading'!J28</f>
        <v>0</v>
      </c>
      <c r="X29" s="93" t="e">
        <f t="shared" si="12"/>
        <v>#DIV/0!</v>
      </c>
      <c r="Y29" s="64">
        <f t="shared" si="0"/>
        <v>0</v>
      </c>
      <c r="Z29" s="65" t="e">
        <f t="shared" si="1"/>
        <v>#DIV/0!</v>
      </c>
    </row>
    <row r="30" spans="1:26" x14ac:dyDescent="0.25">
      <c r="A30" s="8">
        <f>'Water Reading'!A29</f>
        <v>44739</v>
      </c>
      <c r="B30" s="63">
        <f>TOTAL!I28</f>
        <v>0</v>
      </c>
      <c r="C30" s="64">
        <f>('Water Reading'!B30-'Water Reading'!B29)+('Water Reading'!C30-'Water Reading'!C29)</f>
        <v>0</v>
      </c>
      <c r="D30" s="65" t="e">
        <f t="shared" si="2"/>
        <v>#DIV/0!</v>
      </c>
      <c r="E30" s="83">
        <f>'Water Reading'!H30-'Water Reading'!H29</f>
        <v>0</v>
      </c>
      <c r="F30" s="84" t="e">
        <f t="shared" si="3"/>
        <v>#DIV/0!</v>
      </c>
      <c r="G30" s="88">
        <f>('Water Reading'!D30-'Water Reading'!D29)-('Water Reading'!R30-'Water Reading'!R29)-('Water Reading'!Q30-'Water Reading'!Q29)</f>
        <v>0</v>
      </c>
      <c r="H30" s="84" t="e">
        <f t="shared" si="4"/>
        <v>#DIV/0!</v>
      </c>
      <c r="I30" s="85">
        <f>'Water Reading'!P30-'Water Reading'!P29</f>
        <v>0</v>
      </c>
      <c r="J30" s="66" t="e">
        <f t="shared" si="5"/>
        <v>#DIV/0!</v>
      </c>
      <c r="K30" s="86">
        <f>('Water Reading'!I30-'Water Reading'!I29)-('Water Reading'!P30-'Water Reading'!P29)</f>
        <v>0</v>
      </c>
      <c r="L30" s="66" t="e">
        <f t="shared" si="6"/>
        <v>#DIV/0!</v>
      </c>
      <c r="M30" s="85">
        <f>'Water Reading'!R30-'Water Reading'!R29</f>
        <v>0</v>
      </c>
      <c r="N30" s="87" t="e">
        <f t="shared" si="7"/>
        <v>#DIV/0!</v>
      </c>
      <c r="O30" s="85">
        <f>'Water Reading'!Q30-'Water Reading'!Q29</f>
        <v>0</v>
      </c>
      <c r="P30" s="92" t="e">
        <f t="shared" si="8"/>
        <v>#DIV/0!</v>
      </c>
      <c r="Q30" s="86">
        <f>'Water Reading'!F30-'Water Reading'!F29</f>
        <v>0</v>
      </c>
      <c r="R30" s="93" t="e">
        <f t="shared" si="9"/>
        <v>#DIV/0!</v>
      </c>
      <c r="S30" s="85">
        <f>'Water Reading'!E30-'Water Reading'!E29</f>
        <v>0</v>
      </c>
      <c r="T30" s="93" t="e">
        <f t="shared" si="10"/>
        <v>#DIV/0!</v>
      </c>
      <c r="U30" s="85">
        <f>'Water Reading'!G30-'Water Reading'!G29</f>
        <v>0</v>
      </c>
      <c r="V30" s="93" t="e">
        <f t="shared" si="11"/>
        <v>#DIV/0!</v>
      </c>
      <c r="W30" s="86">
        <f>'Water Reading'!J30-'Water Reading'!J29</f>
        <v>0</v>
      </c>
      <c r="X30" s="93" t="e">
        <f t="shared" si="12"/>
        <v>#DIV/0!</v>
      </c>
      <c r="Y30" s="64">
        <f t="shared" si="0"/>
        <v>0</v>
      </c>
      <c r="Z30" s="65" t="e">
        <f t="shared" si="1"/>
        <v>#DIV/0!</v>
      </c>
    </row>
    <row r="31" spans="1:26" x14ac:dyDescent="0.25">
      <c r="A31" s="8">
        <f>'Water Reading'!A30</f>
        <v>44740</v>
      </c>
      <c r="B31" s="63">
        <f>TOTAL!I29</f>
        <v>0</v>
      </c>
      <c r="C31" s="64">
        <f>('Water Reading'!B31-'Water Reading'!B30)+('Water Reading'!C31-'Water Reading'!C30)</f>
        <v>0</v>
      </c>
      <c r="D31" s="65" t="e">
        <f t="shared" si="2"/>
        <v>#DIV/0!</v>
      </c>
      <c r="E31" s="83">
        <f>'Water Reading'!H31-'Water Reading'!H30</f>
        <v>0</v>
      </c>
      <c r="F31" s="84" t="e">
        <f t="shared" si="3"/>
        <v>#DIV/0!</v>
      </c>
      <c r="G31" s="88">
        <f>('Water Reading'!D31-'Water Reading'!D30)-('Water Reading'!R31-'Water Reading'!R30)-('Water Reading'!Q31-'Water Reading'!Q30)</f>
        <v>0</v>
      </c>
      <c r="H31" s="84" t="e">
        <f t="shared" si="4"/>
        <v>#DIV/0!</v>
      </c>
      <c r="I31" s="85">
        <f>'Water Reading'!P31-'Water Reading'!P30</f>
        <v>0</v>
      </c>
      <c r="J31" s="66" t="e">
        <f t="shared" si="5"/>
        <v>#DIV/0!</v>
      </c>
      <c r="K31" s="86">
        <f>('Water Reading'!I31-'Water Reading'!I30)-('Water Reading'!P31-'Water Reading'!P30)</f>
        <v>0</v>
      </c>
      <c r="L31" s="66" t="e">
        <f t="shared" si="6"/>
        <v>#DIV/0!</v>
      </c>
      <c r="M31" s="85">
        <f>'Water Reading'!R31-'Water Reading'!R30</f>
        <v>0</v>
      </c>
      <c r="N31" s="87" t="e">
        <f t="shared" si="7"/>
        <v>#DIV/0!</v>
      </c>
      <c r="O31" s="85">
        <f>'Water Reading'!Q31-'Water Reading'!Q30</f>
        <v>0</v>
      </c>
      <c r="P31" s="92" t="e">
        <f t="shared" si="8"/>
        <v>#DIV/0!</v>
      </c>
      <c r="Q31" s="86">
        <f>'Water Reading'!F31-'Water Reading'!F30</f>
        <v>0</v>
      </c>
      <c r="R31" s="93" t="e">
        <f t="shared" si="9"/>
        <v>#DIV/0!</v>
      </c>
      <c r="S31" s="85">
        <f>'Water Reading'!E31-'Water Reading'!E30</f>
        <v>0</v>
      </c>
      <c r="T31" s="93" t="e">
        <f t="shared" si="10"/>
        <v>#DIV/0!</v>
      </c>
      <c r="U31" s="85">
        <f>'Water Reading'!G31-'Water Reading'!G30</f>
        <v>0</v>
      </c>
      <c r="V31" s="93" t="e">
        <f t="shared" si="11"/>
        <v>#DIV/0!</v>
      </c>
      <c r="W31" s="86">
        <f>'Water Reading'!J31-'Water Reading'!J30</f>
        <v>0</v>
      </c>
      <c r="X31" s="93" t="e">
        <f t="shared" si="12"/>
        <v>#DIV/0!</v>
      </c>
      <c r="Y31" s="64">
        <f t="shared" si="0"/>
        <v>0</v>
      </c>
      <c r="Z31" s="65" t="e">
        <f t="shared" si="1"/>
        <v>#DIV/0!</v>
      </c>
    </row>
    <row r="32" spans="1:26" x14ac:dyDescent="0.25">
      <c r="A32" s="8">
        <f>'Water Reading'!A31</f>
        <v>44741</v>
      </c>
      <c r="B32" s="63">
        <f>TOTAL!I30</f>
        <v>0</v>
      </c>
      <c r="C32" s="64">
        <f>('Water Reading'!B32-'Water Reading'!B31)+('Water Reading'!C32-'Water Reading'!C31)</f>
        <v>0</v>
      </c>
      <c r="D32" s="65" t="e">
        <f t="shared" si="2"/>
        <v>#DIV/0!</v>
      </c>
      <c r="E32" s="83">
        <f>'Water Reading'!H32-'Water Reading'!H31</f>
        <v>0</v>
      </c>
      <c r="F32" s="84" t="e">
        <f t="shared" si="3"/>
        <v>#DIV/0!</v>
      </c>
      <c r="G32" s="88">
        <f>('Water Reading'!D32-'Water Reading'!D31)-('Water Reading'!R32-'Water Reading'!R31)-('Water Reading'!Q32-'Water Reading'!Q31)</f>
        <v>0</v>
      </c>
      <c r="H32" s="84" t="e">
        <f t="shared" si="4"/>
        <v>#DIV/0!</v>
      </c>
      <c r="I32" s="85">
        <f>'Water Reading'!P32-'Water Reading'!P31</f>
        <v>0</v>
      </c>
      <c r="J32" s="66" t="e">
        <f t="shared" si="5"/>
        <v>#DIV/0!</v>
      </c>
      <c r="K32" s="86">
        <f>('Water Reading'!I32-'Water Reading'!I31)-('Water Reading'!P32-'Water Reading'!P31)</f>
        <v>0</v>
      </c>
      <c r="L32" s="66" t="e">
        <f t="shared" si="6"/>
        <v>#DIV/0!</v>
      </c>
      <c r="M32" s="85">
        <f>'Water Reading'!R32-'Water Reading'!R31</f>
        <v>0</v>
      </c>
      <c r="N32" s="87" t="e">
        <f t="shared" si="7"/>
        <v>#DIV/0!</v>
      </c>
      <c r="O32" s="85">
        <f>'Water Reading'!Q32-'Water Reading'!Q31</f>
        <v>0</v>
      </c>
      <c r="P32" s="92" t="e">
        <f t="shared" si="8"/>
        <v>#DIV/0!</v>
      </c>
      <c r="Q32" s="86">
        <f>'Water Reading'!F32-'Water Reading'!F31</f>
        <v>0</v>
      </c>
      <c r="R32" s="93" t="e">
        <f t="shared" si="9"/>
        <v>#DIV/0!</v>
      </c>
      <c r="S32" s="85">
        <f>'Water Reading'!E32-'Water Reading'!E31</f>
        <v>0</v>
      </c>
      <c r="T32" s="93" t="e">
        <f t="shared" si="10"/>
        <v>#DIV/0!</v>
      </c>
      <c r="U32" s="85">
        <f>'Water Reading'!G32-'Water Reading'!G31</f>
        <v>0</v>
      </c>
      <c r="V32" s="93" t="e">
        <f t="shared" si="11"/>
        <v>#DIV/0!</v>
      </c>
      <c r="W32" s="86">
        <f>'Water Reading'!J32-'Water Reading'!J31</f>
        <v>0</v>
      </c>
      <c r="X32" s="93" t="e">
        <f t="shared" si="12"/>
        <v>#DIV/0!</v>
      </c>
      <c r="Y32" s="64">
        <f t="shared" si="0"/>
        <v>0</v>
      </c>
      <c r="Z32" s="65" t="e">
        <f t="shared" si="1"/>
        <v>#DIV/0!</v>
      </c>
    </row>
    <row r="33" spans="1:26" x14ac:dyDescent="0.25">
      <c r="A33" s="8">
        <f>'Water Reading'!A32</f>
        <v>44742</v>
      </c>
      <c r="B33" s="63">
        <f>TOTAL!I31</f>
        <v>0</v>
      </c>
      <c r="C33" s="64">
        <f>('Water Reading'!B33-'Water Reading'!B32)+('Water Reading'!C33-'Water Reading'!C32)</f>
        <v>0</v>
      </c>
      <c r="D33" s="65" t="e">
        <f t="shared" si="2"/>
        <v>#DIV/0!</v>
      </c>
      <c r="E33" s="83">
        <f>'Water Reading'!H33-'Water Reading'!H32</f>
        <v>0</v>
      </c>
      <c r="F33" s="84" t="e">
        <f t="shared" si="3"/>
        <v>#DIV/0!</v>
      </c>
      <c r="G33" s="88">
        <f>('Water Reading'!D33-'Water Reading'!D32)-('Water Reading'!R33-'Water Reading'!R32)-('Water Reading'!Q33-'Water Reading'!Q32)</f>
        <v>0</v>
      </c>
      <c r="H33" s="84" t="e">
        <f t="shared" si="4"/>
        <v>#DIV/0!</v>
      </c>
      <c r="I33" s="85">
        <f>'Water Reading'!P33-'Water Reading'!P32</f>
        <v>0</v>
      </c>
      <c r="J33" s="66" t="e">
        <f t="shared" si="5"/>
        <v>#DIV/0!</v>
      </c>
      <c r="K33" s="86">
        <f>('Water Reading'!I33-'Water Reading'!I32)-('Water Reading'!P33-'Water Reading'!P32)</f>
        <v>0</v>
      </c>
      <c r="L33" s="66" t="e">
        <f t="shared" si="6"/>
        <v>#DIV/0!</v>
      </c>
      <c r="M33" s="85">
        <f>'Water Reading'!R33-'Water Reading'!R32</f>
        <v>0</v>
      </c>
      <c r="N33" s="87" t="e">
        <f t="shared" si="7"/>
        <v>#DIV/0!</v>
      </c>
      <c r="O33" s="85">
        <f>'Water Reading'!Q33-'Water Reading'!Q32</f>
        <v>0</v>
      </c>
      <c r="P33" s="92" t="e">
        <f t="shared" si="8"/>
        <v>#DIV/0!</v>
      </c>
      <c r="Q33" s="86">
        <f>'Water Reading'!F33-'Water Reading'!F32</f>
        <v>0</v>
      </c>
      <c r="R33" s="93" t="e">
        <f t="shared" si="9"/>
        <v>#DIV/0!</v>
      </c>
      <c r="S33" s="85">
        <f>'Water Reading'!E33-'Water Reading'!E32</f>
        <v>0</v>
      </c>
      <c r="T33" s="93" t="e">
        <f t="shared" si="10"/>
        <v>#DIV/0!</v>
      </c>
      <c r="U33" s="85">
        <f>'Water Reading'!G33-'Water Reading'!G32</f>
        <v>0</v>
      </c>
      <c r="V33" s="93" t="e">
        <f t="shared" si="11"/>
        <v>#DIV/0!</v>
      </c>
      <c r="W33" s="86">
        <f>'Water Reading'!J33-'Water Reading'!J32</f>
        <v>0</v>
      </c>
      <c r="X33" s="93" t="e">
        <f t="shared" si="12"/>
        <v>#DIV/0!</v>
      </c>
      <c r="Y33" s="64">
        <f t="shared" si="0"/>
        <v>0</v>
      </c>
      <c r="Z33" s="65" t="e">
        <f t="shared" si="1"/>
        <v>#DIV/0!</v>
      </c>
    </row>
    <row r="34" spans="1:26" x14ac:dyDescent="0.25">
      <c r="A34" s="8">
        <f>'Water Reading'!A33</f>
        <v>44743</v>
      </c>
      <c r="B34" s="63">
        <f>TOTAL!I32</f>
        <v>0</v>
      </c>
      <c r="C34" s="64">
        <f>('Water Reading'!B34-'Water Reading'!B33)+('Water Reading'!C34-'Water Reading'!C33)</f>
        <v>0</v>
      </c>
      <c r="D34" s="65" t="e">
        <f t="shared" si="2"/>
        <v>#DIV/0!</v>
      </c>
      <c r="E34" s="83">
        <f>'Water Reading'!H34-'Water Reading'!H33</f>
        <v>0</v>
      </c>
      <c r="F34" s="84" t="e">
        <f t="shared" si="3"/>
        <v>#DIV/0!</v>
      </c>
      <c r="G34" s="88">
        <f>('Water Reading'!D34-'Water Reading'!D33)-('Water Reading'!R34-'Water Reading'!R33)-('Water Reading'!Q34-'Water Reading'!Q33)</f>
        <v>0</v>
      </c>
      <c r="H34" s="84" t="e">
        <f t="shared" si="4"/>
        <v>#DIV/0!</v>
      </c>
      <c r="I34" s="85">
        <f>'Water Reading'!P34-'Water Reading'!P33</f>
        <v>0</v>
      </c>
      <c r="J34" s="66" t="e">
        <f t="shared" si="5"/>
        <v>#DIV/0!</v>
      </c>
      <c r="K34" s="86">
        <f>('Water Reading'!I34-'Water Reading'!I33)-('Water Reading'!P34-'Water Reading'!P33)</f>
        <v>0</v>
      </c>
      <c r="L34" s="66" t="e">
        <f t="shared" si="6"/>
        <v>#DIV/0!</v>
      </c>
      <c r="M34" s="85">
        <f>'Water Reading'!R34-'Water Reading'!R33</f>
        <v>0</v>
      </c>
      <c r="N34" s="87" t="e">
        <f t="shared" si="7"/>
        <v>#DIV/0!</v>
      </c>
      <c r="O34" s="85">
        <f>'Water Reading'!Q34-'Water Reading'!Q33</f>
        <v>0</v>
      </c>
      <c r="P34" s="92" t="e">
        <f t="shared" si="8"/>
        <v>#DIV/0!</v>
      </c>
      <c r="Q34" s="86">
        <f>'Water Reading'!F34-'Water Reading'!F33</f>
        <v>0</v>
      </c>
      <c r="R34" s="93" t="e">
        <f t="shared" si="9"/>
        <v>#DIV/0!</v>
      </c>
      <c r="S34" s="85">
        <f>'Water Reading'!E34-'Water Reading'!E33</f>
        <v>0</v>
      </c>
      <c r="T34" s="93" t="e">
        <f t="shared" si="10"/>
        <v>#DIV/0!</v>
      </c>
      <c r="U34" s="85">
        <f>'Water Reading'!G34-'Water Reading'!G33</f>
        <v>0</v>
      </c>
      <c r="V34" s="93" t="e">
        <f t="shared" si="11"/>
        <v>#DIV/0!</v>
      </c>
      <c r="W34" s="86">
        <f>'Water Reading'!J34-'Water Reading'!J33</f>
        <v>0</v>
      </c>
      <c r="X34" s="93" t="e">
        <f t="shared" si="12"/>
        <v>#DIV/0!</v>
      </c>
      <c r="Y34" s="64">
        <f t="shared" si="0"/>
        <v>0</v>
      </c>
      <c r="Z34" s="65" t="e">
        <f t="shared" si="1"/>
        <v>#DIV/0!</v>
      </c>
    </row>
    <row r="35" spans="1:26" ht="24" customHeight="1" x14ac:dyDescent="0.25">
      <c r="A35" s="67" t="s">
        <v>51</v>
      </c>
      <c r="B35" s="91" t="s">
        <v>127</v>
      </c>
      <c r="C35" s="72">
        <f>SUM(C4:C34)</f>
        <v>-229814</v>
      </c>
      <c r="D35" s="90" t="e">
        <f>C35/B35</f>
        <v>#VALUE!</v>
      </c>
      <c r="E35" s="7">
        <f>SUM(E4:E34)</f>
        <v>-62098</v>
      </c>
      <c r="F35" s="89">
        <f>E35/C35</f>
        <v>0.27020982185593567</v>
      </c>
      <c r="G35" s="72">
        <f>SUM(G4:G34)</f>
        <v>-266268</v>
      </c>
      <c r="H35" s="89">
        <f>G35/C35</f>
        <v>1.1586239306569661</v>
      </c>
      <c r="I35" s="7">
        <f>SUM(I4:I34)</f>
        <v>-31133</v>
      </c>
      <c r="J35" s="89">
        <f>I35/C35</f>
        <v>0.13547042390802996</v>
      </c>
      <c r="K35" s="7">
        <f>SUM(K4:K34)</f>
        <v>-44722</v>
      </c>
      <c r="L35" s="89">
        <f>K35/C35</f>
        <v>0.19460085112308215</v>
      </c>
      <c r="M35" s="7">
        <f>SUM(M4:M34)</f>
        <v>-182</v>
      </c>
      <c r="N35" s="89">
        <f>M35/C35</f>
        <v>7.9194479013463062E-4</v>
      </c>
      <c r="O35" s="7">
        <f>SUM(O4:O34)</f>
        <v>-1702</v>
      </c>
      <c r="P35" s="89">
        <f>O35/C35</f>
        <v>7.4059891912590181E-3</v>
      </c>
      <c r="Q35" s="7">
        <f>SUM(Q4:Q34)</f>
        <v>-67184</v>
      </c>
      <c r="R35" s="89">
        <f>Q35/C35</f>
        <v>0.29234076252969793</v>
      </c>
      <c r="S35" s="72">
        <f>SUM(S4:S34)</f>
        <v>-270526</v>
      </c>
      <c r="T35" s="89">
        <f>S35/C35</f>
        <v>1.1771519576701159</v>
      </c>
      <c r="U35" s="7">
        <f>SUM(U4:U34)</f>
        <v>-119680</v>
      </c>
      <c r="V35" s="89">
        <f>U35/C35</f>
        <v>0.5207689696885307</v>
      </c>
      <c r="W35" s="7">
        <f>SUM(W4:W34)</f>
        <v>-22819</v>
      </c>
      <c r="X35" s="89">
        <f>W35/C35</f>
        <v>9.929334157187987E-2</v>
      </c>
      <c r="Y35" s="72">
        <f>SUM(Y4:Y34)</f>
        <v>-886314</v>
      </c>
      <c r="Z35" s="89" t="e">
        <f t="shared" si="1"/>
        <v>#VALUE!</v>
      </c>
    </row>
    <row r="44" spans="1:26" x14ac:dyDescent="0.25">
      <c r="Y44" s="78"/>
    </row>
    <row r="64" spans="4:4" x14ac:dyDescent="0.25">
      <c r="D64" s="68"/>
    </row>
    <row r="65" spans="4:4" x14ac:dyDescent="0.25">
      <c r="D65" s="68"/>
    </row>
    <row r="66" spans="4:4" x14ac:dyDescent="0.25">
      <c r="D66" s="68"/>
    </row>
    <row r="67" spans="4:4" x14ac:dyDescent="0.25">
      <c r="D67" s="68"/>
    </row>
    <row r="68" spans="4:4" x14ac:dyDescent="0.25">
      <c r="D68" s="68"/>
    </row>
    <row r="69" spans="4:4" x14ac:dyDescent="0.25">
      <c r="D69" s="68"/>
    </row>
    <row r="70" spans="4:4" x14ac:dyDescent="0.25">
      <c r="D70" s="68"/>
    </row>
    <row r="71" spans="4:4" x14ac:dyDescent="0.25">
      <c r="D71" s="68"/>
    </row>
    <row r="72" spans="4:4" x14ac:dyDescent="0.25">
      <c r="D72" s="68"/>
    </row>
  </sheetData>
  <mergeCells count="14">
    <mergeCell ref="W2:X2"/>
    <mergeCell ref="Y2:Z2"/>
    <mergeCell ref="M2:N2"/>
    <mergeCell ref="O2:P2"/>
    <mergeCell ref="G2:H2"/>
    <mergeCell ref="Q2:R2"/>
    <mergeCell ref="S2:T2"/>
    <mergeCell ref="U2:V2"/>
    <mergeCell ref="K2:L2"/>
    <mergeCell ref="A2:A3"/>
    <mergeCell ref="B2:B3"/>
    <mergeCell ref="C2:D2"/>
    <mergeCell ref="E2:F2"/>
    <mergeCell ref="I2:J2"/>
  </mergeCells>
  <pageMargins left="0.7" right="0.7" top="0.75" bottom="0.75" header="0.3" footer="0.3"/>
  <pageSetup paperSize="9" orientation="portrait" r:id="rId1"/>
  <ignoredErrors>
    <ignoredError sqref="D18" evalError="1"/>
  </ignoredError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Sheet1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2022-06-11T02:24:06Z</dcterms:modified>
  <cp:category/>
  <cp:contentStatus/>
</cp:coreProperties>
</file>