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Hampshire\"/>
    </mc:Choice>
  </mc:AlternateContent>
  <bookViews>
    <workbookView xWindow="0" yWindow="0" windowWidth="28800" windowHeight="13725"/>
  </bookViews>
  <sheets>
    <sheet name="TOTAL" sheetId="1" r:id="rId1"/>
    <sheet name="Submetering" sheetId="3" r:id="rId2"/>
    <sheet name="Hampshire Daily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M21" i="2" l="1"/>
  <c r="L31" i="2" l="1"/>
  <c r="L32" i="2" s="1"/>
  <c r="L33" i="2" s="1"/>
  <c r="L34" i="2" s="1"/>
  <c r="O30" i="2"/>
  <c r="O31" i="2" s="1"/>
  <c r="O29" i="2"/>
  <c r="O19" i="2"/>
  <c r="O20" i="2" s="1"/>
  <c r="O21" i="2" s="1"/>
  <c r="O22" i="2" s="1"/>
  <c r="O23" i="2" s="1"/>
  <c r="O24" i="2" s="1"/>
  <c r="O25" i="2" s="1"/>
  <c r="O15" i="2"/>
  <c r="O8" i="2"/>
  <c r="O9" i="2" s="1"/>
  <c r="O10" i="2" s="1"/>
  <c r="O11" i="2" s="1"/>
  <c r="O12" i="2" s="1"/>
  <c r="L5" i="2"/>
  <c r="L6" i="2" s="1"/>
  <c r="L7" i="2" s="1"/>
  <c r="L8" i="2" s="1"/>
  <c r="L9" i="2" s="1"/>
  <c r="L10" i="2" s="1"/>
  <c r="L30" i="2"/>
  <c r="L29" i="2"/>
  <c r="L22" i="2"/>
  <c r="L23" i="2" s="1"/>
  <c r="L24" i="2" s="1"/>
  <c r="L25" i="2" s="1"/>
  <c r="L20" i="2"/>
  <c r="L16" i="2"/>
  <c r="L17" i="2" s="1"/>
  <c r="L15" i="2"/>
  <c r="L12" i="2"/>
  <c r="M11" i="2"/>
  <c r="M12" i="2" s="1"/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E32" i="3" l="1"/>
  <c r="F32" i="3"/>
  <c r="G32" i="3"/>
  <c r="H32" i="3"/>
  <c r="I32" i="3"/>
  <c r="J32" i="3"/>
  <c r="G32" i="1"/>
  <c r="O32" i="3"/>
  <c r="P32" i="3"/>
  <c r="Q32" i="3"/>
  <c r="R32" i="3"/>
  <c r="S32" i="3"/>
  <c r="T32" i="3"/>
  <c r="X32" i="3"/>
  <c r="Y32" i="3"/>
  <c r="I32" i="1"/>
  <c r="E32" i="1" l="1"/>
  <c r="V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23" i="3"/>
  <c r="F24" i="3"/>
  <c r="F25" i="3"/>
  <c r="F26" i="3"/>
  <c r="F27" i="3"/>
  <c r="F28" i="3"/>
  <c r="F29" i="3"/>
  <c r="F30" i="3"/>
  <c r="F31" i="3"/>
  <c r="H25" i="3" l="1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G28" i="1"/>
  <c r="E28" i="3"/>
  <c r="E28" i="1" s="1"/>
  <c r="E22" i="3"/>
  <c r="F22" i="3"/>
  <c r="H22" i="3"/>
  <c r="I22" i="3"/>
  <c r="J22" i="3"/>
  <c r="G22" i="1"/>
  <c r="I22" i="1"/>
  <c r="O22" i="3"/>
  <c r="P22" i="3"/>
  <c r="Q22" i="3"/>
  <c r="R22" i="3"/>
  <c r="S22" i="3"/>
  <c r="X22" i="3"/>
  <c r="Y22" i="3"/>
  <c r="L22" i="1" s="1"/>
  <c r="E23" i="3"/>
  <c r="H23" i="3"/>
  <c r="I23" i="3"/>
  <c r="J23" i="3"/>
  <c r="G23" i="1"/>
  <c r="I23" i="1"/>
  <c r="O23" i="3"/>
  <c r="P23" i="3"/>
  <c r="Q23" i="3"/>
  <c r="R23" i="3"/>
  <c r="S23" i="3"/>
  <c r="X23" i="3"/>
  <c r="Y23" i="3"/>
  <c r="L23" i="1" s="1"/>
  <c r="E24" i="3"/>
  <c r="H24" i="3"/>
  <c r="I24" i="3"/>
  <c r="J24" i="3"/>
  <c r="G24" i="1"/>
  <c r="O24" i="3"/>
  <c r="P24" i="3"/>
  <c r="Q24" i="3"/>
  <c r="R24" i="3"/>
  <c r="S24" i="3"/>
  <c r="X24" i="3"/>
  <c r="Y24" i="3"/>
  <c r="L24" i="1" s="1"/>
  <c r="E25" i="3"/>
  <c r="E25" i="1" s="1"/>
  <c r="G25" i="1"/>
  <c r="O25" i="3"/>
  <c r="P25" i="3"/>
  <c r="Q25" i="3"/>
  <c r="R25" i="3"/>
  <c r="S25" i="3"/>
  <c r="X25" i="3"/>
  <c r="Y25" i="3"/>
  <c r="L25" i="1" s="1"/>
  <c r="E26" i="3"/>
  <c r="E26" i="1" s="1"/>
  <c r="G26" i="1"/>
  <c r="I26" i="1"/>
  <c r="O26" i="3"/>
  <c r="P26" i="3"/>
  <c r="Q26" i="3"/>
  <c r="R26" i="3"/>
  <c r="S26" i="3"/>
  <c r="X26" i="3"/>
  <c r="Y26" i="3"/>
  <c r="L26" i="1" s="1"/>
  <c r="E27" i="3"/>
  <c r="E27" i="1" s="1"/>
  <c r="I27" i="1"/>
  <c r="O27" i="3"/>
  <c r="P27" i="3"/>
  <c r="R27" i="3"/>
  <c r="S27" i="3"/>
  <c r="X27" i="3"/>
  <c r="Y27" i="3"/>
  <c r="I28" i="1"/>
  <c r="O28" i="3"/>
  <c r="P28" i="3"/>
  <c r="R28" i="3"/>
  <c r="S28" i="3"/>
  <c r="X28" i="3"/>
  <c r="Y28" i="3"/>
  <c r="L28" i="1" s="1"/>
  <c r="E29" i="3"/>
  <c r="E29" i="1" s="1"/>
  <c r="G29" i="1"/>
  <c r="I29" i="1"/>
  <c r="O29" i="3"/>
  <c r="P29" i="3"/>
  <c r="Q29" i="3"/>
  <c r="R29" i="3"/>
  <c r="S29" i="3"/>
  <c r="X29" i="3"/>
  <c r="Y29" i="3"/>
  <c r="L29" i="1" s="1"/>
  <c r="E30" i="3"/>
  <c r="E30" i="1" s="1"/>
  <c r="G30" i="1"/>
  <c r="I30" i="1"/>
  <c r="O30" i="3"/>
  <c r="P30" i="3"/>
  <c r="Q30" i="3"/>
  <c r="R30" i="3"/>
  <c r="S30" i="3"/>
  <c r="X30" i="3"/>
  <c r="Y30" i="3"/>
  <c r="Q20" i="3"/>
  <c r="P6" i="3"/>
  <c r="S6" i="3"/>
  <c r="O5" i="3"/>
  <c r="G6" i="1"/>
  <c r="G3" i="1"/>
  <c r="F3" i="3"/>
  <c r="E3" i="3"/>
  <c r="F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7" i="3"/>
  <c r="E7" i="1" s="1"/>
  <c r="E8" i="3"/>
  <c r="E8" i="1" s="1"/>
  <c r="E9" i="3"/>
  <c r="E10" i="3"/>
  <c r="E11" i="3"/>
  <c r="E11" i="1" s="1"/>
  <c r="E12" i="3"/>
  <c r="E12" i="1" s="1"/>
  <c r="E13" i="3"/>
  <c r="E14" i="3"/>
  <c r="E15" i="3"/>
  <c r="E15" i="1" s="1"/>
  <c r="E16" i="3"/>
  <c r="E16" i="1" s="1"/>
  <c r="E17" i="3"/>
  <c r="E18" i="3"/>
  <c r="E19" i="3"/>
  <c r="E20" i="3"/>
  <c r="E21" i="3"/>
  <c r="E31" i="3"/>
  <c r="E31" i="1" s="1"/>
  <c r="E2" i="3"/>
  <c r="G2" i="3"/>
  <c r="H2" i="3"/>
  <c r="I2" i="3"/>
  <c r="J2" i="3"/>
  <c r="L2" i="3"/>
  <c r="M2" i="3"/>
  <c r="G2" i="1" s="1"/>
  <c r="O2" i="3"/>
  <c r="P2" i="3"/>
  <c r="Q2" i="3"/>
  <c r="R2" i="3"/>
  <c r="S2" i="3"/>
  <c r="X2" i="3"/>
  <c r="Y2" i="3"/>
  <c r="L2" i="1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3" i="3"/>
  <c r="I3" i="3"/>
  <c r="J3" i="3"/>
  <c r="O3" i="3"/>
  <c r="P3" i="3"/>
  <c r="Q3" i="3"/>
  <c r="R3" i="3"/>
  <c r="S3" i="3"/>
  <c r="X3" i="3"/>
  <c r="Y3" i="3"/>
  <c r="L3" i="1" s="1"/>
  <c r="H4" i="3"/>
  <c r="I4" i="3"/>
  <c r="I4" i="1"/>
  <c r="P4" i="3"/>
  <c r="Q4" i="3"/>
  <c r="R4" i="3"/>
  <c r="S4" i="3"/>
  <c r="X4" i="3"/>
  <c r="Y4" i="3"/>
  <c r="L4" i="1" s="1"/>
  <c r="H5" i="3"/>
  <c r="I5" i="3"/>
  <c r="P5" i="3"/>
  <c r="X5" i="3"/>
  <c r="Y5" i="3"/>
  <c r="L5" i="1" s="1"/>
  <c r="H6" i="3"/>
  <c r="I6" i="3"/>
  <c r="X6" i="3"/>
  <c r="Y6" i="3"/>
  <c r="L6" i="1" s="1"/>
  <c r="H7" i="3"/>
  <c r="I7" i="3"/>
  <c r="G7" i="1"/>
  <c r="I7" i="1"/>
  <c r="O7" i="3"/>
  <c r="P7" i="3"/>
  <c r="Q7" i="3"/>
  <c r="R7" i="3"/>
  <c r="S7" i="3"/>
  <c r="X7" i="3"/>
  <c r="Y7" i="3"/>
  <c r="L7" i="1" s="1"/>
  <c r="H8" i="3"/>
  <c r="I8" i="3"/>
  <c r="G8" i="1"/>
  <c r="I8" i="1"/>
  <c r="O8" i="3"/>
  <c r="P8" i="3"/>
  <c r="Q8" i="3"/>
  <c r="R8" i="3"/>
  <c r="S8" i="3"/>
  <c r="X8" i="3"/>
  <c r="Y8" i="3"/>
  <c r="L8" i="1" s="1"/>
  <c r="H9" i="3"/>
  <c r="I9" i="3"/>
  <c r="G9" i="1"/>
  <c r="I9" i="1"/>
  <c r="O9" i="3"/>
  <c r="P9" i="3"/>
  <c r="Q9" i="3"/>
  <c r="R9" i="3"/>
  <c r="S9" i="3"/>
  <c r="X9" i="3"/>
  <c r="Y9" i="3"/>
  <c r="L9" i="1" s="1"/>
  <c r="H10" i="3"/>
  <c r="I10" i="3"/>
  <c r="G10" i="1"/>
  <c r="O10" i="3"/>
  <c r="P10" i="3"/>
  <c r="Q10" i="3"/>
  <c r="R10" i="3"/>
  <c r="S10" i="3"/>
  <c r="X10" i="3"/>
  <c r="Y10" i="3"/>
  <c r="L10" i="1" s="1"/>
  <c r="H11" i="3"/>
  <c r="I11" i="3"/>
  <c r="G11" i="1"/>
  <c r="O11" i="3"/>
  <c r="P11" i="3"/>
  <c r="Q11" i="3"/>
  <c r="R11" i="3"/>
  <c r="S11" i="3"/>
  <c r="X11" i="3"/>
  <c r="Y11" i="3"/>
  <c r="L11" i="1" s="1"/>
  <c r="H12" i="3"/>
  <c r="I12" i="3"/>
  <c r="G12" i="1"/>
  <c r="O12" i="3"/>
  <c r="P12" i="3"/>
  <c r="Q12" i="3"/>
  <c r="R12" i="3"/>
  <c r="S12" i="3"/>
  <c r="X12" i="3"/>
  <c r="Y12" i="3"/>
  <c r="L12" i="1" s="1"/>
  <c r="H13" i="3"/>
  <c r="I13" i="3"/>
  <c r="G13" i="1"/>
  <c r="I13" i="1"/>
  <c r="O13" i="3"/>
  <c r="P13" i="3"/>
  <c r="Q13" i="3"/>
  <c r="R13" i="3"/>
  <c r="S13" i="3"/>
  <c r="X13" i="3"/>
  <c r="Y13" i="3"/>
  <c r="L13" i="1" s="1"/>
  <c r="H14" i="3"/>
  <c r="I14" i="3"/>
  <c r="G14" i="1"/>
  <c r="O14" i="3"/>
  <c r="P14" i="3"/>
  <c r="Q14" i="3"/>
  <c r="R14" i="3"/>
  <c r="S14" i="3"/>
  <c r="X14" i="3"/>
  <c r="Y14" i="3"/>
  <c r="L14" i="1" s="1"/>
  <c r="H15" i="3"/>
  <c r="I15" i="3"/>
  <c r="G15" i="1"/>
  <c r="O15" i="3"/>
  <c r="P15" i="3"/>
  <c r="Q15" i="3"/>
  <c r="R15" i="3"/>
  <c r="S15" i="3"/>
  <c r="X15" i="3"/>
  <c r="Y15" i="3"/>
  <c r="L15" i="1" s="1"/>
  <c r="H16" i="3"/>
  <c r="I16" i="3"/>
  <c r="J16" i="3"/>
  <c r="G16" i="1"/>
  <c r="I16" i="1"/>
  <c r="O16" i="3"/>
  <c r="P16" i="3"/>
  <c r="Q16" i="3"/>
  <c r="R16" i="3"/>
  <c r="S16" i="3"/>
  <c r="X16" i="3"/>
  <c r="Y16" i="3"/>
  <c r="L16" i="1" s="1"/>
  <c r="H17" i="3"/>
  <c r="I17" i="3"/>
  <c r="J17" i="3"/>
  <c r="G17" i="1"/>
  <c r="I17" i="1"/>
  <c r="O17" i="3"/>
  <c r="P17" i="3"/>
  <c r="Q17" i="3"/>
  <c r="R17" i="3"/>
  <c r="S17" i="3"/>
  <c r="X17" i="3"/>
  <c r="Y17" i="3"/>
  <c r="L17" i="1" s="1"/>
  <c r="H18" i="3"/>
  <c r="I18" i="3"/>
  <c r="G18" i="1"/>
  <c r="I18" i="1"/>
  <c r="O18" i="3"/>
  <c r="P18" i="3"/>
  <c r="Q18" i="3"/>
  <c r="R18" i="3"/>
  <c r="S18" i="3"/>
  <c r="X18" i="3"/>
  <c r="Y18" i="3"/>
  <c r="L18" i="1" s="1"/>
  <c r="H19" i="3"/>
  <c r="I19" i="3"/>
  <c r="G19" i="1"/>
  <c r="O19" i="3"/>
  <c r="P19" i="3"/>
  <c r="R19" i="3"/>
  <c r="S19" i="3"/>
  <c r="X19" i="3"/>
  <c r="Y19" i="3"/>
  <c r="L19" i="1" s="1"/>
  <c r="H20" i="3"/>
  <c r="I20" i="3"/>
  <c r="G20" i="1"/>
  <c r="O20" i="3"/>
  <c r="P20" i="3"/>
  <c r="R20" i="3"/>
  <c r="S20" i="3"/>
  <c r="X20" i="3"/>
  <c r="Y20" i="3"/>
  <c r="L20" i="1" s="1"/>
  <c r="H21" i="3"/>
  <c r="I21" i="3"/>
  <c r="G21" i="1"/>
  <c r="I21" i="1"/>
  <c r="O21" i="3"/>
  <c r="P21" i="3"/>
  <c r="Q21" i="3"/>
  <c r="R21" i="3"/>
  <c r="S21" i="3"/>
  <c r="X21" i="3"/>
  <c r="Y21" i="3"/>
  <c r="L21" i="1" s="1"/>
  <c r="L30" i="1"/>
  <c r="G31" i="1"/>
  <c r="I31" i="1"/>
  <c r="O31" i="3"/>
  <c r="P31" i="3"/>
  <c r="Q31" i="3"/>
  <c r="R31" i="3"/>
  <c r="S31" i="3"/>
  <c r="X31" i="3"/>
  <c r="Y31" i="3"/>
  <c r="L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L27" i="1"/>
  <c r="I3" i="1"/>
  <c r="N2" i="3"/>
  <c r="I2" i="1" s="1"/>
  <c r="J18" i="3"/>
  <c r="J19" i="3"/>
  <c r="J20" i="3"/>
  <c r="J21" i="3"/>
  <c r="J4" i="3"/>
  <c r="J5" i="3"/>
  <c r="J6" i="3"/>
  <c r="J7" i="3"/>
  <c r="J8" i="3"/>
  <c r="J9" i="3"/>
  <c r="J10" i="3"/>
  <c r="J11" i="3"/>
  <c r="J12" i="3"/>
  <c r="J13" i="3"/>
  <c r="J14" i="3"/>
  <c r="J15" i="3"/>
  <c r="G4" i="1"/>
  <c r="K2" i="3"/>
  <c r="O6" i="3"/>
  <c r="G5" i="1"/>
  <c r="S5" i="3"/>
  <c r="E4" i="3"/>
  <c r="O4" i="3"/>
  <c r="Q28" i="3"/>
  <c r="R6" i="3"/>
  <c r="R5" i="3"/>
  <c r="I20" i="1"/>
  <c r="I19" i="1"/>
  <c r="E6" i="3"/>
  <c r="E5" i="3"/>
  <c r="F6" i="3"/>
  <c r="F5" i="3"/>
  <c r="I6" i="1"/>
  <c r="I5" i="1"/>
  <c r="Q5" i="3"/>
  <c r="Q6" i="3"/>
  <c r="I25" i="1"/>
  <c r="I24" i="1"/>
  <c r="Q19" i="3"/>
  <c r="G27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<sst xmlns="http://schemas.openxmlformats.org/spreadsheetml/2006/main" count="133" uniqueCount="57">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</sst>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1" fillId="0" borderId="0" xfId="1"/>
    <xf numFmtId="0" fontId="1" fillId="0" borderId="3" xfId="1" applyBorder="1" applyAlignment="1">
      <alignment horizontal="right"/>
    </xf>
    <xf numFmtId="0" fontId="1" fillId="5" borderId="3" xfId="1" applyFill="1" applyBorder="1"/>
    <xf numFmtId="0" fontId="1" fillId="5" borderId="3" xfId="1" applyFill="1" applyBorder="1" applyAlignment="1">
      <alignment horizontal="right"/>
    </xf>
    <xf numFmtId="165" fontId="0" fillId="2" borderId="2" xfId="0" applyNumberForma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/>
    </xf>
    <xf numFmtId="0" fontId="9" fillId="2" borderId="3" xfId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9" fillId="2" borderId="3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8" fillId="5" borderId="3" xfId="0" applyNumberFormat="1" applyFont="1" applyFill="1" applyBorder="1" applyAlignment="1" applyProtection="1">
      <alignment horizontal="center"/>
      <protection locked="0"/>
    </xf>
    <xf numFmtId="0" fontId="8" fillId="0" borderId="3" xfId="0" applyFont="1" applyBorder="1"/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L33" sqref="L33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42</v>
      </c>
      <c r="B2" s="2">
        <v>1</v>
      </c>
      <c r="C2" s="2">
        <v>1</v>
      </c>
      <c r="D2" s="2">
        <v>2020</v>
      </c>
      <c r="E2" s="4">
        <f>(Submetering!E2+Submetering!F2)</f>
        <v>13770</v>
      </c>
      <c r="F2" s="12">
        <v>0.14199999999999999</v>
      </c>
      <c r="G2" s="4">
        <f>Submetering!M2</f>
        <v>3730</v>
      </c>
      <c r="H2" s="12">
        <v>0.21</v>
      </c>
      <c r="I2" s="4" t="str">
        <f>Submetering!N2</f>
        <v>0</v>
      </c>
      <c r="J2" s="13">
        <v>2.06</v>
      </c>
      <c r="K2" s="4">
        <f>'Hampshire Daily'!B5</f>
        <v>112</v>
      </c>
      <c r="L2" s="4">
        <f>Submetering!Y2</f>
        <v>285</v>
      </c>
    </row>
    <row r="3" spans="1:24" ht="14.45" x14ac:dyDescent="0.35">
      <c r="A3" s="3" t="s">
        <v>42</v>
      </c>
      <c r="B3" s="2">
        <f>B2+1</f>
        <v>2</v>
      </c>
      <c r="C3" s="2">
        <v>1</v>
      </c>
      <c r="D3" s="2">
        <v>2020</v>
      </c>
      <c r="E3" s="4">
        <f>Submetering!E3+Submetering!F3</f>
        <v>10700</v>
      </c>
      <c r="F3" s="12">
        <v>0.14199999999999999</v>
      </c>
      <c r="G3" s="4">
        <f>Submetering!M3</f>
        <v>2484</v>
      </c>
      <c r="H3" s="12">
        <v>0.21</v>
      </c>
      <c r="I3" s="4">
        <f>Submetering!N3</f>
        <v>178</v>
      </c>
      <c r="J3" s="13">
        <v>2.06</v>
      </c>
      <c r="K3" s="4">
        <f>'Hampshire Daily'!B6</f>
        <v>109</v>
      </c>
      <c r="L3" s="4">
        <f>Submetering!Y3</f>
        <v>285</v>
      </c>
    </row>
    <row r="4" spans="1:24" ht="14.45" x14ac:dyDescent="0.35">
      <c r="A4" s="3" t="s">
        <v>42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</f>
        <v>11360</v>
      </c>
      <c r="F4" s="12">
        <v>0.14199999999999999</v>
      </c>
      <c r="G4" s="4">
        <f>Submetering!M4</f>
        <v>2425</v>
      </c>
      <c r="H4" s="12">
        <v>0.21</v>
      </c>
      <c r="I4" s="4">
        <f>Submetering!N4</f>
        <v>209</v>
      </c>
      <c r="J4" s="13">
        <v>2.06</v>
      </c>
      <c r="K4" s="4">
        <f>'Hampshire Daily'!B7</f>
        <v>115</v>
      </c>
      <c r="L4" s="4">
        <f>Submetering!Y4</f>
        <v>306</v>
      </c>
    </row>
    <row r="5" spans="1:24" ht="14.45" x14ac:dyDescent="0.35">
      <c r="A5" s="3" t="s">
        <v>42</v>
      </c>
      <c r="B5" s="2">
        <f t="shared" si="0"/>
        <v>4</v>
      </c>
      <c r="C5" s="2">
        <v>1</v>
      </c>
      <c r="D5" s="2">
        <v>2020</v>
      </c>
      <c r="E5" s="4">
        <f>Submetering!E5+Submetering!F5</f>
        <v>12170</v>
      </c>
      <c r="F5" s="12">
        <v>0.14199999999999999</v>
      </c>
      <c r="G5" s="4">
        <f>Submetering!M5</f>
        <v>2783</v>
      </c>
      <c r="H5" s="12">
        <v>0.21</v>
      </c>
      <c r="I5" s="4">
        <f>Submetering!N5</f>
        <v>0</v>
      </c>
      <c r="J5" s="13">
        <v>2.06</v>
      </c>
      <c r="K5" s="4">
        <f>'Hampshire Daily'!B8</f>
        <v>120</v>
      </c>
      <c r="L5" s="4">
        <f>Submetering!Y5</f>
        <v>326</v>
      </c>
    </row>
    <row r="6" spans="1:24" ht="14.45" x14ac:dyDescent="0.35">
      <c r="A6" s="3" t="s">
        <v>42</v>
      </c>
      <c r="B6" s="2">
        <f t="shared" si="0"/>
        <v>5</v>
      </c>
      <c r="C6" s="2">
        <v>1</v>
      </c>
      <c r="D6" s="2">
        <v>2020</v>
      </c>
      <c r="E6" s="4">
        <f>Submetering!E6+Submetering!F6</f>
        <v>10370</v>
      </c>
      <c r="F6" s="12">
        <v>0.14199999999999999</v>
      </c>
      <c r="G6" s="4">
        <f>Submetering!M6</f>
        <v>2348</v>
      </c>
      <c r="H6" s="12">
        <v>0.21</v>
      </c>
      <c r="I6" s="4">
        <f>Submetering!N6</f>
        <v>239</v>
      </c>
      <c r="J6" s="13">
        <v>2.06</v>
      </c>
      <c r="K6" s="4">
        <f>'Hampshire Daily'!B9</f>
        <v>50</v>
      </c>
      <c r="L6" s="4">
        <f>Submetering!Y6</f>
        <v>133</v>
      </c>
    </row>
    <row r="7" spans="1:24" ht="14.45" x14ac:dyDescent="0.35">
      <c r="A7" s="3" t="s">
        <v>42</v>
      </c>
      <c r="B7" s="2">
        <f t="shared" si="0"/>
        <v>6</v>
      </c>
      <c r="C7" s="2">
        <v>1</v>
      </c>
      <c r="D7" s="2">
        <v>2020</v>
      </c>
      <c r="E7" s="4">
        <f>Submetering!E7+Submetering!F7</f>
        <v>10810</v>
      </c>
      <c r="F7" s="12">
        <v>0.14199999999999999</v>
      </c>
      <c r="G7" s="4">
        <f>Submetering!M7</f>
        <v>2419</v>
      </c>
      <c r="H7" s="12">
        <v>0.21</v>
      </c>
      <c r="I7" s="4">
        <f>Submetering!N7</f>
        <v>239</v>
      </c>
      <c r="J7" s="13">
        <v>2.06</v>
      </c>
      <c r="K7" s="4">
        <f>'Hampshire Daily'!B10</f>
        <v>33</v>
      </c>
      <c r="L7" s="4">
        <f>Submetering!Y7</f>
        <v>74</v>
      </c>
    </row>
    <row r="8" spans="1:24" ht="14.45" x14ac:dyDescent="0.35">
      <c r="A8" s="3" t="s">
        <v>42</v>
      </c>
      <c r="B8" s="2">
        <f t="shared" si="0"/>
        <v>7</v>
      </c>
      <c r="C8" s="2">
        <v>1</v>
      </c>
      <c r="D8" s="2">
        <v>2020</v>
      </c>
      <c r="E8" s="4">
        <f>Submetering!E8+Submetering!F8</f>
        <v>10140</v>
      </c>
      <c r="F8" s="12">
        <v>0.14199999999999999</v>
      </c>
      <c r="G8" s="4">
        <f>Submetering!M8</f>
        <v>2355</v>
      </c>
      <c r="H8" s="12">
        <v>0.21</v>
      </c>
      <c r="I8" s="4">
        <f>Submetering!N8</f>
        <v>239</v>
      </c>
      <c r="J8" s="13">
        <v>2.06</v>
      </c>
      <c r="K8" s="4">
        <f>'Hampshire Daily'!B11</f>
        <v>39</v>
      </c>
      <c r="L8" s="4">
        <f>Submetering!Y8</f>
        <v>58</v>
      </c>
    </row>
    <row r="9" spans="1:24" ht="14.45" x14ac:dyDescent="0.35">
      <c r="A9" s="3" t="s">
        <v>42</v>
      </c>
      <c r="B9" s="2">
        <f t="shared" si="0"/>
        <v>8</v>
      </c>
      <c r="C9" s="2">
        <v>1</v>
      </c>
      <c r="D9" s="2">
        <v>2020</v>
      </c>
      <c r="E9" s="4">
        <f>Submetering!E9+Submetering!F9</f>
        <v>10250</v>
      </c>
      <c r="F9" s="12">
        <v>0.14199999999999999</v>
      </c>
      <c r="G9" s="4">
        <f>Submetering!M9</f>
        <v>2040</v>
      </c>
      <c r="H9" s="12">
        <v>0.21</v>
      </c>
      <c r="I9" s="4">
        <f>Submetering!N9</f>
        <v>239</v>
      </c>
      <c r="J9" s="13">
        <v>2.06</v>
      </c>
      <c r="K9" s="4">
        <f>'Hampshire Daily'!B12</f>
        <v>13</v>
      </c>
      <c r="L9" s="4">
        <f>Submetering!Y9</f>
        <v>24</v>
      </c>
    </row>
    <row r="10" spans="1:24" ht="14.45" x14ac:dyDescent="0.35">
      <c r="A10" s="3" t="s">
        <v>42</v>
      </c>
      <c r="B10" s="2">
        <f t="shared" si="0"/>
        <v>9</v>
      </c>
      <c r="C10" s="2">
        <v>1</v>
      </c>
      <c r="D10" s="2">
        <v>2020</v>
      </c>
      <c r="E10" s="4">
        <f>Submetering!E10+Submetering!F10</f>
        <v>10080</v>
      </c>
      <c r="F10" s="12">
        <v>0.14199999999999999</v>
      </c>
      <c r="G10" s="4">
        <f>Submetering!M10</f>
        <v>2046</v>
      </c>
      <c r="H10" s="12">
        <v>0.21</v>
      </c>
      <c r="I10" s="4">
        <f>Submetering!N10</f>
        <v>481</v>
      </c>
      <c r="J10" s="13">
        <v>2.06</v>
      </c>
      <c r="K10" s="4">
        <f>'Hampshire Daily'!B13</f>
        <v>29</v>
      </c>
      <c r="L10" s="4">
        <f>Submetering!Y10</f>
        <v>44</v>
      </c>
    </row>
    <row r="11" spans="1:24" ht="14.45" x14ac:dyDescent="0.35">
      <c r="A11" s="3" t="s">
        <v>42</v>
      </c>
      <c r="B11" s="2">
        <f t="shared" si="0"/>
        <v>10</v>
      </c>
      <c r="C11" s="2">
        <v>1</v>
      </c>
      <c r="D11" s="2">
        <v>2020</v>
      </c>
      <c r="E11" s="4">
        <f>Submetering!E11+Submetering!F11</f>
        <v>9690</v>
      </c>
      <c r="F11" s="12">
        <v>0.14199999999999999</v>
      </c>
      <c r="G11" s="4">
        <f>Submetering!M11</f>
        <v>2122</v>
      </c>
      <c r="H11" s="12">
        <v>0.21</v>
      </c>
      <c r="I11" s="4">
        <f>Submetering!N11</f>
        <v>132</v>
      </c>
      <c r="J11" s="13">
        <v>2.06</v>
      </c>
      <c r="K11" s="4">
        <f>'Hampshire Daily'!B14</f>
        <v>56</v>
      </c>
      <c r="L11" s="4">
        <f>Submetering!Y11</f>
        <v>133</v>
      </c>
    </row>
    <row r="12" spans="1:24" ht="14.45" x14ac:dyDescent="0.35">
      <c r="A12" s="3" t="s">
        <v>42</v>
      </c>
      <c r="B12" s="2">
        <f t="shared" si="0"/>
        <v>11</v>
      </c>
      <c r="C12" s="2">
        <v>1</v>
      </c>
      <c r="D12" s="2">
        <v>2020</v>
      </c>
      <c r="E12" s="4">
        <f>Submetering!E12+Submetering!F12</f>
        <v>10140</v>
      </c>
      <c r="F12" s="12">
        <v>0.14199999999999999</v>
      </c>
      <c r="G12" s="4">
        <f>Submetering!M12</f>
        <v>2366</v>
      </c>
      <c r="H12" s="12">
        <v>0.21</v>
      </c>
      <c r="I12" s="4">
        <f>Submetering!N12</f>
        <v>239</v>
      </c>
      <c r="J12" s="13">
        <v>2.06</v>
      </c>
      <c r="K12" s="4">
        <f>'Hampshire Daily'!B15</f>
        <v>93</v>
      </c>
      <c r="L12" s="4">
        <f>Submetering!Y12</f>
        <v>231</v>
      </c>
    </row>
    <row r="13" spans="1:24" ht="14.45" x14ac:dyDescent="0.35">
      <c r="A13" s="3" t="s">
        <v>42</v>
      </c>
      <c r="B13" s="2">
        <f t="shared" si="0"/>
        <v>12</v>
      </c>
      <c r="C13" s="2">
        <v>1</v>
      </c>
      <c r="D13" s="2">
        <v>2020</v>
      </c>
      <c r="E13" s="4">
        <f>Submetering!E13+Submetering!F13</f>
        <v>10470</v>
      </c>
      <c r="F13" s="12">
        <v>0.14199999999999999</v>
      </c>
      <c r="G13" s="4">
        <f>Submetering!M13</f>
        <v>2375</v>
      </c>
      <c r="H13" s="12">
        <v>0.21</v>
      </c>
      <c r="I13" s="4">
        <f>Submetering!N13</f>
        <v>67</v>
      </c>
      <c r="J13" s="13">
        <v>2.06</v>
      </c>
      <c r="K13" s="4">
        <f>'Hampshire Daily'!B16</f>
        <v>33</v>
      </c>
      <c r="L13" s="4">
        <f>Submetering!Y13</f>
        <v>74</v>
      </c>
    </row>
    <row r="14" spans="1:24" ht="14.45" x14ac:dyDescent="0.35">
      <c r="A14" s="3" t="s">
        <v>42</v>
      </c>
      <c r="B14" s="2">
        <f t="shared" si="0"/>
        <v>13</v>
      </c>
      <c r="C14" s="2">
        <v>1</v>
      </c>
      <c r="D14" s="2">
        <v>2020</v>
      </c>
      <c r="E14" s="4">
        <f>Submetering!E14+Submetering!F14</f>
        <v>10030</v>
      </c>
      <c r="F14" s="12">
        <v>0.14199999999999999</v>
      </c>
      <c r="G14" s="4">
        <f>Submetering!M14</f>
        <v>2350</v>
      </c>
      <c r="H14" s="12">
        <v>0.21</v>
      </c>
      <c r="I14" s="4">
        <f>Submetering!N14</f>
        <v>159</v>
      </c>
      <c r="J14" s="13">
        <v>2.06</v>
      </c>
      <c r="K14" s="4">
        <f>'Hampshire Daily'!B17</f>
        <v>40</v>
      </c>
      <c r="L14" s="4">
        <f>Submetering!Y14</f>
        <v>63</v>
      </c>
    </row>
    <row r="15" spans="1:24" ht="14.45" x14ac:dyDescent="0.35">
      <c r="A15" s="3" t="s">
        <v>42</v>
      </c>
      <c r="B15" s="2">
        <f t="shared" si="0"/>
        <v>14</v>
      </c>
      <c r="C15" s="2">
        <v>1</v>
      </c>
      <c r="D15" s="2">
        <v>2020</v>
      </c>
      <c r="E15" s="4">
        <f>Submetering!E15+Submetering!F15</f>
        <v>9900</v>
      </c>
      <c r="F15" s="12">
        <v>0.14199999999999999</v>
      </c>
      <c r="G15" s="4">
        <f>Submetering!M15</f>
        <v>2261</v>
      </c>
      <c r="H15" s="12">
        <v>0.21</v>
      </c>
      <c r="I15" s="4">
        <f>Submetering!N15</f>
        <v>138</v>
      </c>
      <c r="J15" s="13">
        <v>2.06</v>
      </c>
      <c r="K15" s="4">
        <f>'Hampshire Daily'!B18</f>
        <v>45</v>
      </c>
      <c r="L15" s="4">
        <f>Submetering!Y15</f>
        <v>59</v>
      </c>
    </row>
    <row r="16" spans="1:24" ht="14.45" x14ac:dyDescent="0.35">
      <c r="A16" s="3" t="s">
        <v>42</v>
      </c>
      <c r="B16" s="2">
        <f t="shared" si="0"/>
        <v>15</v>
      </c>
      <c r="C16" s="2">
        <v>1</v>
      </c>
      <c r="D16" s="2">
        <v>2020</v>
      </c>
      <c r="E16" s="4">
        <f>Submetering!E16+Submetering!F16</f>
        <v>9540</v>
      </c>
      <c r="F16" s="12">
        <v>0.14199999999999999</v>
      </c>
      <c r="G16" s="4">
        <f>Submetering!M16</f>
        <v>1936</v>
      </c>
      <c r="H16" s="12">
        <v>0.21</v>
      </c>
      <c r="I16" s="4">
        <f>Submetering!N16</f>
        <v>0</v>
      </c>
      <c r="J16" s="13">
        <v>2.06</v>
      </c>
      <c r="K16" s="4">
        <f>'Hampshire Daily'!B19</f>
        <v>46</v>
      </c>
      <c r="L16" s="4">
        <f>Submetering!Y16</f>
        <v>63</v>
      </c>
    </row>
    <row r="17" spans="1:12" x14ac:dyDescent="0.25">
      <c r="A17" s="3" t="s">
        <v>42</v>
      </c>
      <c r="B17" s="2">
        <f t="shared" si="0"/>
        <v>16</v>
      </c>
      <c r="C17" s="2">
        <v>1</v>
      </c>
      <c r="D17" s="2">
        <v>2020</v>
      </c>
      <c r="E17" s="4">
        <f>Submetering!E17+Submetering!F17</f>
        <v>9950</v>
      </c>
      <c r="F17" s="12">
        <v>0.14199999999999999</v>
      </c>
      <c r="G17" s="4">
        <f>Submetering!M17</f>
        <v>2324</v>
      </c>
      <c r="H17" s="12">
        <v>0.21</v>
      </c>
      <c r="I17" s="4">
        <f>Submetering!N17</f>
        <v>141</v>
      </c>
      <c r="J17" s="13">
        <v>2.06</v>
      </c>
      <c r="K17" s="4">
        <f>'Hampshire Daily'!B20</f>
        <v>21</v>
      </c>
      <c r="L17" s="4">
        <f>Submetering!Y17</f>
        <v>44</v>
      </c>
    </row>
    <row r="18" spans="1:12" x14ac:dyDescent="0.25">
      <c r="A18" s="3" t="s">
        <v>42</v>
      </c>
      <c r="B18" s="2">
        <f t="shared" si="0"/>
        <v>17</v>
      </c>
      <c r="C18" s="2">
        <v>1</v>
      </c>
      <c r="D18" s="2">
        <v>2020</v>
      </c>
      <c r="E18" s="4">
        <f>Submetering!E18+Submetering!F18</f>
        <v>10050</v>
      </c>
      <c r="F18" s="12">
        <v>0.14199999999999999</v>
      </c>
      <c r="G18" s="4">
        <f>Submetering!M18</f>
        <v>2229</v>
      </c>
      <c r="H18" s="12">
        <v>0.21</v>
      </c>
      <c r="I18" s="4">
        <f>Submetering!N18</f>
        <v>141</v>
      </c>
      <c r="J18" s="13">
        <v>2.06</v>
      </c>
      <c r="K18" s="4">
        <f>'Hampshire Daily'!B21</f>
        <v>46</v>
      </c>
      <c r="L18" s="4">
        <f>Submetering!Y18</f>
        <v>121</v>
      </c>
    </row>
    <row r="19" spans="1:12" x14ac:dyDescent="0.25">
      <c r="A19" s="3" t="s">
        <v>42</v>
      </c>
      <c r="B19" s="2">
        <f t="shared" si="0"/>
        <v>18</v>
      </c>
      <c r="C19" s="2">
        <v>1</v>
      </c>
      <c r="D19" s="2">
        <v>2020</v>
      </c>
      <c r="E19" s="4">
        <f>Submetering!E19+Submetering!F19</f>
        <v>10260</v>
      </c>
      <c r="F19" s="12">
        <v>0.14199999999999999</v>
      </c>
      <c r="G19" s="4">
        <f>Submetering!M19</f>
        <v>2536</v>
      </c>
      <c r="H19" s="12">
        <v>0.21</v>
      </c>
      <c r="I19" s="4">
        <f>Submetering!N19</f>
        <v>141</v>
      </c>
      <c r="J19" s="13">
        <v>2.06</v>
      </c>
      <c r="K19" s="4">
        <f>'Hampshire Daily'!B22</f>
        <v>96</v>
      </c>
      <c r="L19" s="4">
        <f>Submetering!Y19</f>
        <v>241</v>
      </c>
    </row>
    <row r="20" spans="1:12" x14ac:dyDescent="0.25">
      <c r="A20" s="3" t="s">
        <v>42</v>
      </c>
      <c r="B20" s="2">
        <f t="shared" si="0"/>
        <v>19</v>
      </c>
      <c r="C20" s="2">
        <v>1</v>
      </c>
      <c r="D20" s="2">
        <v>2020</v>
      </c>
      <c r="E20" s="4">
        <f>Submetering!E20+Submetering!F20</f>
        <v>10230</v>
      </c>
      <c r="F20" s="12">
        <v>0.14199999999999999</v>
      </c>
      <c r="G20" s="4">
        <f>Submetering!M20</f>
        <v>2624</v>
      </c>
      <c r="H20" s="12">
        <v>0.21</v>
      </c>
      <c r="I20" s="4">
        <f>Submetering!N20</f>
        <v>141</v>
      </c>
      <c r="J20" s="13">
        <v>2.06</v>
      </c>
      <c r="K20" s="4">
        <f>'Hampshire Daily'!B23</f>
        <v>20</v>
      </c>
      <c r="L20" s="4">
        <f>Submetering!Y20</f>
        <v>53</v>
      </c>
    </row>
    <row r="21" spans="1:12" x14ac:dyDescent="0.25">
      <c r="A21" s="3" t="s">
        <v>42</v>
      </c>
      <c r="B21" s="2">
        <f t="shared" si="0"/>
        <v>20</v>
      </c>
      <c r="C21" s="2">
        <v>1</v>
      </c>
      <c r="D21" s="2">
        <v>2020</v>
      </c>
      <c r="E21" s="4">
        <f>Submetering!E21+Submetering!F21</f>
        <v>10030</v>
      </c>
      <c r="F21" s="12">
        <v>0.14199999999999999</v>
      </c>
      <c r="G21" s="4">
        <f>Submetering!M21</f>
        <v>2648</v>
      </c>
      <c r="H21" s="12">
        <v>0.21</v>
      </c>
      <c r="I21" s="4">
        <f>Submetering!N21</f>
        <v>141</v>
      </c>
      <c r="J21" s="13">
        <v>2.06</v>
      </c>
      <c r="K21" s="4">
        <f>'Hampshire Daily'!B24</f>
        <v>27</v>
      </c>
      <c r="L21" s="4">
        <f>Submetering!Y21</f>
        <v>55</v>
      </c>
    </row>
    <row r="22" spans="1:12" x14ac:dyDescent="0.25">
      <c r="A22" s="3" t="s">
        <v>42</v>
      </c>
      <c r="B22" s="2">
        <f t="shared" si="0"/>
        <v>21</v>
      </c>
      <c r="C22" s="2">
        <v>1</v>
      </c>
      <c r="D22" s="2">
        <v>2020</v>
      </c>
      <c r="E22" s="4">
        <f>Submetering!E22+Submetering!F22</f>
        <v>9890</v>
      </c>
      <c r="F22" s="12">
        <v>0.14199999999999999</v>
      </c>
      <c r="G22" s="4">
        <f>Submetering!M22</f>
        <v>2618</v>
      </c>
      <c r="H22" s="12">
        <v>0.21</v>
      </c>
      <c r="I22" s="4">
        <f>Submetering!N22</f>
        <v>141</v>
      </c>
      <c r="J22" s="13">
        <v>2.06</v>
      </c>
      <c r="K22" s="4">
        <f>'Hampshire Daily'!B25</f>
        <v>32</v>
      </c>
      <c r="L22" s="4">
        <f>Submetering!Y22</f>
        <v>53</v>
      </c>
    </row>
    <row r="23" spans="1:12" x14ac:dyDescent="0.25">
      <c r="A23" s="3" t="s">
        <v>42</v>
      </c>
      <c r="B23" s="2">
        <f t="shared" si="0"/>
        <v>22</v>
      </c>
      <c r="C23" s="2">
        <v>1</v>
      </c>
      <c r="D23" s="2">
        <v>2020</v>
      </c>
      <c r="E23" s="4">
        <f>Submetering!E23+Submetering!F23</f>
        <v>9880</v>
      </c>
      <c r="F23" s="12">
        <v>0.14199999999999999</v>
      </c>
      <c r="G23" s="4">
        <f>Submetering!M23</f>
        <v>2457</v>
      </c>
      <c r="H23" s="12">
        <v>0.21</v>
      </c>
      <c r="I23" s="4">
        <f>Submetering!N23</f>
        <v>288</v>
      </c>
      <c r="J23" s="13">
        <v>2.06</v>
      </c>
      <c r="K23" s="4">
        <f>'Hampshire Daily'!B26</f>
        <v>23</v>
      </c>
      <c r="L23" s="4">
        <f>Submetering!Y23</f>
        <v>46</v>
      </c>
    </row>
    <row r="24" spans="1:12" x14ac:dyDescent="0.25">
      <c r="A24" s="3" t="s">
        <v>42</v>
      </c>
      <c r="B24" s="2">
        <f t="shared" si="0"/>
        <v>23</v>
      </c>
      <c r="C24" s="2">
        <v>1</v>
      </c>
      <c r="D24" s="2">
        <v>2020</v>
      </c>
      <c r="E24" s="4">
        <f>Submetering!E24+Submetering!F24</f>
        <v>10280</v>
      </c>
      <c r="F24" s="12">
        <v>0.14199999999999999</v>
      </c>
      <c r="G24" s="4">
        <f>Submetering!M24</f>
        <v>2413</v>
      </c>
      <c r="H24" s="12">
        <v>0.21</v>
      </c>
      <c r="I24" s="4">
        <f>Submetering!N24</f>
        <v>139</v>
      </c>
      <c r="J24" s="13">
        <v>2.06</v>
      </c>
      <c r="K24" s="4">
        <f>'Hampshire Daily'!B27</f>
        <v>17</v>
      </c>
      <c r="L24" s="4">
        <f>Submetering!Y24</f>
        <v>53</v>
      </c>
    </row>
    <row r="25" spans="1:12" x14ac:dyDescent="0.25">
      <c r="A25" s="3" t="s">
        <v>42</v>
      </c>
      <c r="B25" s="2">
        <f t="shared" si="0"/>
        <v>24</v>
      </c>
      <c r="C25" s="2">
        <v>1</v>
      </c>
      <c r="D25" s="2">
        <v>2020</v>
      </c>
      <c r="E25" s="4">
        <f>Submetering!E25+Submetering!F25</f>
        <v>10080</v>
      </c>
      <c r="F25" s="12">
        <v>0.14199999999999999</v>
      </c>
      <c r="G25" s="4">
        <f>Submetering!M25</f>
        <v>2359</v>
      </c>
      <c r="H25" s="12">
        <v>0.21</v>
      </c>
      <c r="I25" s="4">
        <f>Submetering!N25</f>
        <v>136</v>
      </c>
      <c r="J25" s="13">
        <v>2.06</v>
      </c>
      <c r="K25" s="4">
        <f>'Hampshire Daily'!B28</f>
        <v>76</v>
      </c>
      <c r="L25" s="4">
        <f>Submetering!Y25</f>
        <v>202</v>
      </c>
    </row>
    <row r="26" spans="1:12" x14ac:dyDescent="0.25">
      <c r="A26" s="3" t="s">
        <v>42</v>
      </c>
      <c r="B26" s="2">
        <f>B25+1</f>
        <v>25</v>
      </c>
      <c r="C26" s="2">
        <v>1</v>
      </c>
      <c r="D26" s="2">
        <v>2020</v>
      </c>
      <c r="E26" s="4">
        <f>Submetering!E26+Submetering!F26</f>
        <v>10610</v>
      </c>
      <c r="F26" s="12">
        <v>0.14199999999999999</v>
      </c>
      <c r="G26" s="4">
        <f>Submetering!M26</f>
        <v>2419</v>
      </c>
      <c r="H26" s="12">
        <v>0.21</v>
      </c>
      <c r="I26" s="4">
        <f>Submetering!N26</f>
        <v>141</v>
      </c>
      <c r="J26" s="13">
        <v>2.06</v>
      </c>
      <c r="K26" s="4">
        <f>'Hampshire Daily'!B29</f>
        <v>109</v>
      </c>
      <c r="L26" s="4">
        <f>Submetering!Y26</f>
        <v>276</v>
      </c>
    </row>
    <row r="27" spans="1:12" x14ac:dyDescent="0.25">
      <c r="A27" s="3" t="s">
        <v>42</v>
      </c>
      <c r="B27" s="2">
        <f t="shared" si="0"/>
        <v>26</v>
      </c>
      <c r="C27" s="2">
        <v>1</v>
      </c>
      <c r="D27" s="2">
        <v>2020</v>
      </c>
      <c r="E27" s="4">
        <f>Submetering!E27+Submetering!F27</f>
        <v>10590</v>
      </c>
      <c r="F27" s="12">
        <v>0.14199999999999999</v>
      </c>
      <c r="G27" s="4">
        <f>Submetering!M27</f>
        <v>2412</v>
      </c>
      <c r="H27" s="12">
        <v>0.21</v>
      </c>
      <c r="I27" s="4">
        <f>Submetering!N27</f>
        <v>141</v>
      </c>
      <c r="J27" s="13">
        <v>2.06</v>
      </c>
      <c r="K27" s="4">
        <f>'Hampshire Daily'!B30</f>
        <v>23</v>
      </c>
      <c r="L27" s="4">
        <f>Submetering!Y27</f>
        <v>46</v>
      </c>
    </row>
    <row r="28" spans="1:12" x14ac:dyDescent="0.25">
      <c r="A28" s="3" t="s">
        <v>42</v>
      </c>
      <c r="B28" s="2">
        <f t="shared" si="0"/>
        <v>27</v>
      </c>
      <c r="C28" s="2">
        <v>1</v>
      </c>
      <c r="D28" s="2">
        <v>2020</v>
      </c>
      <c r="E28" s="4">
        <f>Submetering!E28+Submetering!F28</f>
        <v>9680</v>
      </c>
      <c r="F28" s="12">
        <v>0.14199999999999999</v>
      </c>
      <c r="G28" s="4">
        <f>Submetering!M28</f>
        <v>2231</v>
      </c>
      <c r="H28" s="12">
        <v>0.21</v>
      </c>
      <c r="I28" s="4">
        <f>Submetering!N28</f>
        <v>141</v>
      </c>
      <c r="J28" s="13">
        <v>2.06</v>
      </c>
      <c r="K28" s="4">
        <f>'Hampshire Daily'!B31</f>
        <v>28</v>
      </c>
      <c r="L28" s="4">
        <f>Submetering!Y28</f>
        <v>44</v>
      </c>
    </row>
    <row r="29" spans="1:12" x14ac:dyDescent="0.25">
      <c r="A29" s="3" t="s">
        <v>42</v>
      </c>
      <c r="B29" s="2">
        <f t="shared" si="0"/>
        <v>28</v>
      </c>
      <c r="C29" s="2">
        <v>1</v>
      </c>
      <c r="D29" s="2">
        <v>2020</v>
      </c>
      <c r="E29" s="4">
        <f>Submetering!E29+Submetering!F29</f>
        <v>8880</v>
      </c>
      <c r="F29" s="12">
        <v>0.14199999999999999</v>
      </c>
      <c r="G29" s="4">
        <f>Submetering!M29</f>
        <v>1900</v>
      </c>
      <c r="H29" s="12">
        <v>0.21</v>
      </c>
      <c r="I29" s="4">
        <f>Submetering!N29</f>
        <v>121</v>
      </c>
      <c r="J29" s="13">
        <v>2.06</v>
      </c>
      <c r="K29" s="4">
        <f>'Hampshire Daily'!B32</f>
        <v>28</v>
      </c>
      <c r="L29" s="4">
        <f>Submetering!Y29</f>
        <v>44</v>
      </c>
    </row>
    <row r="30" spans="1:12" x14ac:dyDescent="0.25">
      <c r="A30" s="3" t="s">
        <v>42</v>
      </c>
      <c r="B30" s="2">
        <f t="shared" si="0"/>
        <v>29</v>
      </c>
      <c r="C30" s="2">
        <v>1</v>
      </c>
      <c r="D30" s="2">
        <v>2020</v>
      </c>
      <c r="E30" s="4">
        <f>Submetering!E30+Submetering!F30</f>
        <v>9040</v>
      </c>
      <c r="F30" s="12">
        <v>0.14199999999999999</v>
      </c>
      <c r="G30" s="4">
        <f>Submetering!M30</f>
        <v>2467</v>
      </c>
      <c r="H30" s="12">
        <v>0.21</v>
      </c>
      <c r="I30" s="4">
        <f>Submetering!N30</f>
        <v>136</v>
      </c>
      <c r="J30" s="13">
        <v>2.06</v>
      </c>
      <c r="K30" s="4">
        <f>'Hampshire Daily'!B33</f>
        <v>24</v>
      </c>
      <c r="L30" s="4">
        <f>Submetering!Y30</f>
        <v>46</v>
      </c>
    </row>
    <row r="31" spans="1:12" x14ac:dyDescent="0.25">
      <c r="A31" s="3" t="s">
        <v>42</v>
      </c>
      <c r="B31" s="2">
        <f t="shared" si="0"/>
        <v>30</v>
      </c>
      <c r="C31" s="2">
        <v>1</v>
      </c>
      <c r="D31" s="2">
        <v>2020</v>
      </c>
      <c r="E31" s="4">
        <f>Submetering!E31+Submetering!F31</f>
        <v>9980</v>
      </c>
      <c r="F31" s="12">
        <v>0.14199999999999999</v>
      </c>
      <c r="G31" s="4">
        <f>Submetering!M31</f>
        <v>2317</v>
      </c>
      <c r="H31" s="12">
        <v>0.21</v>
      </c>
      <c r="I31" s="4">
        <f>Submetering!N31</f>
        <v>136</v>
      </c>
      <c r="J31" s="13">
        <v>2.06</v>
      </c>
      <c r="K31" s="4">
        <f>'Hampshire Daily'!B34</f>
        <v>27</v>
      </c>
      <c r="L31" s="4">
        <f>Submetering!Y31</f>
        <v>49</v>
      </c>
    </row>
    <row r="32" spans="1:12" x14ac:dyDescent="0.25">
      <c r="A32" s="3" t="s">
        <v>42</v>
      </c>
      <c r="B32" s="2">
        <f t="shared" si="0"/>
        <v>31</v>
      </c>
      <c r="C32" s="2">
        <v>1</v>
      </c>
      <c r="D32" s="2">
        <v>2020</v>
      </c>
      <c r="E32" s="4">
        <f>Submetering!E32+Submetering!F32</f>
        <v>9360</v>
      </c>
      <c r="F32" s="12">
        <v>1.1419999999999999</v>
      </c>
      <c r="G32" s="4">
        <f>Submetering!M32</f>
        <v>1905</v>
      </c>
      <c r="H32" s="12">
        <v>1.21</v>
      </c>
      <c r="I32" s="4">
        <f>Submetering!N32</f>
        <v>212</v>
      </c>
      <c r="J32" s="13">
        <v>3.06</v>
      </c>
      <c r="K32" s="4">
        <v>27</v>
      </c>
      <c r="L32" s="4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4" sqref="O4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54</v>
      </c>
      <c r="V1" s="9" t="s">
        <v>52</v>
      </c>
      <c r="W1" s="10" t="s">
        <v>53</v>
      </c>
      <c r="X1" s="10" t="s">
        <v>8</v>
      </c>
      <c r="Y1" s="9" t="s">
        <v>9</v>
      </c>
    </row>
    <row r="2" spans="1:31" ht="14.45" x14ac:dyDescent="0.35">
      <c r="A2" s="3" t="s">
        <v>42</v>
      </c>
      <c r="B2" s="1">
        <v>1</v>
      </c>
      <c r="C2" s="17">
        <v>1</v>
      </c>
      <c r="D2" s="1">
        <v>2020</v>
      </c>
      <c r="E2" s="4">
        <f>IF(('Hampshire Daily'!D5-'Hampshire Daily'!D4&lt;0), "0",('Hampshire Daily'!D5-'Hampshire Daily'!D4)*10)</f>
        <v>6530</v>
      </c>
      <c r="F2" s="4">
        <f>IF(('Hampshire Daily'!F5-'Hampshire Daily'!F4&lt;0), "0",('Hampshire Daily'!F5-'Hampshire Daily'!F4)*10)</f>
        <v>7240</v>
      </c>
      <c r="G2" s="4">
        <f>IF(('Hampshire Daily'!H5-'Hampshire Daily'!H4&lt;0), "0",'Hampshire Daily'!H5-'Hampshire Daily'!H4)</f>
        <v>936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1000</v>
      </c>
      <c r="L2" s="4">
        <f>IF(('Hampshire Daily'!M5-'Hampshire Daily'!M4&lt;0), "0",'Hampshire Daily'!M5-'Hampshire Daily'!M4)</f>
        <v>976</v>
      </c>
      <c r="M2" s="4">
        <f>IF(('Hampshire Daily'!N5-'Hampshire Daily'!N4&lt;0), "0",'Hampshire Daily'!N5-'Hampshire Daily'!N4)</f>
        <v>3730</v>
      </c>
      <c r="N2" s="4" t="str">
        <f>IF(('Hampshire Daily'!O5-'Hampshire Daily'!O4&lt;0), "0",'Hampshire Daily'!O5-'Hampshire Daily'!O4)</f>
        <v>0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5</v>
      </c>
      <c r="R2" s="4">
        <f>IF(('Hampshire Daily'!U5-'Hampshire Daily'!U4&lt;0), "0",'Hampshire Daily'!U5-'Hampshire Daily'!U4)</f>
        <v>11.5</v>
      </c>
      <c r="S2" s="4" t="str">
        <f>IF(('Hampshire Daily'!V5-'Hampshire Daily'!V4&lt;0), "0",'Hampshire Daily'!V5-'Hampshire Daily'!V4)</f>
        <v>0</v>
      </c>
      <c r="T2" s="4" t="str">
        <f>IF(('Hampshire Daily'!X5-'Hampshire Daily'!X4&lt;0), "0",'Hampshire Daily'!X5-'Hampshire Daily'!X4)</f>
        <v>0</v>
      </c>
      <c r="U2" s="4">
        <f>IF(('Hampshire Daily'!Y5-'Hampshire Daily'!Y4&lt;0), "0",'Hampshire Daily'!Y5-'Hampshire Daily'!Y4)</f>
        <v>9.8000000000070031E-2</v>
      </c>
      <c r="V2" s="4">
        <f>IF(('Hampshire Daily'!Z5-'Hampshire Daily'!Z4&lt;0), "0",'Hampshire Daily'!Z5-'Hampshire Daily'!Z4)</f>
        <v>0.10099999999965803</v>
      </c>
      <c r="W2" s="4">
        <f>IF(('Hampshire Daily'!Z5-'Hampshire Daily'!Z4&lt;0), "0",'Hampshire Daily'!Z5-'Hampshire Daily'!Z4)</f>
        <v>0.10099999999965803</v>
      </c>
      <c r="X2" s="4">
        <f>'Hampshire Daily'!B5</f>
        <v>112</v>
      </c>
      <c r="Y2" s="4">
        <f>'Hampshire Daily'!C5</f>
        <v>285</v>
      </c>
    </row>
    <row r="3" spans="1:31" ht="14.45" x14ac:dyDescent="0.35">
      <c r="A3" s="3" t="s">
        <v>42</v>
      </c>
      <c r="B3" s="1">
        <f>B2+1</f>
        <v>2</v>
      </c>
      <c r="C3" s="17">
        <v>1</v>
      </c>
      <c r="D3" s="1">
        <v>2020</v>
      </c>
      <c r="E3" s="4">
        <f>IF(('Hampshire Daily'!D6-'Hampshire Daily'!D5&lt;0), "0",('Hampshire Daily'!D6-'Hampshire Daily'!D5)*10)</f>
        <v>5190</v>
      </c>
      <c r="F3" s="4">
        <f>IF(('Hampshire Daily'!F6-'Hampshire Daily'!F5&lt;0), "0",('Hampshire Daily'!F6-'Hampshire Daily'!F5)*10)</f>
        <v>5510</v>
      </c>
      <c r="G3" s="4">
        <f>IF(('Hampshire Daily'!H6-'Hampshire Daily'!H5&lt;0), "0",'Hampshire Daily'!H6-'Hampshire Daily'!H5)</f>
        <v>768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4">
        <f>IF(('Hampshire Daily'!L6-'Hampshire Daily'!L5&lt;0), "0",'Hampshire Daily'!L6-'Hampshire Daily'!L5)</f>
        <v>1000</v>
      </c>
      <c r="L3" s="4">
        <f>IF(('Hampshire Daily'!M6-'Hampshire Daily'!M5&lt;0), "0",'Hampshire Daily'!M6-'Hampshire Daily'!M5)</f>
        <v>898</v>
      </c>
      <c r="M3" s="4">
        <f>IF(('Hampshire Daily'!N6-'Hampshire Daily'!N5&lt;0), "0",'Hampshire Daily'!N6-'Hampshire Daily'!N5)</f>
        <v>2484</v>
      </c>
      <c r="N3" s="4">
        <f>IF(('Hampshire Daily'!O6-'Hampshire Daily'!O5&lt;0), "0",'Hampshire Daily'!O6-'Hampshire Daily'!O5)</f>
        <v>178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2</v>
      </c>
      <c r="R3" s="4">
        <f>IF(('Hampshire Daily'!U6-'Hampshire Daily'!U5&lt;0), "0",'Hampshire Daily'!U6-'Hampshire Daily'!U5)</f>
        <v>10</v>
      </c>
      <c r="S3" s="4">
        <f>IF(('Hampshire Daily'!V6-'Hampshire Daily'!V5&lt;0), "0",'Hampshire Daily'!V6-'Hampshire Daily'!V5)</f>
        <v>0</v>
      </c>
      <c r="T3" s="4">
        <f>IF(('Hampshire Daily'!X6-'Hampshire Daily'!X5&lt;0), "0",'Hampshire Daily'!X6-'Hampshire Daily'!X5)</f>
        <v>2.6999999999986812E-2</v>
      </c>
      <c r="U3" s="4">
        <f>IF(('Hampshire Daily'!Y6-'Hampshire Daily'!Y5&lt;0), "0",'Hampshire Daily'!Y6-'Hampshire Daily'!Y5)</f>
        <v>3.4999999999968168E-2</v>
      </c>
      <c r="V3" s="4">
        <f>IF(('Hampshire Daily'!Z6-'Hampshire Daily'!Z5&lt;0), "0",'Hampshire Daily'!Z6-'Hampshire Daily'!Z5)</f>
        <v>0.10999999999967258</v>
      </c>
      <c r="W3" s="4">
        <f>IF(('Hampshire Daily'!Z6-'Hampshire Daily'!Z5&lt;0), "0",'Hampshire Daily'!Z6-'Hampshire Daily'!Z5)</f>
        <v>0.10999999999967258</v>
      </c>
      <c r="X3" s="4">
        <f>'Hampshire Daily'!B6</f>
        <v>109</v>
      </c>
      <c r="Y3" s="4">
        <f>'Hampshire Daily'!C6</f>
        <v>285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</row>
    <row r="4" spans="1:31" ht="14.45" x14ac:dyDescent="0.35">
      <c r="A4" s="3" t="s">
        <v>42</v>
      </c>
      <c r="B4" s="1">
        <f t="shared" ref="B4:B32" si="0">B3+1</f>
        <v>3</v>
      </c>
      <c r="C4" s="17">
        <v>1</v>
      </c>
      <c r="D4" s="1">
        <v>2020</v>
      </c>
      <c r="E4" s="4">
        <f>IF(('Hampshire Daily'!D7-'Hampshire Daily'!D6&lt;0), "0",('Hampshire Daily'!D7-'Hampshire Daily'!D6)*10)</f>
        <v>4570</v>
      </c>
      <c r="F4" s="4">
        <f>IF(('Hampshire Daily'!F7-'Hampshire Daily'!F6&lt;0), "0",('Hampshire Daily'!F7-'Hampshire Daily'!F6)*10)</f>
        <v>6790</v>
      </c>
      <c r="G4" s="4" t="str">
        <f>IF(('Hampshire Daily'!H7-'Hampshire Daily'!H6&lt;0), "0",'Hampshire Daily'!H7-'Hampshire Daily'!H6)</f>
        <v>0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4">
        <f>IF(('Hampshire Daily'!L7-'Hampshire Daily'!L6&lt;0), "0",'Hampshire Daily'!L7-'Hampshire Daily'!L6)</f>
        <v>1000</v>
      </c>
      <c r="L4" s="4">
        <f>IF(('Hampshire Daily'!M7-'Hampshire Daily'!M6&lt;0), "0",'Hampshire Daily'!M7-'Hampshire Daily'!M6)</f>
        <v>925</v>
      </c>
      <c r="M4" s="4">
        <f>IF(('Hampshire Daily'!N7-'Hampshire Daily'!N6&lt;0), "0",'Hampshire Daily'!N7-'Hampshire Daily'!N6)</f>
        <v>2425</v>
      </c>
      <c r="N4" s="4">
        <f>IF(('Hampshire Daily'!O7-'Hampshire Daily'!O6&lt;0), "0",'Hampshire Daily'!O7-'Hampshire Daily'!O6)</f>
        <v>209</v>
      </c>
      <c r="O4" s="4">
        <f>IF(('Hampshire Daily'!P7-'Hampshire Daily'!P6&lt;0), "0",'Hampshire Daily'!P7-'Hampshire Daily'!P6)</f>
        <v>0.67699999999990723</v>
      </c>
      <c r="P4" s="4">
        <f>IF(('Hampshire Daily'!Q7-'Hampshire Daily'!Q6&lt;0), "0",'Hampshire Daily'!Q7-'Hampshire Daily'!Q6)</f>
        <v>7</v>
      </c>
      <c r="Q4" s="4">
        <f>IF(('Hampshire Daily'!R7-'Hampshire Daily'!R6&lt;0), "0",'Hampshire Daily'!R7-'Hampshire Daily'!R6)</f>
        <v>1</v>
      </c>
      <c r="R4" s="4">
        <f>IF(('Hampshire Daily'!U7-'Hampshire Daily'!U6&lt;0), "0",'Hampshire Daily'!U7-'Hampshire Daily'!U6)</f>
        <v>10</v>
      </c>
      <c r="S4" s="4">
        <f>IF(('Hampshire Daily'!V7-'Hampshire Daily'!V6&lt;0), "0",'Hampshire Daily'!V7-'Hampshire Daily'!V6)</f>
        <v>1</v>
      </c>
      <c r="T4" s="4">
        <f>IF(('Hampshire Daily'!X7-'Hampshire Daily'!X6&lt;0), "0",'Hampshire Daily'!X7-'Hampshire Daily'!X6)</f>
        <v>0</v>
      </c>
      <c r="U4" s="4">
        <f>IF(('Hampshire Daily'!Y7-'Hampshire Daily'!Y6&lt;0), "0",'Hampshire Daily'!Y7-'Hampshire Daily'!Y6)</f>
        <v>4.100000000005366E-2</v>
      </c>
      <c r="V4" s="4">
        <f>IF(('Hampshire Daily'!Z7-'Hampshire Daily'!Z6&lt;0), "0",'Hampshire Daily'!Z7-'Hampshire Daily'!Z6)</f>
        <v>6.400000000030559E-2</v>
      </c>
      <c r="W4" s="4">
        <f>IF(('Hampshire Daily'!Z7-'Hampshire Daily'!Z6&lt;0), "0",'Hampshire Daily'!Z7-'Hampshire Daily'!Z6)</f>
        <v>6.400000000030559E-2</v>
      </c>
      <c r="X4" s="4">
        <f>'Hampshire Daily'!B7</f>
        <v>115</v>
      </c>
      <c r="Y4" s="4">
        <f>'Hampshire Daily'!C7</f>
        <v>306</v>
      </c>
      <c r="AB4" t="s">
        <v>43</v>
      </c>
    </row>
    <row r="5" spans="1:31" ht="14.45" x14ac:dyDescent="0.35">
      <c r="A5" s="3" t="s">
        <v>42</v>
      </c>
      <c r="B5" s="1">
        <f t="shared" si="0"/>
        <v>4</v>
      </c>
      <c r="C5" s="17">
        <v>1</v>
      </c>
      <c r="D5" s="1">
        <v>2020</v>
      </c>
      <c r="E5" s="4">
        <f>IF(('Hampshire Daily'!D8-'Hampshire Daily'!D7&lt;0), "0",('Hampshire Daily'!D8-'Hampshire Daily'!D7)*10)</f>
        <v>4630</v>
      </c>
      <c r="F5" s="4">
        <f>IF(('Hampshire Daily'!F8-'Hampshire Daily'!F7&lt;0), "0",('Hampshire Daily'!F8-'Hampshire Daily'!F7)*10)</f>
        <v>7540</v>
      </c>
      <c r="G5" s="4">
        <f>IF(('Hampshire Daily'!H8-'Hampshire Daily'!H7&lt;0), "0",'Hampshire Daily'!H8-'Hampshire Daily'!H7)</f>
        <v>784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4">
        <f>IF(('Hampshire Daily'!L8-'Hampshire Daily'!L7&lt;0), "0",'Hampshire Daily'!L8-'Hampshire Daily'!L7)</f>
        <v>1000</v>
      </c>
      <c r="L5" s="4">
        <f>IF(('Hampshire Daily'!M8-'Hampshire Daily'!M7&lt;0), "0",'Hampshire Daily'!M8-'Hampshire Daily'!M7)</f>
        <v>957</v>
      </c>
      <c r="M5" s="4">
        <f>IF(('Hampshire Daily'!N8-'Hampshire Daily'!N7&lt;0), "0",'Hampshire Daily'!N8-'Hampshire Daily'!N7)</f>
        <v>2783</v>
      </c>
      <c r="N5" s="4">
        <f>IF(('Hampshire Daily'!O8-'Hampshire Daily'!O7&lt;0), "0",'Hampshire Daily'!O8-'Hampshire Daily'!O7)</f>
        <v>0</v>
      </c>
      <c r="O5" s="4">
        <f>IF(('Hampshire Daily'!P8-'Hampshire Daily'!P7&lt;0), "0",'Hampshire Daily'!P8-'Hampshire Daily'!P7)</f>
        <v>142250.95699999999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9</v>
      </c>
      <c r="S5" s="4">
        <f>IF(('Hampshire Daily'!V8-'Hampshire Daily'!V7&lt;0), "0",'Hampshire Daily'!V8-'Hampshire Daily'!V7)</f>
        <v>1</v>
      </c>
      <c r="T5" s="4">
        <f>IF(('Hampshire Daily'!X8-'Hampshire Daily'!X7&lt;0), "0",'Hampshire Daily'!X8-'Hampshire Daily'!X7)</f>
        <v>0</v>
      </c>
      <c r="U5" s="4">
        <f>IF(('Hampshire Daily'!Y8-'Hampshire Daily'!Y7&lt;0), "0",'Hampshire Daily'!Y8-'Hampshire Daily'!Y7)</f>
        <v>4.8999999999978172E-2</v>
      </c>
      <c r="V5" s="4">
        <f>IF(('Hampshire Daily'!Z8-'Hampshire Daily'!Z7&lt;0), "0",'Hampshire Daily'!Z8-'Hampshire Daily'!Z7)</f>
        <v>4.2999999999665306E-2</v>
      </c>
      <c r="W5" s="4">
        <f>IF(('Hampshire Daily'!Z8-'Hampshire Daily'!Z7&lt;0), "0",'Hampshire Daily'!Z8-'Hampshire Daily'!Z7)</f>
        <v>4.2999999999665306E-2</v>
      </c>
      <c r="X5" s="4">
        <f>'Hampshire Daily'!B8</f>
        <v>120</v>
      </c>
      <c r="Y5" s="4">
        <f>'Hampshire Daily'!C8</f>
        <v>326</v>
      </c>
    </row>
    <row r="6" spans="1:31" ht="14.45" x14ac:dyDescent="0.35">
      <c r="A6" s="3" t="s">
        <v>42</v>
      </c>
      <c r="B6" s="1">
        <f t="shared" si="0"/>
        <v>5</v>
      </c>
      <c r="C6" s="17">
        <v>1</v>
      </c>
      <c r="D6" s="1">
        <v>2020</v>
      </c>
      <c r="E6" s="4">
        <f>IF(('Hampshire Daily'!D9-'Hampshire Daily'!D8&lt;0), "0",('Hampshire Daily'!D9-'Hampshire Daily'!D8)*10)</f>
        <v>4100</v>
      </c>
      <c r="F6" s="4">
        <f>IF(('Hampshire Daily'!F9-'Hampshire Daily'!F8&lt;0), "0",('Hampshire Daily'!F9-'Hampshire Daily'!F8)*10)</f>
        <v>6270</v>
      </c>
      <c r="G6" s="4">
        <f>IF(('Hampshire Daily'!H9-'Hampshire Daily'!H8&lt;0), "0",'Hampshire Daily'!H9-'Hampshire Daily'!H8)</f>
        <v>853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1000</v>
      </c>
      <c r="L6" s="4">
        <f>IF(('Hampshire Daily'!M9-'Hampshire Daily'!M8&lt;0), "0",'Hampshire Daily'!M9-'Hampshire Daily'!M8)</f>
        <v>915</v>
      </c>
      <c r="M6" s="4">
        <f>IF(('Hampshire Daily'!N9-'Hampshire Daily'!N8&lt;0), "0",'Hampshire Daily'!N9-'Hampshire Daily'!N8)</f>
        <v>2348</v>
      </c>
      <c r="N6" s="4">
        <f>IF(('Hampshire Daily'!O9-'Hampshire Daily'!O8&lt;0), "0",'Hampshire Daily'!O9-'Hampshire Daily'!O8)</f>
        <v>239</v>
      </c>
      <c r="O6" s="4">
        <f>IF(('Hampshire Daily'!P9-'Hampshire Daily'!P8&lt;0), "0",'Hampshire Daily'!P9-'Hampshire Daily'!P8)</f>
        <v>52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9</v>
      </c>
      <c r="S6" s="4">
        <f>IF(('Hampshire Daily'!V9-'Hampshire Daily'!V8&lt;0), "0",'Hampshire Daily'!V9-'Hampshire Daily'!V8)</f>
        <v>1</v>
      </c>
      <c r="T6" s="4">
        <f>IF(('Hampshire Daily'!X9-'Hampshire Daily'!X8&lt;0), "0",'Hampshire Daily'!X9-'Hampshire Daily'!X8)</f>
        <v>0</v>
      </c>
      <c r="U6" s="4">
        <f>IF(('Hampshire Daily'!Y9-'Hampshire Daily'!Y8&lt;0), "0",'Hampshire Daily'!Y9-'Hampshire Daily'!Y8)</f>
        <v>4.399999999998272E-2</v>
      </c>
      <c r="V6" s="4">
        <f>IF(('Hampshire Daily'!Z9-'Hampshire Daily'!Z8&lt;0), "0",'Hampshire Daily'!Z9-'Hampshire Daily'!Z8)</f>
        <v>0.13200000000006185</v>
      </c>
      <c r="W6" s="4">
        <f>IF(('Hampshire Daily'!Z9-'Hampshire Daily'!Z8&lt;0), "0",'Hampshire Daily'!Z9-'Hampshire Daily'!Z8)</f>
        <v>0.13200000000006185</v>
      </c>
      <c r="X6" s="4">
        <f>'Hampshire Daily'!B9</f>
        <v>50</v>
      </c>
      <c r="Y6" s="4">
        <f>'Hampshire Daily'!C9</f>
        <v>133</v>
      </c>
    </row>
    <row r="7" spans="1:31" ht="14.45" x14ac:dyDescent="0.35">
      <c r="A7" s="3" t="s">
        <v>42</v>
      </c>
      <c r="B7" s="1">
        <f t="shared" si="0"/>
        <v>6</v>
      </c>
      <c r="C7" s="17">
        <v>1</v>
      </c>
      <c r="D7" s="1">
        <v>2020</v>
      </c>
      <c r="E7" s="4">
        <f>IF(('Hampshire Daily'!D10-'Hampshire Daily'!D9&lt;0), "0",('Hampshire Daily'!D10-'Hampshire Daily'!D9)*10)</f>
        <v>5210</v>
      </c>
      <c r="F7" s="4">
        <f>IF(('Hampshire Daily'!F10-'Hampshire Daily'!F9&lt;0), "0",('Hampshire Daily'!F10-'Hampshire Daily'!F9)*10)</f>
        <v>5600</v>
      </c>
      <c r="G7" s="4">
        <f>IF(('Hampshire Daily'!H10-'Hampshire Daily'!H9&lt;0), "0",'Hampshire Daily'!H10-'Hampshire Daily'!H9)</f>
        <v>748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1000</v>
      </c>
      <c r="L7" s="4">
        <f>IF(('Hampshire Daily'!M10-'Hampshire Daily'!M9&lt;0), "0",'Hampshire Daily'!M10-'Hampshire Daily'!M9)</f>
        <v>874</v>
      </c>
      <c r="M7" s="4">
        <f>IF(('Hampshire Daily'!N10-'Hampshire Daily'!N9&lt;0), "0",'Hampshire Daily'!N10-'Hampshire Daily'!N9)</f>
        <v>2419</v>
      </c>
      <c r="N7" s="4">
        <f>IF(('Hampshire Daily'!O10-'Hampshire Daily'!O9&lt;0), "0",'Hampshire Daily'!O10-'Hampshire Daily'!O9)</f>
        <v>239</v>
      </c>
      <c r="O7" s="4">
        <f>IF(('Hampshire Daily'!P10-'Hampshire Daily'!P9&lt;0), "0",'Hampshire Daily'!P10-'Hampshire Daily'!P9)</f>
        <v>1293652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3</v>
      </c>
      <c r="R7" s="4">
        <f>IF(('Hampshire Daily'!U10-'Hampshire Daily'!U9&lt;0), "0",'Hampshire Daily'!U10-'Hampshire Daily'!U9)</f>
        <v>7</v>
      </c>
      <c r="S7" s="4">
        <f>IF(('Hampshire Daily'!V10-'Hampshire Daily'!V9&lt;0), "0",'Hampshire Daily'!V10-'Hampshire Daily'!V9)</f>
        <v>9</v>
      </c>
      <c r="T7" s="4">
        <f>IF(('Hampshire Daily'!X10-'Hampshire Daily'!X9&lt;0), "0",'Hampshire Daily'!X10-'Hampshire Daily'!X9)</f>
        <v>4.9999999999954525E-3</v>
      </c>
      <c r="U7" s="4">
        <f>IF(('Hampshire Daily'!Y10-'Hampshire Daily'!Y9&lt;0), "0",'Hampshire Daily'!Y10-'Hampshire Daily'!Y9)</f>
        <v>2.5999999999953616E-2</v>
      </c>
      <c r="V7" s="4">
        <f>IF(('Hampshire Daily'!Z10-'Hampshire Daily'!Z9&lt;0), "0",'Hampshire Daily'!Z10-'Hampshire Daily'!Z9)</f>
        <v>0.18299999999999272</v>
      </c>
      <c r="W7" s="4">
        <f>IF(('Hampshire Daily'!Z10-'Hampshire Daily'!Z9&lt;0), "0",'Hampshire Daily'!Z10-'Hampshire Daily'!Z9)</f>
        <v>0.18299999999999272</v>
      </c>
      <c r="X7" s="4">
        <f>'Hampshire Daily'!B10</f>
        <v>33</v>
      </c>
      <c r="Y7" s="4">
        <f>'Hampshire Daily'!C10</f>
        <v>74</v>
      </c>
    </row>
    <row r="8" spans="1:31" ht="14.45" x14ac:dyDescent="0.35">
      <c r="A8" s="3" t="s">
        <v>42</v>
      </c>
      <c r="B8" s="1">
        <f t="shared" si="0"/>
        <v>7</v>
      </c>
      <c r="C8" s="17">
        <v>1</v>
      </c>
      <c r="D8" s="1">
        <v>2020</v>
      </c>
      <c r="E8" s="4">
        <f>IF(('Hampshire Daily'!D11-'Hampshire Daily'!D10&lt;0), "0",('Hampshire Daily'!D11-'Hampshire Daily'!D10)*10)</f>
        <v>4950</v>
      </c>
      <c r="F8" s="4">
        <f>IF(('Hampshire Daily'!F11-'Hampshire Daily'!F10&lt;0), "0",('Hampshire Daily'!F11-'Hampshire Daily'!F10)*10)</f>
        <v>5190</v>
      </c>
      <c r="G8" s="4">
        <f>IF(('Hampshire Daily'!H11-'Hampshire Daily'!H10&lt;0), "0",'Hampshire Daily'!H11-'Hampshire Daily'!H10)</f>
        <v>806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1616</v>
      </c>
      <c r="L8" s="4">
        <f>IF(('Hampshire Daily'!M11-'Hampshire Daily'!M10&lt;0), "0",'Hampshire Daily'!M11-'Hampshire Daily'!M10)</f>
        <v>845</v>
      </c>
      <c r="M8" s="4">
        <f>IF(('Hampshire Daily'!N11-'Hampshire Daily'!N10&lt;0), "0",'Hampshire Daily'!N11-'Hampshire Daily'!N10)</f>
        <v>2355</v>
      </c>
      <c r="N8" s="4">
        <f>IF(('Hampshire Daily'!O11-'Hampshire Daily'!O10&lt;0), "0",'Hampshire Daily'!O11-'Hampshire Daily'!O10)</f>
        <v>239</v>
      </c>
      <c r="O8" s="4" t="str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3</v>
      </c>
      <c r="R8" s="4">
        <f>IF(('Hampshire Daily'!U11-'Hampshire Daily'!U10&lt;0), "0",'Hampshire Daily'!U11-'Hampshire Daily'!U10)</f>
        <v>8</v>
      </c>
      <c r="S8" s="4">
        <f>IF(('Hampshire Daily'!V11-'Hampshire Daily'!V10&lt;0), "0",'Hampshire Daily'!V11-'Hampshire Daily'!V10)</f>
        <v>0</v>
      </c>
      <c r="T8" s="4">
        <f>IF(('Hampshire Daily'!X11-'Hampshire Daily'!X10&lt;0), "0",'Hampshire Daily'!X11-'Hampshire Daily'!X10)</f>
        <v>0</v>
      </c>
      <c r="U8" s="4">
        <f>IF(('Hampshire Daily'!Y11-'Hampshire Daily'!Y10&lt;0), "0",'Hampshire Daily'!Y11-'Hampshire Daily'!Y10)</f>
        <v>4.7000000000025466E-2</v>
      </c>
      <c r="V8" s="4">
        <f>IF(('Hampshire Daily'!Z11-'Hampshire Daily'!Z10&lt;0), "0",'Hampshire Daily'!Z11-'Hampshire Daily'!Z10)</f>
        <v>0.31700000000000728</v>
      </c>
      <c r="W8" s="4">
        <f>IF(('Hampshire Daily'!Z11-'Hampshire Daily'!Z10&lt;0), "0",'Hampshire Daily'!Z11-'Hampshire Daily'!Z10)</f>
        <v>0.31700000000000728</v>
      </c>
      <c r="X8" s="4">
        <f>'Hampshire Daily'!B11</f>
        <v>39</v>
      </c>
      <c r="Y8" s="4">
        <f>'Hampshire Daily'!C11</f>
        <v>58</v>
      </c>
    </row>
    <row r="9" spans="1:31" ht="14.45" x14ac:dyDescent="0.35">
      <c r="A9" s="3" t="s">
        <v>42</v>
      </c>
      <c r="B9" s="1">
        <f t="shared" si="0"/>
        <v>8</v>
      </c>
      <c r="C9" s="17">
        <v>1</v>
      </c>
      <c r="D9" s="1">
        <v>2020</v>
      </c>
      <c r="E9" s="4">
        <f>IF(('Hampshire Daily'!D12-'Hampshire Daily'!D11&lt;0), "0",('Hampshire Daily'!D12-'Hampshire Daily'!D11)*10)</f>
        <v>4950</v>
      </c>
      <c r="F9" s="4">
        <f>IF(('Hampshire Daily'!F12-'Hampshire Daily'!F11&lt;0), "0",('Hampshire Daily'!F12-'Hampshire Daily'!F11)*10)</f>
        <v>5300</v>
      </c>
      <c r="G9" s="4">
        <f>IF(('Hampshire Daily'!H12-'Hampshire Daily'!H11&lt;0), "0",'Hampshire Daily'!H12-'Hampshire Daily'!H11)</f>
        <v>795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4">
        <f>IF(('Hampshire Daily'!L12-'Hampshire Daily'!L11&lt;0), "0",'Hampshire Daily'!L12-'Hampshire Daily'!L11)</f>
        <v>950</v>
      </c>
      <c r="L9" s="4">
        <f>IF(('Hampshire Daily'!M12-'Hampshire Daily'!M11&lt;0), "0",'Hampshire Daily'!M12-'Hampshire Daily'!M11)</f>
        <v>845</v>
      </c>
      <c r="M9" s="4">
        <f>IF(('Hampshire Daily'!N12-'Hampshire Daily'!N11&lt;0), "0",'Hampshire Daily'!N12-'Hampshire Daily'!N11)</f>
        <v>2040</v>
      </c>
      <c r="N9" s="4">
        <f>IF(('Hampshire Daily'!O12-'Hampshire Daily'!O11&lt;0), "0",'Hampshire Daily'!O12-'Hampshire Daily'!O11)</f>
        <v>239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3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1</v>
      </c>
      <c r="T9" s="4">
        <f>IF(('Hampshire Daily'!X12-'Hampshire Daily'!X11&lt;0), "0",'Hampshire Daily'!X12-'Hampshire Daily'!X11)</f>
        <v>9.0000000000145519E-3</v>
      </c>
      <c r="U9" s="4">
        <f>IF(('Hampshire Daily'!Y12-'Hampshire Daily'!Y11&lt;0), "0",'Hampshire Daily'!Y12-'Hampshire Daily'!Y11)</f>
        <v>786464.80700000003</v>
      </c>
      <c r="V9" s="4">
        <f>IF(('Hampshire Daily'!Z12-'Hampshire Daily'!Z11&lt;0), "0",'Hampshire Daily'!Z12-'Hampshire Daily'!Z11)</f>
        <v>0.34400000000005093</v>
      </c>
      <c r="W9" s="4">
        <f>IF(('Hampshire Daily'!Z12-'Hampshire Daily'!Z11&lt;0), "0",'Hampshire Daily'!Z12-'Hampshire Daily'!Z11)</f>
        <v>0.34400000000005093</v>
      </c>
      <c r="X9" s="4">
        <f>'Hampshire Daily'!B12</f>
        <v>13</v>
      </c>
      <c r="Y9" s="4">
        <f>'Hampshire Daily'!C12</f>
        <v>24</v>
      </c>
    </row>
    <row r="10" spans="1:31" ht="14.45" x14ac:dyDescent="0.35">
      <c r="A10" s="3" t="s">
        <v>42</v>
      </c>
      <c r="B10" s="1">
        <f t="shared" si="0"/>
        <v>9</v>
      </c>
      <c r="C10" s="17">
        <v>1</v>
      </c>
      <c r="D10" s="1">
        <v>2020</v>
      </c>
      <c r="E10" s="4">
        <f>IF(('Hampshire Daily'!D13-'Hampshire Daily'!D12&lt;0), "0",('Hampshire Daily'!D13-'Hampshire Daily'!D12)*10)</f>
        <v>5040</v>
      </c>
      <c r="F10" s="4">
        <f>IF(('Hampshire Daily'!F13-'Hampshire Daily'!F12&lt;0), "0",('Hampshire Daily'!F13-'Hampshire Daily'!F12)*10)</f>
        <v>5040</v>
      </c>
      <c r="G10" s="4">
        <f>IF(('Hampshire Daily'!H13-'Hampshire Daily'!H12&lt;0), "0",'Hampshire Daily'!H13-'Hampshire Daily'!H12)</f>
        <v>789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936</v>
      </c>
      <c r="L10" s="4">
        <f>IF(('Hampshire Daily'!M13-'Hampshire Daily'!M12&lt;0), "0",'Hampshire Daily'!M13-'Hampshire Daily'!M12)</f>
        <v>847</v>
      </c>
      <c r="M10" s="4">
        <f>IF(('Hampshire Daily'!N13-'Hampshire Daily'!N12&lt;0), "0",'Hampshire Daily'!N13-'Hampshire Daily'!N12)</f>
        <v>2046</v>
      </c>
      <c r="N10" s="4">
        <f>IF(('Hampshire Daily'!O13-'Hampshire Daily'!O12&lt;0), "0",'Hampshire Daily'!O13-'Hampshire Daily'!O12)</f>
        <v>481</v>
      </c>
      <c r="O10" s="4">
        <f>IF(('Hampshire Daily'!P13-'Hampshire Daily'!P12&lt;0), "0",'Hampshire Daily'!P13-'Hampshire Daily'!P12)</f>
        <v>1293652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3</v>
      </c>
      <c r="R10" s="4">
        <f>IF(('Hampshire Daily'!U13-'Hampshire Daily'!U12&lt;0), "0",'Hampshire Daily'!U13-'Hampshire Daily'!U12)</f>
        <v>6</v>
      </c>
      <c r="S10" s="4">
        <f>IF(('Hampshire Daily'!V13-'Hampshire Daily'!V12&lt;0), "0",'Hampshire Daily'!V13-'Hampshire Daily'!V12)</f>
        <v>0</v>
      </c>
      <c r="T10" s="4">
        <f>IF(('Hampshire Daily'!X13-'Hampshire Daily'!X12&lt;0), "0",'Hampshire Daily'!X13-'Hampshire Daily'!X12)</f>
        <v>0</v>
      </c>
      <c r="U10" s="4">
        <f>IF(('Hampshire Daily'!Y13-'Hampshire Daily'!Y12&lt;0), "0",'Hampshire Daily'!Y13-'Hampshire Daily'!Y12)</f>
        <v>57</v>
      </c>
      <c r="V10" s="4">
        <f>IF(('Hampshire Daily'!Z13-'Hampshire Daily'!Z12&lt;0), "0",'Hampshire Daily'!Z13-'Hampshire Daily'!Z12)</f>
        <v>0.3569999999999709</v>
      </c>
      <c r="W10" s="4">
        <f>IF(('Hampshire Daily'!Z13-'Hampshire Daily'!Z12&lt;0), "0",'Hampshire Daily'!Z13-'Hampshire Daily'!Z12)</f>
        <v>0.3569999999999709</v>
      </c>
      <c r="X10" s="4">
        <f>'Hampshire Daily'!B13</f>
        <v>29</v>
      </c>
      <c r="Y10" s="4">
        <f>'Hampshire Daily'!C13</f>
        <v>44</v>
      </c>
    </row>
    <row r="11" spans="1:31" ht="14.45" x14ac:dyDescent="0.35">
      <c r="A11" s="3" t="s">
        <v>42</v>
      </c>
      <c r="B11" s="1">
        <f t="shared" si="0"/>
        <v>10</v>
      </c>
      <c r="C11" s="17">
        <v>1</v>
      </c>
      <c r="D11" s="1">
        <v>2020</v>
      </c>
      <c r="E11" s="4">
        <f>IF(('Hampshire Daily'!D14-'Hampshire Daily'!D13&lt;0), "0",('Hampshire Daily'!D14-'Hampshire Daily'!D13)*10)</f>
        <v>4640</v>
      </c>
      <c r="F11" s="4">
        <f>IF(('Hampshire Daily'!F14-'Hampshire Daily'!F13&lt;0), "0",('Hampshire Daily'!F14-'Hampshire Daily'!F13)*10)</f>
        <v>5050</v>
      </c>
      <c r="G11" s="4">
        <f>IF(('Hampshire Daily'!H14-'Hampshire Daily'!H13&lt;0), "0",'Hampshire Daily'!H14-'Hampshire Daily'!H13)</f>
        <v>786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878</v>
      </c>
      <c r="L11" s="4">
        <f>IF(('Hampshire Daily'!M14-'Hampshire Daily'!M13&lt;0), "0",'Hampshire Daily'!M14-'Hampshire Daily'!M13)</f>
        <v>830</v>
      </c>
      <c r="M11" s="4">
        <f>IF(('Hampshire Daily'!N14-'Hampshire Daily'!N13&lt;0), "0",'Hampshire Daily'!N14-'Hampshire Daily'!N13)</f>
        <v>2122</v>
      </c>
      <c r="N11" s="4">
        <f>IF(('Hampshire Daily'!O14-'Hampshire Daily'!O13&lt;0), "0",'Hampshire Daily'!O14-'Hampshire Daily'!O13)</f>
        <v>132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3</v>
      </c>
      <c r="R11" s="4">
        <f>IF(('Hampshire Daily'!U14-'Hampshire Daily'!U13&lt;0), "0",'Hampshire Daily'!U14-'Hampshire Daily'!U13)</f>
        <v>7</v>
      </c>
      <c r="S11" s="4">
        <f>IF(('Hampshire Daily'!V14-'Hampshire Daily'!V13&lt;0), "0",'Hampshire Daily'!V14-'Hampshire Daily'!V13)</f>
        <v>1</v>
      </c>
      <c r="T11" s="4">
        <f>IF(('Hampshire Daily'!X14-'Hampshire Daily'!X13&lt;0), "0",'Hampshire Daily'!X14-'Hampshire Daily'!X13)</f>
        <v>0</v>
      </c>
      <c r="U11" s="4">
        <f>IF(('Hampshire Daily'!Y14-'Hampshire Daily'!Y13&lt;0), "0",'Hampshire Daily'!Y14-'Hampshire Daily'!Y13)</f>
        <v>1826</v>
      </c>
      <c r="V11" s="4">
        <f>IF(('Hampshire Daily'!Z14-'Hampshire Daily'!Z13&lt;0), "0",'Hampshire Daily'!Z14-'Hampshire Daily'!Z13)</f>
        <v>0.36799999999993815</v>
      </c>
      <c r="W11" s="4">
        <f>IF(('Hampshire Daily'!Z14-'Hampshire Daily'!Z13&lt;0), "0",'Hampshire Daily'!Z14-'Hampshire Daily'!Z13)</f>
        <v>0.36799999999993815</v>
      </c>
      <c r="X11" s="4">
        <f>'Hampshire Daily'!B14</f>
        <v>56</v>
      </c>
      <c r="Y11" s="4">
        <f>'Hampshire Daily'!C14</f>
        <v>133</v>
      </c>
    </row>
    <row r="12" spans="1:31" ht="14.45" x14ac:dyDescent="0.35">
      <c r="A12" s="3" t="s">
        <v>42</v>
      </c>
      <c r="B12" s="1">
        <f t="shared" si="0"/>
        <v>11</v>
      </c>
      <c r="C12" s="17">
        <v>1</v>
      </c>
      <c r="D12" s="1">
        <v>2020</v>
      </c>
      <c r="E12" s="4">
        <f>IF(('Hampshire Daily'!D15-'Hampshire Daily'!D14&lt;0), "0",('Hampshire Daily'!D15-'Hampshire Daily'!D14)*10)</f>
        <v>4920</v>
      </c>
      <c r="F12" s="4">
        <f>IF(('Hampshire Daily'!F15-'Hampshire Daily'!F14&lt;0), "0",('Hampshire Daily'!F15-'Hampshire Daily'!F14)*10)</f>
        <v>5220</v>
      </c>
      <c r="G12" s="4">
        <f>IF(('Hampshire Daily'!H15-'Hampshire Daily'!H14&lt;0), "0",'Hampshire Daily'!H15-'Hampshire Daily'!H14)</f>
        <v>830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1000</v>
      </c>
      <c r="L12" s="4">
        <f>IF(('Hampshire Daily'!M15-'Hampshire Daily'!M14&lt;0), "0",'Hampshire Daily'!M15-'Hampshire Daily'!M14)</f>
        <v>866</v>
      </c>
      <c r="M12" s="4">
        <f>IF(('Hampshire Daily'!N15-'Hampshire Daily'!N14&lt;0), "0",'Hampshire Daily'!N15-'Hampshire Daily'!N14)</f>
        <v>2366</v>
      </c>
      <c r="N12" s="4">
        <f>IF(('Hampshire Daily'!O15-'Hampshire Daily'!O14&lt;0), "0",'Hampshire Daily'!O15-'Hampshire Daily'!O14)</f>
        <v>239</v>
      </c>
      <c r="O12" s="4" t="str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3</v>
      </c>
      <c r="R12" s="4">
        <f>IF(('Hampshire Daily'!U15-'Hampshire Daily'!U14&lt;0), "0",'Hampshire Daily'!U15-'Hampshire Daily'!U14)</f>
        <v>7</v>
      </c>
      <c r="S12" s="4">
        <f>IF(('Hampshire Daily'!V15-'Hampshire Daily'!V14&lt;0), "0",'Hampshire Daily'!V15-'Hampshire Daily'!V14)</f>
        <v>1</v>
      </c>
      <c r="T12" s="4">
        <f>IF(('Hampshire Daily'!X15-'Hampshire Daily'!X14&lt;0), "0",'Hampshire Daily'!X15-'Hampshire Daily'!X14)</f>
        <v>0</v>
      </c>
      <c r="U12" s="4" t="str">
        <f>IF(('Hampshire Daily'!Y15-'Hampshire Daily'!Y14&lt;0), "0",'Hampshire Daily'!Y15-'Hampshire Daily'!Y14)</f>
        <v>0</v>
      </c>
      <c r="V12" s="4">
        <f>IF(('Hampshire Daily'!Z15-'Hampshire Daily'!Z14&lt;0), "0",'Hampshire Daily'!Z15-'Hampshire Daily'!Z14)</f>
        <v>0.40599999999994907</v>
      </c>
      <c r="W12" s="4">
        <f>IF(('Hampshire Daily'!Z15-'Hampshire Daily'!Z14&lt;0), "0",'Hampshire Daily'!Z15-'Hampshire Daily'!Z14)</f>
        <v>0.40599999999994907</v>
      </c>
      <c r="X12" s="4">
        <f>'Hampshire Daily'!B15</f>
        <v>93</v>
      </c>
      <c r="Y12" s="4">
        <f>'Hampshire Daily'!C15</f>
        <v>231</v>
      </c>
    </row>
    <row r="13" spans="1:31" ht="14.45" x14ac:dyDescent="0.35">
      <c r="A13" s="3" t="s">
        <v>42</v>
      </c>
      <c r="B13" s="1">
        <f t="shared" si="0"/>
        <v>12</v>
      </c>
      <c r="C13" s="17">
        <v>1</v>
      </c>
      <c r="D13" s="1">
        <v>2020</v>
      </c>
      <c r="E13" s="4">
        <f>IF(('Hampshire Daily'!D16-'Hampshire Daily'!D15&lt;0), "0",('Hampshire Daily'!D16-'Hampshire Daily'!D15)*10)</f>
        <v>5080</v>
      </c>
      <c r="F13" s="4">
        <f>IF(('Hampshire Daily'!F16-'Hampshire Daily'!F15&lt;0), "0",('Hampshire Daily'!F16-'Hampshire Daily'!F15)*10)</f>
        <v>5390</v>
      </c>
      <c r="G13" s="4">
        <f>IF(('Hampshire Daily'!H16-'Hampshire Daily'!H15&lt;0), "0",'Hampshire Daily'!H16-'Hampshire Daily'!H15)</f>
        <v>818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1000</v>
      </c>
      <c r="L13" s="4">
        <f>IF(('Hampshire Daily'!M16-'Hampshire Daily'!M15&lt;0), "0",'Hampshire Daily'!M16-'Hampshire Daily'!M15)</f>
        <v>886</v>
      </c>
      <c r="M13" s="4">
        <f>IF(('Hampshire Daily'!N16-'Hampshire Daily'!N15&lt;0), "0",'Hampshire Daily'!N16-'Hampshire Daily'!N15)</f>
        <v>2375</v>
      </c>
      <c r="N13" s="4">
        <f>IF(('Hampshire Daily'!O16-'Hampshire Daily'!O15&lt;0), "0",'Hampshire Daily'!O16-'Hampshire Daily'!O15)</f>
        <v>67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3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1</v>
      </c>
      <c r="T13" s="4">
        <f>IF(('Hampshire Daily'!X16-'Hampshire Daily'!X15&lt;0), "0",'Hampshire Daily'!X16-'Hampshire Daily'!X15)</f>
        <v>0</v>
      </c>
      <c r="U13" s="4">
        <f>IF(('Hampshire Daily'!Y16-'Hampshire Daily'!Y15&lt;0), "0",'Hampshire Daily'!Y16-'Hampshire Daily'!Y15)</f>
        <v>0.22500000000002274</v>
      </c>
      <c r="V13" s="4">
        <f>IF(('Hampshire Daily'!Z16-'Hampshire Daily'!Z15&lt;0), "0",'Hampshire Daily'!Z16-'Hampshire Daily'!Z15)</f>
        <v>0.51999999999998181</v>
      </c>
      <c r="W13" s="4">
        <f>IF(('Hampshire Daily'!Z16-'Hampshire Daily'!Z15&lt;0), "0",'Hampshire Daily'!Z16-'Hampshire Daily'!Z15)</f>
        <v>0.51999999999998181</v>
      </c>
      <c r="X13" s="4">
        <f>'Hampshire Daily'!B16</f>
        <v>33</v>
      </c>
      <c r="Y13" s="4">
        <f>'Hampshire Daily'!C16</f>
        <v>74</v>
      </c>
    </row>
    <row r="14" spans="1:31" ht="14.45" x14ac:dyDescent="0.35">
      <c r="A14" s="3" t="s">
        <v>42</v>
      </c>
      <c r="B14" s="1">
        <f t="shared" si="0"/>
        <v>13</v>
      </c>
      <c r="C14" s="17">
        <v>1</v>
      </c>
      <c r="D14" s="1">
        <v>2020</v>
      </c>
      <c r="E14" s="4">
        <f>IF(('Hampshire Daily'!D17-'Hampshire Daily'!D16&lt;0), "0",('Hampshire Daily'!D17-'Hampshire Daily'!D16)*10)</f>
        <v>4820</v>
      </c>
      <c r="F14" s="4">
        <f>IF(('Hampshire Daily'!F17-'Hampshire Daily'!F16&lt;0), "0",('Hampshire Daily'!F17-'Hampshire Daily'!F16)*10)</f>
        <v>5210</v>
      </c>
      <c r="G14" s="4">
        <f>IF(('Hampshire Daily'!H17-'Hampshire Daily'!H16&lt;0), "0",'Hampshire Daily'!H17-'Hampshire Daily'!H16)</f>
        <v>790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1000</v>
      </c>
      <c r="L14" s="4">
        <f>IF(('Hampshire Daily'!M17-'Hampshire Daily'!M16&lt;0), "0",'Hampshire Daily'!M17-'Hampshire Daily'!M16)</f>
        <v>854</v>
      </c>
      <c r="M14" s="4">
        <f>IF(('Hampshire Daily'!N17-'Hampshire Daily'!N16&lt;0), "0",'Hampshire Daily'!N17-'Hampshire Daily'!N16)</f>
        <v>2350</v>
      </c>
      <c r="N14" s="4">
        <f>IF(('Hampshire Daily'!O17-'Hampshire Daily'!O16&lt;0), "0",'Hampshire Daily'!O17-'Hampshire Daily'!O16)</f>
        <v>159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3</v>
      </c>
      <c r="R14" s="4">
        <f>IF(('Hampshire Daily'!U17-'Hampshire Daily'!U16&lt;0), "0",'Hampshire Daily'!U17-'Hampshire Daily'!U16)</f>
        <v>10</v>
      </c>
      <c r="S14" s="4">
        <f>IF(('Hampshire Daily'!V17-'Hampshire Daily'!V16&lt;0), "0",'Hampshire Daily'!V17-'Hampshire Daily'!V16)</f>
        <v>6</v>
      </c>
      <c r="T14" s="4">
        <f>IF(('Hampshire Daily'!X17-'Hampshire Daily'!X16&lt;0), "0",'Hampshire Daily'!X17-'Hampshire Daily'!X16)</f>
        <v>0</v>
      </c>
      <c r="U14" s="4">
        <f>IF(('Hampshire Daily'!Y17-'Hampshire Daily'!Y16&lt;0), "0",'Hampshire Daily'!Y17-'Hampshire Daily'!Y16)</f>
        <v>0.21199999999998909</v>
      </c>
      <c r="V14" s="4">
        <f>IF(('Hampshire Daily'!Z17-'Hampshire Daily'!Z16&lt;0), "0",'Hampshire Daily'!Z17-'Hampshire Daily'!Z16)</f>
        <v>0.6570000000001528</v>
      </c>
      <c r="W14" s="4">
        <f>IF(('Hampshire Daily'!Z17-'Hampshire Daily'!Z16&lt;0), "0",'Hampshire Daily'!Z17-'Hampshire Daily'!Z16)</f>
        <v>0.6570000000001528</v>
      </c>
      <c r="X14" s="4">
        <f>'Hampshire Daily'!B17</f>
        <v>40</v>
      </c>
      <c r="Y14" s="4">
        <f>'Hampshire Daily'!C17</f>
        <v>63</v>
      </c>
    </row>
    <row r="15" spans="1:31" ht="14.45" x14ac:dyDescent="0.35">
      <c r="A15" s="3" t="s">
        <v>42</v>
      </c>
      <c r="B15" s="1">
        <f t="shared" si="0"/>
        <v>14</v>
      </c>
      <c r="C15" s="17">
        <v>1</v>
      </c>
      <c r="D15" s="1">
        <v>2020</v>
      </c>
      <c r="E15" s="4">
        <f>IF(('Hampshire Daily'!D18-'Hampshire Daily'!D17&lt;0), "0",('Hampshire Daily'!D18-'Hampshire Daily'!D17)*10)</f>
        <v>4960</v>
      </c>
      <c r="F15" s="4">
        <f>IF(('Hampshire Daily'!F18-'Hampshire Daily'!F17&lt;0), "0",('Hampshire Daily'!F18-'Hampshire Daily'!F17)*10)</f>
        <v>4940</v>
      </c>
      <c r="G15" s="4">
        <f>IF(('Hampshire Daily'!H18-'Hampshire Daily'!H17&lt;0), "0",'Hampshire Daily'!H18-'Hampshire Daily'!H17)</f>
        <v>775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851</v>
      </c>
      <c r="L15" s="4">
        <f>IF(('Hampshire Daily'!M18-'Hampshire Daily'!M17&lt;0), "0",'Hampshire Daily'!M18-'Hampshire Daily'!M17)</f>
        <v>853</v>
      </c>
      <c r="M15" s="4">
        <f>IF(('Hampshire Daily'!N18-'Hampshire Daily'!N17&lt;0), "0",'Hampshire Daily'!N18-'Hampshire Daily'!N17)</f>
        <v>2261</v>
      </c>
      <c r="N15" s="4">
        <f>IF(('Hampshire Daily'!O18-'Hampshire Daily'!O17&lt;0), "0",'Hampshire Daily'!O18-'Hampshire Daily'!O17)</f>
        <v>138</v>
      </c>
      <c r="O15" s="4">
        <f>IF(('Hampshire Daily'!P18-'Hampshire Daily'!P17&lt;0), "0",'Hampshire Daily'!P18-'Hampshire Daily'!P17)</f>
        <v>1435953.6089999999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3</v>
      </c>
      <c r="R15" s="4">
        <f>IF(('Hampshire Daily'!U18-'Hampshire Daily'!U17&lt;0), "0",'Hampshire Daily'!U18-'Hampshire Daily'!U17)</f>
        <v>6</v>
      </c>
      <c r="S15" s="4">
        <f>IF(('Hampshire Daily'!V18-'Hampshire Daily'!V17&lt;0), "0",'Hampshire Daily'!V18-'Hampshire Daily'!V17)</f>
        <v>0</v>
      </c>
      <c r="T15" s="4">
        <f>IF(('Hampshire Daily'!X18-'Hampshire Daily'!X17&lt;0), "0",'Hampshire Daily'!X18-'Hampshire Daily'!X17)</f>
        <v>3.6999999999977717E-2</v>
      </c>
      <c r="U15" s="4">
        <f>IF(('Hampshire Daily'!Y18-'Hampshire Daily'!Y17&lt;0), "0",'Hampshire Daily'!Y18-'Hampshire Daily'!Y17)</f>
        <v>0.21699999999998454</v>
      </c>
      <c r="V15" s="4">
        <f>IF(('Hampshire Daily'!Z18-'Hampshire Daily'!Z17&lt;0), "0",'Hampshire Daily'!Z18-'Hampshire Daily'!Z17)</f>
        <v>0.693000000000211</v>
      </c>
      <c r="W15" s="4">
        <f>IF(('Hampshire Daily'!Z18-'Hampshire Daily'!Z17&lt;0), "0",'Hampshire Daily'!Z18-'Hampshire Daily'!Z17)</f>
        <v>0.693000000000211</v>
      </c>
      <c r="X15" s="4">
        <f>'Hampshire Daily'!B18</f>
        <v>45</v>
      </c>
      <c r="Y15" s="4">
        <f>'Hampshire Daily'!C18</f>
        <v>59</v>
      </c>
    </row>
    <row r="16" spans="1:31" ht="14.45" x14ac:dyDescent="0.35">
      <c r="A16" s="3" t="s">
        <v>42</v>
      </c>
      <c r="B16" s="1">
        <f t="shared" si="0"/>
        <v>15</v>
      </c>
      <c r="C16" s="17">
        <v>1</v>
      </c>
      <c r="D16" s="1">
        <v>2020</v>
      </c>
      <c r="E16" s="4">
        <f>IF(('Hampshire Daily'!D19-'Hampshire Daily'!D18&lt;0), "0",('Hampshire Daily'!D19-'Hampshire Daily'!D18)*10)</f>
        <v>4770</v>
      </c>
      <c r="F16" s="4">
        <f>IF(('Hampshire Daily'!F19-'Hampshire Daily'!F18&lt;0), "0",('Hampshire Daily'!F19-'Hampshire Daily'!F18)*10)</f>
        <v>4770</v>
      </c>
      <c r="G16" s="4">
        <f>IF(('Hampshire Daily'!H19-'Hampshire Daily'!H18&lt;0), "0",'Hampshire Daily'!H19-'Hampshire Daily'!H18)</f>
        <v>770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762</v>
      </c>
      <c r="L16" s="4">
        <f>IF(('Hampshire Daily'!M19-'Hampshire Daily'!M18&lt;0), "0",'Hampshire Daily'!M19-'Hampshire Daily'!M18)</f>
        <v>820</v>
      </c>
      <c r="M16" s="4">
        <f>IF(('Hampshire Daily'!N19-'Hampshire Daily'!N18&lt;0), "0",'Hampshire Daily'!N19-'Hampshire Daily'!N18)</f>
        <v>1936</v>
      </c>
      <c r="N16" s="4">
        <f>IF(('Hampshire Daily'!O19-'Hampshire Daily'!O18&lt;0), "0",'Hampshire Daily'!O19-'Hampshire Daily'!O18)</f>
        <v>0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0</v>
      </c>
      <c r="Q16" s="4">
        <f>IF(('Hampshire Daily'!R19-'Hampshire Daily'!R18&lt;0), "0",'Hampshire Daily'!R19-'Hampshire Daily'!R18)</f>
        <v>3</v>
      </c>
      <c r="R16" s="4">
        <f>IF(('Hampshire Daily'!U19-'Hampshire Daily'!U18&lt;0), "0",'Hampshire Daily'!U19-'Hampshire Daily'!U18)</f>
        <v>6</v>
      </c>
      <c r="S16" s="4">
        <f>IF(('Hampshire Daily'!V19-'Hampshire Daily'!V18&lt;0), "0",'Hampshire Daily'!V19-'Hampshire Daily'!V18)</f>
        <v>0</v>
      </c>
      <c r="T16" s="4">
        <f>IF(('Hampshire Daily'!X19-'Hampshire Daily'!X18&lt;0), "0",'Hampshire Daily'!X19-'Hampshire Daily'!X18)</f>
        <v>1.0000000000331966E-3</v>
      </c>
      <c r="U16" s="4">
        <f>IF(('Hampshire Daily'!Y19-'Hampshire Daily'!Y18&lt;0), "0",'Hampshire Daily'!Y19-'Hampshire Daily'!Y18)</f>
        <v>0.35400000000004184</v>
      </c>
      <c r="V16" s="4">
        <f>IF(('Hampshire Daily'!Z19-'Hampshire Daily'!Z18&lt;0), "0",'Hampshire Daily'!Z19-'Hampshire Daily'!Z18)</f>
        <v>0.6659999999997126</v>
      </c>
      <c r="W16" s="4">
        <f>IF(('Hampshire Daily'!Z19-'Hampshire Daily'!Z18&lt;0), "0",'Hampshire Daily'!Z19-'Hampshire Daily'!Z18)</f>
        <v>0.6659999999997126</v>
      </c>
      <c r="X16" s="4">
        <f>'Hampshire Daily'!B19</f>
        <v>46</v>
      </c>
      <c r="Y16" s="4">
        <f>'Hampshire Daily'!C19</f>
        <v>63</v>
      </c>
    </row>
    <row r="17" spans="1:25" ht="14.45" x14ac:dyDescent="0.35">
      <c r="A17" s="3" t="s">
        <v>42</v>
      </c>
      <c r="B17" s="1">
        <f t="shared" si="0"/>
        <v>16</v>
      </c>
      <c r="C17" s="17">
        <v>1</v>
      </c>
      <c r="D17" s="1">
        <v>2020</v>
      </c>
      <c r="E17" s="4">
        <f>IF(('Hampshire Daily'!D20-'Hampshire Daily'!D19&lt;0), "0",('Hampshire Daily'!D20-'Hampshire Daily'!D19)*10)</f>
        <v>4870</v>
      </c>
      <c r="F17" s="4">
        <f>IF(('Hampshire Daily'!F20-'Hampshire Daily'!F19&lt;0), "0",('Hampshire Daily'!F20-'Hampshire Daily'!F19)*10)</f>
        <v>5080</v>
      </c>
      <c r="G17" s="4">
        <f>IF(('Hampshire Daily'!H20-'Hampshire Daily'!H19&lt;0), "0",'Hampshire Daily'!H20-'Hampshire Daily'!H19)</f>
        <v>841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1000</v>
      </c>
      <c r="L17" s="4">
        <f>IF(('Hampshire Daily'!M20-'Hampshire Daily'!M19&lt;0), "0",'Hampshire Daily'!M20-'Hampshire Daily'!M19)</f>
        <v>808</v>
      </c>
      <c r="M17" s="4">
        <f>IF(('Hampshire Daily'!N20-'Hampshire Daily'!N19&lt;0), "0",'Hampshire Daily'!N20-'Hampshire Daily'!N19)</f>
        <v>2324</v>
      </c>
      <c r="N17" s="4">
        <f>IF(('Hampshire Daily'!O20-'Hampshire Daily'!O19&lt;0), "0",'Hampshire Daily'!O20-'Hampshire Daily'!O19)</f>
        <v>141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0</v>
      </c>
      <c r="Q17" s="4">
        <f>IF(('Hampshire Daily'!R20-'Hampshire Daily'!R19&lt;0), "0",'Hampshire Daily'!R20-'Hampshire Daily'!R19)</f>
        <v>3</v>
      </c>
      <c r="R17" s="4">
        <f>IF(('Hampshire Daily'!U20-'Hampshire Daily'!U19&lt;0), "0",'Hampshire Daily'!U20-'Hampshire Daily'!U19)</f>
        <v>7</v>
      </c>
      <c r="S17" s="4">
        <f>IF(('Hampshire Daily'!V20-'Hampshire Daily'!V19&lt;0), "0",'Hampshire Daily'!V20-'Hampshire Daily'!V19)</f>
        <v>0</v>
      </c>
      <c r="T17" s="4" t="str">
        <f>IF(('Hampshire Daily'!X20-'Hampshire Daily'!X19&lt;0), "0",'Hampshire Daily'!X20-'Hampshire Daily'!X19)</f>
        <v>0</v>
      </c>
      <c r="U17" s="4">
        <f>IF(('Hampshire Daily'!Y20-'Hampshire Daily'!Y19&lt;0), "0",'Hampshire Daily'!Y20-'Hampshire Daily'!Y19)</f>
        <v>0.23299999999994725</v>
      </c>
      <c r="V17" s="4">
        <f>IF(('Hampshire Daily'!Z20-'Hampshire Daily'!Z19&lt;0), "0",'Hampshire Daily'!Z20-'Hampshire Daily'!Z19)</f>
        <v>0.65399999999999636</v>
      </c>
      <c r="W17" s="4">
        <f>IF(('Hampshire Daily'!Z20-'Hampshire Daily'!Z19&lt;0), "0",'Hampshire Daily'!Z20-'Hampshire Daily'!Z19)</f>
        <v>0.65399999999999636</v>
      </c>
      <c r="X17" s="4">
        <f>'Hampshire Daily'!B20</f>
        <v>21</v>
      </c>
      <c r="Y17" s="4">
        <f>'Hampshire Daily'!C20</f>
        <v>44</v>
      </c>
    </row>
    <row r="18" spans="1:25" ht="14.45" x14ac:dyDescent="0.35">
      <c r="A18" s="3" t="s">
        <v>42</v>
      </c>
      <c r="B18" s="1">
        <f t="shared" si="0"/>
        <v>17</v>
      </c>
      <c r="C18" s="17">
        <v>1</v>
      </c>
      <c r="D18" s="1">
        <v>2020</v>
      </c>
      <c r="E18" s="4">
        <f>IF(('Hampshire Daily'!D21-'Hampshire Daily'!D20&lt;0), "0",('Hampshire Daily'!D21-'Hampshire Daily'!D20)*10)</f>
        <v>5010</v>
      </c>
      <c r="F18" s="4">
        <f>IF(('Hampshire Daily'!F21-'Hampshire Daily'!F20&lt;0), "0",('Hampshire Daily'!F21-'Hampshire Daily'!F20)*10)</f>
        <v>5040</v>
      </c>
      <c r="G18" s="4">
        <f>IF(('Hampshire Daily'!H21-'Hampshire Daily'!H20&lt;0), "0",'Hampshire Daily'!H21-'Hampshire Daily'!H20)</f>
        <v>849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835</v>
      </c>
      <c r="L18" s="4">
        <f>IF(('Hampshire Daily'!M21-'Hampshire Daily'!M20&lt;0), "0",'Hampshire Daily'!M21-'Hampshire Daily'!M20)</f>
        <v>1713</v>
      </c>
      <c r="M18" s="4">
        <f>IF(('Hampshire Daily'!N21-'Hampshire Daily'!N20&lt;0), "0",'Hampshire Daily'!N21-'Hampshire Daily'!N20)</f>
        <v>2229</v>
      </c>
      <c r="N18" s="4">
        <f>IF(('Hampshire Daily'!O21-'Hampshire Daily'!O20&lt;0), "0",'Hampshire Daily'!O21-'Hampshire Daily'!O20)</f>
        <v>141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3</v>
      </c>
      <c r="R18" s="4">
        <f>IF(('Hampshire Daily'!U21-'Hampshire Daily'!U20&lt;0), "0",'Hampshire Daily'!U21-'Hampshire Daily'!U20)</f>
        <v>7</v>
      </c>
      <c r="S18" s="4">
        <f>IF(('Hampshire Daily'!V21-'Hampshire Daily'!V20&lt;0), "0",'Hampshire Daily'!V21-'Hampshire Daily'!V20)</f>
        <v>1</v>
      </c>
      <c r="T18" s="4">
        <f>IF(('Hampshire Daily'!X21-'Hampshire Daily'!X20&lt;0), "0",'Hampshire Daily'!X21-'Hampshire Daily'!X20)</f>
        <v>0</v>
      </c>
      <c r="U18" s="4">
        <f>IF(('Hampshire Daily'!Y21-'Hampshire Daily'!Y20&lt;0), "0",'Hampshire Daily'!Y21-'Hampshire Daily'!Y20)</f>
        <v>0.23300000000006094</v>
      </c>
      <c r="V18" s="4">
        <f>IF(('Hampshire Daily'!Z21-'Hampshire Daily'!Z20&lt;0), "0",'Hampshire Daily'!Z21-'Hampshire Daily'!Z20)</f>
        <v>0.67900000000008731</v>
      </c>
      <c r="W18" s="4">
        <f>IF(('Hampshire Daily'!Z21-'Hampshire Daily'!Z20&lt;0), "0",'Hampshire Daily'!Z21-'Hampshire Daily'!Z20)</f>
        <v>0.67900000000008731</v>
      </c>
      <c r="X18" s="4">
        <f>'Hampshire Daily'!B21</f>
        <v>46</v>
      </c>
      <c r="Y18" s="4">
        <f>'Hampshire Daily'!C21</f>
        <v>121</v>
      </c>
    </row>
    <row r="19" spans="1:25" ht="14.45" x14ac:dyDescent="0.35">
      <c r="A19" s="3" t="s">
        <v>42</v>
      </c>
      <c r="B19" s="1">
        <f t="shared" si="0"/>
        <v>18</v>
      </c>
      <c r="C19" s="17">
        <v>1</v>
      </c>
      <c r="D19" s="1">
        <v>2020</v>
      </c>
      <c r="E19" s="4">
        <f>IF(('Hampshire Daily'!D22-'Hampshire Daily'!D21&lt;0), "0",('Hampshire Daily'!D22-'Hampshire Daily'!D21)*10)</f>
        <v>5060</v>
      </c>
      <c r="F19" s="4">
        <f>IF(('Hampshire Daily'!F22-'Hampshire Daily'!F21&lt;0), "0",('Hampshire Daily'!F22-'Hampshire Daily'!F21)*10)</f>
        <v>5200</v>
      </c>
      <c r="G19" s="4">
        <f>IF(('Hampshire Daily'!H22-'Hampshire Daily'!H21&lt;0), "0",'Hampshire Daily'!H22-'Hampshire Daily'!H21)</f>
        <v>854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1000</v>
      </c>
      <c r="L19" s="4">
        <f>IF(('Hampshire Daily'!M22-'Hampshire Daily'!M21&lt;0), "0",'Hampshire Daily'!M22-'Hampshire Daily'!M21)</f>
        <v>0</v>
      </c>
      <c r="M19" s="4">
        <f>IF(('Hampshire Daily'!N22-'Hampshire Daily'!N21&lt;0), "0",'Hampshire Daily'!N22-'Hampshire Daily'!N21)</f>
        <v>2536</v>
      </c>
      <c r="N19" s="4">
        <f>IF(('Hampshire Daily'!O22-'Hampshire Daily'!O21&lt;0), "0",'Hampshire Daily'!O22-'Hampshire Daily'!O21)</f>
        <v>141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3</v>
      </c>
      <c r="R19" s="4">
        <f>IF(('Hampshire Daily'!U22-'Hampshire Daily'!U21&lt;0), "0",'Hampshire Daily'!U22-'Hampshire Daily'!U21)</f>
        <v>8</v>
      </c>
      <c r="S19" s="4">
        <f>IF(('Hampshire Daily'!V22-'Hampshire Daily'!V21&lt;0), "0",'Hampshire Daily'!V22-'Hampshire Daily'!V21)</f>
        <v>1</v>
      </c>
      <c r="T19" s="4">
        <f>IF(('Hampshire Daily'!X22-'Hampshire Daily'!X21&lt;0), "0",'Hampshire Daily'!X22-'Hampshire Daily'!X21)</f>
        <v>0</v>
      </c>
      <c r="U19" s="4">
        <f>IF(('Hampshire Daily'!Y22-'Hampshire Daily'!Y21&lt;0), "0",'Hampshire Daily'!Y22-'Hampshire Daily'!Y21)</f>
        <v>0.23699999999996635</v>
      </c>
      <c r="V19" s="4">
        <f>IF(('Hampshire Daily'!Z22-'Hampshire Daily'!Z21&lt;0), "0",'Hampshire Daily'!Z22-'Hampshire Daily'!Z21)</f>
        <v>0.68899999999985084</v>
      </c>
      <c r="W19" s="4">
        <f>IF(('Hampshire Daily'!Z22-'Hampshire Daily'!Z21&lt;0), "0",'Hampshire Daily'!Z22-'Hampshire Daily'!Z21)</f>
        <v>0.68899999999985084</v>
      </c>
      <c r="X19" s="4">
        <f>'Hampshire Daily'!B22</f>
        <v>96</v>
      </c>
      <c r="Y19" s="4">
        <f>'Hampshire Daily'!C22</f>
        <v>241</v>
      </c>
    </row>
    <row r="20" spans="1:25" ht="14.45" x14ac:dyDescent="0.35">
      <c r="A20" s="3" t="s">
        <v>42</v>
      </c>
      <c r="B20" s="1">
        <f t="shared" si="0"/>
        <v>19</v>
      </c>
      <c r="C20" s="17">
        <v>1</v>
      </c>
      <c r="D20" s="1">
        <v>2020</v>
      </c>
      <c r="E20" s="4">
        <f>IF(('Hampshire Daily'!D23-'Hampshire Daily'!D22&lt;0), "0",('Hampshire Daily'!D23-'Hampshire Daily'!D22)*10)</f>
        <v>4800</v>
      </c>
      <c r="F20" s="4">
        <f>IF(('Hampshire Daily'!F23-'Hampshire Daily'!F22&lt;0), "0",('Hampshire Daily'!F23-'Hampshire Daily'!F22)*10)</f>
        <v>5430</v>
      </c>
      <c r="G20" s="4">
        <f>IF(('Hampshire Daily'!H23-'Hampshire Daily'!H22&lt;0), "0",'Hampshire Daily'!H23-'Hampshire Daily'!H22)</f>
        <v>258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1000</v>
      </c>
      <c r="L20" s="4">
        <f>IF(('Hampshire Daily'!M23-'Hampshire Daily'!M22&lt;0), "0",'Hampshire Daily'!M23-'Hampshire Daily'!M22)</f>
        <v>914</v>
      </c>
      <c r="M20" s="4">
        <f>IF(('Hampshire Daily'!N23-'Hampshire Daily'!N22&lt;0), "0",'Hampshire Daily'!N23-'Hampshire Daily'!N22)</f>
        <v>2624</v>
      </c>
      <c r="N20" s="4">
        <f>IF(('Hampshire Daily'!O23-'Hampshire Daily'!O22&lt;0), "0",'Hampshire Daily'!O23-'Hampshire Daily'!O22)</f>
        <v>141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2</v>
      </c>
      <c r="R20" s="4">
        <f>IF(('Hampshire Daily'!U23-'Hampshire Daily'!U22&lt;0), "0",'Hampshire Daily'!U23-'Hampshire Daily'!U22)</f>
        <v>8</v>
      </c>
      <c r="S20" s="4">
        <f>IF(('Hampshire Daily'!V23-'Hampshire Daily'!V22&lt;0), "0",'Hampshire Daily'!V23-'Hampshire Daily'!V22)</f>
        <v>1</v>
      </c>
      <c r="T20" s="4">
        <f>IF(('Hampshire Daily'!X23-'Hampshire Daily'!X22&lt;0), "0",'Hampshire Daily'!X23-'Hampshire Daily'!X22)</f>
        <v>0</v>
      </c>
      <c r="U20" s="4">
        <f>IF(('Hampshire Daily'!Y23-'Hampshire Daily'!Y22&lt;0), "0",'Hampshire Daily'!Y23-'Hampshire Daily'!Y22)</f>
        <v>0.18899999999996453</v>
      </c>
      <c r="V20" s="4">
        <f>IF(('Hampshire Daily'!Z23-'Hampshire Daily'!Z22&lt;0), "0",'Hampshire Daily'!Z23-'Hampshire Daily'!Z22)</f>
        <v>0.68900000000030559</v>
      </c>
      <c r="W20" s="4">
        <f>IF(('Hampshire Daily'!Z23-'Hampshire Daily'!Z22&lt;0), "0",'Hampshire Daily'!Z23-'Hampshire Daily'!Z22)</f>
        <v>0.68900000000030559</v>
      </c>
      <c r="X20" s="4">
        <f>'Hampshire Daily'!B23</f>
        <v>20</v>
      </c>
      <c r="Y20" s="4">
        <f>'Hampshire Daily'!C23</f>
        <v>53</v>
      </c>
    </row>
    <row r="21" spans="1:25" ht="14.45" x14ac:dyDescent="0.35">
      <c r="A21" s="3" t="s">
        <v>42</v>
      </c>
      <c r="B21" s="1">
        <f t="shared" si="0"/>
        <v>20</v>
      </c>
      <c r="C21" s="17">
        <v>1</v>
      </c>
      <c r="D21" s="1">
        <v>2020</v>
      </c>
      <c r="E21" s="4">
        <f>IF(('Hampshire Daily'!D24-'Hampshire Daily'!D23&lt;0), "0",('Hampshire Daily'!D24-'Hampshire Daily'!D23)*10)</f>
        <v>4750</v>
      </c>
      <c r="F21" s="4">
        <f>IF(('Hampshire Daily'!F24-'Hampshire Daily'!F23&lt;0), "0",('Hampshire Daily'!F24-'Hampshire Daily'!F23)*10)</f>
        <v>5280</v>
      </c>
      <c r="G21" s="4">
        <f>IF(('Hampshire Daily'!H24-'Hampshire Daily'!H23&lt;0), "0",'Hampshire Daily'!H24-'Hampshire Daily'!H23)</f>
        <v>1300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1000</v>
      </c>
      <c r="L21" s="4">
        <f>IF(('Hampshire Daily'!M24-'Hampshire Daily'!M23&lt;0), "0",'Hampshire Daily'!M24-'Hampshire Daily'!M23)</f>
        <v>894</v>
      </c>
      <c r="M21" s="4">
        <f>IF(('Hampshire Daily'!N24-'Hampshire Daily'!N23&lt;0), "0",'Hampshire Daily'!N24-'Hampshire Daily'!N23)</f>
        <v>2648</v>
      </c>
      <c r="N21" s="4">
        <f>IF(('Hampshire Daily'!O24-'Hampshire Daily'!O23&lt;0), "0",'Hampshire Daily'!O24-'Hampshire Daily'!O23)</f>
        <v>141</v>
      </c>
      <c r="O21" s="4" t="str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2</v>
      </c>
      <c r="R21" s="4">
        <f>IF(('Hampshire Daily'!U24-'Hampshire Daily'!U23&lt;0), "0",'Hampshire Daily'!U24-'Hampshire Daily'!U23)</f>
        <v>7</v>
      </c>
      <c r="S21" s="4">
        <f>IF(('Hampshire Daily'!V24-'Hampshire Daily'!V23&lt;0), "0",'Hampshire Daily'!V24-'Hampshire Daily'!V23)</f>
        <v>7</v>
      </c>
      <c r="T21" s="4">
        <f>IF(('Hampshire Daily'!X24-'Hampshire Daily'!X23&lt;0), "0",'Hampshire Daily'!X24-'Hampshire Daily'!X23)</f>
        <v>4.9999999999954525E-3</v>
      </c>
      <c r="U21" s="4">
        <f>IF(('Hampshire Daily'!Y24-'Hampshire Daily'!Y23&lt;0), "0",'Hampshire Daily'!Y24-'Hampshire Daily'!Y23)</f>
        <v>0.2459999999999809</v>
      </c>
      <c r="V21" s="4">
        <f>IF(('Hampshire Daily'!Z24-'Hampshire Daily'!Z23&lt;0), "0",'Hampshire Daily'!Z24-'Hampshire Daily'!Z23)</f>
        <v>0.7179999999998472</v>
      </c>
      <c r="W21" s="4">
        <f>IF(('Hampshire Daily'!Z24-'Hampshire Daily'!Z23&lt;0), "0",'Hampshire Daily'!Z24-'Hampshire Daily'!Z23)</f>
        <v>0.7179999999998472</v>
      </c>
      <c r="X21" s="4">
        <f>'Hampshire Daily'!B24</f>
        <v>27</v>
      </c>
      <c r="Y21" s="4">
        <f>'Hampshire Daily'!C24</f>
        <v>55</v>
      </c>
    </row>
    <row r="22" spans="1:25" ht="14.45" x14ac:dyDescent="0.35">
      <c r="A22" s="3" t="s">
        <v>42</v>
      </c>
      <c r="B22" s="1">
        <f t="shared" si="0"/>
        <v>21</v>
      </c>
      <c r="C22" s="17">
        <v>1</v>
      </c>
      <c r="D22" s="1">
        <v>2020</v>
      </c>
      <c r="E22" s="4">
        <f>IF(('Hampshire Daily'!D25-'Hampshire Daily'!D24&lt;0), "0",('Hampshire Daily'!D25-'Hampshire Daily'!D24)*10)</f>
        <v>4750</v>
      </c>
      <c r="F22" s="4">
        <f>IF(('Hampshire Daily'!F25-'Hampshire Daily'!F24&lt;0), "0",('Hampshire Daily'!F25-'Hampshire Daily'!F24)*10)</f>
        <v>5140</v>
      </c>
      <c r="G22" s="4">
        <f>IF(('Hampshire Daily'!H25-'Hampshire Daily'!H24&lt;0), "0",'Hampshire Daily'!H25-'Hampshire Daily'!H24)</f>
        <v>803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1000</v>
      </c>
      <c r="L22" s="4">
        <f>IF(('Hampshire Daily'!M25-'Hampshire Daily'!M24&lt;0), "0",'Hampshire Daily'!M25-'Hampshire Daily'!M24)</f>
        <v>877</v>
      </c>
      <c r="M22" s="4">
        <f>IF(('Hampshire Daily'!N25-'Hampshire Daily'!N24&lt;0), "0",'Hampshire Daily'!N25-'Hampshire Daily'!N24)</f>
        <v>2618</v>
      </c>
      <c r="N22" s="4">
        <f>IF(('Hampshire Daily'!O25-'Hampshire Daily'!O24&lt;0), "0",'Hampshire Daily'!O25-'Hampshire Daily'!O24)</f>
        <v>141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2</v>
      </c>
      <c r="R22" s="4">
        <f>IF(('Hampshire Daily'!U25-'Hampshire Daily'!U24&lt;0), "0",'Hampshire Daily'!U25-'Hampshire Daily'!U24)</f>
        <v>7</v>
      </c>
      <c r="S22" s="4">
        <f>IF(('Hampshire Daily'!V25-'Hampshire Daily'!V24&lt;0), "0",'Hampshire Daily'!V25-'Hampshire Daily'!V24)</f>
        <v>0</v>
      </c>
      <c r="T22" s="4">
        <f>IF(('Hampshire Daily'!X25-'Hampshire Daily'!X24&lt;0), "0",'Hampshire Daily'!X25-'Hampshire Daily'!X24)</f>
        <v>0</v>
      </c>
      <c r="U22" s="4">
        <f>IF(('Hampshire Daily'!Y25-'Hampshire Daily'!Y24&lt;0), "0",'Hampshire Daily'!Y25-'Hampshire Daily'!Y24)</f>
        <v>0.21400000000005548</v>
      </c>
      <c r="V22" s="4">
        <f>IF(('Hampshire Daily'!Z25-'Hampshire Daily'!Z24&lt;0), "0",'Hampshire Daily'!Z25-'Hampshire Daily'!Z24)</f>
        <v>0.75</v>
      </c>
      <c r="W22" s="4">
        <f>IF(('Hampshire Daily'!Z25-'Hampshire Daily'!Z24&lt;0), "0",'Hampshire Daily'!Z25-'Hampshire Daily'!Z24)</f>
        <v>0.75</v>
      </c>
      <c r="X22" s="4">
        <f>'Hampshire Daily'!B25</f>
        <v>32</v>
      </c>
      <c r="Y22" s="4">
        <f>'Hampshire Daily'!C25</f>
        <v>53</v>
      </c>
    </row>
    <row r="23" spans="1:25" ht="14.45" x14ac:dyDescent="0.35">
      <c r="A23" s="3" t="s">
        <v>42</v>
      </c>
      <c r="B23" s="1">
        <f t="shared" si="0"/>
        <v>22</v>
      </c>
      <c r="C23" s="17">
        <v>1</v>
      </c>
      <c r="D23" s="1">
        <v>2020</v>
      </c>
      <c r="E23" s="4">
        <f>IF(('Hampshire Daily'!D26-'Hampshire Daily'!D25&lt;0), "0",('Hampshire Daily'!D26-'Hampshire Daily'!D25)*10)</f>
        <v>4890</v>
      </c>
      <c r="F23" s="4">
        <f>IF(('Hampshire Daily'!F26-'Hampshire Daily'!F25&lt;0), "0",('Hampshire Daily'!F26-'Hampshire Daily'!F25)*10)</f>
        <v>4990</v>
      </c>
      <c r="G23" s="4">
        <f>IF(('Hampshire Daily'!H26-'Hampshire Daily'!H25&lt;0), "0",'Hampshire Daily'!H26-'Hampshire Daily'!H25)</f>
        <v>766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1009</v>
      </c>
      <c r="L23" s="4">
        <f>IF(('Hampshire Daily'!M26-'Hampshire Daily'!M25&lt;0), "0",'Hampshire Daily'!M26-'Hampshire Daily'!M25)</f>
        <v>892</v>
      </c>
      <c r="M23" s="4">
        <f>IF(('Hampshire Daily'!N26-'Hampshire Daily'!N25&lt;0), "0",'Hampshire Daily'!N26-'Hampshire Daily'!N25)</f>
        <v>2457</v>
      </c>
      <c r="N23" s="4">
        <f>IF(('Hampshire Daily'!O26-'Hampshire Daily'!O25&lt;0), "0",'Hampshire Daily'!O26-'Hampshire Daily'!O25)</f>
        <v>288</v>
      </c>
      <c r="O23" s="4">
        <f>IF(('Hampshire Daily'!P26-'Hampshire Daily'!P25&lt;0), "0",'Hampshire Daily'!P26-'Hampshire Daily'!P25)</f>
        <v>1435953.6089999999</v>
      </c>
      <c r="P23" s="4">
        <f>IF(('Hampshire Daily'!Q26-'Hampshire Daily'!Q25&lt;0), "0",'Hampshire Daily'!Q26-'Hampshire Daily'!Q25)</f>
        <v>0</v>
      </c>
      <c r="Q23" s="4">
        <f>IF(('Hampshire Daily'!R26-'Hampshire Daily'!R25&lt;0), "0",'Hampshire Daily'!R26-'Hampshire Daily'!R25)</f>
        <v>3</v>
      </c>
      <c r="R23" s="4">
        <f>IF(('Hampshire Daily'!U26-'Hampshire Daily'!U25&lt;0), "0",'Hampshire Daily'!U26-'Hampshire Daily'!U25)</f>
        <v>6</v>
      </c>
      <c r="S23" s="4">
        <f>IF(('Hampshire Daily'!V26-'Hampshire Daily'!V25&lt;0), "0",'Hampshire Daily'!V26-'Hampshire Daily'!V25)</f>
        <v>1</v>
      </c>
      <c r="T23" s="4">
        <f>IF(('Hampshire Daily'!X26-'Hampshire Daily'!X25&lt;0), "0",'Hampshire Daily'!X26-'Hampshire Daily'!X25)</f>
        <v>4.9999999999954525E-3</v>
      </c>
      <c r="U23" s="4">
        <f>IF(('Hampshire Daily'!Y26-'Hampshire Daily'!Y25&lt;0), "0",'Hampshire Daily'!Y26-'Hampshire Daily'!Y25)</f>
        <v>0.21100000000001273</v>
      </c>
      <c r="V23" s="4">
        <f>IF(('Hampshire Daily'!Z26-'Hampshire Daily'!Z25&lt;0), "0",'Hampshire Daily'!Z26-'Hampshire Daily'!Z25)</f>
        <v>0.76099999999996726</v>
      </c>
      <c r="W23" s="4">
        <f>IF(('Hampshire Daily'!Z26-'Hampshire Daily'!Z25&lt;0), "0",'Hampshire Daily'!Z26-'Hampshire Daily'!Z25)</f>
        <v>0.76099999999996726</v>
      </c>
      <c r="X23" s="4">
        <f>'Hampshire Daily'!B26</f>
        <v>23</v>
      </c>
      <c r="Y23" s="4">
        <f>'Hampshire Daily'!C26</f>
        <v>46</v>
      </c>
    </row>
    <row r="24" spans="1:25" x14ac:dyDescent="0.25">
      <c r="A24" s="3" t="s">
        <v>42</v>
      </c>
      <c r="B24" s="1">
        <f t="shared" si="0"/>
        <v>23</v>
      </c>
      <c r="C24" s="17">
        <v>1</v>
      </c>
      <c r="D24" s="1">
        <v>2020</v>
      </c>
      <c r="E24" s="4">
        <f>IF(('Hampshire Daily'!D27-'Hampshire Daily'!D26&lt;0), "0",('Hampshire Daily'!D27-'Hampshire Daily'!D26)*10)</f>
        <v>5120</v>
      </c>
      <c r="F24" s="4">
        <f>IF(('Hampshire Daily'!F27-'Hampshire Daily'!F26&lt;0), "0",('Hampshire Daily'!F27-'Hampshire Daily'!F26)*10)</f>
        <v>5160</v>
      </c>
      <c r="G24" s="4">
        <f>IF(('Hampshire Daily'!H27-'Hampshire Daily'!H26&lt;0), "0",'Hampshire Daily'!H27-'Hampshire Daily'!H26)</f>
        <v>835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886</v>
      </c>
      <c r="L24" s="4">
        <f>IF(('Hampshire Daily'!M27-'Hampshire Daily'!M26&lt;0), "0",'Hampshire Daily'!M27-'Hampshire Daily'!M26)</f>
        <v>861</v>
      </c>
      <c r="M24" s="4">
        <f>IF(('Hampshire Daily'!N27-'Hampshire Daily'!N26&lt;0), "0",'Hampshire Daily'!N27-'Hampshire Daily'!N26)</f>
        <v>2413</v>
      </c>
      <c r="N24" s="4">
        <f>IF(('Hampshire Daily'!O27-'Hampshire Daily'!O26&lt;0), "0",'Hampshire Daily'!O27-'Hampshire Daily'!O26)</f>
        <v>139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3</v>
      </c>
      <c r="R24" s="4">
        <f>IF(('Hampshire Daily'!U27-'Hampshire Daily'!U26&lt;0), "0",'Hampshire Daily'!U27-'Hampshire Daily'!U26)</f>
        <v>7</v>
      </c>
      <c r="S24" s="4">
        <f>IF(('Hampshire Daily'!V27-'Hampshire Daily'!V26&lt;0), "0",'Hampshire Daily'!V27-'Hampshire Daily'!V26)</f>
        <v>0</v>
      </c>
      <c r="T24" s="4">
        <f>IF(('Hampshire Daily'!X27-'Hampshire Daily'!X26&lt;0), "0",'Hampshire Daily'!X27-'Hampshire Daily'!X26)</f>
        <v>0</v>
      </c>
      <c r="U24" s="4">
        <f>IF(('Hampshire Daily'!Y27-'Hampshire Daily'!Y26&lt;0), "0",'Hampshire Daily'!Y27-'Hampshire Daily'!Y26)</f>
        <v>0.21100000000001273</v>
      </c>
      <c r="V24" s="4">
        <f>IF(('Hampshire Daily'!Z27-'Hampshire Daily'!Z26&lt;0), "0",'Hampshire Daily'!Z27-'Hampshire Daily'!Z26)</f>
        <v>1.0590000000001965</v>
      </c>
      <c r="W24" s="4">
        <f>IF(('Hampshire Daily'!Z27-'Hampshire Daily'!Z26&lt;0), "0",'Hampshire Daily'!Z27-'Hampshire Daily'!Z26)</f>
        <v>1.0590000000001965</v>
      </c>
      <c r="X24" s="4">
        <f>'Hampshire Daily'!B27</f>
        <v>17</v>
      </c>
      <c r="Y24" s="4">
        <f>'Hampshire Daily'!C27</f>
        <v>53</v>
      </c>
    </row>
    <row r="25" spans="1:25" x14ac:dyDescent="0.25">
      <c r="A25" s="3" t="s">
        <v>42</v>
      </c>
      <c r="B25" s="1">
        <f t="shared" si="0"/>
        <v>24</v>
      </c>
      <c r="C25" s="17">
        <v>1</v>
      </c>
      <c r="D25" s="1">
        <v>2020</v>
      </c>
      <c r="E25" s="4">
        <f>IF(('Hampshire Daily'!D28-'Hampshire Daily'!D27&lt;0), "0",('Hampshire Daily'!D28-'Hampshire Daily'!D27)*10)</f>
        <v>4900</v>
      </c>
      <c r="F25" s="4">
        <f>IF(('Hampshire Daily'!F28-'Hampshire Daily'!F27&lt;0), "0",('Hampshire Daily'!F28-'Hampshire Daily'!F27)*10)</f>
        <v>5180</v>
      </c>
      <c r="G25" s="4">
        <f>IF(('Hampshire Daily'!H28-'Hampshire Daily'!H27&lt;0), "0",'Hampshire Daily'!H28-'Hampshire Daily'!H27)</f>
        <v>821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962</v>
      </c>
      <c r="L25" s="4">
        <f>IF(('Hampshire Daily'!M28-'Hampshire Daily'!M27&lt;0), "0",'Hampshire Daily'!M28-'Hampshire Daily'!M27)</f>
        <v>803</v>
      </c>
      <c r="M25" s="4">
        <f>IF(('Hampshire Daily'!N28-'Hampshire Daily'!N27&lt;0), "0",'Hampshire Daily'!N28-'Hampshire Daily'!N27)</f>
        <v>2359</v>
      </c>
      <c r="N25" s="4">
        <f>IF(('Hampshire Daily'!O28-'Hampshire Daily'!O27&lt;0), "0",'Hampshire Daily'!O28-'Hampshire Daily'!O27)</f>
        <v>136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2</v>
      </c>
      <c r="R25" s="4">
        <f>IF(('Hampshire Daily'!U28-'Hampshire Daily'!U27&lt;0), "0",'Hampshire Daily'!U28-'Hampshire Daily'!U27)</f>
        <v>8</v>
      </c>
      <c r="S25" s="4">
        <f>IF(('Hampshire Daily'!V28-'Hampshire Daily'!V27&lt;0), "0",'Hampshire Daily'!V28-'Hampshire Daily'!V27)</f>
        <v>1</v>
      </c>
      <c r="T25" s="4">
        <f>IF(('Hampshire Daily'!X28-'Hampshire Daily'!X27&lt;0), "0",'Hampshire Daily'!X28-'Hampshire Daily'!X27)</f>
        <v>4.0000000000190994E-3</v>
      </c>
      <c r="U25" s="4">
        <f>IF(('Hampshire Daily'!Y28-'Hampshire Daily'!Y27&lt;0), "0",'Hampshire Daily'!Y28-'Hampshire Daily'!Y27)</f>
        <v>0.20899999999994634</v>
      </c>
      <c r="V25" s="4">
        <f>IF(('Hampshire Daily'!Z28-'Hampshire Daily'!Z27&lt;0), "0",'Hampshire Daily'!Z28-'Hampshire Daily'!Z27)</f>
        <v>1.281999999999698</v>
      </c>
      <c r="W25" s="4">
        <f>IF(('Hampshire Daily'!Z28-'Hampshire Daily'!Z27&lt;0), "0",'Hampshire Daily'!Z28-'Hampshire Daily'!Z27)</f>
        <v>1.281999999999698</v>
      </c>
      <c r="X25" s="4">
        <f>'Hampshire Daily'!B28</f>
        <v>76</v>
      </c>
      <c r="Y25" s="4">
        <f>'Hampshire Daily'!C28</f>
        <v>202</v>
      </c>
    </row>
    <row r="26" spans="1:25" x14ac:dyDescent="0.25">
      <c r="A26" s="3" t="s">
        <v>42</v>
      </c>
      <c r="B26" s="15">
        <f>B25+1</f>
        <v>25</v>
      </c>
      <c r="C26" s="17">
        <v>1</v>
      </c>
      <c r="D26" s="1">
        <v>2020</v>
      </c>
      <c r="E26" s="4">
        <f>IF(('Hampshire Daily'!D29-'Hampshire Daily'!D28&lt;0), "0",('Hampshire Daily'!D29-'Hampshire Daily'!D28)*10)</f>
        <v>5200</v>
      </c>
      <c r="F26" s="4">
        <f>IF(('Hampshire Daily'!F29-'Hampshire Daily'!F28&lt;0), "0",('Hampshire Daily'!F29-'Hampshire Daily'!F28)*10)</f>
        <v>5410</v>
      </c>
      <c r="G26" s="4">
        <f>IF(('Hampshire Daily'!H29-'Hampshire Daily'!H28&lt;0), "0",'Hampshire Daily'!H29-'Hampshire Daily'!H28)</f>
        <v>823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1000</v>
      </c>
      <c r="L26" s="4">
        <f>IF(('Hampshire Daily'!M29-'Hampshire Daily'!M28&lt;0), "0",'Hampshire Daily'!M29-'Hampshire Daily'!M28)</f>
        <v>879</v>
      </c>
      <c r="M26" s="4">
        <f>IF(('Hampshire Daily'!N29-'Hampshire Daily'!N28&lt;0), "0",'Hampshire Daily'!N29-'Hampshire Daily'!N28)</f>
        <v>2419</v>
      </c>
      <c r="N26" s="4">
        <f>IF(('Hampshire Daily'!O29-'Hampshire Daily'!O28&lt;0), "0",'Hampshire Daily'!O29-'Hampshire Daily'!O28)</f>
        <v>141</v>
      </c>
      <c r="O26" s="4">
        <f>IF(('Hampshire Daily'!P29-'Hampshire Daily'!P28&lt;0), "0",'Hampshire Daily'!P29-'Hampshire Daily'!P28)</f>
        <v>60000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3</v>
      </c>
      <c r="R26" s="4">
        <f>IF(('Hampshire Daily'!U29-'Hampshire Daily'!U28&lt;0), "0",'Hampshire Daily'!U29-'Hampshire Daily'!U28)</f>
        <v>10</v>
      </c>
      <c r="S26" s="4">
        <f>IF(('Hampshire Daily'!V29-'Hampshire Daily'!V28&lt;0), "0",'Hampshire Daily'!V29-'Hampshire Daily'!V28)</f>
        <v>1</v>
      </c>
      <c r="T26" s="4">
        <f>IF(('Hampshire Daily'!X29-'Hampshire Daily'!X28&lt;0), "0",'Hampshire Daily'!X29-'Hampshire Daily'!X28)</f>
        <v>0</v>
      </c>
      <c r="U26" s="4">
        <f>IF(('Hampshire Daily'!Y29-'Hampshire Daily'!Y28&lt;0), "0",'Hampshire Daily'!Y29-'Hampshire Daily'!Y28)</f>
        <v>0.22199999999997999</v>
      </c>
      <c r="V26" s="4">
        <f>IF(('Hampshire Daily'!Z29-'Hampshire Daily'!Z28&lt;0), "0",'Hampshire Daily'!Z29-'Hampshire Daily'!Z28)</f>
        <v>1.3099999999999454</v>
      </c>
      <c r="W26" s="4">
        <f>IF(('Hampshire Daily'!Z29-'Hampshire Daily'!Z28&lt;0), "0",'Hampshire Daily'!Z29-'Hampshire Daily'!Z28)</f>
        <v>1.3099999999999454</v>
      </c>
      <c r="X26" s="4">
        <f>'Hampshire Daily'!B29</f>
        <v>109</v>
      </c>
      <c r="Y26" s="4">
        <f>'Hampshire Daily'!C29</f>
        <v>276</v>
      </c>
    </row>
    <row r="27" spans="1:25" x14ac:dyDescent="0.25">
      <c r="A27" s="3" t="s">
        <v>42</v>
      </c>
      <c r="B27" s="1">
        <f t="shared" si="0"/>
        <v>26</v>
      </c>
      <c r="C27" s="17">
        <v>1</v>
      </c>
      <c r="D27" s="1">
        <v>2020</v>
      </c>
      <c r="E27" s="4">
        <f>IF(('Hampshire Daily'!D30-'Hampshire Daily'!D29&lt;0), "0",('Hampshire Daily'!D30-'Hampshire Daily'!D29)*10)</f>
        <v>5130</v>
      </c>
      <c r="F27" s="4">
        <f>IF(('Hampshire Daily'!F30-'Hampshire Daily'!F29&lt;0), "0",('Hampshire Daily'!F30-'Hampshire Daily'!F29)*10)</f>
        <v>5460</v>
      </c>
      <c r="G27" s="4">
        <f>IF(('Hampshire Daily'!H30-'Hampshire Daily'!H29&lt;0), "0",'Hampshire Daily'!H30-'Hampshire Daily'!H29)</f>
        <v>853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1000</v>
      </c>
      <c r="L27" s="4">
        <f>IF(('Hampshire Daily'!M30-'Hampshire Daily'!M29&lt;0), "0",'Hampshire Daily'!M30-'Hampshire Daily'!M29)</f>
        <v>876</v>
      </c>
      <c r="M27" s="4">
        <f>IF(('Hampshire Daily'!N30-'Hampshire Daily'!N29&lt;0), "0",'Hampshire Daily'!N30-'Hampshire Daily'!N29)</f>
        <v>2412</v>
      </c>
      <c r="N27" s="4">
        <f>IF(('Hampshire Daily'!O30-'Hampshire Daily'!O29&lt;0), "0",'Hampshire Daily'!O30-'Hampshire Daily'!O29)</f>
        <v>141</v>
      </c>
      <c r="O27" s="4" t="str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0</v>
      </c>
      <c r="Q27" s="4">
        <f>IF(('Hampshire Daily'!R30-'Hampshire Daily'!R29&lt;0), "0",'Hampshire Daily'!R30-'Hampshire Daily'!R29)</f>
        <v>3</v>
      </c>
      <c r="R27" s="4">
        <f>IF(('Hampshire Daily'!U30-'Hampshire Daily'!U29&lt;0), "0",'Hampshire Daily'!U30-'Hampshire Daily'!U29)</f>
        <v>10</v>
      </c>
      <c r="S27" s="4">
        <f>IF(('Hampshire Daily'!V30-'Hampshire Daily'!V29&lt;0), "0",'Hampshire Daily'!V30-'Hampshire Daily'!V29)</f>
        <v>1</v>
      </c>
      <c r="T27" s="4">
        <f>IF(('Hampshire Daily'!X30-'Hampshire Daily'!X29&lt;0), "0",'Hampshire Daily'!X30-'Hampshire Daily'!X29)</f>
        <v>4.0000000000190994E-3</v>
      </c>
      <c r="U27" s="4">
        <f>IF(('Hampshire Daily'!Y30-'Hampshire Daily'!Y29&lt;0), "0",'Hampshire Daily'!Y30-'Hampshire Daily'!Y29)</f>
        <v>0.21600000000000819</v>
      </c>
      <c r="V27" s="4">
        <f>IF(('Hampshire Daily'!Z30-'Hampshire Daily'!Z29&lt;0), "0",'Hampshire Daily'!Z30-'Hampshire Daily'!Z29)</f>
        <v>1.3670000000001892</v>
      </c>
      <c r="W27" s="4">
        <f>IF(('Hampshire Daily'!Z30-'Hampshire Daily'!Z29&lt;0), "0",'Hampshire Daily'!Z30-'Hampshire Daily'!Z29)</f>
        <v>1.3670000000001892</v>
      </c>
      <c r="X27" s="4">
        <f>'Hampshire Daily'!B30</f>
        <v>23</v>
      </c>
      <c r="Y27" s="4">
        <f>'Hampshire Daily'!C30</f>
        <v>46</v>
      </c>
    </row>
    <row r="28" spans="1:25" x14ac:dyDescent="0.25">
      <c r="A28" s="3" t="s">
        <v>42</v>
      </c>
      <c r="B28" s="1">
        <f t="shared" si="0"/>
        <v>27</v>
      </c>
      <c r="C28" s="17">
        <v>1</v>
      </c>
      <c r="D28" s="1">
        <v>2020</v>
      </c>
      <c r="E28" s="4">
        <f>IF(('Hampshire Daily'!D31-'Hampshire Daily'!D30&lt;0), "0",('Hampshire Daily'!D31-'Hampshire Daily'!D30)*10)</f>
        <v>4580</v>
      </c>
      <c r="F28" s="4">
        <f>IF(('Hampshire Daily'!F31-'Hampshire Daily'!F30&lt;0), "0",('Hampshire Daily'!F31-'Hampshire Daily'!F30)*10)</f>
        <v>5100</v>
      </c>
      <c r="G28" s="4">
        <f>IF(('Hampshire Daily'!H31-'Hampshire Daily'!H30&lt;0), "0",'Hampshire Daily'!H31-'Hampshire Daily'!H30)</f>
        <v>674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1000</v>
      </c>
      <c r="L28" s="4">
        <f>IF(('Hampshire Daily'!M31-'Hampshire Daily'!M30&lt;0), "0",'Hampshire Daily'!M31-'Hampshire Daily'!M30)</f>
        <v>874</v>
      </c>
      <c r="M28" s="4">
        <f>IF(('Hampshire Daily'!N31-'Hampshire Daily'!N30&lt;0), "0",'Hampshire Daily'!N31-'Hampshire Daily'!N30)</f>
        <v>2231</v>
      </c>
      <c r="N28" s="4">
        <f>IF(('Hampshire Daily'!O31-'Hampshire Daily'!O30&lt;0), "0",'Hampshire Daily'!O31-'Hampshire Daily'!O30)</f>
        <v>141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0</v>
      </c>
      <c r="Q28" s="4">
        <f>IF(('Hampshire Daily'!R31-'Hampshire Daily'!R30&lt;0), "0",'Hampshire Daily'!R31-'Hampshire Daily'!R30)</f>
        <v>2</v>
      </c>
      <c r="R28" s="4">
        <f>IF(('Hampshire Daily'!U31-'Hampshire Daily'!U30&lt;0), "0",'Hampshire Daily'!U31-'Hampshire Daily'!U30)</f>
        <v>7</v>
      </c>
      <c r="S28" s="4">
        <f>IF(('Hampshire Daily'!V31-'Hampshire Daily'!V30&lt;0), "0",'Hampshire Daily'!V31-'Hampshire Daily'!V30)</f>
        <v>5</v>
      </c>
      <c r="T28" s="4">
        <f>IF(('Hampshire Daily'!X31-'Hampshire Daily'!X30&lt;0), "0",'Hampshire Daily'!X31-'Hampshire Daily'!X30)</f>
        <v>4.9999999999954525E-3</v>
      </c>
      <c r="U28" s="4">
        <f>IF(('Hampshire Daily'!Y31-'Hampshire Daily'!Y30&lt;0), "0",'Hampshire Daily'!Y31-'Hampshire Daily'!Y30)</f>
        <v>0.19900000000006912</v>
      </c>
      <c r="V28" s="4">
        <f>IF(('Hampshire Daily'!Z31-'Hampshire Daily'!Z30&lt;0), "0",'Hampshire Daily'!Z31-'Hampshire Daily'!Z30)</f>
        <v>0.66499999999996362</v>
      </c>
      <c r="W28" s="4">
        <f>IF(('Hampshire Daily'!Z31-'Hampshire Daily'!Z30&lt;0), "0",'Hampshire Daily'!Z31-'Hampshire Daily'!Z30)</f>
        <v>0.66499999999996362</v>
      </c>
      <c r="X28" s="4">
        <f>'Hampshire Daily'!B31</f>
        <v>28</v>
      </c>
      <c r="Y28" s="4">
        <f>'Hampshire Daily'!C31</f>
        <v>44</v>
      </c>
    </row>
    <row r="29" spans="1:25" x14ac:dyDescent="0.25">
      <c r="A29" s="3" t="s">
        <v>42</v>
      </c>
      <c r="B29" s="1">
        <f t="shared" si="0"/>
        <v>28</v>
      </c>
      <c r="C29" s="17">
        <v>1</v>
      </c>
      <c r="D29" s="1">
        <v>2020</v>
      </c>
      <c r="E29" s="4">
        <f>IF(('Hampshire Daily'!D32-'Hampshire Daily'!D31&lt;0), "0",('Hampshire Daily'!D32-'Hampshire Daily'!D31)*10)</f>
        <v>4300</v>
      </c>
      <c r="F29" s="4">
        <f>IF(('Hampshire Daily'!F32-'Hampshire Daily'!F31&lt;0), "0",('Hampshire Daily'!F32-'Hampshire Daily'!F31)*10)</f>
        <v>4580</v>
      </c>
      <c r="G29" s="4">
        <f>IF(('Hampshire Daily'!H32-'Hampshire Daily'!H31&lt;0), "0",'Hampshire Daily'!H32-'Hampshire Daily'!H31)</f>
        <v>667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100</v>
      </c>
      <c r="L29" s="4">
        <f>IF(('Hampshire Daily'!M32-'Hampshire Daily'!M31&lt;0), "0",'Hampshire Daily'!M32-'Hampshire Daily'!M31)</f>
        <v>836</v>
      </c>
      <c r="M29" s="4">
        <f>IF(('Hampshire Daily'!N32-'Hampshire Daily'!N31&lt;0), "0",'Hampshire Daily'!N32-'Hampshire Daily'!N31)</f>
        <v>1900</v>
      </c>
      <c r="N29" s="4">
        <f>IF(('Hampshire Daily'!O32-'Hampshire Daily'!O31&lt;0), "0",'Hampshire Daily'!O32-'Hampshire Daily'!O31)</f>
        <v>121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1</v>
      </c>
      <c r="R29" s="4">
        <f>IF(('Hampshire Daily'!U32-'Hampshire Daily'!U31&lt;0), "0",'Hampshire Daily'!U32-'Hampshire Daily'!U31)</f>
        <v>6</v>
      </c>
      <c r="S29" s="4">
        <f>IF(('Hampshire Daily'!V32-'Hampshire Daily'!V31&lt;0), "0",'Hampshire Daily'!V32-'Hampshire Daily'!V31)</f>
        <v>0</v>
      </c>
      <c r="T29" s="4">
        <f>IF(('Hampshire Daily'!X32-'Hampshire Daily'!X31&lt;0), "0",'Hampshire Daily'!X32-'Hampshire Daily'!X31)</f>
        <v>2.9999999999972715E-2</v>
      </c>
      <c r="U29" s="4">
        <f>IF(('Hampshire Daily'!Y32-'Hampshire Daily'!Y31&lt;0), "0",'Hampshire Daily'!Y32-'Hampshire Daily'!Y31)</f>
        <v>0.18399999999996908</v>
      </c>
      <c r="V29" s="4">
        <f>IF(('Hampshire Daily'!Z32-'Hampshire Daily'!Z31&lt;0), "0",'Hampshire Daily'!Z32-'Hampshire Daily'!Z31)</f>
        <v>0</v>
      </c>
      <c r="W29" s="4">
        <f>IF(('Hampshire Daily'!Z32-'Hampshire Daily'!Z31&lt;0), "0",'Hampshire Daily'!Z32-'Hampshire Daily'!Z31)</f>
        <v>0</v>
      </c>
      <c r="X29" s="4">
        <f>'Hampshire Daily'!B32</f>
        <v>28</v>
      </c>
      <c r="Y29" s="4">
        <f>'Hampshire Daily'!C32</f>
        <v>44</v>
      </c>
    </row>
    <row r="30" spans="1:25" x14ac:dyDescent="0.25">
      <c r="A30" s="3" t="s">
        <v>42</v>
      </c>
      <c r="B30" s="1">
        <f t="shared" si="0"/>
        <v>29</v>
      </c>
      <c r="C30" s="17">
        <v>1</v>
      </c>
      <c r="D30" s="1">
        <v>2020</v>
      </c>
      <c r="E30" s="4">
        <f>IF(('Hampshire Daily'!D33-'Hampshire Daily'!D32&lt;0), "0",('Hampshire Daily'!D33-'Hampshire Daily'!D32)*10)</f>
        <v>4110</v>
      </c>
      <c r="F30" s="4">
        <f>IF(('Hampshire Daily'!F33-'Hampshire Daily'!F32&lt;0), "0",('Hampshire Daily'!F33-'Hampshire Daily'!F32)*10)</f>
        <v>4930</v>
      </c>
      <c r="G30" s="4">
        <f>IF(('Hampshire Daily'!H33-'Hampshire Daily'!H32&lt;0), "0",'Hampshire Daily'!H33-'Hampshire Daily'!H32)</f>
        <v>713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1000</v>
      </c>
      <c r="L30" s="4">
        <f>IF(('Hampshire Daily'!M33-'Hampshire Daily'!M32&lt;0), "0",'Hampshire Daily'!M33-'Hampshire Daily'!M32)</f>
        <v>874</v>
      </c>
      <c r="M30" s="4">
        <f>IF(('Hampshire Daily'!N33-'Hampshire Daily'!N32&lt;0), "0",'Hampshire Daily'!N33-'Hampshire Daily'!N32)</f>
        <v>2467</v>
      </c>
      <c r="N30" s="4">
        <f>IF(('Hampshire Daily'!O33-'Hampshire Daily'!O32&lt;0), "0",'Hampshire Daily'!O33-'Hampshire Daily'!O32)</f>
        <v>136</v>
      </c>
      <c r="O30" s="4" t="str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9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7</v>
      </c>
      <c r="S30" s="4">
        <f>IF(('Hampshire Daily'!V33-'Hampshire Daily'!V32&lt;0), "0",'Hampshire Daily'!V33-'Hampshire Daily'!V32)</f>
        <v>0</v>
      </c>
      <c r="T30" s="4">
        <f>IF(('Hampshire Daily'!X33-'Hampshire Daily'!X32&lt;0), "0",'Hampshire Daily'!X33-'Hampshire Daily'!X32)</f>
        <v>0</v>
      </c>
      <c r="U30" s="4">
        <f>IF(('Hampshire Daily'!Y33-'Hampshire Daily'!Y32&lt;0), "0",'Hampshire Daily'!Y33-'Hampshire Daily'!Y32)</f>
        <v>0.19899999999995543</v>
      </c>
      <c r="V30" s="4">
        <f>IF(('Hampshire Daily'!Z33-'Hampshire Daily'!Z32&lt;0), "0",'Hampshire Daily'!Z33-'Hampshire Daily'!Z32)</f>
        <v>0</v>
      </c>
      <c r="W30" s="4">
        <f>IF(('Hampshire Daily'!Z33-'Hampshire Daily'!Z32&lt;0), "0",'Hampshire Daily'!Z33-'Hampshire Daily'!Z32)</f>
        <v>0</v>
      </c>
      <c r="X30" s="4">
        <f>'Hampshire Daily'!B33</f>
        <v>24</v>
      </c>
      <c r="Y30" s="4">
        <f>'Hampshire Daily'!C33</f>
        <v>46</v>
      </c>
    </row>
    <row r="31" spans="1:25" x14ac:dyDescent="0.25">
      <c r="A31" s="3" t="s">
        <v>42</v>
      </c>
      <c r="B31" s="1">
        <f t="shared" si="0"/>
        <v>30</v>
      </c>
      <c r="C31" s="17">
        <v>1</v>
      </c>
      <c r="D31" s="1">
        <v>2020</v>
      </c>
      <c r="E31" s="4">
        <f>IF(('Hampshire Daily'!D34-'Hampshire Daily'!D33&lt;0), "0",('Hampshire Daily'!D34-'Hampshire Daily'!D33)*10)</f>
        <v>4860</v>
      </c>
      <c r="F31" s="4">
        <f>IF(('Hampshire Daily'!F34-'Hampshire Daily'!F33&lt;0), "0",('Hampshire Daily'!F34-'Hampshire Daily'!F33)*10)</f>
        <v>5120</v>
      </c>
      <c r="G31" s="4">
        <f>IF(('Hampshire Daily'!H34-'Hampshire Daily'!H33&lt;0), "0",'Hampshire Daily'!H34-'Hampshire Daily'!H33)</f>
        <v>824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1000</v>
      </c>
      <c r="L31" s="4">
        <f>IF(('Hampshire Daily'!M34-'Hampshire Daily'!M33&lt;0), "0",'Hampshire Daily'!M34-'Hampshire Daily'!M33)</f>
        <v>1025</v>
      </c>
      <c r="M31" s="4">
        <f>IF(('Hampshire Daily'!N34-'Hampshire Daily'!N33&lt;0), "0",'Hampshire Daily'!N34-'Hampshire Daily'!N33)</f>
        <v>2317</v>
      </c>
      <c r="N31" s="4">
        <f>IF(('Hampshire Daily'!O34-'Hampshire Daily'!O33&lt;0), "0",'Hampshire Daily'!O34-'Hampshire Daily'!O33)</f>
        <v>136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2</v>
      </c>
      <c r="R31" s="4">
        <f>IF(('Hampshire Daily'!U34-'Hampshire Daily'!U33&lt;0), "0",'Hampshire Daily'!U34-'Hampshire Daily'!U33)</f>
        <v>10</v>
      </c>
      <c r="S31" s="4">
        <f>IF(('Hampshire Daily'!V34-'Hampshire Daily'!V33&lt;0), "0",'Hampshire Daily'!V34-'Hampshire Daily'!V33)</f>
        <v>1</v>
      </c>
      <c r="T31" s="4">
        <f>IF(('Hampshire Daily'!X34-'Hampshire Daily'!X33&lt;0), "0",'Hampshire Daily'!X34-'Hampshire Daily'!X33)</f>
        <v>0</v>
      </c>
      <c r="U31" s="4">
        <f>IF(('Hampshire Daily'!Y34-'Hampshire Daily'!Y33&lt;0), "0",'Hampshire Daily'!Y34-'Hampshire Daily'!Y33)</f>
        <v>0.21100000000001273</v>
      </c>
      <c r="V31" s="4">
        <f>IF(('Hampshire Daily'!Z34-'Hampshire Daily'!Z33&lt;0), "0",'Hampshire Daily'!Z34-'Hampshire Daily'!Z33)</f>
        <v>0</v>
      </c>
      <c r="W31" s="4">
        <f>IF(('Hampshire Daily'!Z34-'Hampshire Daily'!Z33&lt;0), "0",'Hampshire Daily'!Z34-'Hampshire Daily'!Z33)</f>
        <v>0</v>
      </c>
      <c r="X31" s="4">
        <f>'Hampshire Daily'!B34</f>
        <v>27</v>
      </c>
      <c r="Y31" s="4">
        <f>'Hampshire Daily'!C34</f>
        <v>49</v>
      </c>
    </row>
    <row r="32" spans="1:25" x14ac:dyDescent="0.25">
      <c r="A32" s="3" t="s">
        <v>42</v>
      </c>
      <c r="B32" s="1">
        <f t="shared" si="0"/>
        <v>31</v>
      </c>
      <c r="C32" s="17">
        <v>1</v>
      </c>
      <c r="D32" s="1">
        <v>2020</v>
      </c>
      <c r="E32" s="4">
        <f>IF(('Hampshire Daily'!D35-'Hampshire Daily'!D34&lt;0), "0",('Hampshire Daily'!D35-'Hampshire Daily'!D34)*10)</f>
        <v>4800</v>
      </c>
      <c r="F32" s="4">
        <f>IF(('Hampshire Daily'!F35-'Hampshire Daily'!F34&lt;0), "0",('Hampshire Daily'!F35-'Hampshire Daily'!F34)*10)</f>
        <v>4560</v>
      </c>
      <c r="G32" s="4">
        <f>IF(('Hampshire Daily'!H35-'Hampshire Daily'!H34&lt;0), "0",'Hampshire Daily'!H35-'Hampshire Daily'!H34)</f>
        <v>601</v>
      </c>
      <c r="H32" s="4">
        <f>IF(('Hampshire Daily'!I35-'Hampshire Daily'!I34&lt;0), "0",'Hampshire Daily'!I35-'Hampshire Daily'!I34)</f>
        <v>6381524</v>
      </c>
      <c r="I32" s="4">
        <f>IF(('Hampshire Daily'!J35-'Hampshire Daily'!J34&lt;0), "0",'Hampshire Daily'!J35-'Hampshire Daily'!J34)</f>
        <v>31748</v>
      </c>
      <c r="J32" s="4">
        <f>IF(('Hampshire Daily'!K35-'Hampshire Daily'!K34&lt;0), "0",'Hampshire Daily'!K35-'Hampshire Daily'!K34)</f>
        <v>4256235</v>
      </c>
      <c r="K32" s="4">
        <f>IF(('Hampshire Daily'!L35-'Hampshire Daily'!L34&lt;0), "0",'Hampshire Daily'!L35-'Hampshire Daily'!L34)</f>
        <v>1556</v>
      </c>
      <c r="L32" s="4">
        <f>IF(('Hampshire Daily'!M35-'Hampshire Daily'!M34&lt;0), "0",'Hampshire Daily'!M35-'Hampshire Daily'!M34)</f>
        <v>643</v>
      </c>
      <c r="M32" s="4">
        <f>IF(('Hampshire Daily'!N35-'Hampshire Daily'!N34&lt;0), "0",'Hampshire Daily'!N35-'Hampshire Daily'!N34)</f>
        <v>1905</v>
      </c>
      <c r="N32" s="4">
        <f>IF(('Hampshire Daily'!O35-'Hampshire Daily'!O34&lt;0), "0",'Hampshire Daily'!O35-'Hampshire Daily'!O34)</f>
        <v>212</v>
      </c>
      <c r="O32" s="4">
        <f>IF(('Hampshire Daily'!P35-'Hampshire Daily'!P34&lt;0), "0",'Hampshire Daily'!P35-'Hampshire Daily'!P34)</f>
        <v>1435991.571</v>
      </c>
      <c r="P32" s="4">
        <f>IF(('Hampshire Daily'!Q35-'Hampshire Daily'!Q34&lt;0), "0",'Hampshire Daily'!Q35-'Hampshire Daily'!Q34)</f>
        <v>0</v>
      </c>
      <c r="Q32" s="4">
        <f>IF(('Hampshire Daily'!R35-'Hampshire Daily'!R34&lt;0), "0",'Hampshire Daily'!R35-'Hampshire Daily'!R34)</f>
        <v>4</v>
      </c>
      <c r="R32" s="4">
        <f>IF(('Hampshire Daily'!U35-'Hampshire Daily'!U34&lt;0), "0",'Hampshire Daily'!U35-'Hampshire Daily'!U34)</f>
        <v>4</v>
      </c>
      <c r="S32" s="4">
        <f>IF(('Hampshire Daily'!V35-'Hampshire Daily'!V34&lt;0), "0",'Hampshire Daily'!V35-'Hampshire Daily'!V34)</f>
        <v>1</v>
      </c>
      <c r="T32" s="4">
        <f>IF(('Hampshire Daily'!X35-'Hampshire Daily'!X34&lt;0), "0",'Hampshire Daily'!X35-'Hampshire Daily'!X34)</f>
        <v>0</v>
      </c>
      <c r="U32" s="4">
        <f>IF(('Hampshire Daily'!Y35-'Hampshire Daily'!Y34&lt;0), "0",'Hampshire Daily'!Y35-'Hampshire Daily'!Y34)</f>
        <v>7.9000000000064574E-2</v>
      </c>
      <c r="V32" s="4">
        <f>IF(('Hampshire Daily'!Z35-'Hampshire Daily'!Z34&lt;0), "0",'Hampshire Daily'!Z35-'Hampshire Daily'!Z34)</f>
        <v>7.4000000000069122E-2</v>
      </c>
      <c r="W32" s="4">
        <f>IF(('Hampshire Daily'!Z35-'Hampshire Daily'!Z34&lt;0), "0",'Hampshire Daily'!Z35-'Hampshire Daily'!Z34)</f>
        <v>7.4000000000069122E-2</v>
      </c>
      <c r="X32" s="4">
        <f>'Hampshire Daily'!B35</f>
        <v>68</v>
      </c>
      <c r="Y32" s="4">
        <f>'Hampshire Daily'!C35</f>
        <v>178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6"/>
  <sheetViews>
    <sheetView zoomScaleNormal="100" workbookViewId="0">
      <pane xSplit="1" topLeftCell="B1" activePane="topRight" state="frozen"/>
      <selection pane="topRight" activeCell="P5" sqref="P5"/>
    </sheetView>
  </sheetViews>
  <sheetFormatPr defaultRowHeight="15" x14ac:dyDescent="0.25"/>
  <cols>
    <col min="1" max="1" width="8.7109375" style="16" customWidth="1"/>
    <col min="2" max="3" width="8.7109375" style="23" customWidth="1"/>
    <col min="26" max="26" width="10.42578125" style="19" bestFit="1" customWidth="1"/>
  </cols>
  <sheetData>
    <row r="1" spans="1:29" x14ac:dyDescent="0.25">
      <c r="A1" s="45"/>
      <c r="B1" s="22"/>
      <c r="C1" s="22"/>
      <c r="D1" s="48" t="s">
        <v>12</v>
      </c>
      <c r="E1" s="48"/>
      <c r="F1" s="48"/>
      <c r="G1" s="48"/>
      <c r="H1" s="48"/>
      <c r="I1" s="48"/>
      <c r="J1" s="48"/>
      <c r="K1" s="48"/>
      <c r="L1" s="48"/>
      <c r="M1" s="48"/>
      <c r="N1" s="41" t="s">
        <v>13</v>
      </c>
      <c r="O1" s="39" t="s">
        <v>14</v>
      </c>
      <c r="P1" s="24"/>
      <c r="Q1" s="24"/>
      <c r="R1" s="24"/>
      <c r="S1" s="39" t="s">
        <v>15</v>
      </c>
      <c r="T1" s="44"/>
      <c r="U1" s="39" t="s">
        <v>16</v>
      </c>
      <c r="V1" s="39" t="s">
        <v>17</v>
      </c>
      <c r="W1" s="24"/>
      <c r="X1" s="39" t="s">
        <v>18</v>
      </c>
      <c r="Y1" s="39" t="s">
        <v>19</v>
      </c>
      <c r="Z1" s="40" t="s">
        <v>20</v>
      </c>
      <c r="AA1" s="39" t="s">
        <v>21</v>
      </c>
    </row>
    <row r="2" spans="1:29" x14ac:dyDescent="0.25">
      <c r="A2" s="46"/>
      <c r="B2" s="51" t="s">
        <v>55</v>
      </c>
      <c r="C2" s="51" t="s">
        <v>56</v>
      </c>
      <c r="D2" s="49" t="s">
        <v>22</v>
      </c>
      <c r="E2" s="49" t="s">
        <v>23</v>
      </c>
      <c r="F2" s="49" t="s">
        <v>24</v>
      </c>
      <c r="G2" s="49" t="s">
        <v>25</v>
      </c>
      <c r="H2" s="49" t="s">
        <v>26</v>
      </c>
      <c r="I2" s="49" t="s">
        <v>27</v>
      </c>
      <c r="J2" s="49" t="s">
        <v>28</v>
      </c>
      <c r="K2" s="49" t="s">
        <v>29</v>
      </c>
      <c r="L2" s="49" t="s">
        <v>30</v>
      </c>
      <c r="M2" s="49" t="s">
        <v>31</v>
      </c>
      <c r="N2" s="42"/>
      <c r="O2" s="39"/>
      <c r="P2" s="24" t="s">
        <v>32</v>
      </c>
      <c r="Q2" s="24" t="s">
        <v>32</v>
      </c>
      <c r="R2" s="24" t="s">
        <v>32</v>
      </c>
      <c r="S2" s="39"/>
      <c r="T2" s="44"/>
      <c r="U2" s="39"/>
      <c r="V2" s="39"/>
      <c r="W2" s="39" t="s">
        <v>33</v>
      </c>
      <c r="X2" s="39"/>
      <c r="Y2" s="39"/>
      <c r="Z2" s="40"/>
      <c r="AA2" s="39"/>
    </row>
    <row r="3" spans="1:29" ht="27" customHeight="1" thickBot="1" x14ac:dyDescent="0.3">
      <c r="A3" s="47"/>
      <c r="B3" s="52"/>
      <c r="C3" s="52"/>
      <c r="D3" s="53"/>
      <c r="E3" s="53"/>
      <c r="F3" s="53"/>
      <c r="G3" s="53"/>
      <c r="H3" s="49"/>
      <c r="I3" s="49"/>
      <c r="J3" s="49"/>
      <c r="K3" s="49"/>
      <c r="L3" s="49"/>
      <c r="M3" s="50"/>
      <c r="N3" s="42"/>
      <c r="O3" s="43"/>
      <c r="P3" s="25">
        <v>2</v>
      </c>
      <c r="Q3" s="25">
        <v>3</v>
      </c>
      <c r="R3" s="25">
        <v>4</v>
      </c>
      <c r="S3" s="44"/>
      <c r="T3" s="44"/>
      <c r="U3" s="43"/>
      <c r="V3" s="43"/>
      <c r="W3" s="39"/>
      <c r="X3" s="39"/>
      <c r="Y3" s="39"/>
      <c r="Z3" s="40"/>
      <c r="AA3" s="39"/>
    </row>
    <row r="4" spans="1:29" s="18" customFormat="1" ht="19.899999999999999" customHeight="1" x14ac:dyDescent="0.25">
      <c r="A4" s="20">
        <v>43830</v>
      </c>
      <c r="B4" s="31">
        <v>109</v>
      </c>
      <c r="C4" s="31">
        <v>218</v>
      </c>
      <c r="D4" s="31">
        <v>837365</v>
      </c>
      <c r="E4" s="31">
        <v>839485</v>
      </c>
      <c r="F4" s="31">
        <v>61391</v>
      </c>
      <c r="G4" s="31">
        <v>60668</v>
      </c>
      <c r="H4" s="32">
        <v>9997619</v>
      </c>
      <c r="I4" s="32">
        <v>6329297</v>
      </c>
      <c r="J4" s="32">
        <v>31748</v>
      </c>
      <c r="K4" s="32">
        <v>4186118</v>
      </c>
      <c r="L4" s="33">
        <v>345095</v>
      </c>
      <c r="M4" s="32">
        <v>2484770</v>
      </c>
      <c r="N4" s="32">
        <v>91203</v>
      </c>
      <c r="O4" s="34">
        <v>310348</v>
      </c>
      <c r="P4" s="32">
        <v>1435.366</v>
      </c>
      <c r="Q4" s="32">
        <v>428673</v>
      </c>
      <c r="R4" s="32">
        <v>306</v>
      </c>
      <c r="S4" s="32">
        <v>4038</v>
      </c>
      <c r="T4" s="35">
        <v>308582</v>
      </c>
      <c r="U4" s="32">
        <v>48032.5</v>
      </c>
      <c r="V4" s="32">
        <v>29790.25</v>
      </c>
      <c r="W4" s="36"/>
      <c r="X4" s="33">
        <v>333.90099999999995</v>
      </c>
      <c r="Y4" s="32">
        <v>786.85299999999995</v>
      </c>
      <c r="Z4" s="32">
        <v>3839.8510000000006</v>
      </c>
      <c r="AA4" s="27"/>
    </row>
    <row r="5" spans="1:29" x14ac:dyDescent="0.25">
      <c r="A5" s="21">
        <v>43831</v>
      </c>
      <c r="B5" s="37">
        <v>112</v>
      </c>
      <c r="C5" s="37">
        <v>285</v>
      </c>
      <c r="D5" s="37">
        <v>838018</v>
      </c>
      <c r="E5" s="37">
        <v>840447</v>
      </c>
      <c r="F5" s="37">
        <v>62115</v>
      </c>
      <c r="G5" s="37">
        <v>61392</v>
      </c>
      <c r="H5" s="37">
        <v>9998555</v>
      </c>
      <c r="I5" s="37">
        <v>0</v>
      </c>
      <c r="J5" s="37">
        <v>0</v>
      </c>
      <c r="K5" s="37">
        <v>0</v>
      </c>
      <c r="L5" s="37">
        <f t="shared" ref="L5:L10" si="0">L4+1000</f>
        <v>346095</v>
      </c>
      <c r="M5" s="37">
        <v>2485746</v>
      </c>
      <c r="N5" s="37">
        <v>94933</v>
      </c>
      <c r="O5" s="37">
        <v>310085</v>
      </c>
      <c r="P5" s="37">
        <v>1435.366</v>
      </c>
      <c r="Q5" s="37">
        <v>428673</v>
      </c>
      <c r="R5" s="37">
        <v>311</v>
      </c>
      <c r="S5" s="37">
        <v>4226</v>
      </c>
      <c r="T5" s="37">
        <v>308751</v>
      </c>
      <c r="U5" s="37">
        <v>48044</v>
      </c>
      <c r="V5" s="37">
        <v>29790</v>
      </c>
      <c r="W5" s="38"/>
      <c r="X5" s="37">
        <v>333.89100000000002</v>
      </c>
      <c r="Y5" s="37">
        <v>786.95100000000002</v>
      </c>
      <c r="Z5" s="37">
        <v>3839.9520000000002</v>
      </c>
      <c r="AA5" s="28"/>
    </row>
    <row r="6" spans="1:29" x14ac:dyDescent="0.25">
      <c r="A6" s="21">
        <v>43832</v>
      </c>
      <c r="B6" s="37">
        <v>109</v>
      </c>
      <c r="C6" s="37">
        <v>285</v>
      </c>
      <c r="D6" s="37">
        <v>838537</v>
      </c>
      <c r="E6" s="37">
        <v>840968</v>
      </c>
      <c r="F6" s="37">
        <v>62666</v>
      </c>
      <c r="G6" s="37">
        <v>61942</v>
      </c>
      <c r="H6" s="37">
        <v>9999323</v>
      </c>
      <c r="I6" s="37">
        <v>0</v>
      </c>
      <c r="J6" s="37">
        <v>0</v>
      </c>
      <c r="K6" s="37">
        <v>0</v>
      </c>
      <c r="L6" s="37">
        <f t="shared" si="0"/>
        <v>347095</v>
      </c>
      <c r="M6" s="37">
        <v>2486644</v>
      </c>
      <c r="N6" s="37">
        <v>97417</v>
      </c>
      <c r="O6" s="37">
        <v>310263</v>
      </c>
      <c r="P6" s="37">
        <v>1435.366</v>
      </c>
      <c r="Q6" s="37">
        <v>428673</v>
      </c>
      <c r="R6" s="37">
        <v>313</v>
      </c>
      <c r="S6" s="37">
        <v>4334</v>
      </c>
      <c r="T6" s="37">
        <v>308839</v>
      </c>
      <c r="U6" s="37">
        <v>48054</v>
      </c>
      <c r="V6" s="37">
        <v>29790</v>
      </c>
      <c r="W6" s="38"/>
      <c r="X6" s="37">
        <v>333.91800000000001</v>
      </c>
      <c r="Y6" s="37">
        <v>786.98599999999999</v>
      </c>
      <c r="Z6" s="37">
        <v>3840.0619999999999</v>
      </c>
      <c r="AA6" s="28"/>
    </row>
    <row r="7" spans="1:29" x14ac:dyDescent="0.25">
      <c r="A7" s="21">
        <v>43833</v>
      </c>
      <c r="B7" s="37">
        <v>115</v>
      </c>
      <c r="C7" s="37">
        <v>306</v>
      </c>
      <c r="D7" s="37">
        <v>838994</v>
      </c>
      <c r="E7" s="37">
        <v>841425</v>
      </c>
      <c r="F7" s="37">
        <v>63345</v>
      </c>
      <c r="G7" s="37">
        <v>62621</v>
      </c>
      <c r="H7" s="37">
        <v>110</v>
      </c>
      <c r="I7" s="37">
        <v>0</v>
      </c>
      <c r="J7" s="37">
        <v>0</v>
      </c>
      <c r="K7" s="37">
        <v>0</v>
      </c>
      <c r="L7" s="37">
        <f t="shared" si="0"/>
        <v>348095</v>
      </c>
      <c r="M7" s="37">
        <v>2487569</v>
      </c>
      <c r="N7" s="37">
        <v>99842</v>
      </c>
      <c r="O7" s="37">
        <v>310472</v>
      </c>
      <c r="P7" s="37">
        <v>1436.0429999999999</v>
      </c>
      <c r="Q7" s="37">
        <v>428680</v>
      </c>
      <c r="R7" s="37">
        <v>314</v>
      </c>
      <c r="S7" s="37">
        <v>4442</v>
      </c>
      <c r="T7" s="37">
        <v>308927</v>
      </c>
      <c r="U7" s="37">
        <v>48064</v>
      </c>
      <c r="V7" s="37">
        <v>29791</v>
      </c>
      <c r="W7" s="38"/>
      <c r="X7" s="37">
        <v>333.91800000000001</v>
      </c>
      <c r="Y7" s="37">
        <v>787.02700000000004</v>
      </c>
      <c r="Z7" s="37">
        <v>3840.1260000000002</v>
      </c>
      <c r="AA7" s="28"/>
    </row>
    <row r="8" spans="1:29" x14ac:dyDescent="0.25">
      <c r="A8" s="21">
        <v>43834</v>
      </c>
      <c r="B8" s="37">
        <v>120</v>
      </c>
      <c r="C8" s="37">
        <v>326</v>
      </c>
      <c r="D8" s="37">
        <v>839457</v>
      </c>
      <c r="E8" s="37">
        <v>841889</v>
      </c>
      <c r="F8" s="37">
        <v>64099</v>
      </c>
      <c r="G8" s="37">
        <v>63375</v>
      </c>
      <c r="H8" s="37">
        <v>894</v>
      </c>
      <c r="I8" s="37">
        <v>0</v>
      </c>
      <c r="J8" s="37">
        <v>0</v>
      </c>
      <c r="K8" s="37">
        <v>0</v>
      </c>
      <c r="L8" s="37">
        <f t="shared" si="0"/>
        <v>349095</v>
      </c>
      <c r="M8" s="37">
        <v>2488526</v>
      </c>
      <c r="N8" s="37">
        <v>102625</v>
      </c>
      <c r="O8" s="37">
        <f>O7</f>
        <v>310472</v>
      </c>
      <c r="P8" s="37">
        <v>143687</v>
      </c>
      <c r="Q8" s="37">
        <v>428680</v>
      </c>
      <c r="R8" s="37">
        <v>314</v>
      </c>
      <c r="S8" s="37">
        <v>309026</v>
      </c>
      <c r="T8" s="37">
        <v>4558</v>
      </c>
      <c r="U8" s="37">
        <v>48073</v>
      </c>
      <c r="V8" s="37">
        <v>29792</v>
      </c>
      <c r="W8" s="38"/>
      <c r="X8" s="37">
        <v>333.91800000000001</v>
      </c>
      <c r="Y8" s="37">
        <v>787.07600000000002</v>
      </c>
      <c r="Z8" s="37">
        <v>3840.1689999999999</v>
      </c>
      <c r="AA8" s="28"/>
    </row>
    <row r="9" spans="1:29" x14ac:dyDescent="0.25">
      <c r="A9" s="21">
        <v>43835</v>
      </c>
      <c r="B9" s="37">
        <v>50</v>
      </c>
      <c r="C9" s="37">
        <v>133</v>
      </c>
      <c r="D9" s="37">
        <v>839867</v>
      </c>
      <c r="E9" s="37">
        <v>842299</v>
      </c>
      <c r="F9" s="37">
        <v>64726</v>
      </c>
      <c r="G9" s="37">
        <v>64001</v>
      </c>
      <c r="H9" s="37">
        <v>1747</v>
      </c>
      <c r="I9" s="37">
        <v>0</v>
      </c>
      <c r="J9" s="37">
        <v>0</v>
      </c>
      <c r="K9" s="37">
        <v>0</v>
      </c>
      <c r="L9" s="37">
        <f t="shared" si="0"/>
        <v>350095</v>
      </c>
      <c r="M9" s="37">
        <v>2489441</v>
      </c>
      <c r="N9" s="37">
        <v>104973</v>
      </c>
      <c r="O9" s="37">
        <f>O8+239</f>
        <v>310711</v>
      </c>
      <c r="P9" s="37">
        <v>143739</v>
      </c>
      <c r="Q9" s="37">
        <v>428680</v>
      </c>
      <c r="R9" s="37">
        <v>314</v>
      </c>
      <c r="S9" s="37">
        <v>309122</v>
      </c>
      <c r="T9" s="37">
        <v>4673</v>
      </c>
      <c r="U9" s="37">
        <v>48082</v>
      </c>
      <c r="V9" s="37">
        <v>29793</v>
      </c>
      <c r="W9" s="38"/>
      <c r="X9" s="37">
        <v>333.91800000000001</v>
      </c>
      <c r="Y9" s="37">
        <v>787.12</v>
      </c>
      <c r="Z9" s="37">
        <v>3840.3009999999999</v>
      </c>
      <c r="AA9" s="28"/>
    </row>
    <row r="10" spans="1:29" x14ac:dyDescent="0.25">
      <c r="A10" s="21">
        <v>43836</v>
      </c>
      <c r="B10" s="37">
        <v>33</v>
      </c>
      <c r="C10" s="37">
        <v>74</v>
      </c>
      <c r="D10" s="37">
        <v>840388</v>
      </c>
      <c r="E10" s="37">
        <v>842820</v>
      </c>
      <c r="F10" s="37">
        <v>65286</v>
      </c>
      <c r="G10" s="37">
        <v>64561</v>
      </c>
      <c r="H10" s="37">
        <v>2495</v>
      </c>
      <c r="I10" s="37">
        <v>0</v>
      </c>
      <c r="J10" s="37">
        <v>0</v>
      </c>
      <c r="K10" s="37">
        <v>0</v>
      </c>
      <c r="L10" s="37">
        <f t="shared" si="0"/>
        <v>351095</v>
      </c>
      <c r="M10" s="37">
        <v>2490315</v>
      </c>
      <c r="N10" s="37">
        <v>107392</v>
      </c>
      <c r="O10" s="37">
        <f>O9+239</f>
        <v>310950</v>
      </c>
      <c r="P10" s="37">
        <v>1437391</v>
      </c>
      <c r="Q10" s="37">
        <v>428680</v>
      </c>
      <c r="R10" s="37">
        <v>317</v>
      </c>
      <c r="S10" s="37">
        <v>309201</v>
      </c>
      <c r="T10" s="37">
        <v>4752</v>
      </c>
      <c r="U10" s="37">
        <v>48089</v>
      </c>
      <c r="V10" s="37">
        <v>29802</v>
      </c>
      <c r="W10" s="38"/>
      <c r="X10" s="37">
        <v>333.923</v>
      </c>
      <c r="Y10" s="37">
        <v>787.14599999999996</v>
      </c>
      <c r="Z10" s="37">
        <v>3840.4839999999999</v>
      </c>
      <c r="AA10" s="28"/>
      <c r="AC10" s="26"/>
    </row>
    <row r="11" spans="1:29" x14ac:dyDescent="0.25">
      <c r="A11" s="21">
        <v>43837</v>
      </c>
      <c r="B11" s="37">
        <v>39</v>
      </c>
      <c r="C11" s="37">
        <v>58</v>
      </c>
      <c r="D11" s="37">
        <v>840883</v>
      </c>
      <c r="E11" s="37">
        <v>843316</v>
      </c>
      <c r="F11" s="37">
        <v>65805</v>
      </c>
      <c r="G11" s="37">
        <v>65081</v>
      </c>
      <c r="H11" s="37">
        <v>3301</v>
      </c>
      <c r="I11" s="37">
        <v>0</v>
      </c>
      <c r="J11" s="37">
        <v>0</v>
      </c>
      <c r="K11" s="37">
        <v>0</v>
      </c>
      <c r="L11" s="37">
        <v>352711</v>
      </c>
      <c r="M11" s="37">
        <f>M10+845</f>
        <v>2491160</v>
      </c>
      <c r="N11" s="37">
        <v>109747</v>
      </c>
      <c r="O11" s="37">
        <f>O10+239</f>
        <v>311189</v>
      </c>
      <c r="P11" s="37">
        <v>143739</v>
      </c>
      <c r="Q11" s="37">
        <v>428680</v>
      </c>
      <c r="R11" s="37">
        <v>320</v>
      </c>
      <c r="S11" s="37">
        <v>309283</v>
      </c>
      <c r="T11" s="37">
        <v>4851</v>
      </c>
      <c r="U11" s="37">
        <v>48097</v>
      </c>
      <c r="V11" s="37">
        <v>29802</v>
      </c>
      <c r="W11" s="38"/>
      <c r="X11" s="37">
        <v>333.923</v>
      </c>
      <c r="Y11" s="37">
        <v>787.19299999999998</v>
      </c>
      <c r="Z11" s="37">
        <v>3840.8009999999999</v>
      </c>
      <c r="AA11" s="28"/>
      <c r="AC11" s="26"/>
    </row>
    <row r="12" spans="1:29" x14ac:dyDescent="0.25">
      <c r="A12" s="21">
        <v>43838</v>
      </c>
      <c r="B12" s="37">
        <v>13</v>
      </c>
      <c r="C12" s="37">
        <v>24</v>
      </c>
      <c r="D12" s="37">
        <v>841378</v>
      </c>
      <c r="E12" s="37">
        <v>843811</v>
      </c>
      <c r="F12" s="37">
        <v>66335</v>
      </c>
      <c r="G12" s="37">
        <v>65611</v>
      </c>
      <c r="H12" s="37">
        <v>4096</v>
      </c>
      <c r="I12" s="37">
        <v>0</v>
      </c>
      <c r="J12" s="37">
        <v>0</v>
      </c>
      <c r="K12" s="37">
        <v>0</v>
      </c>
      <c r="L12" s="37">
        <f>L11+950</f>
        <v>353661</v>
      </c>
      <c r="M12" s="37">
        <f>M11+845</f>
        <v>2492005</v>
      </c>
      <c r="N12" s="37">
        <v>111787</v>
      </c>
      <c r="O12" s="37">
        <f>O11+239</f>
        <v>311428</v>
      </c>
      <c r="P12" s="37">
        <v>143739</v>
      </c>
      <c r="Q12" s="37">
        <v>428680</v>
      </c>
      <c r="R12" s="37">
        <v>323</v>
      </c>
      <c r="S12" s="37">
        <v>309351</v>
      </c>
      <c r="T12" s="37">
        <v>4930</v>
      </c>
      <c r="U12" s="37">
        <v>48106</v>
      </c>
      <c r="V12" s="37">
        <v>29803</v>
      </c>
      <c r="W12" s="38"/>
      <c r="X12" s="37">
        <v>333.93200000000002</v>
      </c>
      <c r="Y12" s="37">
        <v>787252</v>
      </c>
      <c r="Z12" s="37">
        <v>3841.145</v>
      </c>
      <c r="AA12" s="28"/>
      <c r="AC12" s="26"/>
    </row>
    <row r="13" spans="1:29" x14ac:dyDescent="0.25">
      <c r="A13" s="21">
        <v>43839</v>
      </c>
      <c r="B13" s="37">
        <v>29</v>
      </c>
      <c r="C13" s="37">
        <v>44</v>
      </c>
      <c r="D13" s="37">
        <v>841882</v>
      </c>
      <c r="E13" s="37">
        <v>844315</v>
      </c>
      <c r="F13" s="37">
        <v>66839</v>
      </c>
      <c r="G13" s="37">
        <v>66114</v>
      </c>
      <c r="H13" s="37">
        <v>4885</v>
      </c>
      <c r="I13" s="37">
        <v>0</v>
      </c>
      <c r="J13" s="37">
        <v>0</v>
      </c>
      <c r="K13" s="37">
        <v>0</v>
      </c>
      <c r="L13" s="37">
        <v>354597</v>
      </c>
      <c r="M13" s="37">
        <v>2492852</v>
      </c>
      <c r="N13" s="37">
        <v>113833</v>
      </c>
      <c r="O13" s="37">
        <v>311909</v>
      </c>
      <c r="P13" s="37">
        <v>1437391</v>
      </c>
      <c r="Q13" s="37">
        <v>428680</v>
      </c>
      <c r="R13" s="37">
        <v>326</v>
      </c>
      <c r="S13" s="37">
        <v>309403</v>
      </c>
      <c r="T13" s="37">
        <v>4996</v>
      </c>
      <c r="U13" s="37">
        <v>48112</v>
      </c>
      <c r="V13" s="37">
        <v>29803</v>
      </c>
      <c r="W13" s="38"/>
      <c r="X13" s="37">
        <v>333.93200000000002</v>
      </c>
      <c r="Y13" s="37">
        <v>787309</v>
      </c>
      <c r="Z13" s="37">
        <v>3841.502</v>
      </c>
      <c r="AA13" s="28"/>
      <c r="AC13" s="26"/>
    </row>
    <row r="14" spans="1:29" x14ac:dyDescent="0.25">
      <c r="A14" s="21">
        <v>43840</v>
      </c>
      <c r="B14" s="37">
        <v>56</v>
      </c>
      <c r="C14" s="37">
        <v>133</v>
      </c>
      <c r="D14" s="37">
        <v>842346</v>
      </c>
      <c r="E14" s="37">
        <v>844780</v>
      </c>
      <c r="F14" s="37">
        <v>67344</v>
      </c>
      <c r="G14" s="37">
        <v>66620</v>
      </c>
      <c r="H14" s="37">
        <v>5671</v>
      </c>
      <c r="I14" s="37">
        <v>0</v>
      </c>
      <c r="J14" s="37">
        <v>0</v>
      </c>
      <c r="K14" s="37">
        <v>0</v>
      </c>
      <c r="L14" s="37">
        <v>355475</v>
      </c>
      <c r="M14" s="37">
        <v>2493682</v>
      </c>
      <c r="N14" s="37">
        <v>115955</v>
      </c>
      <c r="O14" s="37">
        <v>312041</v>
      </c>
      <c r="P14" s="37">
        <v>1437391</v>
      </c>
      <c r="Q14" s="37">
        <v>428680</v>
      </c>
      <c r="R14" s="37">
        <v>329</v>
      </c>
      <c r="S14" s="37">
        <v>309454</v>
      </c>
      <c r="T14" s="37">
        <v>5066</v>
      </c>
      <c r="U14" s="37">
        <v>48119</v>
      </c>
      <c r="V14" s="37">
        <v>29804</v>
      </c>
      <c r="W14" s="38"/>
      <c r="X14" s="37">
        <v>333.93200000000002</v>
      </c>
      <c r="Y14" s="37">
        <v>789135</v>
      </c>
      <c r="Z14" s="37">
        <v>3841.87</v>
      </c>
      <c r="AA14" s="28"/>
      <c r="AC14" s="26"/>
    </row>
    <row r="15" spans="1:29" x14ac:dyDescent="0.25">
      <c r="A15" s="21">
        <v>43841</v>
      </c>
      <c r="B15" s="37">
        <v>93</v>
      </c>
      <c r="C15" s="37">
        <v>231</v>
      </c>
      <c r="D15" s="37">
        <v>842838</v>
      </c>
      <c r="E15" s="37">
        <v>845273</v>
      </c>
      <c r="F15" s="37">
        <v>67866</v>
      </c>
      <c r="G15" s="37">
        <v>67141</v>
      </c>
      <c r="H15" s="37">
        <v>6501</v>
      </c>
      <c r="I15" s="37">
        <v>0</v>
      </c>
      <c r="J15" s="37">
        <v>0</v>
      </c>
      <c r="K15" s="37">
        <v>0</v>
      </c>
      <c r="L15" s="37">
        <f>L14+1000</f>
        <v>356475</v>
      </c>
      <c r="M15" s="37">
        <v>2494548</v>
      </c>
      <c r="N15" s="37">
        <v>118321</v>
      </c>
      <c r="O15" s="37">
        <f>O14+239</f>
        <v>312280</v>
      </c>
      <c r="P15" s="37">
        <v>1437.3910000000001</v>
      </c>
      <c r="Q15" s="37">
        <v>428680</v>
      </c>
      <c r="R15" s="37">
        <v>332</v>
      </c>
      <c r="S15" s="37">
        <v>309515</v>
      </c>
      <c r="T15" s="37">
        <v>5143</v>
      </c>
      <c r="U15" s="37">
        <v>48126</v>
      </c>
      <c r="V15" s="37">
        <v>29805</v>
      </c>
      <c r="W15" s="38"/>
      <c r="X15" s="37">
        <v>333.93200000000002</v>
      </c>
      <c r="Y15" s="37">
        <v>789.351</v>
      </c>
      <c r="Z15" s="37">
        <v>3842.2759999999998</v>
      </c>
      <c r="AA15" s="28"/>
      <c r="AC15" s="26"/>
    </row>
    <row r="16" spans="1:29" x14ac:dyDescent="0.25">
      <c r="A16" s="21">
        <v>43842</v>
      </c>
      <c r="B16" s="37">
        <v>33</v>
      </c>
      <c r="C16" s="37">
        <v>74</v>
      </c>
      <c r="D16" s="37">
        <v>843346</v>
      </c>
      <c r="E16" s="37">
        <v>845781</v>
      </c>
      <c r="F16" s="37">
        <v>68405</v>
      </c>
      <c r="G16" s="37">
        <v>67680</v>
      </c>
      <c r="H16" s="37">
        <v>7319</v>
      </c>
      <c r="I16" s="37">
        <v>0</v>
      </c>
      <c r="J16" s="37">
        <v>0</v>
      </c>
      <c r="K16" s="37">
        <v>0</v>
      </c>
      <c r="L16" s="37">
        <f>L15+1000</f>
        <v>357475</v>
      </c>
      <c r="M16" s="37">
        <v>2495434</v>
      </c>
      <c r="N16" s="37">
        <v>120696</v>
      </c>
      <c r="O16" s="37">
        <v>312347</v>
      </c>
      <c r="P16" s="37">
        <v>1437.3910000000001</v>
      </c>
      <c r="Q16" s="37">
        <v>428680</v>
      </c>
      <c r="R16" s="37">
        <v>335</v>
      </c>
      <c r="S16" s="37">
        <v>309605</v>
      </c>
      <c r="T16" s="37">
        <v>5245</v>
      </c>
      <c r="U16" s="37">
        <v>48136</v>
      </c>
      <c r="V16" s="37">
        <v>29806</v>
      </c>
      <c r="W16" s="38"/>
      <c r="X16" s="37">
        <v>333.93200000000002</v>
      </c>
      <c r="Y16" s="37">
        <v>789.57600000000002</v>
      </c>
      <c r="Z16" s="37">
        <v>3842.7959999999998</v>
      </c>
      <c r="AA16" s="28"/>
      <c r="AC16" s="26"/>
    </row>
    <row r="17" spans="1:29" x14ac:dyDescent="0.25">
      <c r="A17" s="21">
        <v>43843</v>
      </c>
      <c r="B17" s="37">
        <v>40</v>
      </c>
      <c r="C17" s="37">
        <v>63</v>
      </c>
      <c r="D17" s="37">
        <v>843828</v>
      </c>
      <c r="E17" s="37">
        <v>846263</v>
      </c>
      <c r="F17" s="37">
        <v>68926</v>
      </c>
      <c r="G17" s="37">
        <v>68201</v>
      </c>
      <c r="H17" s="37">
        <v>8109</v>
      </c>
      <c r="I17" s="37">
        <v>0</v>
      </c>
      <c r="J17" s="37">
        <v>0</v>
      </c>
      <c r="K17" s="37">
        <v>0</v>
      </c>
      <c r="L17" s="37">
        <f>L16+1000</f>
        <v>358475</v>
      </c>
      <c r="M17" s="37">
        <v>2496288</v>
      </c>
      <c r="N17" s="37">
        <v>123046</v>
      </c>
      <c r="O17" s="37">
        <v>312506</v>
      </c>
      <c r="P17" s="37">
        <v>1437.3910000000001</v>
      </c>
      <c r="Q17" s="37">
        <v>428680</v>
      </c>
      <c r="R17" s="37">
        <v>338</v>
      </c>
      <c r="S17" s="37">
        <v>309666</v>
      </c>
      <c r="T17" s="37">
        <v>5330</v>
      </c>
      <c r="U17" s="37">
        <v>48146</v>
      </c>
      <c r="V17" s="37">
        <v>29812</v>
      </c>
      <c r="W17" s="38"/>
      <c r="X17" s="37">
        <v>333.93200000000002</v>
      </c>
      <c r="Y17" s="37">
        <v>789.78800000000001</v>
      </c>
      <c r="Z17" s="37">
        <v>3843.453</v>
      </c>
      <c r="AA17" s="29"/>
      <c r="AC17" s="26"/>
    </row>
    <row r="18" spans="1:29" x14ac:dyDescent="0.25">
      <c r="A18" s="21">
        <v>43844</v>
      </c>
      <c r="B18" s="37">
        <v>45</v>
      </c>
      <c r="C18" s="37">
        <v>59</v>
      </c>
      <c r="D18" s="37">
        <v>844324</v>
      </c>
      <c r="E18" s="37">
        <v>846759</v>
      </c>
      <c r="F18" s="37">
        <v>69420</v>
      </c>
      <c r="G18" s="37">
        <v>68695</v>
      </c>
      <c r="H18" s="37">
        <v>8884</v>
      </c>
      <c r="I18" s="37">
        <v>0</v>
      </c>
      <c r="J18" s="37">
        <v>0</v>
      </c>
      <c r="K18" s="37">
        <v>0</v>
      </c>
      <c r="L18" s="37">
        <v>359326</v>
      </c>
      <c r="M18" s="37">
        <v>2497141</v>
      </c>
      <c r="N18" s="37">
        <v>125307</v>
      </c>
      <c r="O18" s="37">
        <v>312644</v>
      </c>
      <c r="P18" s="37">
        <v>1437391</v>
      </c>
      <c r="Q18" s="37">
        <v>428680</v>
      </c>
      <c r="R18" s="37">
        <v>341</v>
      </c>
      <c r="S18" s="37">
        <v>309730</v>
      </c>
      <c r="T18" s="37">
        <v>5407</v>
      </c>
      <c r="U18" s="37">
        <v>48152</v>
      </c>
      <c r="V18" s="37">
        <v>29812</v>
      </c>
      <c r="W18" s="38"/>
      <c r="X18" s="37">
        <v>333.96899999999999</v>
      </c>
      <c r="Y18" s="37">
        <v>790.005</v>
      </c>
      <c r="Z18" s="37">
        <v>3844.1460000000002</v>
      </c>
      <c r="AA18" s="29"/>
      <c r="AC18" s="26"/>
    </row>
    <row r="19" spans="1:29" x14ac:dyDescent="0.25">
      <c r="A19" s="21">
        <v>43845</v>
      </c>
      <c r="B19" s="37">
        <v>46</v>
      </c>
      <c r="C19" s="37">
        <v>63</v>
      </c>
      <c r="D19" s="37">
        <v>844801</v>
      </c>
      <c r="E19" s="37">
        <v>847237</v>
      </c>
      <c r="F19" s="37">
        <v>69897</v>
      </c>
      <c r="G19" s="37">
        <v>69172</v>
      </c>
      <c r="H19" s="37">
        <v>9654</v>
      </c>
      <c r="I19" s="37">
        <v>0</v>
      </c>
      <c r="J19" s="37">
        <v>0</v>
      </c>
      <c r="K19" s="37">
        <v>0</v>
      </c>
      <c r="L19" s="37">
        <v>360088</v>
      </c>
      <c r="M19" s="37">
        <v>2497961</v>
      </c>
      <c r="N19" s="37">
        <v>127243</v>
      </c>
      <c r="O19" s="37">
        <f>O18</f>
        <v>312644</v>
      </c>
      <c r="P19" s="37">
        <v>1437391</v>
      </c>
      <c r="Q19" s="37">
        <v>428680</v>
      </c>
      <c r="R19" s="37">
        <v>344</v>
      </c>
      <c r="S19" s="37">
        <v>309778</v>
      </c>
      <c r="T19" s="37">
        <v>5475</v>
      </c>
      <c r="U19" s="37">
        <v>48158</v>
      </c>
      <c r="V19" s="37">
        <v>29812</v>
      </c>
      <c r="W19" s="38"/>
      <c r="X19" s="37">
        <v>333.97</v>
      </c>
      <c r="Y19" s="37">
        <v>790.35900000000004</v>
      </c>
      <c r="Z19" s="37">
        <v>3844.8119999999999</v>
      </c>
      <c r="AA19" s="29"/>
      <c r="AC19" s="26"/>
    </row>
    <row r="20" spans="1:29" x14ac:dyDescent="0.25">
      <c r="A20" s="21">
        <v>43846</v>
      </c>
      <c r="B20" s="37">
        <v>21</v>
      </c>
      <c r="C20" s="37">
        <v>44</v>
      </c>
      <c r="D20" s="37">
        <v>845288</v>
      </c>
      <c r="E20" s="37">
        <v>847725</v>
      </c>
      <c r="F20" s="37">
        <v>70405</v>
      </c>
      <c r="G20" s="37">
        <v>69680</v>
      </c>
      <c r="H20" s="37">
        <v>10495</v>
      </c>
      <c r="I20" s="37">
        <v>0</v>
      </c>
      <c r="J20" s="37">
        <v>0</v>
      </c>
      <c r="K20" s="37">
        <v>0</v>
      </c>
      <c r="L20" s="37">
        <f>L19+1000</f>
        <v>361088</v>
      </c>
      <c r="M20" s="37">
        <v>2498769</v>
      </c>
      <c r="N20" s="37">
        <v>129567</v>
      </c>
      <c r="O20" s="37">
        <f t="shared" ref="O20:O25" si="1">O19+141</f>
        <v>312785</v>
      </c>
      <c r="P20" s="37">
        <v>1437391</v>
      </c>
      <c r="Q20" s="37">
        <v>428680</v>
      </c>
      <c r="R20" s="37">
        <v>347</v>
      </c>
      <c r="S20" s="37">
        <v>309835</v>
      </c>
      <c r="T20" s="37">
        <v>5544</v>
      </c>
      <c r="U20" s="37">
        <v>48165</v>
      </c>
      <c r="V20" s="37">
        <v>29812</v>
      </c>
      <c r="W20" s="38"/>
      <c r="X20" s="37">
        <v>333.96899999999999</v>
      </c>
      <c r="Y20" s="37">
        <v>790.59199999999998</v>
      </c>
      <c r="Z20" s="37">
        <v>3845.4659999999999</v>
      </c>
      <c r="AA20" s="29"/>
      <c r="AC20" s="26"/>
    </row>
    <row r="21" spans="1:29" x14ac:dyDescent="0.25">
      <c r="A21" s="21">
        <v>43847</v>
      </c>
      <c r="B21" s="37">
        <v>46</v>
      </c>
      <c r="C21" s="37">
        <v>121</v>
      </c>
      <c r="D21" s="37">
        <v>845789</v>
      </c>
      <c r="E21" s="37">
        <v>848226</v>
      </c>
      <c r="F21" s="37">
        <v>70909</v>
      </c>
      <c r="G21" s="37">
        <v>70184</v>
      </c>
      <c r="H21" s="37">
        <v>11344</v>
      </c>
      <c r="I21" s="37">
        <v>0</v>
      </c>
      <c r="J21" s="37">
        <v>0</v>
      </c>
      <c r="K21" s="37">
        <v>0</v>
      </c>
      <c r="L21" s="37">
        <v>361923</v>
      </c>
      <c r="M21" s="37">
        <f>M20+1713</f>
        <v>2500482</v>
      </c>
      <c r="N21" s="37">
        <v>131796</v>
      </c>
      <c r="O21" s="37">
        <f t="shared" si="1"/>
        <v>312926</v>
      </c>
      <c r="P21" s="37">
        <v>1437391</v>
      </c>
      <c r="Q21" s="37">
        <v>428680</v>
      </c>
      <c r="R21" s="37">
        <v>350</v>
      </c>
      <c r="S21" s="37">
        <v>309892</v>
      </c>
      <c r="T21" s="37">
        <v>5616</v>
      </c>
      <c r="U21" s="37">
        <v>48172</v>
      </c>
      <c r="V21" s="37">
        <v>29813</v>
      </c>
      <c r="W21" s="38"/>
      <c r="X21" s="37">
        <v>333.96899999999999</v>
      </c>
      <c r="Y21" s="37">
        <v>790.82500000000005</v>
      </c>
      <c r="Z21" s="37">
        <v>3846.145</v>
      </c>
      <c r="AA21" s="29"/>
    </row>
    <row r="22" spans="1:29" x14ac:dyDescent="0.25">
      <c r="A22" s="21">
        <v>43848</v>
      </c>
      <c r="B22" s="37">
        <v>96</v>
      </c>
      <c r="C22" s="37">
        <v>241</v>
      </c>
      <c r="D22" s="37">
        <v>846295</v>
      </c>
      <c r="E22" s="37">
        <v>848732</v>
      </c>
      <c r="F22" s="37">
        <v>71429</v>
      </c>
      <c r="G22" s="37">
        <v>70703</v>
      </c>
      <c r="H22" s="37">
        <v>12198</v>
      </c>
      <c r="I22" s="37">
        <v>0</v>
      </c>
      <c r="J22" s="37">
        <v>0</v>
      </c>
      <c r="K22" s="37">
        <v>0</v>
      </c>
      <c r="L22" s="37">
        <f>L21+1000</f>
        <v>362923</v>
      </c>
      <c r="M22" s="37">
        <v>2500482</v>
      </c>
      <c r="N22" s="37">
        <v>134332</v>
      </c>
      <c r="O22" s="37">
        <f t="shared" si="1"/>
        <v>313067</v>
      </c>
      <c r="P22" s="37">
        <v>1437391</v>
      </c>
      <c r="Q22" s="37">
        <v>428680</v>
      </c>
      <c r="R22" s="37">
        <v>353</v>
      </c>
      <c r="S22" s="37">
        <v>309970</v>
      </c>
      <c r="T22" s="37">
        <v>5700</v>
      </c>
      <c r="U22" s="37">
        <v>48180</v>
      </c>
      <c r="V22" s="37">
        <v>29814</v>
      </c>
      <c r="W22" s="38"/>
      <c r="X22" s="37">
        <v>333.96899999999999</v>
      </c>
      <c r="Y22" s="37">
        <v>791.06200000000001</v>
      </c>
      <c r="Z22" s="37">
        <v>3846.8339999999998</v>
      </c>
      <c r="AA22" s="29"/>
    </row>
    <row r="23" spans="1:29" x14ac:dyDescent="0.25">
      <c r="A23" s="21">
        <v>43849</v>
      </c>
      <c r="B23" s="37">
        <v>20</v>
      </c>
      <c r="C23" s="37">
        <v>53</v>
      </c>
      <c r="D23" s="37">
        <v>846775</v>
      </c>
      <c r="E23" s="37">
        <v>849213</v>
      </c>
      <c r="F23" s="37">
        <v>71972</v>
      </c>
      <c r="G23" s="37">
        <v>71246</v>
      </c>
      <c r="H23" s="37">
        <v>12456</v>
      </c>
      <c r="I23" s="37">
        <v>0</v>
      </c>
      <c r="J23" s="37">
        <v>0</v>
      </c>
      <c r="K23" s="37">
        <v>0</v>
      </c>
      <c r="L23" s="37">
        <f>L22+1000</f>
        <v>363923</v>
      </c>
      <c r="M23" s="37">
        <v>2501396</v>
      </c>
      <c r="N23" s="37">
        <v>136956</v>
      </c>
      <c r="O23" s="37">
        <f t="shared" si="1"/>
        <v>313208</v>
      </c>
      <c r="P23" s="37">
        <v>1437391</v>
      </c>
      <c r="Q23" s="37">
        <v>428680</v>
      </c>
      <c r="R23" s="37">
        <v>355</v>
      </c>
      <c r="S23" s="37">
        <v>310062</v>
      </c>
      <c r="T23" s="37">
        <v>5798</v>
      </c>
      <c r="U23" s="37">
        <v>48188</v>
      </c>
      <c r="V23" s="37">
        <v>29815</v>
      </c>
      <c r="W23" s="38"/>
      <c r="X23" s="37">
        <v>333.96899999999999</v>
      </c>
      <c r="Y23" s="37">
        <v>791.25099999999998</v>
      </c>
      <c r="Z23" s="37">
        <v>3847.5230000000001</v>
      </c>
      <c r="AA23" s="29"/>
    </row>
    <row r="24" spans="1:29" x14ac:dyDescent="0.25">
      <c r="A24" s="21">
        <v>43850</v>
      </c>
      <c r="B24" s="37">
        <v>27</v>
      </c>
      <c r="C24" s="37">
        <v>55</v>
      </c>
      <c r="D24" s="37">
        <v>847250</v>
      </c>
      <c r="E24" s="37">
        <v>849689</v>
      </c>
      <c r="F24" s="37">
        <v>72500</v>
      </c>
      <c r="G24" s="37">
        <v>71774</v>
      </c>
      <c r="H24" s="37">
        <v>13756</v>
      </c>
      <c r="I24" s="37">
        <v>0</v>
      </c>
      <c r="J24" s="37">
        <v>0</v>
      </c>
      <c r="K24" s="37">
        <v>0</v>
      </c>
      <c r="L24" s="37">
        <f>L23+1000</f>
        <v>364923</v>
      </c>
      <c r="M24" s="37">
        <v>2502290</v>
      </c>
      <c r="N24" s="37">
        <v>139604</v>
      </c>
      <c r="O24" s="37">
        <f t="shared" si="1"/>
        <v>313349</v>
      </c>
      <c r="P24" s="37">
        <v>1437.3910000000001</v>
      </c>
      <c r="Q24" s="37">
        <v>428680</v>
      </c>
      <c r="R24" s="37">
        <v>357</v>
      </c>
      <c r="S24" s="37">
        <v>310144</v>
      </c>
      <c r="T24" s="37">
        <v>5886</v>
      </c>
      <c r="U24" s="37">
        <v>48195</v>
      </c>
      <c r="V24" s="37">
        <v>29822</v>
      </c>
      <c r="W24" s="38"/>
      <c r="X24" s="37">
        <v>333.97399999999999</v>
      </c>
      <c r="Y24" s="37">
        <v>791.49699999999996</v>
      </c>
      <c r="Z24" s="37">
        <v>3848.241</v>
      </c>
      <c r="AA24" s="29"/>
    </row>
    <row r="25" spans="1:29" x14ac:dyDescent="0.25">
      <c r="A25" s="21">
        <v>43851</v>
      </c>
      <c r="B25" s="37">
        <v>32</v>
      </c>
      <c r="C25" s="37">
        <v>53</v>
      </c>
      <c r="D25" s="37">
        <v>847725</v>
      </c>
      <c r="E25" s="37">
        <v>850165</v>
      </c>
      <c r="F25" s="37">
        <v>73014</v>
      </c>
      <c r="G25" s="37">
        <v>72288</v>
      </c>
      <c r="H25" s="37">
        <v>14559</v>
      </c>
      <c r="I25" s="37">
        <v>0</v>
      </c>
      <c r="J25" s="37">
        <v>0</v>
      </c>
      <c r="K25" s="37">
        <v>0</v>
      </c>
      <c r="L25" s="37">
        <f>L24+1000</f>
        <v>365923</v>
      </c>
      <c r="M25" s="37">
        <v>2503167</v>
      </c>
      <c r="N25" s="37">
        <v>142222</v>
      </c>
      <c r="O25" s="37">
        <f t="shared" si="1"/>
        <v>313490</v>
      </c>
      <c r="P25" s="37">
        <v>1437.3910000000001</v>
      </c>
      <c r="Q25" s="37">
        <v>428680</v>
      </c>
      <c r="R25" s="37">
        <v>359</v>
      </c>
      <c r="S25" s="37">
        <v>310210</v>
      </c>
      <c r="T25" s="37">
        <v>5961</v>
      </c>
      <c r="U25" s="37">
        <v>48202</v>
      </c>
      <c r="V25" s="37">
        <v>29822</v>
      </c>
      <c r="W25" s="38"/>
      <c r="X25" s="37">
        <v>333.97399999999999</v>
      </c>
      <c r="Y25" s="37">
        <v>791.71100000000001</v>
      </c>
      <c r="Z25" s="37">
        <v>3848.991</v>
      </c>
      <c r="AA25" s="29"/>
    </row>
    <row r="26" spans="1:29" x14ac:dyDescent="0.25">
      <c r="A26" s="21">
        <v>43852</v>
      </c>
      <c r="B26" s="37">
        <v>23</v>
      </c>
      <c r="C26" s="37">
        <v>46</v>
      </c>
      <c r="D26" s="37">
        <v>848214</v>
      </c>
      <c r="E26" s="37">
        <v>850654</v>
      </c>
      <c r="F26" s="37">
        <v>73513</v>
      </c>
      <c r="G26" s="37">
        <v>72787</v>
      </c>
      <c r="H26" s="37">
        <v>15325</v>
      </c>
      <c r="I26" s="37">
        <v>0</v>
      </c>
      <c r="J26" s="37">
        <v>0</v>
      </c>
      <c r="K26" s="37">
        <v>0</v>
      </c>
      <c r="L26" s="37">
        <v>366932</v>
      </c>
      <c r="M26" s="37">
        <v>2504059</v>
      </c>
      <c r="N26" s="37">
        <v>144679</v>
      </c>
      <c r="O26" s="37">
        <v>313778</v>
      </c>
      <c r="P26" s="37">
        <v>1437391</v>
      </c>
      <c r="Q26" s="37">
        <v>428680</v>
      </c>
      <c r="R26" s="37">
        <v>362</v>
      </c>
      <c r="S26" s="37">
        <v>310261</v>
      </c>
      <c r="T26" s="37">
        <v>6034</v>
      </c>
      <c r="U26" s="37">
        <v>48208</v>
      </c>
      <c r="V26" s="37">
        <v>29823</v>
      </c>
      <c r="W26" s="38"/>
      <c r="X26" s="37">
        <v>333.97899999999998</v>
      </c>
      <c r="Y26" s="37">
        <v>791.92200000000003</v>
      </c>
      <c r="Z26" s="37">
        <v>3849.752</v>
      </c>
      <c r="AA26" s="29"/>
    </row>
    <row r="27" spans="1:29" x14ac:dyDescent="0.25">
      <c r="A27" s="21">
        <v>43853</v>
      </c>
      <c r="B27" s="37">
        <v>17</v>
      </c>
      <c r="C27" s="37">
        <v>53</v>
      </c>
      <c r="D27" s="37">
        <v>848726</v>
      </c>
      <c r="E27" s="37">
        <v>851166</v>
      </c>
      <c r="F27" s="37">
        <v>74029</v>
      </c>
      <c r="G27" s="37">
        <v>73303</v>
      </c>
      <c r="H27" s="37">
        <v>16160</v>
      </c>
      <c r="I27" s="37">
        <v>0</v>
      </c>
      <c r="J27" s="37">
        <v>0</v>
      </c>
      <c r="K27" s="37">
        <v>0</v>
      </c>
      <c r="L27" s="37">
        <v>367818</v>
      </c>
      <c r="M27" s="37">
        <v>2504920</v>
      </c>
      <c r="N27" s="37">
        <v>147092</v>
      </c>
      <c r="O27" s="37">
        <v>313917</v>
      </c>
      <c r="P27" s="37">
        <v>1437391</v>
      </c>
      <c r="Q27" s="37">
        <v>428680</v>
      </c>
      <c r="R27" s="37">
        <v>365</v>
      </c>
      <c r="S27" s="37">
        <v>310333</v>
      </c>
      <c r="T27" s="37">
        <v>6110</v>
      </c>
      <c r="U27" s="37">
        <v>48215</v>
      </c>
      <c r="V27" s="37">
        <v>29823</v>
      </c>
      <c r="W27" s="38"/>
      <c r="X27" s="37">
        <v>333.97899999999998</v>
      </c>
      <c r="Y27" s="37">
        <v>792.13300000000004</v>
      </c>
      <c r="Z27" s="37">
        <v>3850.8110000000001</v>
      </c>
      <c r="AA27" s="29"/>
    </row>
    <row r="28" spans="1:29" x14ac:dyDescent="0.25">
      <c r="A28" s="21">
        <v>43854</v>
      </c>
      <c r="B28" s="37">
        <v>76</v>
      </c>
      <c r="C28" s="37">
        <v>202</v>
      </c>
      <c r="D28" s="37">
        <v>849216</v>
      </c>
      <c r="E28" s="37">
        <v>851657</v>
      </c>
      <c r="F28" s="37">
        <v>74547</v>
      </c>
      <c r="G28" s="37">
        <v>73821</v>
      </c>
      <c r="H28" s="37">
        <v>16981</v>
      </c>
      <c r="I28" s="37">
        <v>0</v>
      </c>
      <c r="J28" s="37">
        <v>0</v>
      </c>
      <c r="K28" s="37">
        <v>0</v>
      </c>
      <c r="L28" s="37">
        <v>368780</v>
      </c>
      <c r="M28" s="37">
        <v>2505723</v>
      </c>
      <c r="N28" s="37">
        <v>149451</v>
      </c>
      <c r="O28" s="37">
        <v>314053</v>
      </c>
      <c r="P28" s="37">
        <v>1437391</v>
      </c>
      <c r="Q28" s="37">
        <v>428680</v>
      </c>
      <c r="R28" s="37">
        <v>367</v>
      </c>
      <c r="S28" s="37">
        <v>310388</v>
      </c>
      <c r="T28" s="37">
        <v>6181</v>
      </c>
      <c r="U28" s="37">
        <v>48223</v>
      </c>
      <c r="V28" s="37">
        <v>29824</v>
      </c>
      <c r="W28" s="38"/>
      <c r="X28" s="37">
        <v>333.983</v>
      </c>
      <c r="Y28" s="37">
        <v>792.34199999999998</v>
      </c>
      <c r="Z28" s="37">
        <v>3852.0929999999998</v>
      </c>
      <c r="AA28" s="29"/>
    </row>
    <row r="29" spans="1:29" x14ac:dyDescent="0.25">
      <c r="A29" s="21">
        <v>43855</v>
      </c>
      <c r="B29" s="37">
        <v>109</v>
      </c>
      <c r="C29" s="37">
        <v>276</v>
      </c>
      <c r="D29" s="37">
        <v>849736</v>
      </c>
      <c r="E29" s="37">
        <v>852178</v>
      </c>
      <c r="F29" s="37">
        <v>75088</v>
      </c>
      <c r="G29" s="37">
        <v>74425</v>
      </c>
      <c r="H29" s="37">
        <v>17804</v>
      </c>
      <c r="I29" s="37">
        <v>0</v>
      </c>
      <c r="J29" s="37">
        <v>0</v>
      </c>
      <c r="K29" s="37">
        <v>0</v>
      </c>
      <c r="L29" s="37">
        <f>L28+1000</f>
        <v>369780</v>
      </c>
      <c r="M29" s="37">
        <v>2506602</v>
      </c>
      <c r="N29" s="37">
        <v>151870</v>
      </c>
      <c r="O29" s="37">
        <f>O28+141</f>
        <v>314194</v>
      </c>
      <c r="P29" s="37">
        <v>1497391</v>
      </c>
      <c r="Q29" s="37">
        <v>428680</v>
      </c>
      <c r="R29" s="37">
        <v>370</v>
      </c>
      <c r="S29" s="37">
        <v>310458</v>
      </c>
      <c r="T29" s="37">
        <v>6267</v>
      </c>
      <c r="U29" s="37">
        <v>48233</v>
      </c>
      <c r="V29" s="37">
        <v>29825</v>
      </c>
      <c r="W29" s="38"/>
      <c r="X29" s="37">
        <v>333.983</v>
      </c>
      <c r="Y29" s="37">
        <v>792.56399999999996</v>
      </c>
      <c r="Z29" s="37">
        <v>3853.4029999999998</v>
      </c>
      <c r="AA29" s="29"/>
    </row>
    <row r="30" spans="1:29" x14ac:dyDescent="0.25">
      <c r="A30" s="21">
        <v>43856</v>
      </c>
      <c r="B30" s="37">
        <v>23</v>
      </c>
      <c r="C30" s="37">
        <v>46</v>
      </c>
      <c r="D30" s="37">
        <v>850249</v>
      </c>
      <c r="E30" s="37">
        <v>852691</v>
      </c>
      <c r="F30" s="37">
        <v>75634</v>
      </c>
      <c r="G30" s="37">
        <v>74908</v>
      </c>
      <c r="H30" s="37">
        <v>18657</v>
      </c>
      <c r="I30" s="37">
        <v>0</v>
      </c>
      <c r="J30" s="37">
        <v>0</v>
      </c>
      <c r="K30" s="37">
        <v>0</v>
      </c>
      <c r="L30" s="37">
        <f>L29+1000</f>
        <v>370780</v>
      </c>
      <c r="M30" s="37">
        <v>2507478</v>
      </c>
      <c r="N30" s="37">
        <v>154282</v>
      </c>
      <c r="O30" s="37">
        <f>O29+141</f>
        <v>314335</v>
      </c>
      <c r="P30" s="37">
        <v>1437391</v>
      </c>
      <c r="Q30" s="37">
        <v>428680</v>
      </c>
      <c r="R30" s="37">
        <v>373</v>
      </c>
      <c r="S30" s="37">
        <v>310554</v>
      </c>
      <c r="T30" s="37">
        <v>6375</v>
      </c>
      <c r="U30" s="37">
        <v>48243</v>
      </c>
      <c r="V30" s="37">
        <v>29826</v>
      </c>
      <c r="W30" s="38"/>
      <c r="X30" s="37">
        <v>333.98700000000002</v>
      </c>
      <c r="Y30" s="37">
        <v>792.78</v>
      </c>
      <c r="Z30" s="37">
        <v>3854.77</v>
      </c>
      <c r="AA30" s="29"/>
    </row>
    <row r="31" spans="1:29" x14ac:dyDescent="0.25">
      <c r="A31" s="21">
        <v>43857</v>
      </c>
      <c r="B31" s="37">
        <v>28</v>
      </c>
      <c r="C31" s="37">
        <v>44</v>
      </c>
      <c r="D31" s="37">
        <v>850707</v>
      </c>
      <c r="E31" s="37">
        <v>853149</v>
      </c>
      <c r="F31" s="37">
        <v>76144</v>
      </c>
      <c r="G31" s="37">
        <v>75417</v>
      </c>
      <c r="H31" s="37">
        <v>19331</v>
      </c>
      <c r="I31" s="37">
        <v>0</v>
      </c>
      <c r="J31" s="37">
        <v>0</v>
      </c>
      <c r="K31" s="37">
        <v>0</v>
      </c>
      <c r="L31" s="37">
        <f>L30+1000</f>
        <v>371780</v>
      </c>
      <c r="M31" s="37">
        <v>2508352</v>
      </c>
      <c r="N31" s="37">
        <v>156513</v>
      </c>
      <c r="O31" s="37">
        <f>O30+141</f>
        <v>314476</v>
      </c>
      <c r="P31" s="37">
        <v>1437391</v>
      </c>
      <c r="Q31" s="37">
        <v>428680</v>
      </c>
      <c r="R31" s="37">
        <v>375</v>
      </c>
      <c r="S31" s="37">
        <v>310635</v>
      </c>
      <c r="T31" s="37">
        <v>6469</v>
      </c>
      <c r="U31" s="37">
        <v>48250</v>
      </c>
      <c r="V31" s="37">
        <v>29831</v>
      </c>
      <c r="W31" s="38"/>
      <c r="X31" s="37">
        <v>333.99200000000002</v>
      </c>
      <c r="Y31" s="37">
        <v>792.97900000000004</v>
      </c>
      <c r="Z31" s="37">
        <v>3855.4349999999999</v>
      </c>
      <c r="AA31" s="29"/>
    </row>
    <row r="32" spans="1:29" x14ac:dyDescent="0.25">
      <c r="A32" s="21">
        <v>43858</v>
      </c>
      <c r="B32" s="37">
        <v>28</v>
      </c>
      <c r="C32" s="37">
        <v>44</v>
      </c>
      <c r="D32" s="37">
        <v>851137</v>
      </c>
      <c r="E32" s="37">
        <v>853580</v>
      </c>
      <c r="F32" s="37">
        <v>76602</v>
      </c>
      <c r="G32" s="37">
        <v>75875</v>
      </c>
      <c r="H32" s="37">
        <v>19998</v>
      </c>
      <c r="I32" s="37"/>
      <c r="J32" s="37"/>
      <c r="K32" s="37"/>
      <c r="L32" s="37">
        <f>L31+100</f>
        <v>371880</v>
      </c>
      <c r="M32" s="37">
        <v>2509188</v>
      </c>
      <c r="N32" s="37">
        <v>158413</v>
      </c>
      <c r="O32" s="37">
        <v>314597</v>
      </c>
      <c r="P32" s="37">
        <v>1437391</v>
      </c>
      <c r="Q32" s="37">
        <v>428680</v>
      </c>
      <c r="R32" s="37">
        <v>376</v>
      </c>
      <c r="S32" s="37">
        <v>310693</v>
      </c>
      <c r="T32" s="37">
        <v>6541</v>
      </c>
      <c r="U32" s="37">
        <v>48256</v>
      </c>
      <c r="V32" s="37">
        <v>29831</v>
      </c>
      <c r="X32" s="37">
        <v>334.02199999999999</v>
      </c>
      <c r="Y32" s="37">
        <v>793.16300000000001</v>
      </c>
      <c r="Z32" s="37">
        <v>3855.4349999999999</v>
      </c>
      <c r="AA32" s="29"/>
    </row>
    <row r="33" spans="1:27" x14ac:dyDescent="0.25">
      <c r="A33" s="21">
        <v>43859</v>
      </c>
      <c r="B33" s="37">
        <v>24</v>
      </c>
      <c r="C33" s="37">
        <v>46</v>
      </c>
      <c r="D33" s="37">
        <v>851548</v>
      </c>
      <c r="E33" s="37">
        <v>853991</v>
      </c>
      <c r="F33" s="37">
        <v>77095</v>
      </c>
      <c r="G33" s="37">
        <v>76368</v>
      </c>
      <c r="H33" s="37">
        <v>20711</v>
      </c>
      <c r="I33" s="37"/>
      <c r="J33" s="37"/>
      <c r="K33" s="37"/>
      <c r="L33" s="37">
        <f>L32+1000</f>
        <v>372880</v>
      </c>
      <c r="M33" s="37">
        <v>2510062</v>
      </c>
      <c r="N33" s="37">
        <v>160880</v>
      </c>
      <c r="O33" s="37">
        <v>314733</v>
      </c>
      <c r="P33" s="37">
        <v>1437.4290000000001</v>
      </c>
      <c r="Q33" s="37">
        <v>428689</v>
      </c>
      <c r="R33" s="37">
        <v>376</v>
      </c>
      <c r="S33" s="37">
        <v>310756</v>
      </c>
      <c r="T33" s="37">
        <v>6610</v>
      </c>
      <c r="U33" s="37">
        <v>48263</v>
      </c>
      <c r="V33" s="37">
        <v>29831</v>
      </c>
      <c r="X33" s="37">
        <v>334.02199999999999</v>
      </c>
      <c r="Y33" s="37">
        <v>793.36199999999997</v>
      </c>
      <c r="Z33" s="37">
        <v>3855.4349999999999</v>
      </c>
      <c r="AA33" s="29"/>
    </row>
    <row r="34" spans="1:27" x14ac:dyDescent="0.25">
      <c r="A34" s="21">
        <v>43860</v>
      </c>
      <c r="B34" s="37">
        <v>27</v>
      </c>
      <c r="C34" s="37">
        <v>49</v>
      </c>
      <c r="D34" s="37">
        <v>852034</v>
      </c>
      <c r="E34" s="37">
        <v>854468</v>
      </c>
      <c r="F34" s="37">
        <v>77607</v>
      </c>
      <c r="G34" s="37">
        <v>76880</v>
      </c>
      <c r="H34" s="37">
        <v>21535</v>
      </c>
      <c r="I34" s="37"/>
      <c r="J34" s="37"/>
      <c r="K34" s="37"/>
      <c r="L34" s="37">
        <f>L33+1000</f>
        <v>373880</v>
      </c>
      <c r="M34" s="37">
        <v>2511087</v>
      </c>
      <c r="N34" s="37">
        <v>163197</v>
      </c>
      <c r="O34" s="37">
        <v>314869</v>
      </c>
      <c r="P34" s="37">
        <v>1437.4290000000001</v>
      </c>
      <c r="Q34" s="37">
        <v>428689</v>
      </c>
      <c r="R34" s="37">
        <v>378</v>
      </c>
      <c r="S34" s="37">
        <v>310834</v>
      </c>
      <c r="T34" s="37">
        <v>6692</v>
      </c>
      <c r="U34" s="37">
        <v>48273</v>
      </c>
      <c r="V34" s="37">
        <v>29832</v>
      </c>
      <c r="X34" s="37">
        <v>334.02199999999999</v>
      </c>
      <c r="Y34" s="37">
        <v>793.57299999999998</v>
      </c>
      <c r="Z34" s="37">
        <v>3855.4349999999999</v>
      </c>
      <c r="AA34" s="29"/>
    </row>
    <row r="35" spans="1:27" x14ac:dyDescent="0.25">
      <c r="A35" s="21">
        <v>43861</v>
      </c>
      <c r="B35" s="37">
        <v>68</v>
      </c>
      <c r="C35" s="37">
        <v>178</v>
      </c>
      <c r="D35" s="37">
        <v>852514</v>
      </c>
      <c r="E35" s="37">
        <v>854958</v>
      </c>
      <c r="F35" s="37">
        <v>78063</v>
      </c>
      <c r="G35" s="37">
        <v>77336</v>
      </c>
      <c r="H35" s="37">
        <v>22136</v>
      </c>
      <c r="I35" s="37">
        <v>6381524</v>
      </c>
      <c r="J35" s="37">
        <v>31748</v>
      </c>
      <c r="K35" s="37">
        <v>4256235</v>
      </c>
      <c r="L35" s="37">
        <v>375436</v>
      </c>
      <c r="M35" s="37">
        <v>2511730</v>
      </c>
      <c r="N35" s="37">
        <v>165102</v>
      </c>
      <c r="O35" s="37">
        <v>315081</v>
      </c>
      <c r="P35" s="37">
        <v>1437429</v>
      </c>
      <c r="Q35" s="37">
        <v>428689</v>
      </c>
      <c r="R35" s="37">
        <v>382</v>
      </c>
      <c r="S35" s="37">
        <v>310877</v>
      </c>
      <c r="T35" s="37">
        <v>6748</v>
      </c>
      <c r="U35" s="37">
        <v>48277</v>
      </c>
      <c r="V35" s="37">
        <v>29833</v>
      </c>
      <c r="X35" s="37">
        <v>334.02199999999999</v>
      </c>
      <c r="Y35" s="37">
        <v>793.65200000000004</v>
      </c>
      <c r="Z35" s="37">
        <v>3855.509</v>
      </c>
      <c r="AA35" s="29"/>
    </row>
    <row r="36" spans="1:27" x14ac:dyDescent="0.25">
      <c r="B36" s="30"/>
      <c r="C36" s="30"/>
      <c r="F36" t="s">
        <v>43</v>
      </c>
    </row>
  </sheetData>
  <mergeCells count="24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  <mergeCell ref="W2:W3"/>
    <mergeCell ref="Y1:Y3"/>
    <mergeCell ref="Z1:Z3"/>
    <mergeCell ref="AA1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2020-02-05T07:29:03Z</dcterms:modified>
</cp:coreProperties>
</file>