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" i="7" l="1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AF34" i="7" l="1"/>
  <c r="I32" i="5"/>
  <c r="B32" i="5"/>
  <c r="S32" i="9" l="1"/>
  <c r="B32" i="9"/>
  <c r="AV36" i="7" l="1"/>
  <c r="AW36" i="7" s="1"/>
  <c r="AV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S8" i="7"/>
  <c r="G3" i="9" s="1"/>
  <c r="S9" i="7"/>
  <c r="S10" i="7"/>
  <c r="S11" i="7"/>
  <c r="S12" i="7"/>
  <c r="G7" i="9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E4" i="9"/>
  <c r="E6" i="9"/>
  <c r="E10" i="9"/>
  <c r="E12" i="9"/>
  <c r="E13" i="9"/>
  <c r="E14" i="9"/>
  <c r="E19" i="9"/>
  <c r="AF27" i="7"/>
  <c r="AF28" i="7"/>
  <c r="AF29" i="7"/>
  <c r="AF32" i="7"/>
  <c r="AF33" i="7"/>
  <c r="E3" i="9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<sst xmlns="http://schemas.openxmlformats.org/spreadsheetml/2006/main" count="128" uniqueCount="49">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</sst>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23150</v>
      </c>
      <c r="F2" s="11">
        <v>5.0000000000000001E-3</v>
      </c>
      <c r="G2" s="12">
        <f>Submetering!R2</f>
        <v>405.03887000000003</v>
      </c>
      <c r="H2" s="11">
        <v>0.52800000000000002</v>
      </c>
      <c r="I2" s="12">
        <f>Hotel!B7</f>
        <v>16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39720</v>
      </c>
      <c r="F3" s="11">
        <v>5.0000000000000001E-3</v>
      </c>
      <c r="G3" s="12">
        <f>Submetering!R3</f>
        <v>574.24669699999993</v>
      </c>
      <c r="H3" s="11">
        <v>0.52800000000000002</v>
      </c>
      <c r="I3" s="12">
        <f>Hotel!B8</f>
        <v>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41190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21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40970</v>
      </c>
      <c r="F5" s="11">
        <v>5.0000000000000001E-3</v>
      </c>
      <c r="G5" s="12">
        <f>Submetering!R5</f>
        <v>644.65532300000007</v>
      </c>
      <c r="H5" s="11">
        <v>0.52800000000000002</v>
      </c>
      <c r="I5" s="12">
        <f>Hotel!B10</f>
        <v>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40740</v>
      </c>
      <c r="F6" s="11">
        <v>5.0000000000000001E-3</v>
      </c>
      <c r="G6" s="12">
        <f>Submetering!R6</f>
        <v>645.41240500000004</v>
      </c>
      <c r="H6" s="11">
        <v>0.52800000000000002</v>
      </c>
      <c r="I6" s="12">
        <f>Hotel!B11</f>
        <v>21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2021</v>
      </c>
      <c r="E2" s="4">
        <f>Hotel!Q7</f>
        <v>340</v>
      </c>
      <c r="F2" s="4">
        <f>Hotel!R7</f>
        <v>1180</v>
      </c>
      <c r="G2" s="4">
        <f>Hotel!S7</f>
        <v>2420</v>
      </c>
      <c r="H2" s="4">
        <f>Hotel!T7</f>
        <v>940</v>
      </c>
      <c r="I2" s="4">
        <f>Hotel!U7</f>
        <v>1550</v>
      </c>
      <c r="J2" s="4">
        <f>Hotel!V7</f>
        <v>1590</v>
      </c>
      <c r="K2" s="4">
        <f>Hotel!W7</f>
        <v>1420</v>
      </c>
      <c r="L2" s="4">
        <f>Hotel!X7</f>
        <v>1300</v>
      </c>
      <c r="M2" s="4">
        <f>Hotel!Y7</f>
        <v>1290</v>
      </c>
      <c r="N2" s="4">
        <f>Hotel!Z7</f>
        <v>1000</v>
      </c>
      <c r="O2" s="4">
        <f>Hotel!AA7</f>
        <v>1530</v>
      </c>
      <c r="P2" s="4">
        <f>Hotel!AB7</f>
        <v>3750</v>
      </c>
      <c r="Q2" s="4">
        <f>Hotel!AC7</f>
        <v>4840</v>
      </c>
      <c r="R2" s="4">
        <f>Hotel!AV7*0.00378541*100</f>
        <v>405.03887000000003</v>
      </c>
      <c r="S2" s="4">
        <f>Hotel!B7</f>
        <v>16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2021</v>
      </c>
      <c r="E3" s="4">
        <f>Hotel!Q8</f>
        <v>540</v>
      </c>
      <c r="F3" s="4">
        <f>Hotel!R8</f>
        <v>1850</v>
      </c>
      <c r="G3" s="4">
        <f>Hotel!S8</f>
        <v>3560</v>
      </c>
      <c r="H3" s="4">
        <f>Hotel!T8</f>
        <v>1480</v>
      </c>
      <c r="I3" s="4">
        <f>Hotel!U8</f>
        <v>2440</v>
      </c>
      <c r="J3" s="4">
        <f>Hotel!V8</f>
        <v>2520</v>
      </c>
      <c r="K3" s="4">
        <f>Hotel!W8</f>
        <v>2250</v>
      </c>
      <c r="L3" s="4">
        <f>Hotel!X8</f>
        <v>1840</v>
      </c>
      <c r="M3" s="4">
        <f>Hotel!Y8</f>
        <v>3500</v>
      </c>
      <c r="N3" s="4">
        <f>Hotel!Z8</f>
        <v>1820</v>
      </c>
      <c r="O3" s="4">
        <f>Hotel!AA8</f>
        <v>2350</v>
      </c>
      <c r="P3" s="4">
        <f>Hotel!AB8</f>
        <v>5900</v>
      </c>
      <c r="Q3" s="4">
        <f>Hotel!AC8</f>
        <v>9670</v>
      </c>
      <c r="R3" s="4">
        <f>Hotel!AV8*0.00378541*100</f>
        <v>574.24669699999993</v>
      </c>
      <c r="S3" s="4">
        <f>Hotel!B8</f>
        <v>18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2021</v>
      </c>
      <c r="E4" s="4">
        <f>Hotel!Q9</f>
        <v>550</v>
      </c>
      <c r="F4" s="4">
        <f>Hotel!R9</f>
        <v>1870</v>
      </c>
      <c r="G4" s="4">
        <f>Hotel!S9</f>
        <v>3610</v>
      </c>
      <c r="H4" s="4">
        <f>Hotel!T9</f>
        <v>1480</v>
      </c>
      <c r="I4" s="4">
        <f>Hotel!U9</f>
        <v>2450</v>
      </c>
      <c r="J4" s="4">
        <f>Hotel!V9</f>
        <v>2580</v>
      </c>
      <c r="K4" s="4">
        <f>Hotel!W9</f>
        <v>2240</v>
      </c>
      <c r="L4" s="4">
        <f>Hotel!X9</f>
        <v>1800</v>
      </c>
      <c r="M4" s="4">
        <f>Hotel!Y9</f>
        <v>3580</v>
      </c>
      <c r="N4" s="4">
        <f>Hotel!Z9</f>
        <v>1930</v>
      </c>
      <c r="O4" s="4">
        <f>Hotel!AA9</f>
        <v>2050</v>
      </c>
      <c r="P4" s="4">
        <f>Hotel!AB9</f>
        <v>5820</v>
      </c>
      <c r="Q4" s="4">
        <f>Hotel!AC9</f>
        <v>11230</v>
      </c>
      <c r="R4" s="4">
        <f>Hotel!AV9*0.00378541*100</f>
        <v>685.53775099999996</v>
      </c>
      <c r="S4" s="4">
        <f>Hotel!B9</f>
        <v>21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2021</v>
      </c>
      <c r="E5" s="4">
        <f>Hotel!Q10</f>
        <v>560</v>
      </c>
      <c r="F5" s="4">
        <f>Hotel!R10</f>
        <v>1930</v>
      </c>
      <c r="G5" s="4">
        <f>Hotel!S10</f>
        <v>3810</v>
      </c>
      <c r="H5" s="4">
        <f>Hotel!T10</f>
        <v>1540</v>
      </c>
      <c r="I5" s="4">
        <f>Hotel!U10</f>
        <v>2710</v>
      </c>
      <c r="J5" s="4">
        <f>Hotel!V10</f>
        <v>2580</v>
      </c>
      <c r="K5" s="4">
        <f>Hotel!W10</f>
        <v>2350</v>
      </c>
      <c r="L5" s="4">
        <f>Hotel!X10</f>
        <v>2010</v>
      </c>
      <c r="M5" s="4">
        <f>Hotel!Y10</f>
        <v>3690</v>
      </c>
      <c r="N5" s="4">
        <f>Hotel!Z10</f>
        <v>1880</v>
      </c>
      <c r="O5" s="4">
        <f>Hotel!AA10</f>
        <v>2140</v>
      </c>
      <c r="P5" s="4">
        <f>Hotel!AB10</f>
        <v>6260</v>
      </c>
      <c r="Q5" s="4">
        <f>Hotel!AC10</f>
        <v>9510</v>
      </c>
      <c r="R5" s="4">
        <f>Hotel!AV10*0.00378541*100</f>
        <v>644.65532300000007</v>
      </c>
      <c r="S5" s="4">
        <f>Hotel!B10</f>
        <v>19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2021</v>
      </c>
      <c r="E6" s="4">
        <f>Hotel!Q11</f>
        <v>550</v>
      </c>
      <c r="F6" s="4">
        <f>Hotel!R11</f>
        <v>1880</v>
      </c>
      <c r="G6" s="4">
        <f>Hotel!S11</f>
        <v>3630</v>
      </c>
      <c r="H6" s="4">
        <f>Hotel!T11</f>
        <v>1480</v>
      </c>
      <c r="I6" s="4">
        <f>Hotel!U11</f>
        <v>2510</v>
      </c>
      <c r="J6" s="4">
        <f>Hotel!V11</f>
        <v>2500</v>
      </c>
      <c r="K6" s="4">
        <f>Hotel!W11</f>
        <v>2270</v>
      </c>
      <c r="L6" s="4">
        <f>Hotel!X11</f>
        <v>2120</v>
      </c>
      <c r="M6" s="4">
        <f>Hotel!Y11</f>
        <v>3640</v>
      </c>
      <c r="N6" s="4">
        <f>Hotel!Z11</f>
        <v>1860</v>
      </c>
      <c r="O6" s="4">
        <f>Hotel!AA11</f>
        <v>2060</v>
      </c>
      <c r="P6" s="4">
        <f>Hotel!AB11</f>
        <v>5970</v>
      </c>
      <c r="Q6" s="4">
        <f>Hotel!AC11</f>
        <v>10270</v>
      </c>
      <c r="R6" s="4">
        <f>Hotel!AV11*0.00378541*100</f>
        <v>645.41240500000004</v>
      </c>
      <c r="S6" s="4">
        <f>Hotel!B11</f>
        <v>21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2021</v>
      </c>
      <c r="E7" s="4" t="str">
        <f>Hotel!Q12</f>
        <v>0</v>
      </c>
      <c r="F7" s="4" t="str">
        <f>Hotel!R12</f>
        <v>0</v>
      </c>
      <c r="G7" s="4" t="str">
        <f>Hotel!S12</f>
        <v>0</v>
      </c>
      <c r="H7" s="4" t="str">
        <f>Hotel!T12</f>
        <v>0</v>
      </c>
      <c r="I7" s="4" t="str">
        <f>Hotel!U12</f>
        <v>0</v>
      </c>
      <c r="J7" s="4" t="str">
        <f>Hotel!V12</f>
        <v>0</v>
      </c>
      <c r="K7" s="4" t="str">
        <f>Hotel!W12</f>
        <v>0</v>
      </c>
      <c r="L7" s="4" t="str">
        <f>Hotel!X12</f>
        <v>0</v>
      </c>
      <c r="M7" s="4" t="str">
        <f>Hotel!Y12</f>
        <v>0</v>
      </c>
      <c r="N7" s="4" t="str">
        <f>Hotel!Z12</f>
        <v>0</v>
      </c>
      <c r="O7" s="4" t="str">
        <f>Hotel!AA12</f>
        <v>0</v>
      </c>
      <c r="P7" s="4" t="str">
        <f>Hotel!AB12</f>
        <v>0</v>
      </c>
      <c r="Q7" s="4" t="str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2021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P24" sqref="AP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44316</v>
      </c>
      <c r="B2" s="40">
        <v>40</v>
      </c>
      <c r="C2" s="24">
        <v>6573120</v>
      </c>
      <c r="D2" s="24">
        <v>15260780</v>
      </c>
      <c r="E2" s="24">
        <v>2614520</v>
      </c>
      <c r="F2" s="24">
        <v>3412690</v>
      </c>
      <c r="G2" s="24">
        <v>10226360</v>
      </c>
      <c r="H2" s="24">
        <v>5392560</v>
      </c>
      <c r="I2" s="24">
        <v>4990370</v>
      </c>
      <c r="J2" s="53">
        <v>5784960</v>
      </c>
      <c r="K2" s="24">
        <v>9009620</v>
      </c>
      <c r="L2" s="24">
        <v>3731720</v>
      </c>
      <c r="M2" s="24">
        <v>7777180</v>
      </c>
      <c r="N2" s="24">
        <v>11758050</v>
      </c>
      <c r="O2" s="24">
        <v>16275010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583198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583198</v>
      </c>
    </row>
    <row r="7" spans="1:49" x14ac:dyDescent="0.25">
      <c r="A7" s="23">
        <v>44317</v>
      </c>
      <c r="B7" s="40">
        <v>16</v>
      </c>
      <c r="C7" s="24">
        <v>6573460</v>
      </c>
      <c r="D7" s="24">
        <v>15261960</v>
      </c>
      <c r="E7" s="24">
        <v>2616940</v>
      </c>
      <c r="F7" s="24">
        <v>3413630</v>
      </c>
      <c r="G7" s="24">
        <v>10227910</v>
      </c>
      <c r="H7" s="24">
        <v>5394150</v>
      </c>
      <c r="I7" s="24">
        <v>4991790</v>
      </c>
      <c r="J7" s="24">
        <v>5786260</v>
      </c>
      <c r="K7" s="24">
        <v>9010910</v>
      </c>
      <c r="L7" s="24">
        <v>3732720</v>
      </c>
      <c r="M7" s="24">
        <v>7778710</v>
      </c>
      <c r="N7" s="24">
        <v>11761800</v>
      </c>
      <c r="O7" s="24">
        <v>16279850</v>
      </c>
      <c r="Q7" s="37">
        <f>IF((C7-C2&lt;0), "0",C7-C2)</f>
        <v>340</v>
      </c>
      <c r="R7" s="37">
        <f t="shared" ref="R7:AC7" si="0">IF((D7-D2&lt;0), "0",D7-D2)</f>
        <v>1180</v>
      </c>
      <c r="S7" s="37">
        <f>IF((E7-E2&lt;0), "0",E7-E2)</f>
        <v>2420</v>
      </c>
      <c r="T7" s="37">
        <f t="shared" si="0"/>
        <v>940</v>
      </c>
      <c r="U7" s="37">
        <f t="shared" si="0"/>
        <v>1550</v>
      </c>
      <c r="V7" s="37">
        <f t="shared" si="0"/>
        <v>1590</v>
      </c>
      <c r="W7" s="37">
        <f t="shared" si="0"/>
        <v>1420</v>
      </c>
      <c r="X7" s="37">
        <f t="shared" si="0"/>
        <v>1300</v>
      </c>
      <c r="Y7" s="37">
        <f t="shared" si="0"/>
        <v>1290</v>
      </c>
      <c r="Z7" s="37">
        <f t="shared" si="0"/>
        <v>1000</v>
      </c>
      <c r="AA7" s="37">
        <f t="shared" si="0"/>
        <v>1530</v>
      </c>
      <c r="AB7" s="37">
        <f t="shared" si="0"/>
        <v>3750</v>
      </c>
      <c r="AC7" s="37">
        <f t="shared" si="0"/>
        <v>4840</v>
      </c>
      <c r="AD7" s="34">
        <f>SUM(Q7:AC7)</f>
        <v>23150</v>
      </c>
      <c r="AF7" s="20">
        <f t="shared" ref="AF7:AF36" si="1">Q7*$D$39</f>
        <v>1.7</v>
      </c>
      <c r="AG7" s="20">
        <f t="shared" ref="AG7:AG36" si="2">R7*$D$39</f>
        <v>5.9</v>
      </c>
      <c r="AH7" s="20">
        <f t="shared" ref="AH7:AH36" si="3">S7*$D$39</f>
        <v>12.1</v>
      </c>
      <c r="AI7" s="20">
        <f t="shared" ref="AI7:AI36" si="4">T7*$D$39</f>
        <v>4.7</v>
      </c>
      <c r="AJ7" s="20">
        <f t="shared" ref="AJ7:AJ36" si="5">U7*$D$39</f>
        <v>7.75</v>
      </c>
      <c r="AK7" s="20">
        <f t="shared" ref="AK7:AK36" si="6">V7*$D$39</f>
        <v>7.95</v>
      </c>
      <c r="AL7" s="20">
        <f t="shared" ref="AL7:AL36" si="7">W7*$D$39</f>
        <v>7.1000000000000005</v>
      </c>
      <c r="AM7" s="20">
        <f t="shared" ref="AM7:AM36" si="8">X7*$D$39</f>
        <v>6.5</v>
      </c>
      <c r="AN7" s="20">
        <f t="shared" ref="AN7:AN36" si="9">Y7*$D$39</f>
        <v>6.45</v>
      </c>
      <c r="AO7" s="20">
        <f t="shared" ref="AO7:AO36" si="10">Z7*$D$39</f>
        <v>5</v>
      </c>
      <c r="AP7" s="20">
        <f t="shared" ref="AP7:AP36" si="11">AA7*$D$39</f>
        <v>7.65</v>
      </c>
      <c r="AQ7" s="20">
        <f t="shared" ref="AQ7:AQ36" si="12">AB7*$D$39</f>
        <v>18.75</v>
      </c>
      <c r="AR7" s="20">
        <f t="shared" ref="AR7:AR36" si="13">AC7*$D$39</f>
        <v>24.2</v>
      </c>
      <c r="AS7" s="35">
        <f>SUM(AF7:AR7)</f>
        <v>115.75000000000001</v>
      </c>
      <c r="AU7" s="47">
        <v>584268</v>
      </c>
      <c r="AV7" s="37">
        <f>IF((AU7-AU6&lt;0),"0",AU7-AU6)</f>
        <v>1070</v>
      </c>
      <c r="AW7" s="50">
        <v>0</v>
      </c>
    </row>
    <row r="8" spans="1:49" x14ac:dyDescent="0.25">
      <c r="A8" s="23">
        <v>44318</v>
      </c>
      <c r="B8" s="40">
        <v>18</v>
      </c>
      <c r="C8" s="24">
        <v>6574000</v>
      </c>
      <c r="D8" s="24">
        <v>15263810</v>
      </c>
      <c r="E8" s="24">
        <v>2620500</v>
      </c>
      <c r="F8" s="24">
        <v>3415110</v>
      </c>
      <c r="G8" s="24">
        <v>10230350</v>
      </c>
      <c r="H8" s="24">
        <v>5396670</v>
      </c>
      <c r="I8" s="24">
        <v>4994040</v>
      </c>
      <c r="J8" s="24">
        <v>5788100</v>
      </c>
      <c r="K8" s="24">
        <v>9014410</v>
      </c>
      <c r="L8" s="24">
        <v>3734540</v>
      </c>
      <c r="M8" s="24">
        <v>7781060</v>
      </c>
      <c r="N8" s="24">
        <v>11767700</v>
      </c>
      <c r="O8" s="24">
        <v>16289520</v>
      </c>
      <c r="Q8" s="37">
        <f>IF((C8-C7&lt;0), "0",C8-C7)</f>
        <v>540</v>
      </c>
      <c r="R8" s="37">
        <f t="shared" ref="R8:AC8" si="14">IF((D8-D7&lt;0), "0",D8-D7)</f>
        <v>1850</v>
      </c>
      <c r="S8" s="37">
        <f t="shared" ref="S8:S35" si="15">IF((E8-E7&lt;0), "0",E8-E7)</f>
        <v>3560</v>
      </c>
      <c r="T8" s="37">
        <f t="shared" si="14"/>
        <v>1480</v>
      </c>
      <c r="U8" s="37">
        <f t="shared" si="14"/>
        <v>2440</v>
      </c>
      <c r="V8" s="37">
        <f t="shared" si="14"/>
        <v>2520</v>
      </c>
      <c r="W8" s="37">
        <f t="shared" si="14"/>
        <v>2250</v>
      </c>
      <c r="X8" s="37">
        <f t="shared" si="14"/>
        <v>1840</v>
      </c>
      <c r="Y8" s="37">
        <f t="shared" si="14"/>
        <v>3500</v>
      </c>
      <c r="Z8" s="37">
        <f t="shared" si="14"/>
        <v>1820</v>
      </c>
      <c r="AA8" s="37">
        <f t="shared" si="14"/>
        <v>2350</v>
      </c>
      <c r="AB8" s="37">
        <f t="shared" si="14"/>
        <v>5900</v>
      </c>
      <c r="AC8" s="37">
        <f t="shared" si="14"/>
        <v>9670</v>
      </c>
      <c r="AD8" s="35">
        <f>SUM(Q8:AC8)</f>
        <v>39720</v>
      </c>
      <c r="AF8" s="20">
        <f t="shared" si="1"/>
        <v>2.7</v>
      </c>
      <c r="AG8" s="20">
        <f t="shared" si="2"/>
        <v>9.25</v>
      </c>
      <c r="AH8" s="20">
        <f t="shared" si="3"/>
        <v>17.8</v>
      </c>
      <c r="AI8" s="20">
        <f t="shared" si="4"/>
        <v>7.4</v>
      </c>
      <c r="AJ8" s="20">
        <f t="shared" si="5"/>
        <v>12.200000000000001</v>
      </c>
      <c r="AK8" s="20">
        <f t="shared" si="6"/>
        <v>12.6</v>
      </c>
      <c r="AL8" s="20">
        <f t="shared" si="7"/>
        <v>11.25</v>
      </c>
      <c r="AM8" s="20">
        <f t="shared" si="8"/>
        <v>9.2000000000000011</v>
      </c>
      <c r="AN8" s="20">
        <f t="shared" si="9"/>
        <v>17.5</v>
      </c>
      <c r="AO8" s="20">
        <f t="shared" si="10"/>
        <v>9.1</v>
      </c>
      <c r="AP8" s="20">
        <f t="shared" si="11"/>
        <v>11.75</v>
      </c>
      <c r="AQ8" s="20">
        <f t="shared" si="12"/>
        <v>29.5</v>
      </c>
      <c r="AR8" s="20">
        <f t="shared" si="13"/>
        <v>48.35</v>
      </c>
      <c r="AS8" s="35">
        <f>SUM(AF8:AR8)</f>
        <v>198.6</v>
      </c>
      <c r="AU8" s="47">
        <v>585785</v>
      </c>
      <c r="AV8" s="37">
        <f>IF((AU8-AU7&lt;0),"0",AU8-AU7)</f>
        <v>1517</v>
      </c>
      <c r="AW8" s="35">
        <v>0</v>
      </c>
    </row>
    <row r="9" spans="1:49" x14ac:dyDescent="0.25">
      <c r="A9" s="23">
        <v>44319</v>
      </c>
      <c r="B9" s="40">
        <v>21</v>
      </c>
      <c r="C9" s="24">
        <v>6574550</v>
      </c>
      <c r="D9" s="24">
        <v>15265680</v>
      </c>
      <c r="E9" s="24">
        <v>2624110</v>
      </c>
      <c r="F9" s="24">
        <v>3416590</v>
      </c>
      <c r="G9" s="24">
        <v>10232800</v>
      </c>
      <c r="H9" s="24">
        <v>5399250</v>
      </c>
      <c r="I9" s="24">
        <v>4996280</v>
      </c>
      <c r="J9" s="24">
        <v>5789900</v>
      </c>
      <c r="K9" s="24">
        <v>9017990</v>
      </c>
      <c r="L9" s="24">
        <v>3736470</v>
      </c>
      <c r="M9" s="24">
        <v>7783110</v>
      </c>
      <c r="N9" s="24">
        <v>11773520</v>
      </c>
      <c r="O9" s="24">
        <v>16300750</v>
      </c>
      <c r="Q9" s="37">
        <f t="shared" ref="Q9:Q30" si="16">IF((C9-C8&lt;0), "0",C9-C8)</f>
        <v>550</v>
      </c>
      <c r="R9" s="37">
        <f t="shared" ref="R9:R35" si="17">IF((D9-D8&lt;0), "0",D9-D8)</f>
        <v>1870</v>
      </c>
      <c r="S9" s="37">
        <f t="shared" si="15"/>
        <v>3610</v>
      </c>
      <c r="T9" s="37">
        <f t="shared" ref="T9:T35" si="18">IF((F9-F8&lt;0), "0",F9-F8)</f>
        <v>1480</v>
      </c>
      <c r="U9" s="37">
        <f t="shared" ref="U9:U35" si="19">IF((G9-G8&lt;0), "0",G9-G8)</f>
        <v>2450</v>
      </c>
      <c r="V9" s="37">
        <f t="shared" ref="V9:V35" si="20">IF((H9-H8&lt;0), "0",H9-H8)</f>
        <v>2580</v>
      </c>
      <c r="W9" s="37">
        <f t="shared" ref="W9:W35" si="21">IF((I9-I8&lt;0), "0",I9-I8)</f>
        <v>2240</v>
      </c>
      <c r="X9" s="37">
        <f t="shared" ref="X9:X35" si="22">IF((J9-J8&lt;0), "0",J9-J8)</f>
        <v>1800</v>
      </c>
      <c r="Y9" s="37">
        <f t="shared" ref="Y9:Y35" si="23">IF((K9-K8&lt;0), "0",K9-K8)</f>
        <v>3580</v>
      </c>
      <c r="Z9" s="37">
        <f t="shared" ref="Z9:Z35" si="24">IF((L9-L8&lt;0), "0",L9-L8)</f>
        <v>1930</v>
      </c>
      <c r="AA9" s="37">
        <f t="shared" ref="AA9:AA35" si="25">IF((M9-M8&lt;0), "0",M9-M8)</f>
        <v>2050</v>
      </c>
      <c r="AB9" s="37">
        <f t="shared" ref="AB9:AB37" si="26">IF((N9-N8&lt;0), "0",N9-N8)</f>
        <v>5820</v>
      </c>
      <c r="AC9" s="37">
        <f t="shared" ref="AC9:AC37" si="27">IF((O9-O8&lt;0), "0",O9-O8)</f>
        <v>11230</v>
      </c>
      <c r="AD9" s="35">
        <f t="shared" ref="AD9:AD37" si="28">SUM(Q9:AC9)</f>
        <v>41190</v>
      </c>
      <c r="AF9" s="20">
        <f t="shared" si="1"/>
        <v>2.75</v>
      </c>
      <c r="AG9" s="20">
        <f t="shared" si="2"/>
        <v>9.35</v>
      </c>
      <c r="AH9" s="20">
        <f t="shared" si="3"/>
        <v>18.05</v>
      </c>
      <c r="AI9" s="20">
        <f t="shared" si="4"/>
        <v>7.4</v>
      </c>
      <c r="AJ9" s="20">
        <f t="shared" si="5"/>
        <v>12.25</v>
      </c>
      <c r="AK9" s="20">
        <f t="shared" si="6"/>
        <v>12.9</v>
      </c>
      <c r="AL9" s="20">
        <f t="shared" si="7"/>
        <v>11.200000000000001</v>
      </c>
      <c r="AM9" s="20">
        <f t="shared" si="8"/>
        <v>9</v>
      </c>
      <c r="AN9" s="20">
        <f t="shared" si="9"/>
        <v>17.900000000000002</v>
      </c>
      <c r="AO9" s="20">
        <f t="shared" si="10"/>
        <v>9.65</v>
      </c>
      <c r="AP9" s="20">
        <f t="shared" si="11"/>
        <v>10.25</v>
      </c>
      <c r="AQ9" s="20">
        <f t="shared" si="12"/>
        <v>29.1</v>
      </c>
      <c r="AR9" s="20">
        <f t="shared" si="13"/>
        <v>56.15</v>
      </c>
      <c r="AS9" s="35">
        <f t="shared" ref="AS9:AS33" si="29">SUM(AF9:AR9)</f>
        <v>205.95000000000002</v>
      </c>
      <c r="AU9" s="47">
        <v>587596</v>
      </c>
      <c r="AV9" s="37">
        <f>IF((AU9-AU8&lt;0),"0",AU9-AU8)</f>
        <v>1811</v>
      </c>
      <c r="AW9" s="35">
        <f t="shared" ref="AW9:AW35" si="30">AV9*$D$40</f>
        <v>3.6219999999999999</v>
      </c>
    </row>
    <row r="10" spans="1:49" x14ac:dyDescent="0.25">
      <c r="A10" s="23">
        <v>44320</v>
      </c>
      <c r="B10" s="40">
        <v>19</v>
      </c>
      <c r="C10" s="24">
        <v>6575110</v>
      </c>
      <c r="D10" s="24">
        <v>15267610</v>
      </c>
      <c r="E10" s="24">
        <v>2627920</v>
      </c>
      <c r="F10" s="24">
        <v>3418130</v>
      </c>
      <c r="G10" s="24">
        <v>10235510</v>
      </c>
      <c r="H10" s="24">
        <v>5401830</v>
      </c>
      <c r="I10" s="24">
        <v>4998630</v>
      </c>
      <c r="J10" s="24">
        <v>5791910</v>
      </c>
      <c r="K10" s="24">
        <v>9021680</v>
      </c>
      <c r="L10" s="24">
        <v>3738350</v>
      </c>
      <c r="M10" s="24">
        <v>7785250</v>
      </c>
      <c r="N10" s="24">
        <v>11779780</v>
      </c>
      <c r="O10" s="24">
        <v>16310260</v>
      </c>
      <c r="Q10" s="37">
        <f t="shared" si="16"/>
        <v>560</v>
      </c>
      <c r="R10" s="37">
        <f t="shared" si="17"/>
        <v>1930</v>
      </c>
      <c r="S10" s="37">
        <f t="shared" si="15"/>
        <v>3810</v>
      </c>
      <c r="T10" s="37">
        <f t="shared" si="18"/>
        <v>1540</v>
      </c>
      <c r="U10" s="37">
        <f t="shared" si="19"/>
        <v>2710</v>
      </c>
      <c r="V10" s="37">
        <f t="shared" si="20"/>
        <v>2580</v>
      </c>
      <c r="W10" s="37">
        <f t="shared" si="21"/>
        <v>2350</v>
      </c>
      <c r="X10" s="37">
        <f t="shared" si="22"/>
        <v>2010</v>
      </c>
      <c r="Y10" s="37">
        <f t="shared" si="23"/>
        <v>3690</v>
      </c>
      <c r="Z10" s="37">
        <f t="shared" si="24"/>
        <v>1880</v>
      </c>
      <c r="AA10" s="37">
        <f t="shared" si="25"/>
        <v>2140</v>
      </c>
      <c r="AB10" s="37">
        <f t="shared" si="26"/>
        <v>6260</v>
      </c>
      <c r="AC10" s="37">
        <f t="shared" si="27"/>
        <v>9510</v>
      </c>
      <c r="AD10" s="35">
        <f t="shared" si="28"/>
        <v>40970</v>
      </c>
      <c r="AF10" s="20">
        <f t="shared" si="1"/>
        <v>2.8000000000000003</v>
      </c>
      <c r="AG10" s="20">
        <f t="shared" si="2"/>
        <v>9.65</v>
      </c>
      <c r="AH10" s="20">
        <f t="shared" si="3"/>
        <v>19.05</v>
      </c>
      <c r="AI10" s="20">
        <f t="shared" si="4"/>
        <v>7.7</v>
      </c>
      <c r="AJ10" s="20">
        <f t="shared" si="5"/>
        <v>13.55</v>
      </c>
      <c r="AK10" s="20">
        <f t="shared" si="6"/>
        <v>12.9</v>
      </c>
      <c r="AL10" s="20">
        <f t="shared" si="7"/>
        <v>11.75</v>
      </c>
      <c r="AM10" s="20">
        <f t="shared" si="8"/>
        <v>10.050000000000001</v>
      </c>
      <c r="AN10" s="20">
        <f t="shared" si="9"/>
        <v>18.45</v>
      </c>
      <c r="AO10" s="20">
        <f t="shared" si="10"/>
        <v>9.4</v>
      </c>
      <c r="AP10" s="20">
        <f t="shared" si="11"/>
        <v>10.700000000000001</v>
      </c>
      <c r="AQ10" s="20">
        <f t="shared" si="12"/>
        <v>31.3</v>
      </c>
      <c r="AR10" s="20">
        <f t="shared" si="13"/>
        <v>47.550000000000004</v>
      </c>
      <c r="AS10" s="35">
        <f t="shared" si="29"/>
        <v>204.85000000000002</v>
      </c>
      <c r="AU10" s="47">
        <v>589299</v>
      </c>
      <c r="AV10" s="37">
        <f t="shared" ref="AV10:AV26" si="31">IF((AU10-AU9&lt;0),"0",AU10-AU9)</f>
        <v>1703</v>
      </c>
      <c r="AW10" s="35">
        <f t="shared" si="30"/>
        <v>3.4060000000000001</v>
      </c>
    </row>
    <row r="11" spans="1:49" x14ac:dyDescent="0.25">
      <c r="A11" s="23">
        <v>44321</v>
      </c>
      <c r="B11" s="40">
        <v>21</v>
      </c>
      <c r="C11" s="24">
        <v>6575660</v>
      </c>
      <c r="D11" s="24">
        <v>15269490</v>
      </c>
      <c r="E11" s="24">
        <v>2631550</v>
      </c>
      <c r="F11" s="24">
        <v>3419610</v>
      </c>
      <c r="G11" s="24">
        <v>10238020</v>
      </c>
      <c r="H11" s="24">
        <v>5404330</v>
      </c>
      <c r="I11" s="24">
        <v>5000900</v>
      </c>
      <c r="J11" s="24">
        <v>5794030</v>
      </c>
      <c r="K11" s="24">
        <v>9025320</v>
      </c>
      <c r="L11" s="24">
        <v>3740210</v>
      </c>
      <c r="M11" s="24">
        <v>7787310</v>
      </c>
      <c r="N11" s="24">
        <v>11785750</v>
      </c>
      <c r="O11" s="24">
        <v>16320530</v>
      </c>
      <c r="Q11" s="37">
        <f t="shared" si="16"/>
        <v>550</v>
      </c>
      <c r="R11" s="37">
        <f t="shared" si="17"/>
        <v>1880</v>
      </c>
      <c r="S11" s="37">
        <f t="shared" si="15"/>
        <v>3630</v>
      </c>
      <c r="T11" s="37">
        <f t="shared" si="18"/>
        <v>1480</v>
      </c>
      <c r="U11" s="37">
        <f t="shared" si="19"/>
        <v>2510</v>
      </c>
      <c r="V11" s="37">
        <f t="shared" si="20"/>
        <v>2500</v>
      </c>
      <c r="W11" s="37">
        <f t="shared" si="21"/>
        <v>2270</v>
      </c>
      <c r="X11" s="37">
        <f t="shared" si="22"/>
        <v>2120</v>
      </c>
      <c r="Y11" s="37">
        <f t="shared" si="23"/>
        <v>3640</v>
      </c>
      <c r="Z11" s="37">
        <f t="shared" si="24"/>
        <v>1860</v>
      </c>
      <c r="AA11" s="37">
        <f t="shared" si="25"/>
        <v>2060</v>
      </c>
      <c r="AB11" s="37">
        <f t="shared" si="26"/>
        <v>5970</v>
      </c>
      <c r="AC11" s="37">
        <f t="shared" si="27"/>
        <v>10270</v>
      </c>
      <c r="AD11" s="35">
        <f t="shared" si="28"/>
        <v>40740</v>
      </c>
      <c r="AF11" s="20">
        <f t="shared" si="1"/>
        <v>2.75</v>
      </c>
      <c r="AG11" s="20">
        <f t="shared" si="2"/>
        <v>9.4</v>
      </c>
      <c r="AH11" s="20">
        <f t="shared" si="3"/>
        <v>18.150000000000002</v>
      </c>
      <c r="AI11" s="20">
        <f t="shared" si="4"/>
        <v>7.4</v>
      </c>
      <c r="AJ11" s="20">
        <f t="shared" si="5"/>
        <v>12.55</v>
      </c>
      <c r="AK11" s="20">
        <f t="shared" si="6"/>
        <v>12.5</v>
      </c>
      <c r="AL11" s="20">
        <f t="shared" si="7"/>
        <v>11.35</v>
      </c>
      <c r="AM11" s="20">
        <f t="shared" si="8"/>
        <v>10.6</v>
      </c>
      <c r="AN11" s="20">
        <f t="shared" si="9"/>
        <v>18.2</v>
      </c>
      <c r="AO11" s="20">
        <f t="shared" si="10"/>
        <v>9.3000000000000007</v>
      </c>
      <c r="AP11" s="20">
        <f t="shared" si="11"/>
        <v>10.3</v>
      </c>
      <c r="AQ11" s="20">
        <f t="shared" si="12"/>
        <v>29.85</v>
      </c>
      <c r="AR11" s="20">
        <f t="shared" si="13"/>
        <v>51.35</v>
      </c>
      <c r="AS11" s="35">
        <f t="shared" si="29"/>
        <v>203.7</v>
      </c>
      <c r="AU11" s="47">
        <v>591004</v>
      </c>
      <c r="AV11" s="37">
        <f t="shared" si="31"/>
        <v>1705</v>
      </c>
      <c r="AW11" s="35">
        <f t="shared" si="30"/>
        <v>3.41</v>
      </c>
    </row>
    <row r="12" spans="1:49" x14ac:dyDescent="0.25">
      <c r="A12" s="23">
        <v>44322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 t="str">
        <f t="shared" si="16"/>
        <v>0</v>
      </c>
      <c r="R12" s="37" t="str">
        <f t="shared" si="17"/>
        <v>0</v>
      </c>
      <c r="S12" s="37" t="str">
        <f t="shared" si="15"/>
        <v>0</v>
      </c>
      <c r="T12" s="37" t="str">
        <f t="shared" ref="T12:W14" si="32">IF((F12-F11&lt;0), "0",F12-F11)</f>
        <v>0</v>
      </c>
      <c r="U12" s="37" t="str">
        <f t="shared" si="32"/>
        <v>0</v>
      </c>
      <c r="V12" s="37" t="str">
        <f t="shared" si="32"/>
        <v>0</v>
      </c>
      <c r="W12" s="37" t="str">
        <f t="shared" si="32"/>
        <v>0</v>
      </c>
      <c r="X12" s="37" t="str">
        <f t="shared" si="22"/>
        <v>0</v>
      </c>
      <c r="Y12" s="37" t="str">
        <f t="shared" si="23"/>
        <v>0</v>
      </c>
      <c r="Z12" s="37" t="str">
        <f>IF((L12-L11&lt;0), "0",L12-L11)</f>
        <v>0</v>
      </c>
      <c r="AA12" s="37" t="str">
        <f t="shared" si="25"/>
        <v>0</v>
      </c>
      <c r="AB12" s="37" t="str">
        <f t="shared" si="26"/>
        <v>0</v>
      </c>
      <c r="AC12" s="37" t="str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 t="str">
        <f t="shared" si="31"/>
        <v>0</v>
      </c>
      <c r="AW12" s="35">
        <f t="shared" si="30"/>
        <v>0</v>
      </c>
    </row>
    <row r="13" spans="1:49" x14ac:dyDescent="0.25">
      <c r="A13" s="23">
        <v>44323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44324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44325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44326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44327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44328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44329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44330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44331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44332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44333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44334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44335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44336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44337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44338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44339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44340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44341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44342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44343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44344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44345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44346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44347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2540</v>
      </c>
      <c r="R38" s="38">
        <f t="shared" ref="R38:AD38" si="62">SUM(R7:R37)</f>
        <v>8710</v>
      </c>
      <c r="S38" s="38">
        <f t="shared" si="62"/>
        <v>17030</v>
      </c>
      <c r="T38" s="38">
        <f t="shared" si="62"/>
        <v>6920</v>
      </c>
      <c r="U38" s="38">
        <f t="shared" si="62"/>
        <v>11660</v>
      </c>
      <c r="V38" s="38">
        <f t="shared" si="62"/>
        <v>11770</v>
      </c>
      <c r="W38" s="38">
        <f t="shared" si="62"/>
        <v>10530</v>
      </c>
      <c r="X38" s="38">
        <f t="shared" si="62"/>
        <v>9070</v>
      </c>
      <c r="Y38" s="38">
        <f t="shared" si="62"/>
        <v>15700</v>
      </c>
      <c r="Z38" s="38">
        <f t="shared" si="62"/>
        <v>8490</v>
      </c>
      <c r="AA38" s="38">
        <f t="shared" si="62"/>
        <v>10130</v>
      </c>
      <c r="AB38" s="38">
        <f t="shared" si="62"/>
        <v>27700</v>
      </c>
      <c r="AC38" s="38">
        <f t="shared" si="62"/>
        <v>45520</v>
      </c>
      <c r="AD38" s="38">
        <f t="shared" si="62"/>
        <v>185770</v>
      </c>
      <c r="AF38" s="35">
        <f t="shared" ref="AF38:AS38" si="63">SUM(AF7:AF34)</f>
        <v>12.700000000000001</v>
      </c>
      <c r="AG38" s="35">
        <f t="shared" si="63"/>
        <v>43.55</v>
      </c>
      <c r="AH38" s="35">
        <f t="shared" si="63"/>
        <v>85.15</v>
      </c>
      <c r="AI38" s="35">
        <f t="shared" si="63"/>
        <v>34.6</v>
      </c>
      <c r="AJ38" s="35">
        <f t="shared" si="63"/>
        <v>58.3</v>
      </c>
      <c r="AK38" s="35">
        <f t="shared" si="63"/>
        <v>58.85</v>
      </c>
      <c r="AL38" s="35">
        <f t="shared" si="63"/>
        <v>52.650000000000006</v>
      </c>
      <c r="AM38" s="35">
        <f t="shared" si="63"/>
        <v>45.35</v>
      </c>
      <c r="AN38" s="35">
        <f t="shared" si="63"/>
        <v>78.5</v>
      </c>
      <c r="AO38" s="35">
        <f t="shared" si="63"/>
        <v>42.45</v>
      </c>
      <c r="AP38" s="35">
        <f t="shared" si="63"/>
        <v>50.650000000000006</v>
      </c>
      <c r="AQ38" s="35">
        <f t="shared" si="63"/>
        <v>138.5</v>
      </c>
      <c r="AR38" s="35">
        <f t="shared" si="63"/>
        <v>227.6</v>
      </c>
      <c r="AS38" s="35">
        <f t="shared" si="63"/>
        <v>928.85000000000014</v>
      </c>
      <c r="AU38" s="48"/>
      <c r="AV38" s="35">
        <f>SUM(AV7:AV34)</f>
        <v>7806</v>
      </c>
      <c r="AW38" s="35">
        <f>SUM(AW7:AW34)</f>
        <v>10.438000000000001</v>
      </c>
    </row>
    <row r="39" spans="1:49" x14ac:dyDescent="0.25">
      <c r="D39">
        <v>5.0000000000000001E-3</v>
      </c>
      <c r="AV39" s="36">
        <f>AV38*0.00378541*1000</f>
        <v>29548.910459999999</v>
      </c>
    </row>
    <row r="40" spans="1:49" x14ac:dyDescent="0.25">
      <c r="D40">
        <v>2E-3</v>
      </c>
      <c r="AV40">
        <f>AV39/31</f>
        <v>953.19065999999998</v>
      </c>
    </row>
    <row r="41" spans="1:49" x14ac:dyDescent="0.25">
      <c r="AV41">
        <f>AV38*0.00378541</f>
        <v>29.548910459999998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2021-05-06T05:14:52Z</dcterms:modified>
</cp:coreProperties>
</file>