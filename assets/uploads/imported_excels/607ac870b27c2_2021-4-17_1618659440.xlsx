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9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M23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<sst xmlns="http://schemas.openxmlformats.org/spreadsheetml/2006/main" count="575" uniqueCount="343">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</sst>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683776"/>
        <c:axId val="126689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691200"/>
        <c:axId val="126692736"/>
      </c:lineChart>
      <c:catAx>
        <c:axId val="12668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89664"/>
        <c:crosses val="autoZero"/>
        <c:auto val="1"/>
        <c:lblAlgn val="ctr"/>
        <c:lblOffset val="100"/>
      </c:catAx>
      <c:valAx>
        <c:axId val="126689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83776"/>
        <c:crosses val="autoZero"/>
        <c:crossBetween val="between"/>
        <c:majorUnit val="200"/>
      </c:valAx>
      <c:catAx>
        <c:axId val="126691200"/>
        <c:scaling>
          <c:orientation val="minMax"/>
        </c:scaling>
        <c:delete val="1"/>
        <c:axPos val="b"/>
        <c:tickLblPos val="none"/>
        <c:crossAx val="126692736"/>
        <c:crosses val="autoZero"/>
        <c:auto val="1"/>
        <c:lblAlgn val="ctr"/>
        <c:lblOffset val="100"/>
      </c:catAx>
      <c:valAx>
        <c:axId val="126692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91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739200"/>
        <c:axId val="1267407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742528"/>
        <c:axId val="126744064"/>
      </c:lineChart>
      <c:catAx>
        <c:axId val="12673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40736"/>
        <c:crosses val="autoZero"/>
        <c:auto val="1"/>
        <c:lblAlgn val="ctr"/>
        <c:lblOffset val="100"/>
      </c:catAx>
      <c:valAx>
        <c:axId val="12674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39200"/>
        <c:crosses val="autoZero"/>
        <c:crossBetween val="between"/>
        <c:majorUnit val="200"/>
      </c:valAx>
      <c:catAx>
        <c:axId val="126742528"/>
        <c:scaling>
          <c:orientation val="minMax"/>
        </c:scaling>
        <c:delete val="1"/>
        <c:axPos val="b"/>
        <c:tickLblPos val="none"/>
        <c:crossAx val="126744064"/>
        <c:crosses val="autoZero"/>
        <c:auto val="1"/>
        <c:lblAlgn val="ctr"/>
        <c:lblOffset val="100"/>
      </c:catAx>
      <c:valAx>
        <c:axId val="126744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42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9206144"/>
        <c:axId val="129207680"/>
      </c:lineChart>
      <c:catAx>
        <c:axId val="1292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07680"/>
        <c:crosses val="autoZero"/>
        <c:auto val="1"/>
        <c:lblAlgn val="ctr"/>
        <c:lblOffset val="200"/>
        <c:tickLblSkip val="1"/>
      </c:catAx>
      <c:valAx>
        <c:axId val="129207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9236352"/>
        <c:axId val="129655936"/>
      </c:lineChart>
      <c:catAx>
        <c:axId val="1292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55936"/>
        <c:crosses val="autoZero"/>
        <c:auto val="1"/>
        <c:lblAlgn val="ctr"/>
        <c:lblOffset val="100"/>
      </c:catAx>
      <c:valAx>
        <c:axId val="1296559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8648320"/>
        <c:axId val="128650240"/>
      </c:lineChart>
      <c:catAx>
        <c:axId val="12864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50240"/>
        <c:crosses val="autoZero"/>
        <c:auto val="1"/>
        <c:lblAlgn val="ctr"/>
        <c:lblOffset val="100"/>
      </c:catAx>
      <c:valAx>
        <c:axId val="128650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48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8703872"/>
        <c:axId val="129684992"/>
      </c:lineChart>
      <c:catAx>
        <c:axId val="12870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84992"/>
        <c:crosses val="autoZero"/>
        <c:auto val="1"/>
        <c:lblAlgn val="ctr"/>
        <c:lblOffset val="100"/>
      </c:catAx>
      <c:valAx>
        <c:axId val="129684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03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44</c:v>
                </c:pt>
                <c:pt idx="15">
                  <c:v>56.847999999992318</c:v>
                </c:pt>
                <c:pt idx="16">
                  <c:v>-334610.848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9673088"/>
        <c:axId val="129674624"/>
      </c:lineChart>
      <c:catAx>
        <c:axId val="12967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74624"/>
        <c:crosses val="autoZero"/>
        <c:auto val="1"/>
        <c:lblAlgn val="ctr"/>
        <c:lblOffset val="100"/>
      </c:catAx>
      <c:valAx>
        <c:axId val="12967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7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1654016"/>
        <c:axId val="131655552"/>
      </c:lineChart>
      <c:catAx>
        <c:axId val="13165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5552"/>
        <c:crosses val="autoZero"/>
        <c:auto val="1"/>
        <c:lblAlgn val="ctr"/>
        <c:lblOffset val="100"/>
      </c:catAx>
      <c:valAx>
        <c:axId val="13165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6665344"/>
        <c:axId val="156666880"/>
      </c:lineChart>
      <c:catAx>
        <c:axId val="15666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6880"/>
        <c:crosses val="autoZero"/>
        <c:auto val="1"/>
        <c:lblAlgn val="ctr"/>
        <c:lblOffset val="100"/>
      </c:catAx>
      <c:valAx>
        <c:axId val="15666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712"/>
          <c:y val="7.47132470511216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6695552"/>
        <c:axId val="86655744"/>
      </c:lineChart>
      <c:catAx>
        <c:axId val="15669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55744"/>
        <c:crosses val="autoZero"/>
        <c:auto val="1"/>
        <c:lblAlgn val="ctr"/>
        <c:lblOffset val="200"/>
        <c:tickLblSkip val="1"/>
      </c:catAx>
      <c:valAx>
        <c:axId val="86655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697088"/>
        <c:axId val="86698624"/>
      </c:lineChart>
      <c:catAx>
        <c:axId val="8669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8624"/>
        <c:crosses val="autoZero"/>
        <c:auto val="1"/>
        <c:lblAlgn val="ctr"/>
        <c:lblOffset val="100"/>
      </c:catAx>
      <c:valAx>
        <c:axId val="8669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452864"/>
        <c:axId val="86500096"/>
      </c:lineChart>
      <c:catAx>
        <c:axId val="86452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0096"/>
        <c:crosses val="autoZero"/>
        <c:auto val="1"/>
        <c:lblAlgn val="ctr"/>
        <c:lblOffset val="100"/>
      </c:catAx>
      <c:valAx>
        <c:axId val="865000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012480"/>
        <c:axId val="87014400"/>
      </c:lineChart>
      <c:catAx>
        <c:axId val="87012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14400"/>
        <c:crosses val="autoZero"/>
        <c:auto val="1"/>
        <c:lblAlgn val="ctr"/>
        <c:lblOffset val="100"/>
      </c:catAx>
      <c:valAx>
        <c:axId val="87014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12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29305984"/>
        <c:axId val="129311872"/>
      </c:lineChart>
      <c:catAx>
        <c:axId val="12930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11872"/>
        <c:crosses val="autoZero"/>
        <c:auto val="1"/>
        <c:lblAlgn val="ctr"/>
        <c:lblOffset val="100"/>
      </c:catAx>
      <c:valAx>
        <c:axId val="12931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0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254912"/>
        <c:axId val="87256448"/>
      </c:lineChart>
      <c:catAx>
        <c:axId val="8725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56448"/>
        <c:crosses val="autoZero"/>
        <c:auto val="1"/>
        <c:lblAlgn val="ctr"/>
        <c:lblOffset val="100"/>
      </c:catAx>
      <c:valAx>
        <c:axId val="8725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5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288832"/>
        <c:axId val="87560960"/>
      </c:lineChart>
      <c:catAx>
        <c:axId val="8728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60960"/>
        <c:crosses val="autoZero"/>
        <c:auto val="1"/>
        <c:lblAlgn val="ctr"/>
        <c:lblOffset val="100"/>
      </c:catAx>
      <c:valAx>
        <c:axId val="8756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8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089"/>
          <c:y val="7.471324705112204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955328"/>
        <c:axId val="879568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962752"/>
        <c:axId val="87964288"/>
      </c:lineChart>
      <c:catAx>
        <c:axId val="879553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6864"/>
        <c:crosses val="autoZero"/>
        <c:lblAlgn val="ctr"/>
        <c:lblOffset val="100"/>
        <c:tickMarkSkip val="1"/>
      </c:catAx>
      <c:valAx>
        <c:axId val="87956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5328"/>
        <c:crosses val="autoZero"/>
        <c:crossBetween val="between"/>
      </c:valAx>
      <c:catAx>
        <c:axId val="87962752"/>
        <c:scaling>
          <c:orientation val="minMax"/>
        </c:scaling>
        <c:delete val="1"/>
        <c:axPos val="b"/>
        <c:numFmt formatCode="[$-409]d\-mmm\-yy;@" sourceLinked="1"/>
        <c:tickLblPos val="none"/>
        <c:crossAx val="87964288"/>
        <c:crosses val="autoZero"/>
        <c:lblAlgn val="ctr"/>
        <c:lblOffset val="100"/>
      </c:catAx>
      <c:valAx>
        <c:axId val="879642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2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8001152"/>
        <c:axId val="88220032"/>
      </c:lineChart>
      <c:catAx>
        <c:axId val="8800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20032"/>
        <c:crosses val="autoZero"/>
        <c:auto val="1"/>
        <c:lblAlgn val="ctr"/>
        <c:lblOffset val="100"/>
      </c:catAx>
      <c:valAx>
        <c:axId val="882200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0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8248704"/>
        <c:axId val="88250240"/>
      </c:lineChart>
      <c:catAx>
        <c:axId val="882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0240"/>
        <c:crosses val="autoZero"/>
        <c:auto val="1"/>
        <c:lblAlgn val="ctr"/>
        <c:lblOffset val="100"/>
      </c:catAx>
      <c:valAx>
        <c:axId val="882502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0386816"/>
        <c:axId val="903883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0389888"/>
        <c:axId val="90416256"/>
      </c:lineChart>
      <c:catAx>
        <c:axId val="90386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8352"/>
        <c:crosses val="autoZero"/>
        <c:lblAlgn val="ctr"/>
        <c:lblOffset val="100"/>
        <c:tickMarkSkip val="1"/>
      </c:catAx>
      <c:valAx>
        <c:axId val="903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6816"/>
        <c:crosses val="autoZero"/>
        <c:crossBetween val="between"/>
      </c:valAx>
      <c:catAx>
        <c:axId val="90389888"/>
        <c:scaling>
          <c:orientation val="minMax"/>
        </c:scaling>
        <c:delete val="1"/>
        <c:axPos val="b"/>
        <c:numFmt formatCode="General" sourceLinked="1"/>
        <c:tickLblPos val="none"/>
        <c:crossAx val="90416256"/>
        <c:crosses val="autoZero"/>
        <c:lblAlgn val="ctr"/>
        <c:lblOffset val="100"/>
      </c:catAx>
      <c:valAx>
        <c:axId val="90416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9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0583808"/>
        <c:axId val="90585344"/>
      </c:lineChart>
      <c:catAx>
        <c:axId val="905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5344"/>
        <c:crosses val="autoZero"/>
        <c:auto val="1"/>
        <c:lblAlgn val="ctr"/>
        <c:lblOffset val="100"/>
      </c:catAx>
      <c:valAx>
        <c:axId val="9058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0614016"/>
        <c:axId val="90628096"/>
      </c:lineChart>
      <c:catAx>
        <c:axId val="906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28096"/>
        <c:crosses val="autoZero"/>
        <c:auto val="1"/>
        <c:lblAlgn val="ctr"/>
        <c:lblOffset val="100"/>
      </c:catAx>
      <c:valAx>
        <c:axId val="9062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0998656"/>
        <c:axId val="910001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014272"/>
        <c:axId val="91015808"/>
      </c:lineChart>
      <c:catAx>
        <c:axId val="909986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0192"/>
        <c:crosses val="autoZero"/>
        <c:lblAlgn val="ctr"/>
        <c:lblOffset val="100"/>
        <c:tickMarkSkip val="1"/>
      </c:catAx>
      <c:valAx>
        <c:axId val="91000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8656"/>
        <c:crosses val="autoZero"/>
        <c:crossBetween val="between"/>
      </c:valAx>
      <c:catAx>
        <c:axId val="91014272"/>
        <c:scaling>
          <c:orientation val="minMax"/>
        </c:scaling>
        <c:delete val="1"/>
        <c:axPos val="b"/>
        <c:numFmt formatCode="[$-409]d\-mmm\-yy;@" sourceLinked="1"/>
        <c:tickLblPos val="none"/>
        <c:crossAx val="91015808"/>
        <c:crosses val="autoZero"/>
        <c:lblAlgn val="ctr"/>
        <c:lblOffset val="100"/>
      </c:catAx>
      <c:valAx>
        <c:axId val="910158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4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2180864"/>
        <c:axId val="921824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2183936"/>
        <c:axId val="92202112"/>
      </c:lineChart>
      <c:catAx>
        <c:axId val="92180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82400"/>
        <c:crosses val="autoZero"/>
        <c:lblAlgn val="ctr"/>
        <c:lblOffset val="100"/>
        <c:tickMarkSkip val="1"/>
      </c:catAx>
      <c:valAx>
        <c:axId val="9218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80864"/>
        <c:crosses val="autoZero"/>
        <c:crossBetween val="between"/>
      </c:valAx>
      <c:catAx>
        <c:axId val="92183936"/>
        <c:scaling>
          <c:orientation val="minMax"/>
        </c:scaling>
        <c:delete val="1"/>
        <c:axPos val="b"/>
        <c:numFmt formatCode="General" sourceLinked="1"/>
        <c:tickLblPos val="none"/>
        <c:crossAx val="92202112"/>
        <c:crosses val="autoZero"/>
        <c:lblAlgn val="ctr"/>
        <c:lblOffset val="100"/>
      </c:catAx>
      <c:valAx>
        <c:axId val="92202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8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2462464"/>
        <c:axId val="924642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2465792"/>
        <c:axId val="92475776"/>
      </c:lineChart>
      <c:catAx>
        <c:axId val="92462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4256"/>
        <c:crosses val="autoZero"/>
        <c:lblAlgn val="ctr"/>
        <c:lblOffset val="100"/>
        <c:tickMarkSkip val="1"/>
      </c:catAx>
      <c:valAx>
        <c:axId val="92464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2464"/>
        <c:crosses val="autoZero"/>
        <c:crossBetween val="between"/>
      </c:valAx>
      <c:catAx>
        <c:axId val="92465792"/>
        <c:scaling>
          <c:orientation val="minMax"/>
        </c:scaling>
        <c:delete val="1"/>
        <c:axPos val="b"/>
        <c:numFmt formatCode="[$-409]d\-mmm\-yy;@" sourceLinked="1"/>
        <c:tickLblPos val="none"/>
        <c:crossAx val="92475776"/>
        <c:crosses val="autoZero"/>
        <c:lblAlgn val="ctr"/>
        <c:lblOffset val="100"/>
      </c:catAx>
      <c:valAx>
        <c:axId val="924757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5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2522368"/>
        <c:axId val="925239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2525696"/>
        <c:axId val="92527232"/>
      </c:lineChart>
      <c:catAx>
        <c:axId val="925223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3904"/>
        <c:crosses val="autoZero"/>
        <c:lblAlgn val="ctr"/>
        <c:lblOffset val="100"/>
        <c:tickMarkSkip val="1"/>
      </c:catAx>
      <c:valAx>
        <c:axId val="9252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2368"/>
        <c:crosses val="autoZero"/>
        <c:crossBetween val="between"/>
      </c:valAx>
      <c:catAx>
        <c:axId val="92525696"/>
        <c:scaling>
          <c:orientation val="minMax"/>
        </c:scaling>
        <c:delete val="1"/>
        <c:axPos val="b"/>
        <c:numFmt formatCode="General" sourceLinked="1"/>
        <c:tickLblPos val="none"/>
        <c:crossAx val="92527232"/>
        <c:crosses val="autoZero"/>
        <c:lblAlgn val="ctr"/>
        <c:lblOffset val="100"/>
      </c:catAx>
      <c:valAx>
        <c:axId val="925272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5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3883392"/>
        <c:axId val="93901952"/>
      </c:lineChart>
      <c:catAx>
        <c:axId val="93883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01952"/>
        <c:crosses val="autoZero"/>
        <c:auto val="1"/>
        <c:lblAlgn val="ctr"/>
        <c:lblOffset val="100"/>
      </c:catAx>
      <c:valAx>
        <c:axId val="93901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83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3783552"/>
        <c:axId val="93785472"/>
      </c:lineChart>
      <c:catAx>
        <c:axId val="93783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5472"/>
        <c:crosses val="autoZero"/>
        <c:auto val="1"/>
        <c:lblAlgn val="ctr"/>
        <c:lblOffset val="100"/>
      </c:catAx>
      <c:valAx>
        <c:axId val="93785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3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3843456"/>
        <c:axId val="93844992"/>
      </c:lineChart>
      <c:catAx>
        <c:axId val="9384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44992"/>
        <c:crosses val="autoZero"/>
        <c:auto val="1"/>
        <c:lblAlgn val="ctr"/>
        <c:lblOffset val="200"/>
        <c:tickLblSkip val="1"/>
      </c:catAx>
      <c:valAx>
        <c:axId val="93844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4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28873984"/>
        <c:axId val="128875520"/>
      </c:lineChart>
      <c:catAx>
        <c:axId val="12887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5520"/>
        <c:crosses val="autoZero"/>
        <c:auto val="1"/>
        <c:lblAlgn val="ctr"/>
        <c:lblOffset val="100"/>
      </c:catAx>
      <c:valAx>
        <c:axId val="128875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44</c:v>
                </c:pt>
                <c:pt idx="15">
                  <c:v>56.847999999992318</c:v>
                </c:pt>
                <c:pt idx="16">
                  <c:v>-334610.848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28904192"/>
        <c:axId val="157491968"/>
      </c:lineChart>
      <c:catAx>
        <c:axId val="12890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1968"/>
        <c:crosses val="autoZero"/>
        <c:auto val="1"/>
        <c:lblAlgn val="ctr"/>
        <c:lblOffset val="100"/>
      </c:catAx>
      <c:valAx>
        <c:axId val="157491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0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7537024"/>
        <c:axId val="157538944"/>
      </c:lineChart>
      <c:catAx>
        <c:axId val="157537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8944"/>
        <c:crosses val="autoZero"/>
        <c:auto val="1"/>
        <c:lblAlgn val="ctr"/>
        <c:lblOffset val="100"/>
      </c:catAx>
      <c:valAx>
        <c:axId val="157538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7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8100480"/>
        <c:axId val="158270592"/>
      </c:lineChart>
      <c:catAx>
        <c:axId val="15810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0592"/>
        <c:crosses val="autoZero"/>
        <c:auto val="1"/>
        <c:lblAlgn val="ctr"/>
        <c:lblOffset val="100"/>
      </c:catAx>
      <c:valAx>
        <c:axId val="158270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0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8287360"/>
        <c:axId val="158288896"/>
      </c:lineChart>
      <c:catAx>
        <c:axId val="15828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8896"/>
        <c:crosses val="autoZero"/>
        <c:auto val="1"/>
        <c:lblAlgn val="ctr"/>
        <c:lblOffset val="200"/>
        <c:tickLblSkip val="1"/>
      </c:catAx>
      <c:valAx>
        <c:axId val="158288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8321664"/>
        <c:axId val="158327552"/>
      </c:lineChart>
      <c:catAx>
        <c:axId val="15832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7552"/>
        <c:crosses val="autoZero"/>
        <c:auto val="1"/>
        <c:lblAlgn val="ctr"/>
        <c:lblOffset val="100"/>
      </c:catAx>
      <c:valAx>
        <c:axId val="1583275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0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74.18400000000257</c:v>
                </c:pt>
                <c:pt idx="10">
                  <c:v>64.328000000043545</c:v>
                </c:pt>
                <c:pt idx="11">
                  <c:v>63.227999999979517</c:v>
                </c:pt>
                <c:pt idx="12">
                  <c:v>59.708000000030736</c:v>
                </c:pt>
                <c:pt idx="13">
                  <c:v>59.091999999969268</c:v>
                </c:pt>
                <c:pt idx="14">
                  <c:v>44</c:v>
                </c:pt>
                <c:pt idx="15">
                  <c:v>56.847999999992318</c:v>
                </c:pt>
                <c:pt idx="16">
                  <c:v>-334610.848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224576"/>
        <c:axId val="159226112"/>
      </c:lineChart>
      <c:catAx>
        <c:axId val="1592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6112"/>
        <c:crosses val="autoZero"/>
        <c:auto val="1"/>
        <c:lblAlgn val="ctr"/>
        <c:lblOffset val="100"/>
      </c:catAx>
      <c:valAx>
        <c:axId val="15922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9660288"/>
        <c:axId val="159682944"/>
      </c:lineChart>
      <c:catAx>
        <c:axId val="159660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2944"/>
        <c:crosses val="autoZero"/>
        <c:auto val="1"/>
        <c:lblAlgn val="ctr"/>
        <c:lblOffset val="100"/>
      </c:catAx>
      <c:valAx>
        <c:axId val="159682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60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9843072"/>
        <c:axId val="159844992"/>
      </c:lineChart>
      <c:catAx>
        <c:axId val="15984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44992"/>
        <c:crosses val="autoZero"/>
        <c:auto val="1"/>
        <c:lblAlgn val="ctr"/>
        <c:lblOffset val="100"/>
      </c:catAx>
      <c:valAx>
        <c:axId val="159844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43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9878144"/>
        <c:axId val="159888128"/>
      </c:lineChart>
      <c:catAx>
        <c:axId val="1598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8128"/>
        <c:crosses val="autoZero"/>
        <c:auto val="1"/>
        <c:lblAlgn val="ctr"/>
        <c:lblOffset val="200"/>
        <c:tickLblSkip val="1"/>
      </c:catAx>
      <c:valAx>
        <c:axId val="159888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0244480"/>
        <c:axId val="160246016"/>
      </c:lineChart>
      <c:catAx>
        <c:axId val="1602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6016"/>
        <c:crosses val="autoZero"/>
        <c:auto val="1"/>
        <c:lblAlgn val="ctr"/>
        <c:lblOffset val="100"/>
      </c:catAx>
      <c:valAx>
        <c:axId val="1602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5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0270592"/>
        <c:axId val="160563200"/>
      </c:lineChart>
      <c:catAx>
        <c:axId val="1602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3200"/>
        <c:crosses val="autoZero"/>
        <c:auto val="1"/>
        <c:lblAlgn val="ctr"/>
        <c:lblOffset val="100"/>
      </c:catAx>
      <c:valAx>
        <c:axId val="16056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604160"/>
        <c:axId val="160606080"/>
      </c:lineChart>
      <c:catAx>
        <c:axId val="160604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6080"/>
        <c:crosses val="autoZero"/>
        <c:auto val="1"/>
        <c:lblAlgn val="ctr"/>
        <c:lblOffset val="100"/>
      </c:catAx>
      <c:valAx>
        <c:axId val="160606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4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0786688"/>
        <c:axId val="160805248"/>
      </c:lineChart>
      <c:catAx>
        <c:axId val="160786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05248"/>
        <c:crosses val="autoZero"/>
        <c:auto val="1"/>
        <c:lblAlgn val="ctr"/>
        <c:lblOffset val="100"/>
      </c:catAx>
      <c:valAx>
        <c:axId val="160805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86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0961280"/>
        <c:axId val="160962816"/>
      </c:lineChart>
      <c:catAx>
        <c:axId val="16096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2816"/>
        <c:crosses val="autoZero"/>
        <c:auto val="1"/>
        <c:lblAlgn val="ctr"/>
        <c:lblOffset val="200"/>
        <c:tickLblSkip val="1"/>
      </c:catAx>
      <c:valAx>
        <c:axId val="160962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0987392"/>
        <c:axId val="160997376"/>
      </c:lineChart>
      <c:catAx>
        <c:axId val="1609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7376"/>
        <c:crosses val="autoZero"/>
        <c:auto val="1"/>
        <c:lblAlgn val="ctr"/>
        <c:lblOffset val="100"/>
      </c:catAx>
      <c:valAx>
        <c:axId val="1609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5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292288"/>
        <c:axId val="161293824"/>
      </c:lineChart>
      <c:catAx>
        <c:axId val="16129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93824"/>
        <c:crosses val="autoZero"/>
        <c:auto val="1"/>
        <c:lblAlgn val="ctr"/>
        <c:lblOffset val="100"/>
      </c:catAx>
      <c:valAx>
        <c:axId val="16129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9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74.18400000000257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64.328000000043545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63.227999999979517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59.708000000030736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59.091999999969268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44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56.847999999992318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 t="str">
        <f>IF('Utility summery'!M22&lt;0,"0",'Utility summery'!M22)</f>
        <v>0</v>
      </c>
      <c r="H18" s="423">
        <v>0</v>
      </c>
      <c r="I18" s="418" t="str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1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 t="str">
        <f>IF('Kit report'!F20&lt;0,"0",'Kit report'!F20)</f>
        <v>0</v>
      </c>
      <c r="I18" s="456" t="str">
        <f>IF('Kit report'!X20&lt;0,"0",'Kit report'!X20)</f>
        <v>0</v>
      </c>
      <c r="J18" s="456" t="str">
        <f>IF('Utility summery'!H22&lt;0,"0",'Utility summery'!H22)</f>
        <v>0</v>
      </c>
      <c r="K18" s="457" t="str">
        <f>IF('UTILITY REPORT 1'!H19&lt;0,"0",'UTILITY REPORT 1'!H19)</f>
        <v>0</v>
      </c>
      <c r="L18" s="456" t="str">
        <f>'Water-Meter'!K22</f>
        <v>0</v>
      </c>
      <c r="M18" s="457" t="str">
        <f>'Water-Meter'!H22</f>
        <v>0</v>
      </c>
      <c r="N18" s="457" t="str">
        <f>'Water-Meter'!Q22</f>
        <v>0</v>
      </c>
      <c r="O18" s="456" t="e">
        <f>K18*E18+H18*I18+#REF!*#REF!+J18*L18</f>
        <v>#REF!</v>
      </c>
      <c r="P18" s="462" t="str">
        <f>'Water-Meter'!E22</f>
        <v>0</v>
      </c>
      <c r="Q18" s="242" t="str">
        <f>IF('Water-Meter'!U22&lt;0,"0",'Water-Meter'!U22)</f>
        <v>0</v>
      </c>
      <c r="R18" s="242" t="str">
        <f>IF('Water-Meter'!X22&lt;0,"0",'Water-Meter'!X22)</f>
        <v>0</v>
      </c>
      <c r="S18" s="242" t="str">
        <f>IF('Water-Meter'!AA22&lt;0,"0",'Water-Meter'!AA22)</f>
        <v>0</v>
      </c>
      <c r="T18" s="242" t="str">
        <f>IF('Water-Meter'!AD22&lt;0,"0",'Water-Meter'!AD22)</f>
        <v>0</v>
      </c>
      <c r="U18" s="242" t="str">
        <f>IF('Water-Meter'!AG22&lt;0,"0",'Water-Meter'!AG22)</f>
        <v>0</v>
      </c>
      <c r="V18" s="242" t="str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 t="str">
        <f>'Water-Meter'!E22</f>
        <v>0</v>
      </c>
      <c r="H19" s="405">
        <f>'Utility report '!AC22</f>
        <v>-275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75</v>
      </c>
      <c r="M15" s="449">
        <f>'Lpg (2)'!G19</f>
        <v>74.18400000000257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65</v>
      </c>
      <c r="M16" s="449">
        <f>'Lpg (2)'!G20</f>
        <v>64.328000000043545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60</v>
      </c>
      <c r="M17" s="449">
        <f>'Lpg (2)'!G21</f>
        <v>63.227999999979517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55</v>
      </c>
      <c r="M18" s="449">
        <f>'Lpg (2)'!G22</f>
        <v>59.708000000030736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51</v>
      </c>
      <c r="M19" s="449">
        <f>'Lpg (2)'!G23</f>
        <v>59.091999999969268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49</v>
      </c>
      <c r="M20" s="449">
        <f>'Lpg (2)'!G24</f>
        <v>44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45</v>
      </c>
      <c r="M21" s="449">
        <f>'Lpg (2)'!G25</f>
        <v>56.847999999992318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-275</v>
      </c>
      <c r="H22" s="153">
        <f>'Utility report '!AE22</f>
        <v>-215050</v>
      </c>
      <c r="I22" s="296" t="str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-334610.848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46350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1276</v>
      </c>
      <c r="J39" s="453">
        <f t="shared" si="3"/>
        <v>680</v>
      </c>
      <c r="K39" s="453">
        <f t="shared" si="3"/>
        <v>693</v>
      </c>
      <c r="L39" s="453">
        <f t="shared" si="3"/>
        <v>1055</v>
      </c>
      <c r="M39" s="453">
        <f t="shared" si="3"/>
        <v>-333476.88</v>
      </c>
      <c r="N39" s="453">
        <f t="shared" si="3"/>
        <v>64889.999999999985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22" sqref="AD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882.35294117647061</v>
      </c>
      <c r="AI15" s="722">
        <f t="shared" ref="AI15:AI35" si="18">SUM(AF15*2000)+(AG15*1000)+(AH15*1000)</f>
        <v>5882352.9411764704</v>
      </c>
      <c r="AJ15" s="428">
        <f t="shared" si="4"/>
        <v>-3952941.176470588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764.70588235294122</v>
      </c>
      <c r="AI16" s="722">
        <f t="shared" si="18"/>
        <v>5764705.8823529407</v>
      </c>
      <c r="AJ16" s="428">
        <f t="shared" si="4"/>
        <v>117647.05882352963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705.88235294117646</v>
      </c>
      <c r="AI17" s="722">
        <f t="shared" si="18"/>
        <v>5705882.3529411769</v>
      </c>
      <c r="AJ17" s="428">
        <f t="shared" si="4"/>
        <v>58823.529411763884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647.05882352941171</v>
      </c>
      <c r="AI18" s="722">
        <f t="shared" si="18"/>
        <v>5647058.823529412</v>
      </c>
      <c r="AJ18" s="428">
        <f t="shared" si="4"/>
        <v>58823.529411764815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600</v>
      </c>
      <c r="AI19" s="722">
        <f t="shared" si="18"/>
        <v>5600000</v>
      </c>
      <c r="AJ19" s="428">
        <f t="shared" si="4"/>
        <v>47058.823529412039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0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576.47058823529414</v>
      </c>
      <c r="AI20" s="722">
        <f t="shared" si="18"/>
        <v>5576470.5882352944</v>
      </c>
      <c r="AJ20" s="428">
        <f t="shared" si="4"/>
        <v>23529.411764705554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-17893</v>
      </c>
      <c r="V21" s="427">
        <f t="shared" si="19"/>
        <v>-110936.6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0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529.41176470588232</v>
      </c>
      <c r="AI21" s="722">
        <f t="shared" si="18"/>
        <v>5529411.7647058824</v>
      </c>
      <c r="AJ21" s="428">
        <f t="shared" si="4"/>
        <v>47058.823529412039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30616.600000000006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460.85304023474418</v>
      </c>
      <c r="N22" s="715" t="str">
        <f>'Water-Meter'!E22</f>
        <v>0</v>
      </c>
      <c r="O22" s="706"/>
      <c r="P22" s="713"/>
      <c r="Q22" s="725">
        <f t="shared" si="2"/>
        <v>-19032</v>
      </c>
      <c r="R22" s="426">
        <f t="shared" si="5"/>
        <v>0</v>
      </c>
      <c r="S22" s="701"/>
      <c r="T22" s="702"/>
      <c r="U22" s="725">
        <f t="shared" ref="U22:U23" si="20">T23-T21</f>
        <v>-17893</v>
      </c>
      <c r="V22" s="427">
        <f t="shared" si="19"/>
        <v>0</v>
      </c>
      <c r="W22" s="701"/>
      <c r="X22" s="707"/>
      <c r="Y22" s="725">
        <f t="shared" si="8"/>
        <v>-27881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-275</v>
      </c>
      <c r="AD22" s="692"/>
      <c r="AE22" s="178">
        <f t="shared" si="15"/>
        <v>-215050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5529411.7647058824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30616.600000000006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30616.600000000006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30616.600000000006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30616.600000000006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30616.600000000006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30616.600000000006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30616.600000000006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30616.600000000006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30616.600000000006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30616.600000000006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30616.600000000006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30616.600000000006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30616.600000000006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30616.600000000006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49525</v>
      </c>
      <c r="K37" s="770"/>
      <c r="L37" s="756">
        <f t="shared" si="17"/>
        <v>49525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2" sqref="W2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8386</v>
      </c>
      <c r="P19" s="580">
        <f>'Water-Meter'!J21</f>
        <v>8386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9238.7999999999993</v>
      </c>
      <c r="E20" s="577"/>
      <c r="F20" s="581">
        <f t="shared" si="12"/>
        <v>-1108656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-8386</v>
      </c>
      <c r="R20" s="626">
        <f t="shared" si="4"/>
        <v>-5.1925696594427242</v>
      </c>
      <c r="S20" s="627">
        <f>Gen!T27</f>
        <v>0</v>
      </c>
      <c r="T20" s="628">
        <f t="shared" si="9"/>
        <v>44303</v>
      </c>
      <c r="U20" s="579"/>
      <c r="V20" s="581">
        <f t="shared" si="5"/>
        <v>8101.1</v>
      </c>
      <c r="W20" s="578"/>
      <c r="X20" s="581">
        <f t="shared" si="0"/>
        <v>-1620220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-21178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 t="s">
        <v>342</v>
      </c>
      <c r="X21" s="581" t="e">
        <f t="shared" si="0"/>
        <v>#VALUE!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74.18400000000257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64.328000000043545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63.227999999979517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59.708000000030736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59.091999999969268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44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56.847999999992318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-159302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 t="str">
        <f>'Water-Meter'!E22</f>
        <v>0</v>
      </c>
      <c r="L21" s="653">
        <f>'Lpg (2)'!G26</f>
        <v>-334610.848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30616.600000000006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30616.600000000006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30616.600000000006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30616.600000000006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30616.600000000006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30616.600000000006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30616.600000000006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30616.600000000006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30616.600000000006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30616.600000000006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30616.600000000006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30616.600000000006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30616.600000000006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30616.600000000006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30616.600000000006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4" sqref="AA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/>
      <c r="H22" s="145"/>
      <c r="I22" s="145">
        <v>31925.8</v>
      </c>
      <c r="J22" s="848">
        <v>21286.1</v>
      </c>
      <c r="K22" s="858">
        <f t="shared" si="0"/>
        <v>36189</v>
      </c>
      <c r="L22" s="305"/>
      <c r="M22" s="304">
        <f t="shared" si="1"/>
        <v>-36189</v>
      </c>
      <c r="N22" s="306">
        <f t="shared" si="2"/>
        <v>31100</v>
      </c>
      <c r="O22" s="125"/>
      <c r="P22" s="304">
        <f t="shared" si="3"/>
        <v>-31100</v>
      </c>
      <c r="Q22" s="304">
        <f t="shared" si="4"/>
        <v>36392</v>
      </c>
      <c r="R22" s="125"/>
      <c r="S22" s="304">
        <f t="shared" si="5"/>
        <v>-36392</v>
      </c>
      <c r="T22" s="304">
        <f t="shared" si="6"/>
        <v>33587</v>
      </c>
      <c r="U22" s="305"/>
      <c r="V22" s="304">
        <f t="shared" si="7"/>
        <v>-33587</v>
      </c>
      <c r="W22" s="306">
        <f t="shared" si="8"/>
        <v>22034</v>
      </c>
      <c r="X22" s="305"/>
      <c r="Y22" s="304">
        <f t="shared" si="9"/>
        <v>-22034</v>
      </c>
      <c r="Z22" s="307">
        <f t="shared" si="10"/>
        <v>-159302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44304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44305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44306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44307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44308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10" workbookViewId="0">
      <pane xSplit="1" topLeftCell="B1" activePane="topRight" state="frozen"/>
      <selection pane="topRight" activeCell="N34" sqref="N34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/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/>
      <c r="C27" s="802">
        <f t="shared" si="6"/>
        <v>30616.600000000006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/>
      <c r="C28" s="802">
        <f t="shared" si="6"/>
        <v>30616.600000000006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30616.600000000006</v>
      </c>
    </row>
    <row r="29" spans="1:46" ht="15.75">
      <c r="A29" s="575">
        <v>44305</v>
      </c>
      <c r="B29" s="826"/>
      <c r="C29" s="802">
        <f t="shared" si="6"/>
        <v>30616.600000000006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30616.600000000006</v>
      </c>
    </row>
    <row r="30" spans="1:46" ht="15.75">
      <c r="A30" s="575">
        <v>44306</v>
      </c>
      <c r="B30" s="826"/>
      <c r="C30" s="802">
        <f t="shared" si="6"/>
        <v>30616.600000000006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30616.600000000006</v>
      </c>
    </row>
    <row r="31" spans="1:46" ht="15.75">
      <c r="A31" s="575">
        <v>44307</v>
      </c>
      <c r="B31" s="826"/>
      <c r="C31" s="802">
        <f t="shared" si="6"/>
        <v>30616.600000000006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30616.600000000006</v>
      </c>
    </row>
    <row r="32" spans="1:46" ht="15.75">
      <c r="A32" s="575">
        <v>44308</v>
      </c>
      <c r="B32" s="826"/>
      <c r="C32" s="802">
        <f t="shared" si="6"/>
        <v>30616.600000000006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30616.600000000006</v>
      </c>
    </row>
    <row r="33" spans="1:46" ht="15.75">
      <c r="A33" s="575">
        <v>44309</v>
      </c>
      <c r="B33" s="826"/>
      <c r="C33" s="802">
        <f t="shared" si="6"/>
        <v>30616.600000000006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30616.600000000006</v>
      </c>
    </row>
    <row r="34" spans="1:46" ht="15.75">
      <c r="A34" s="575">
        <v>44310</v>
      </c>
      <c r="B34" s="826"/>
      <c r="C34" s="802">
        <f t="shared" si="6"/>
        <v>30616.600000000006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30616.600000000006</v>
      </c>
    </row>
    <row r="35" spans="1:46" ht="15.75">
      <c r="A35" s="575">
        <v>44311</v>
      </c>
      <c r="B35" s="826"/>
      <c r="C35" s="802">
        <f t="shared" si="6"/>
        <v>30616.600000000006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30616.600000000006</v>
      </c>
    </row>
    <row r="36" spans="1:46" ht="15.75">
      <c r="A36" s="575">
        <v>44312</v>
      </c>
      <c r="B36" s="826"/>
      <c r="C36" s="802">
        <f t="shared" si="6"/>
        <v>30616.600000000006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30616.600000000006</v>
      </c>
    </row>
    <row r="37" spans="1:46" ht="15.75">
      <c r="A37" s="575">
        <v>44313</v>
      </c>
      <c r="B37" s="826"/>
      <c r="C37" s="802">
        <f t="shared" si="6"/>
        <v>30616.600000000006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30616.600000000006</v>
      </c>
    </row>
    <row r="38" spans="1:46" ht="15.75">
      <c r="A38" s="575">
        <v>44314</v>
      </c>
      <c r="B38" s="826"/>
      <c r="C38" s="802">
        <f t="shared" si="6"/>
        <v>30616.600000000006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30616.600000000006</v>
      </c>
    </row>
    <row r="39" spans="1:46" ht="15.75">
      <c r="A39" s="575">
        <v>44315</v>
      </c>
      <c r="B39" s="826"/>
      <c r="C39" s="802">
        <f t="shared" si="6"/>
        <v>30616.600000000006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30616.600000000006</v>
      </c>
    </row>
    <row r="40" spans="1:46" ht="15.75">
      <c r="A40" s="575">
        <v>44316</v>
      </c>
      <c r="B40" s="826"/>
      <c r="C40" s="802">
        <f t="shared" si="6"/>
        <v>30616.600000000006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30616.600000000006</v>
      </c>
    </row>
    <row r="41" spans="1:46" ht="15.75">
      <c r="A41" s="575"/>
      <c r="B41" s="826"/>
      <c r="C41" s="802">
        <f t="shared" si="6"/>
        <v>30616.600000000006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30616.600000000006</v>
      </c>
    </row>
    <row r="42" spans="1:46" ht="14.25">
      <c r="A42" s="575"/>
      <c r="B42" s="574"/>
      <c r="C42" s="802">
        <f t="shared" si="6"/>
        <v>30616.600000000006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30616.600000000006</v>
      </c>
    </row>
    <row r="43" spans="1:46" ht="14.25">
      <c r="A43" s="495" t="s">
        <v>25</v>
      </c>
      <c r="B43" s="469">
        <f>AVERAGE(B11:B42)</f>
        <v>0.10113333333333334</v>
      </c>
      <c r="C43" s="798">
        <f t="shared" si="6"/>
        <v>30616.600000000006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30616.600000000006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5111.9500000000007</v>
      </c>
      <c r="H45" s="308">
        <f t="shared" si="8"/>
        <v>4903.3500000000004</v>
      </c>
      <c r="I45" s="313">
        <f t="shared" si="8"/>
        <v>0</v>
      </c>
      <c r="J45" s="308">
        <f t="shared" si="8"/>
        <v>5071.38</v>
      </c>
      <c r="K45" s="313">
        <f t="shared" si="8"/>
        <v>4791.9699999999993</v>
      </c>
      <c r="L45" s="308">
        <f t="shared" si="8"/>
        <v>0</v>
      </c>
      <c r="M45" s="313">
        <f t="shared" si="8"/>
        <v>15834</v>
      </c>
      <c r="N45" s="553">
        <f t="shared" si="8"/>
        <v>8986</v>
      </c>
      <c r="O45" s="313">
        <f t="shared" si="8"/>
        <v>0</v>
      </c>
      <c r="P45" s="308">
        <f>SUM(P11:P43)</f>
        <v>12852</v>
      </c>
      <c r="Q45" s="313">
        <f>SUM(Q11:Q44)</f>
        <v>11853</v>
      </c>
      <c r="R45" s="308">
        <f>SUM(R11:R44)</f>
        <v>0</v>
      </c>
      <c r="S45" s="551">
        <f>SUM(G45:L45)</f>
        <v>19878.650000000001</v>
      </c>
      <c r="T45" s="308">
        <f>SUM(M45:R45)</f>
        <v>49525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308.26</v>
      </c>
      <c r="Y45" s="234">
        <f t="shared" si="9"/>
        <v>213.5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748</v>
      </c>
      <c r="AI45" s="234">
        <f>SUM(AI9:AI39)</f>
        <v>230.2</v>
      </c>
      <c r="AJ45" s="546">
        <f>SUM(AJ9:AJ44)</f>
        <v>2020.7200000000003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21899.369999999995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641.24677419354839</v>
      </c>
      <c r="T47" s="316">
        <f>S45*2315</f>
        <v>46019074.75</v>
      </c>
      <c r="U47" s="317" t="s">
        <v>244</v>
      </c>
      <c r="AR47" s="522">
        <f>AR45*2143</f>
        <v>46930349.909999989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20104.44506334644</v>
      </c>
      <c r="U48" s="317" t="s">
        <v>245</v>
      </c>
      <c r="W48" s="191"/>
      <c r="X48" s="191"/>
      <c r="Y48" s="191"/>
      <c r="Z48" s="191"/>
      <c r="AA48" s="191"/>
      <c r="AR48" s="316">
        <f>AR47/2289</f>
        <v>20502.555661861068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D30" sqref="D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75</v>
      </c>
      <c r="E19" s="268"/>
      <c r="F19" s="268">
        <v>75969.009999999995</v>
      </c>
      <c r="G19" s="268">
        <f t="shared" si="0"/>
        <v>74.18400000000257</v>
      </c>
      <c r="H19" s="111">
        <f>[5]Gen!B20</f>
        <v>0.01</v>
      </c>
      <c r="I19" s="843">
        <f t="shared" si="2"/>
        <v>7596900.9999999991</v>
      </c>
      <c r="J19" s="844">
        <f t="shared" si="1"/>
        <v>9.7650344528647373E-6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65</v>
      </c>
      <c r="E20" s="268"/>
      <c r="F20" s="268">
        <v>75983.63</v>
      </c>
      <c r="G20" s="268">
        <f t="shared" si="0"/>
        <v>64.328000000043545</v>
      </c>
      <c r="H20" s="111">
        <f>[5]Gen!B21</f>
        <v>0.01</v>
      </c>
      <c r="I20" s="843">
        <f t="shared" si="2"/>
        <v>7598363</v>
      </c>
      <c r="J20" s="844">
        <f t="shared" si="1"/>
        <v>8.466034065501154E-6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60</v>
      </c>
      <c r="E21" s="268"/>
      <c r="F21" s="268">
        <v>75998</v>
      </c>
      <c r="G21" s="268">
        <f t="shared" si="0"/>
        <v>63.227999999979517</v>
      </c>
      <c r="H21" s="111">
        <f>[5]Gen!B22</f>
        <v>0.03</v>
      </c>
      <c r="I21" s="843">
        <f t="shared" si="2"/>
        <v>2533266.666666667</v>
      </c>
      <c r="J21" s="844">
        <f t="shared" si="1"/>
        <v>2.4959077870462187E-5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55</v>
      </c>
      <c r="E22" s="268"/>
      <c r="F22" s="268">
        <v>76011.570000000007</v>
      </c>
      <c r="G22" s="268">
        <f t="shared" si="0"/>
        <v>59.708000000030736</v>
      </c>
      <c r="H22" s="111">
        <f>[5]Gen!B23</f>
        <v>0.22</v>
      </c>
      <c r="I22" s="843">
        <f t="shared" si="2"/>
        <v>345507.13636363641</v>
      </c>
      <c r="J22" s="844">
        <f t="shared" si="1"/>
        <v>1.7281263891808524E-4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51</v>
      </c>
      <c r="E23" s="268"/>
      <c r="F23" s="268">
        <v>76025</v>
      </c>
      <c r="G23" s="268">
        <f>(F23-F22)*4.4</f>
        <v>59.091999999969268</v>
      </c>
      <c r="H23" s="111">
        <f>[5]Gen!B24</f>
        <v>0.23</v>
      </c>
      <c r="I23" s="843">
        <f t="shared" si="2"/>
        <v>330543.47826086957</v>
      </c>
      <c r="J23" s="844">
        <f t="shared" si="1"/>
        <v>1.7877224597162686E-4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49</v>
      </c>
      <c r="E24" s="268"/>
      <c r="F24" s="268">
        <v>76035</v>
      </c>
      <c r="G24" s="268">
        <f t="shared" si="0"/>
        <v>44</v>
      </c>
      <c r="H24" s="111">
        <f>[5]Gen!B25</f>
        <v>0.21</v>
      </c>
      <c r="I24" s="843">
        <f t="shared" si="2"/>
        <v>362071.42857142858</v>
      </c>
      <c r="J24" s="844">
        <f t="shared" si="1"/>
        <v>1.2152298283685145E-4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45</v>
      </c>
      <c r="E25" s="268"/>
      <c r="F25" s="268">
        <v>76047.92</v>
      </c>
      <c r="G25" s="268">
        <f t="shared" si="0"/>
        <v>56.847999999992318</v>
      </c>
      <c r="H25" s="111">
        <f>[5]Gen!B26</f>
        <v>0.03</v>
      </c>
      <c r="I25" s="843">
        <f t="shared" si="2"/>
        <v>2534930.6666666665</v>
      </c>
      <c r="J25" s="844">
        <f t="shared" si="1"/>
        <v>2.242585990517255E-5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-334610.848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1214893.5899999999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0" zoomScale="94" zoomScaleNormal="94" workbookViewId="0">
      <pane xSplit="1" topLeftCell="S1" activePane="topRight" state="frozen"/>
      <selection pane="topRight" activeCell="AI22" sqref="AI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8386</v>
      </c>
      <c r="K21" s="474">
        <f t="shared" si="28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/>
      <c r="E22" s="474" t="str">
        <f t="shared" si="29"/>
        <v>0</v>
      </c>
      <c r="F22" s="95">
        <f t="shared" si="2"/>
        <v>75790</v>
      </c>
      <c r="G22" s="387"/>
      <c r="H22" s="474" t="str">
        <f t="shared" si="13"/>
        <v>0</v>
      </c>
      <c r="I22" s="95">
        <f t="shared" si="3"/>
        <v>8386</v>
      </c>
      <c r="J22" s="1"/>
      <c r="K22" s="474" t="str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/>
      <c r="Q22" s="474" t="str">
        <f t="shared" si="7"/>
        <v>0</v>
      </c>
      <c r="R22" s="250"/>
      <c r="S22" s="245">
        <f t="shared" si="15"/>
        <v>68447</v>
      </c>
      <c r="T22" s="384"/>
      <c r="U22" s="475" t="str">
        <f t="shared" si="16"/>
        <v>0</v>
      </c>
      <c r="V22" s="245">
        <f t="shared" si="31"/>
        <v>73031</v>
      </c>
      <c r="W22" s="384"/>
      <c r="X22" s="475" t="str">
        <f t="shared" si="17"/>
        <v>0</v>
      </c>
      <c r="Y22" s="245">
        <f t="shared" si="9"/>
        <v>90129</v>
      </c>
      <c r="Z22" s="384"/>
      <c r="AA22" s="475" t="str">
        <f t="shared" si="18"/>
        <v>0</v>
      </c>
      <c r="AB22" s="606">
        <f t="shared" si="22"/>
        <v>19034</v>
      </c>
      <c r="AC22" s="610"/>
      <c r="AD22" s="609" t="str">
        <f t="shared" si="23"/>
        <v>0</v>
      </c>
      <c r="AE22" s="245">
        <f t="shared" si="10"/>
        <v>18300</v>
      </c>
      <c r="AF22" s="385"/>
      <c r="AG22" s="475" t="str">
        <f t="shared" si="19"/>
        <v>0</v>
      </c>
      <c r="AH22" s="245">
        <f t="shared" si="11"/>
        <v>30759</v>
      </c>
      <c r="AI22" s="385"/>
      <c r="AJ22" s="475" t="str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991</v>
      </c>
    </row>
    <row r="38" spans="1:41" ht="18.75">
      <c r="A38" s="57"/>
      <c r="B38" s="21"/>
      <c r="C38" s="927" t="s">
        <v>6</v>
      </c>
      <c r="D38" s="927"/>
      <c r="E38" s="22">
        <f>SUM(E6:E36)</f>
        <v>1365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24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1365</v>
      </c>
      <c r="S38" s="247"/>
      <c r="T38" s="247"/>
      <c r="U38" s="257">
        <f>SUM(U6:U37)</f>
        <v>991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991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74.18400000000257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91.933833333336523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64.328000000043545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79.719611111165079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63.227999999979517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78.35641666664128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59.708000000030736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73.994194444482531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59.091999999969268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73.230805555517463</v>
      </c>
      <c r="V18" s="17">
        <f t="shared" si="7"/>
        <v>7161979.0579267675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44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54.527777777777779</v>
      </c>
      <c r="V19" s="17">
        <f t="shared" si="7"/>
        <v>6288693.9947929289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56.847999999992318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70.449888888879372</v>
      </c>
      <c r="V20" s="17">
        <f t="shared" si="7"/>
        <v>5821458.782146465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 t="str">
        <f>'Water-Meter'!E22</f>
        <v>0</v>
      </c>
      <c r="L21" s="447">
        <f>'Lpg (2)'!G26</f>
        <v>-334610.848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-414672.40822222218</v>
      </c>
      <c r="V21" s="17">
        <f t="shared" si="7"/>
        <v>1317673.2037777775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1365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30616.600000000006</v>
      </c>
      <c r="F21" s="396" t="str">
        <f>'Water-Meter'!E22</f>
        <v>0</v>
      </c>
      <c r="G21" s="397">
        <f>'Water-Meter'!AN22</f>
        <v>0</v>
      </c>
      <c r="H21" s="395">
        <f>'Utility report '!AC22</f>
        <v>-275</v>
      </c>
      <c r="I21" s="394">
        <f>'Kit report'!F20</f>
        <v>-1108656</v>
      </c>
      <c r="J21" s="395">
        <f>'Kit report'!X20</f>
        <v>-1620220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30616.600000000006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 t="e">
        <f>'Kit report'!X21</f>
        <v>#VALUE!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30616.600000000006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 t="e">
        <f>'Kit report'!X22</f>
        <v>#VALUE!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30616.600000000006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30616.600000000006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30616.600000000006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30616.600000000006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30616.600000000006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30616.600000000006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30616.600000000006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30616.600000000006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30616.600000000006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30616.600000000006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30616.600000000006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30616.600000000006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30616.600000000006</v>
      </c>
      <c r="F36" s="396">
        <f>'Water-Meter'!E37</f>
        <v>0</v>
      </c>
      <c r="G36" s="397">
        <f>'Water-Meter'!AN37</f>
        <v>991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2021-04-17T05:36:34Z</dcterms:modified>
</cp:coreProperties>
</file>