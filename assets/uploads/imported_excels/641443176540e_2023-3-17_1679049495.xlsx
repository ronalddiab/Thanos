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.sharepoint.com/teams/LON_Engineering_O365/Shared Documents/Engineering Department Files/HEP/2023/"/>
    </mc:Choice>
  </mc:AlternateContent>
  <xr:revisionPtr revIDLastSave="4643" documentId="8_{B5C46BEE-2163-4AAC-A0A7-4875FCE1155D}" xr6:coauthVersionLast="47" xr6:coauthVersionMax="47" xr10:uidLastSave="{45C62798-1743-4F65-B9E7-DC709AE81715}"/>
  <bookViews>
    <workbookView xWindow="0" yWindow="0" windowWidth="28800" windowHeight="12105" firstSheet="2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9" i="2" l="1"/>
  <c r="AW19" i="2"/>
  <c r="F14" i="2"/>
  <c r="AN18" i="2"/>
  <c r="Z14" i="2"/>
  <c r="R18" i="2"/>
  <c r="Z13" i="2"/>
  <c r="AU12" i="2"/>
  <c r="AS12" i="2"/>
  <c r="AY14" i="2"/>
  <c r="AY15" i="2"/>
  <c r="AP12" i="2"/>
  <c r="AP10" i="2"/>
  <c r="X4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AW28" i="2"/>
  <c r="AN27" i="2"/>
  <c r="AW26" i="2"/>
  <c r="AU22" i="2"/>
  <c r="AS22" i="2"/>
  <c r="AW22" i="2"/>
  <c r="D17" i="2"/>
  <c r="D18" i="2"/>
  <c r="AW18" i="2"/>
  <c r="AW17" i="2"/>
  <c r="N14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D32" i="2"/>
  <c r="BC4" i="2"/>
  <c r="AD4" i="2"/>
  <c r="AF4" i="2"/>
  <c r="AH4" i="2"/>
  <c r="AJ4" i="2"/>
  <c r="AL4" i="2"/>
  <c r="AN4" i="2"/>
  <c r="AP4" i="2"/>
  <c r="AW4" i="2"/>
  <c r="Z4" i="2"/>
  <c r="V4" i="2"/>
  <c r="T4" i="2"/>
  <c r="R4" i="2"/>
  <c r="P4" i="2"/>
  <c r="N4" i="2"/>
  <c r="AF31" i="2"/>
  <c r="L4" i="2"/>
  <c r="J4" i="2"/>
  <c r="D5" i="2"/>
  <c r="D4" i="2"/>
  <c r="H5" i="2"/>
  <c r="H4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3" i="2"/>
  <c r="AY12" i="2"/>
  <c r="AY11" i="2"/>
  <c r="AY9" i="2"/>
  <c r="AY8" i="2"/>
  <c r="AY7" i="2"/>
  <c r="AY6" i="2"/>
  <c r="AY5" i="2"/>
  <c r="AW31" i="2"/>
  <c r="AW30" i="2"/>
  <c r="AW29" i="2"/>
  <c r="AW25" i="2"/>
  <c r="AW24" i="2"/>
  <c r="AW23" i="2"/>
  <c r="AW21" i="2"/>
  <c r="AW20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9" i="2"/>
  <c r="AP8" i="2"/>
  <c r="AP7" i="2"/>
  <c r="AP6" i="2"/>
  <c r="AP5" i="2"/>
  <c r="AN31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8" i="2"/>
  <c r="Z17" i="2"/>
  <c r="Z16" i="2"/>
  <c r="Z15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<sst xmlns="http://schemas.openxmlformats.org/spreadsheetml/2006/main" count="240" uniqueCount="61">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</sst>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9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3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topLeftCell="D1" workbookViewId="0">
      <selection activeCell="L31" sqref="L3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11</v>
      </c>
      <c r="D2" s="10">
        <v>2022</v>
      </c>
      <c r="E2" s="19">
        <f>Submetering!E2+Submetering!F2+Submetering!G2</f>
        <v>16069</v>
      </c>
      <c r="F2" s="15">
        <f>((Submetering!E2+Submetering!F2)*0.11+Submetering!G2*0.0302)/TOTAL!E2</f>
        <v>9.0791188001742476E-2</v>
      </c>
      <c r="G2" s="19">
        <f>Submetering!AC2</f>
        <v>2568</v>
      </c>
      <c r="H2" s="15">
        <v>0.25512900304306657</v>
      </c>
      <c r="I2" s="19">
        <f>Submetering!Y2+Submetering!Z2</f>
        <v>216</v>
      </c>
      <c r="J2" s="15">
        <v>2.3196172978505634</v>
      </c>
      <c r="K2" s="19">
        <f>Submetering!AE2</f>
        <v>168</v>
      </c>
      <c r="L2" s="19">
        <f>Submetering!AF2</f>
        <v>217</v>
      </c>
    </row>
    <row r="3" spans="1:24">
      <c r="A3" s="16" t="s">
        <v>12</v>
      </c>
      <c r="B3" s="10">
        <f>B2+1</f>
        <v>2</v>
      </c>
      <c r="C3" s="10">
        <v>11</v>
      </c>
      <c r="D3" s="10">
        <v>2022</v>
      </c>
      <c r="E3" s="19">
        <f>Submetering!E3+Submetering!F3+Submetering!G3</f>
        <v>15608</v>
      </c>
      <c r="F3" s="15">
        <f>((Submetering!E3+Submetering!F3)*0.11+Submetering!G3*0.0302)/TOTAL!E3</f>
        <v>9.0990748334187604E-2</v>
      </c>
      <c r="G3" s="19">
        <f>Submetering!AC3</f>
        <v>2449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140</v>
      </c>
      <c r="L3" s="19">
        <f>Submetering!AF3</f>
        <v>195</v>
      </c>
    </row>
    <row r="4" spans="1:24">
      <c r="A4" s="16" t="s">
        <v>12</v>
      </c>
      <c r="B4" s="10">
        <f t="shared" ref="B4:B31" si="0">B3+1</f>
        <v>3</v>
      </c>
      <c r="C4" s="10">
        <v>11</v>
      </c>
      <c r="D4" s="10">
        <v>2022</v>
      </c>
      <c r="E4" s="19">
        <f>Submetering!E4+Submetering!F4+Submetering!G4</f>
        <v>15673</v>
      </c>
      <c r="F4" s="15">
        <f>((Submetering!E4+Submetering!F4)*0.11+Submetering!G4*0.0302)/TOTAL!E4</f>
        <v>9.0743724877177315E-2</v>
      </c>
      <c r="G4" s="19">
        <f>Submetering!AC4</f>
        <v>2520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117</v>
      </c>
      <c r="L4" s="19">
        <f>Submetering!AF4</f>
        <v>183</v>
      </c>
    </row>
    <row r="5" spans="1:24">
      <c r="A5" s="16" t="s">
        <v>12</v>
      </c>
      <c r="B5" s="10">
        <f t="shared" si="0"/>
        <v>4</v>
      </c>
      <c r="C5" s="10">
        <v>11</v>
      </c>
      <c r="D5" s="10">
        <v>2022</v>
      </c>
      <c r="E5" s="19">
        <f>Submetering!E5+Submetering!F5+Submetering!G5</f>
        <v>15419</v>
      </c>
      <c r="F5" s="15">
        <f>((Submetering!E5+Submetering!F5)*0.11+Submetering!G5*0.0302)/TOTAL!E5</f>
        <v>9.0136688501199824E-2</v>
      </c>
      <c r="G5" s="19">
        <f>Submetering!AC5</f>
        <v>2516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128</v>
      </c>
      <c r="L5" s="19">
        <f>Submetering!AF5</f>
        <v>202</v>
      </c>
    </row>
    <row r="6" spans="1:24">
      <c r="A6" s="16" t="s">
        <v>12</v>
      </c>
      <c r="B6" s="10">
        <f t="shared" si="0"/>
        <v>5</v>
      </c>
      <c r="C6" s="10">
        <v>11</v>
      </c>
      <c r="D6" s="10">
        <v>2022</v>
      </c>
      <c r="E6" s="19">
        <f>Submetering!E6+Submetering!F6+Submetering!G6</f>
        <v>15406</v>
      </c>
      <c r="F6" s="15">
        <f>((Submetering!E6+Submetering!F6)*0.11+Submetering!G6*0.0302)/TOTAL!E6</f>
        <v>9.1668687524341166E-2</v>
      </c>
      <c r="G6" s="19">
        <f>Submetering!AC6</f>
        <v>2377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109</v>
      </c>
      <c r="L6" s="19">
        <f>Submetering!AF6</f>
        <v>163</v>
      </c>
    </row>
    <row r="7" spans="1:24">
      <c r="A7" s="16" t="s">
        <v>12</v>
      </c>
      <c r="B7" s="10">
        <f t="shared" si="0"/>
        <v>6</v>
      </c>
      <c r="C7" s="10">
        <v>11</v>
      </c>
      <c r="D7" s="10">
        <v>2022</v>
      </c>
      <c r="E7" s="19">
        <f>Submetering!E7+Submetering!F7+Submetering!G7</f>
        <v>17332</v>
      </c>
      <c r="F7" s="15">
        <f>((Submetering!E7+Submetering!F7)*0.11+Submetering!G7*0.0302)/TOTAL!E7</f>
        <v>9.0611712439418415E-2</v>
      </c>
      <c r="G7" s="19">
        <f>Submetering!AC7</f>
        <v>2969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133</v>
      </c>
      <c r="L7" s="19">
        <f>Submetering!AF7</f>
        <v>193</v>
      </c>
    </row>
    <row r="8" spans="1:24">
      <c r="A8" s="16" t="s">
        <v>12</v>
      </c>
      <c r="B8" s="10">
        <f t="shared" si="0"/>
        <v>7</v>
      </c>
      <c r="C8" s="10">
        <v>11</v>
      </c>
      <c r="D8" s="10">
        <v>2022</v>
      </c>
      <c r="E8" s="19">
        <f>Submetering!E8+Submetering!F8+Submetering!G8</f>
        <v>15278</v>
      </c>
      <c r="F8" s="15">
        <f>((Submetering!E8+Submetering!F8)*0.11+Submetering!G8*0.0302)/TOTAL!E8</f>
        <v>8.9733996596413138E-2</v>
      </c>
      <c r="G8" s="19">
        <f>Submetering!AC8</f>
        <v>2536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147</v>
      </c>
      <c r="L8" s="19">
        <f>Submetering!AF8</f>
        <v>199</v>
      </c>
    </row>
    <row r="9" spans="1:24">
      <c r="A9" s="16" t="s">
        <v>12</v>
      </c>
      <c r="B9" s="10">
        <f t="shared" si="0"/>
        <v>8</v>
      </c>
      <c r="C9" s="10">
        <v>11</v>
      </c>
      <c r="D9" s="10">
        <v>2022</v>
      </c>
      <c r="E9" s="19">
        <f>Submetering!E9+Submetering!F9+Submetering!G9</f>
        <v>15358</v>
      </c>
      <c r="F9" s="15">
        <f>((Submetering!E9+Submetering!F9)*0.11+Submetering!G9*0.0302)/TOTAL!E9</f>
        <v>9.0343573381950773E-2</v>
      </c>
      <c r="G9" s="19">
        <f>Submetering!AC9</f>
        <v>2662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159</v>
      </c>
      <c r="L9" s="19">
        <f>Submetering!AF9</f>
        <v>221</v>
      </c>
    </row>
    <row r="10" spans="1:24">
      <c r="A10" s="16" t="s">
        <v>12</v>
      </c>
      <c r="B10" s="10">
        <f t="shared" si="0"/>
        <v>9</v>
      </c>
      <c r="C10" s="10">
        <v>11</v>
      </c>
      <c r="D10" s="10">
        <v>2022</v>
      </c>
      <c r="E10" s="19">
        <f>Submetering!E10+Submetering!F10+Submetering!G10</f>
        <v>15240</v>
      </c>
      <c r="F10" s="15">
        <f>((Submetering!E10+Submetering!F10)*0.11+Submetering!G10*0.0302)/TOTAL!E10</f>
        <v>8.921744094488189E-2</v>
      </c>
      <c r="G10" s="19">
        <f>Submetering!AC10</f>
        <v>2733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156</v>
      </c>
      <c r="L10" s="19">
        <f>Submetering!AF10</f>
        <v>222</v>
      </c>
    </row>
    <row r="11" spans="1:24">
      <c r="A11" s="16" t="s">
        <v>12</v>
      </c>
      <c r="B11" s="10">
        <f t="shared" si="0"/>
        <v>10</v>
      </c>
      <c r="C11" s="10">
        <v>11</v>
      </c>
      <c r="D11" s="10">
        <v>2022</v>
      </c>
      <c r="E11" s="19">
        <f>Submetering!E11+Submetering!F11+Submetering!G11</f>
        <v>22694</v>
      </c>
      <c r="F11" s="15">
        <f>((Submetering!E11+Submetering!F11)*0.11+Submetering!G11*0.0302)/TOTAL!E11</f>
        <v>9.5568908081431217E-2</v>
      </c>
      <c r="G11" s="19">
        <f>Submetering!AC11</f>
        <v>2705</v>
      </c>
      <c r="H11" s="15">
        <v>0.25512900304306657</v>
      </c>
      <c r="I11" s="19">
        <f>Submetering!Y11+Submetering!Z11</f>
        <v>92</v>
      </c>
      <c r="J11" s="15">
        <v>2.3196172978505634</v>
      </c>
      <c r="K11" s="19">
        <f>Submetering!AE11</f>
        <v>160</v>
      </c>
      <c r="L11" s="19">
        <f>Submetering!AF11</f>
        <v>237</v>
      </c>
    </row>
    <row r="12" spans="1:24">
      <c r="A12" s="16" t="s">
        <v>12</v>
      </c>
      <c r="B12" s="10">
        <f t="shared" si="0"/>
        <v>11</v>
      </c>
      <c r="C12" s="10">
        <v>11</v>
      </c>
      <c r="D12" s="10">
        <v>2022</v>
      </c>
      <c r="E12" s="19">
        <f>Submetering!E12+Submetering!F12+Submetering!G12</f>
        <v>9518</v>
      </c>
      <c r="F12" s="15">
        <f>((Submetering!E12+Submetering!F12)*0.11+Submetering!G12*0.0302)/TOTAL!E12</f>
        <v>8.2407879806682072E-2</v>
      </c>
      <c r="G12" s="19">
        <f>Submetering!AC12</f>
        <v>2412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139</v>
      </c>
      <c r="L12" s="19">
        <f>Submetering!AF12</f>
        <v>214</v>
      </c>
    </row>
    <row r="13" spans="1:24">
      <c r="A13" s="16" t="s">
        <v>12</v>
      </c>
      <c r="B13" s="10">
        <f t="shared" si="0"/>
        <v>12</v>
      </c>
      <c r="C13" s="10">
        <v>11</v>
      </c>
      <c r="D13" s="10">
        <v>2022</v>
      </c>
      <c r="E13" s="19">
        <f>Submetering!E13+Submetering!F13+Submetering!G13</f>
        <v>18679</v>
      </c>
      <c r="F13" s="15">
        <f>((Submetering!E13+Submetering!F13)*0.11+Submetering!G13*0.0302)/TOTAL!E13</f>
        <v>9.146729482306333E-2</v>
      </c>
      <c r="G13" s="19">
        <f>Submetering!AC13</f>
        <v>3020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114</v>
      </c>
      <c r="L13" s="19">
        <f>Submetering!AF13</f>
        <v>175</v>
      </c>
    </row>
    <row r="14" spans="1:24">
      <c r="A14" s="16" t="s">
        <v>12</v>
      </c>
      <c r="B14" s="10">
        <f t="shared" si="0"/>
        <v>13</v>
      </c>
      <c r="C14" s="10">
        <v>11</v>
      </c>
      <c r="D14" s="10">
        <v>2022</v>
      </c>
      <c r="E14" s="19">
        <f>Submetering!E14+Submetering!F14+Submetering!G14</f>
        <v>16402</v>
      </c>
      <c r="F14" s="15">
        <f>((Submetering!E14+Submetering!F14)*0.11+Submetering!G14*0.0302)/TOTAL!E14</f>
        <v>9.1983940982806975E-2</v>
      </c>
      <c r="G14" s="19">
        <f>Submetering!AC14</f>
        <v>2220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132</v>
      </c>
      <c r="L14" s="19">
        <f>Submetering!AF14</f>
        <v>187</v>
      </c>
    </row>
    <row r="15" spans="1:24">
      <c r="A15" s="16" t="s">
        <v>12</v>
      </c>
      <c r="B15" s="10">
        <f t="shared" si="0"/>
        <v>14</v>
      </c>
      <c r="C15" s="10">
        <v>11</v>
      </c>
      <c r="D15" s="10">
        <v>2022</v>
      </c>
      <c r="E15" s="19">
        <f>Submetering!E15+Submetering!F15+Submetering!G15</f>
        <v>15542</v>
      </c>
      <c r="F15" s="15">
        <f>((Submetering!E15+Submetering!F15)*0.11+Submetering!G15*0.0302)/TOTAL!E15</f>
        <v>9.1541564792176039E-2</v>
      </c>
      <c r="G15" s="19">
        <f>Submetering!AC15</f>
        <v>2043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149</v>
      </c>
      <c r="L15" s="19">
        <f>Submetering!AF15</f>
        <v>203</v>
      </c>
    </row>
    <row r="16" spans="1:24">
      <c r="A16" s="16" t="s">
        <v>12</v>
      </c>
      <c r="B16" s="10">
        <f t="shared" si="0"/>
        <v>15</v>
      </c>
      <c r="C16" s="10">
        <v>11</v>
      </c>
      <c r="D16" s="10">
        <v>2022</v>
      </c>
      <c r="E16" s="19">
        <f>Submetering!E16+Submetering!F16+Submetering!G16</f>
        <v>15727</v>
      </c>
      <c r="F16" s="15">
        <f>((Submetering!E16+Submetering!F16)*0.11+Submetering!G16*0.0302)/TOTAL!E16</f>
        <v>9.0693139187384766E-2</v>
      </c>
      <c r="G16" s="19">
        <f>Submetering!AC16</f>
        <v>2389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148</v>
      </c>
      <c r="L16" s="19">
        <f>Submetering!AF16</f>
        <v>213</v>
      </c>
    </row>
    <row r="17" spans="1:12">
      <c r="A17" s="16" t="s">
        <v>12</v>
      </c>
      <c r="B17" s="10">
        <f t="shared" si="0"/>
        <v>16</v>
      </c>
      <c r="C17" s="10">
        <v>11</v>
      </c>
      <c r="D17" s="10">
        <v>2022</v>
      </c>
      <c r="E17" s="19">
        <f>Submetering!E17+Submetering!F17+Submetering!G17</f>
        <v>16879</v>
      </c>
      <c r="F17" s="15">
        <f>((Submetering!E17+Submetering!F17)*0.11+Submetering!G17*0.0302)/TOTAL!E17</f>
        <v>9.3599372000710931E-2</v>
      </c>
      <c r="G17" s="19">
        <f>Submetering!AC17</f>
        <v>2602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121</v>
      </c>
      <c r="L17" s="19">
        <f>Submetering!AF17</f>
        <v>188</v>
      </c>
    </row>
    <row r="18" spans="1:12">
      <c r="A18" s="16" t="s">
        <v>12</v>
      </c>
      <c r="B18" s="10">
        <f t="shared" si="0"/>
        <v>17</v>
      </c>
      <c r="C18" s="10">
        <v>11</v>
      </c>
      <c r="D18" s="10">
        <v>2022</v>
      </c>
      <c r="E18" s="19">
        <f>Submetering!E18+Submetering!F18+Submetering!G18</f>
        <v>16395</v>
      </c>
      <c r="F18" s="15">
        <f>((Submetering!E18+Submetering!F18)*0.11+Submetering!G18*0.0302)/TOTAL!E18</f>
        <v>9.1499249771271718E-2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11</v>
      </c>
      <c r="D19" s="10">
        <v>2022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11</v>
      </c>
      <c r="D20" s="10">
        <v>2022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11</v>
      </c>
      <c r="D21" s="10">
        <v>2022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11</v>
      </c>
      <c r="D22" s="10">
        <v>2022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11</v>
      </c>
      <c r="D23" s="10">
        <v>2022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11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11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11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11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11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11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11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11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K31"/>
  <sheetViews>
    <sheetView tabSelected="1" workbookViewId="0">
      <pane xSplit="2" ySplit="1" topLeftCell="C3" activePane="bottomRight" state="frozen"/>
      <selection pane="bottomRight" activeCell="Q12" sqref="Q12:Q16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7" s="16" customFormat="1" ht="45">
      <c r="A1" s="21" t="s">
        <v>0</v>
      </c>
      <c r="B1" s="22" t="s">
        <v>1</v>
      </c>
      <c r="C1" s="22" t="s">
        <v>2</v>
      </c>
      <c r="D1" s="10" t="s">
        <v>3</v>
      </c>
      <c r="E1" s="34" t="s">
        <v>13</v>
      </c>
      <c r="F1" s="34" t="s">
        <v>14</v>
      </c>
      <c r="G1" s="34" t="s">
        <v>15</v>
      </c>
      <c r="H1" s="34" t="s">
        <v>16</v>
      </c>
      <c r="I1" s="34" t="s">
        <v>17</v>
      </c>
      <c r="J1" s="34" t="s">
        <v>18</v>
      </c>
      <c r="K1" s="34" t="s">
        <v>19</v>
      </c>
      <c r="L1" s="34" t="s">
        <v>20</v>
      </c>
      <c r="M1" s="34" t="s">
        <v>21</v>
      </c>
      <c r="N1" s="34" t="s">
        <v>22</v>
      </c>
      <c r="O1" s="34" t="s">
        <v>23</v>
      </c>
      <c r="P1" s="34" t="s">
        <v>24</v>
      </c>
      <c r="Q1" s="34" t="s">
        <v>25</v>
      </c>
      <c r="R1" s="34" t="s">
        <v>26</v>
      </c>
      <c r="S1" s="34" t="s">
        <v>27</v>
      </c>
      <c r="T1" s="34" t="s">
        <v>28</v>
      </c>
      <c r="U1" s="34" t="s">
        <v>29</v>
      </c>
      <c r="V1" s="34" t="s">
        <v>30</v>
      </c>
      <c r="W1" s="34" t="s">
        <v>31</v>
      </c>
      <c r="X1" s="34" t="s">
        <v>32</v>
      </c>
      <c r="Y1" s="34" t="s">
        <v>33</v>
      </c>
      <c r="Z1" s="34" t="s">
        <v>34</v>
      </c>
      <c r="AA1" s="34" t="s">
        <v>35</v>
      </c>
      <c r="AB1" s="34" t="s">
        <v>36</v>
      </c>
      <c r="AC1" s="34" t="s">
        <v>37</v>
      </c>
      <c r="AD1" s="34" t="s">
        <v>38</v>
      </c>
      <c r="AE1" s="35" t="s">
        <v>10</v>
      </c>
      <c r="AF1" s="34" t="s">
        <v>11</v>
      </c>
    </row>
    <row r="2" spans="1:37">
      <c r="A2" s="16" t="s">
        <v>12</v>
      </c>
      <c r="B2" s="7">
        <v>1</v>
      </c>
      <c r="C2" s="38">
        <v>1</v>
      </c>
      <c r="D2" s="40">
        <v>2023</v>
      </c>
      <c r="E2" s="37">
        <v>7233</v>
      </c>
      <c r="F2" s="37">
        <v>4968</v>
      </c>
      <c r="G2" s="37">
        <v>3868</v>
      </c>
      <c r="H2" s="37">
        <v>553</v>
      </c>
      <c r="I2" s="37">
        <v>466</v>
      </c>
      <c r="J2" s="37">
        <v>1479</v>
      </c>
      <c r="K2" s="36">
        <v>0</v>
      </c>
      <c r="L2" s="37">
        <v>424</v>
      </c>
      <c r="M2" s="37">
        <v>15</v>
      </c>
      <c r="N2" s="37">
        <v>886</v>
      </c>
      <c r="O2" s="37">
        <v>220</v>
      </c>
      <c r="P2" s="37">
        <v>1239</v>
      </c>
      <c r="Q2" s="37">
        <v>3</v>
      </c>
      <c r="R2" s="37">
        <v>1222</v>
      </c>
      <c r="S2" s="37">
        <v>1928</v>
      </c>
      <c r="T2" s="37">
        <v>290</v>
      </c>
      <c r="U2" s="37">
        <v>44</v>
      </c>
      <c r="V2" s="37">
        <v>244</v>
      </c>
      <c r="W2" s="37">
        <v>571</v>
      </c>
      <c r="X2" s="37">
        <v>649</v>
      </c>
      <c r="Y2" s="37">
        <v>117</v>
      </c>
      <c r="Z2" s="37">
        <v>99</v>
      </c>
      <c r="AA2" s="37">
        <v>20</v>
      </c>
      <c r="AB2" s="37">
        <v>2</v>
      </c>
      <c r="AC2" s="37">
        <v>2568</v>
      </c>
      <c r="AD2" s="37">
        <v>1184</v>
      </c>
      <c r="AE2" s="37">
        <v>168</v>
      </c>
      <c r="AF2" s="37">
        <v>217</v>
      </c>
      <c r="AG2" s="39"/>
      <c r="AH2" s="39"/>
      <c r="AI2" s="39"/>
      <c r="AJ2" s="39"/>
      <c r="AK2" s="39"/>
    </row>
    <row r="3" spans="1:37">
      <c r="A3" s="16" t="s">
        <v>12</v>
      </c>
      <c r="B3" s="7">
        <f>B2+1</f>
        <v>2</v>
      </c>
      <c r="C3" s="38">
        <v>12</v>
      </c>
      <c r="D3" s="40">
        <v>2023</v>
      </c>
      <c r="E3" s="37">
        <v>7063</v>
      </c>
      <c r="F3" s="37">
        <v>4827</v>
      </c>
      <c r="G3" s="37">
        <v>3718</v>
      </c>
      <c r="H3" s="37">
        <v>534</v>
      </c>
      <c r="I3" s="37">
        <v>452</v>
      </c>
      <c r="J3" s="37">
        <v>1444</v>
      </c>
      <c r="K3" s="36">
        <v>0</v>
      </c>
      <c r="L3" s="37">
        <v>377</v>
      </c>
      <c r="M3" s="37">
        <v>31</v>
      </c>
      <c r="N3" s="37">
        <v>844</v>
      </c>
      <c r="O3" s="37">
        <v>223</v>
      </c>
      <c r="P3" s="37">
        <v>1322</v>
      </c>
      <c r="Q3" s="37">
        <v>2</v>
      </c>
      <c r="R3" s="37">
        <v>1177</v>
      </c>
      <c r="S3" s="37">
        <v>1863</v>
      </c>
      <c r="T3" s="37">
        <v>278</v>
      </c>
      <c r="U3" s="37">
        <v>44</v>
      </c>
      <c r="V3" s="37">
        <v>232</v>
      </c>
      <c r="W3" s="37">
        <v>542</v>
      </c>
      <c r="X3" s="37">
        <v>593</v>
      </c>
      <c r="Y3" s="36">
        <v>0</v>
      </c>
      <c r="Z3" s="36">
        <v>0</v>
      </c>
      <c r="AA3" s="37">
        <v>7</v>
      </c>
      <c r="AB3" s="37">
        <v>1</v>
      </c>
      <c r="AC3" s="37">
        <v>2449</v>
      </c>
      <c r="AD3" s="37">
        <v>1145</v>
      </c>
      <c r="AE3" s="37">
        <v>140</v>
      </c>
      <c r="AF3" s="37">
        <v>195</v>
      </c>
      <c r="AG3" s="39"/>
      <c r="AH3" s="39"/>
      <c r="AI3" s="39"/>
      <c r="AJ3" s="39"/>
      <c r="AK3" s="39"/>
    </row>
    <row r="4" spans="1:37">
      <c r="A4" s="16" t="s">
        <v>12</v>
      </c>
      <c r="B4" s="7">
        <f t="shared" ref="B4:B30" si="0">B3+1</f>
        <v>3</v>
      </c>
      <c r="C4" s="38">
        <v>12</v>
      </c>
      <c r="D4" s="40">
        <v>2023</v>
      </c>
      <c r="E4" s="37">
        <v>7064</v>
      </c>
      <c r="F4" s="37">
        <v>4827</v>
      </c>
      <c r="G4" s="37">
        <v>3782</v>
      </c>
      <c r="H4" s="37">
        <v>562</v>
      </c>
      <c r="I4" s="37">
        <v>439</v>
      </c>
      <c r="J4" s="37">
        <v>1263</v>
      </c>
      <c r="K4" s="36">
        <v>0</v>
      </c>
      <c r="L4" s="37">
        <v>379</v>
      </c>
      <c r="M4" s="37">
        <v>0</v>
      </c>
      <c r="N4" s="37">
        <v>839</v>
      </c>
      <c r="O4" s="37">
        <v>250</v>
      </c>
      <c r="P4" s="37">
        <v>1434</v>
      </c>
      <c r="Q4" s="37">
        <v>3</v>
      </c>
      <c r="R4" s="37">
        <v>1182</v>
      </c>
      <c r="S4" s="37">
        <v>1873</v>
      </c>
      <c r="T4" s="37">
        <v>280</v>
      </c>
      <c r="U4" s="37">
        <v>43</v>
      </c>
      <c r="V4" s="37">
        <v>233</v>
      </c>
      <c r="W4" s="37">
        <v>612</v>
      </c>
      <c r="X4" s="37">
        <v>610</v>
      </c>
      <c r="Y4" s="36">
        <v>0</v>
      </c>
      <c r="Z4" s="36">
        <v>0</v>
      </c>
      <c r="AA4" s="37">
        <v>31</v>
      </c>
      <c r="AB4" s="37">
        <v>5</v>
      </c>
      <c r="AC4" s="37">
        <v>2520</v>
      </c>
      <c r="AD4" s="37">
        <v>1165</v>
      </c>
      <c r="AE4" s="37">
        <v>117</v>
      </c>
      <c r="AF4" s="37">
        <v>183</v>
      </c>
      <c r="AG4" s="39"/>
      <c r="AH4" s="39"/>
      <c r="AI4" s="39"/>
      <c r="AJ4" s="39"/>
      <c r="AK4" s="39"/>
    </row>
    <row r="5" spans="1:37">
      <c r="A5" s="16" t="s">
        <v>12</v>
      </c>
      <c r="B5" s="7">
        <f t="shared" si="0"/>
        <v>4</v>
      </c>
      <c r="C5" s="38">
        <v>12</v>
      </c>
      <c r="D5" s="40">
        <v>2023</v>
      </c>
      <c r="E5" s="37">
        <v>6911</v>
      </c>
      <c r="F5" s="37">
        <v>4670</v>
      </c>
      <c r="G5" s="37">
        <v>3838</v>
      </c>
      <c r="H5" s="37">
        <v>559</v>
      </c>
      <c r="I5" s="37">
        <v>436</v>
      </c>
      <c r="J5" s="37">
        <v>1118</v>
      </c>
      <c r="K5" s="36">
        <v>0</v>
      </c>
      <c r="L5" s="37">
        <v>367</v>
      </c>
      <c r="M5" s="37">
        <v>17</v>
      </c>
      <c r="N5" s="37">
        <v>876</v>
      </c>
      <c r="O5" s="37">
        <v>247</v>
      </c>
      <c r="P5" s="37">
        <v>1404</v>
      </c>
      <c r="Q5" s="37">
        <v>2</v>
      </c>
      <c r="R5" s="37">
        <v>1145</v>
      </c>
      <c r="S5" s="37">
        <v>1811</v>
      </c>
      <c r="T5" s="37">
        <v>271</v>
      </c>
      <c r="U5" s="37">
        <v>42</v>
      </c>
      <c r="V5" s="37">
        <v>218</v>
      </c>
      <c r="W5" s="37">
        <v>585</v>
      </c>
      <c r="X5" s="37">
        <v>602</v>
      </c>
      <c r="Y5" s="36">
        <v>0</v>
      </c>
      <c r="Z5" s="36">
        <v>0</v>
      </c>
      <c r="AA5" s="37">
        <v>15</v>
      </c>
      <c r="AB5" s="37">
        <v>0</v>
      </c>
      <c r="AC5" s="37">
        <v>2516</v>
      </c>
      <c r="AD5" s="37">
        <v>1176</v>
      </c>
      <c r="AE5" s="37">
        <v>128</v>
      </c>
      <c r="AF5" s="37">
        <v>202</v>
      </c>
      <c r="AG5" s="39"/>
      <c r="AH5" s="39"/>
      <c r="AI5" s="39"/>
      <c r="AJ5" s="39"/>
      <c r="AK5" s="39"/>
    </row>
    <row r="6" spans="1:37">
      <c r="A6" s="16" t="s">
        <v>12</v>
      </c>
      <c r="B6" s="7">
        <f t="shared" si="0"/>
        <v>5</v>
      </c>
      <c r="C6" s="38">
        <v>12</v>
      </c>
      <c r="D6" s="40">
        <v>2023</v>
      </c>
      <c r="E6" s="37">
        <v>7132</v>
      </c>
      <c r="F6" s="37">
        <v>4735</v>
      </c>
      <c r="G6" s="37">
        <v>3539</v>
      </c>
      <c r="H6" s="37">
        <v>581</v>
      </c>
      <c r="I6" s="37">
        <v>441</v>
      </c>
      <c r="J6" s="37">
        <v>1237</v>
      </c>
      <c r="K6" s="36">
        <v>0</v>
      </c>
      <c r="L6" s="37">
        <v>384</v>
      </c>
      <c r="M6" s="37">
        <v>15</v>
      </c>
      <c r="N6" s="37">
        <v>704</v>
      </c>
      <c r="O6" s="37">
        <v>289</v>
      </c>
      <c r="P6" s="37">
        <v>1547</v>
      </c>
      <c r="Q6" s="37">
        <v>2</v>
      </c>
      <c r="R6" s="37">
        <v>1185</v>
      </c>
      <c r="S6" s="37">
        <v>1874</v>
      </c>
      <c r="T6" s="37">
        <v>279</v>
      </c>
      <c r="U6" s="37">
        <v>44</v>
      </c>
      <c r="V6" s="37">
        <v>228</v>
      </c>
      <c r="W6" s="37">
        <v>625</v>
      </c>
      <c r="X6" s="37">
        <v>564</v>
      </c>
      <c r="Y6" s="36">
        <v>0</v>
      </c>
      <c r="Z6" s="36">
        <v>0</v>
      </c>
      <c r="AA6" s="37">
        <v>17</v>
      </c>
      <c r="AB6" s="37">
        <v>1</v>
      </c>
      <c r="AC6" s="37">
        <v>2377</v>
      </c>
      <c r="AD6" s="37">
        <v>1088</v>
      </c>
      <c r="AE6" s="37">
        <v>109</v>
      </c>
      <c r="AF6" s="37">
        <v>163</v>
      </c>
      <c r="AG6" s="39"/>
      <c r="AH6" s="39"/>
      <c r="AI6" s="39"/>
      <c r="AJ6" s="39"/>
      <c r="AK6" s="39"/>
    </row>
    <row r="7" spans="1:37">
      <c r="A7" s="16" t="s">
        <v>12</v>
      </c>
      <c r="B7" s="7">
        <f t="shared" si="0"/>
        <v>6</v>
      </c>
      <c r="C7" s="38">
        <v>12</v>
      </c>
      <c r="D7" s="40">
        <v>2023</v>
      </c>
      <c r="E7" s="37">
        <v>7825</v>
      </c>
      <c r="F7" s="37">
        <v>5296</v>
      </c>
      <c r="G7" s="37">
        <v>4211</v>
      </c>
      <c r="H7" s="37">
        <v>593</v>
      </c>
      <c r="I7" s="37">
        <v>493</v>
      </c>
      <c r="J7" s="37">
        <v>1367</v>
      </c>
      <c r="K7" s="36">
        <v>0</v>
      </c>
      <c r="L7" s="37">
        <v>429</v>
      </c>
      <c r="M7" s="37">
        <v>17</v>
      </c>
      <c r="N7" s="37">
        <v>827</v>
      </c>
      <c r="O7" s="37">
        <v>312</v>
      </c>
      <c r="P7" s="37">
        <v>1619</v>
      </c>
      <c r="Q7" s="37">
        <v>3</v>
      </c>
      <c r="R7" s="37">
        <v>1338</v>
      </c>
      <c r="S7" s="37">
        <v>2133</v>
      </c>
      <c r="T7" s="37">
        <v>317</v>
      </c>
      <c r="U7" s="37">
        <v>49</v>
      </c>
      <c r="V7" s="37">
        <v>254</v>
      </c>
      <c r="W7" s="37">
        <v>705</v>
      </c>
      <c r="X7" s="37">
        <v>624</v>
      </c>
      <c r="Y7" s="36">
        <v>0</v>
      </c>
      <c r="Z7" s="36">
        <v>0</v>
      </c>
      <c r="AA7" s="37">
        <v>20</v>
      </c>
      <c r="AB7" s="37">
        <v>3</v>
      </c>
      <c r="AC7" s="37">
        <v>2969</v>
      </c>
      <c r="AD7" s="37">
        <v>1326</v>
      </c>
      <c r="AE7" s="37">
        <v>133</v>
      </c>
      <c r="AF7" s="37">
        <v>193</v>
      </c>
      <c r="AG7" s="39"/>
      <c r="AH7" s="39"/>
      <c r="AI7" s="39"/>
      <c r="AJ7" s="39"/>
      <c r="AK7" s="39"/>
    </row>
    <row r="8" spans="1:37">
      <c r="A8" s="16" t="s">
        <v>12</v>
      </c>
      <c r="B8" s="7">
        <f t="shared" si="0"/>
        <v>7</v>
      </c>
      <c r="C8" s="38">
        <v>12</v>
      </c>
      <c r="D8" s="40">
        <v>2023</v>
      </c>
      <c r="E8" s="37">
        <v>6627</v>
      </c>
      <c r="F8" s="37">
        <v>4771</v>
      </c>
      <c r="G8" s="37">
        <v>3880</v>
      </c>
      <c r="H8" s="37">
        <v>527</v>
      </c>
      <c r="I8" s="37">
        <v>455</v>
      </c>
      <c r="J8" s="37">
        <v>1130</v>
      </c>
      <c r="K8" s="36">
        <v>0</v>
      </c>
      <c r="L8" s="37">
        <v>380</v>
      </c>
      <c r="M8" s="37">
        <v>16</v>
      </c>
      <c r="N8" s="37">
        <v>740</v>
      </c>
      <c r="O8" s="37">
        <v>141</v>
      </c>
      <c r="P8" s="37">
        <v>1286</v>
      </c>
      <c r="Q8" s="37">
        <v>3</v>
      </c>
      <c r="R8" s="37">
        <v>1175</v>
      </c>
      <c r="S8" s="37">
        <v>1886</v>
      </c>
      <c r="T8" s="37">
        <v>277</v>
      </c>
      <c r="U8" s="37">
        <v>43</v>
      </c>
      <c r="V8" s="37">
        <v>224</v>
      </c>
      <c r="W8" s="37">
        <v>582</v>
      </c>
      <c r="X8" s="37">
        <v>561</v>
      </c>
      <c r="Y8" s="36">
        <v>0</v>
      </c>
      <c r="Z8" s="36">
        <v>0</v>
      </c>
      <c r="AA8" s="37">
        <v>18</v>
      </c>
      <c r="AB8" s="37">
        <v>2</v>
      </c>
      <c r="AC8" s="37">
        <v>2536</v>
      </c>
      <c r="AD8" s="37">
        <v>1190</v>
      </c>
      <c r="AE8" s="37">
        <v>147</v>
      </c>
      <c r="AF8" s="37">
        <v>199</v>
      </c>
      <c r="AG8" s="39"/>
      <c r="AH8" s="39"/>
      <c r="AI8" s="39"/>
      <c r="AJ8" s="39"/>
      <c r="AK8" s="39"/>
    </row>
    <row r="9" spans="1:37">
      <c r="A9" s="16" t="s">
        <v>12</v>
      </c>
      <c r="B9" s="7">
        <f t="shared" si="0"/>
        <v>8</v>
      </c>
      <c r="C9" s="38">
        <v>12</v>
      </c>
      <c r="D9" s="40">
        <v>2023</v>
      </c>
      <c r="E9" s="37">
        <v>6836</v>
      </c>
      <c r="F9" s="37">
        <v>4739</v>
      </c>
      <c r="G9" s="37">
        <v>3783</v>
      </c>
      <c r="H9" s="37">
        <v>513</v>
      </c>
      <c r="I9" s="37">
        <v>450</v>
      </c>
      <c r="J9" s="37">
        <v>1221</v>
      </c>
      <c r="K9" s="36">
        <v>0</v>
      </c>
      <c r="L9" s="37">
        <v>402</v>
      </c>
      <c r="M9" s="37">
        <v>15</v>
      </c>
      <c r="N9" s="37">
        <v>930</v>
      </c>
      <c r="O9" s="37">
        <v>164</v>
      </c>
      <c r="P9" s="37">
        <v>1259</v>
      </c>
      <c r="Q9" s="37">
        <v>2</v>
      </c>
      <c r="R9" s="37">
        <v>1158</v>
      </c>
      <c r="S9" s="37">
        <v>1889</v>
      </c>
      <c r="T9" s="37">
        <v>276</v>
      </c>
      <c r="U9" s="37">
        <v>143</v>
      </c>
      <c r="V9" s="37">
        <v>232</v>
      </c>
      <c r="W9" s="37">
        <v>564</v>
      </c>
      <c r="X9" s="37">
        <v>550</v>
      </c>
      <c r="Y9" s="36">
        <v>0</v>
      </c>
      <c r="Z9" s="36">
        <v>0</v>
      </c>
      <c r="AA9" s="37">
        <v>16</v>
      </c>
      <c r="AB9" s="37">
        <v>2</v>
      </c>
      <c r="AC9" s="37">
        <v>2662</v>
      </c>
      <c r="AD9" s="37">
        <v>1189</v>
      </c>
      <c r="AE9" s="37">
        <v>159</v>
      </c>
      <c r="AF9" s="37">
        <v>221</v>
      </c>
      <c r="AG9" s="39"/>
      <c r="AH9" s="39"/>
      <c r="AI9" s="39"/>
      <c r="AJ9" s="39"/>
      <c r="AK9" s="39"/>
    </row>
    <row r="10" spans="1:37">
      <c r="A10" s="16" t="s">
        <v>12</v>
      </c>
      <c r="B10" s="7">
        <f t="shared" si="0"/>
        <v>9</v>
      </c>
      <c r="C10" s="7">
        <v>12</v>
      </c>
      <c r="D10" s="7">
        <v>2023</v>
      </c>
      <c r="E10" s="37">
        <v>6406</v>
      </c>
      <c r="F10" s="37">
        <v>4865</v>
      </c>
      <c r="G10" s="37">
        <v>3969</v>
      </c>
      <c r="H10" s="37">
        <v>555</v>
      </c>
      <c r="I10" s="37">
        <v>476</v>
      </c>
      <c r="J10" s="37">
        <v>1344</v>
      </c>
      <c r="K10" s="36">
        <v>0</v>
      </c>
      <c r="L10" s="37">
        <v>397</v>
      </c>
      <c r="M10" s="37">
        <v>9</v>
      </c>
      <c r="N10" s="37">
        <v>896</v>
      </c>
      <c r="O10" s="37">
        <v>291</v>
      </c>
      <c r="P10" s="37">
        <v>468</v>
      </c>
      <c r="Q10" s="37">
        <v>2</v>
      </c>
      <c r="R10" s="37">
        <v>1214</v>
      </c>
      <c r="S10" s="37">
        <v>1717</v>
      </c>
      <c r="T10" s="37">
        <v>293</v>
      </c>
      <c r="U10" s="36">
        <v>0</v>
      </c>
      <c r="V10" s="37">
        <v>245</v>
      </c>
      <c r="W10" s="37">
        <v>590</v>
      </c>
      <c r="X10" s="37">
        <v>603</v>
      </c>
      <c r="Y10" s="36">
        <v>0</v>
      </c>
      <c r="Z10" s="36">
        <v>0</v>
      </c>
      <c r="AA10" s="37">
        <v>19</v>
      </c>
      <c r="AB10" s="37">
        <v>2</v>
      </c>
      <c r="AC10" s="37">
        <v>2733</v>
      </c>
      <c r="AD10" s="37">
        <v>1247</v>
      </c>
      <c r="AE10" s="37">
        <v>156</v>
      </c>
      <c r="AF10" s="37">
        <v>222</v>
      </c>
    </row>
    <row r="11" spans="1:37" ht="16.5">
      <c r="A11" s="16" t="s">
        <v>12</v>
      </c>
      <c r="B11" s="7">
        <f t="shared" si="0"/>
        <v>10</v>
      </c>
      <c r="C11" s="7">
        <v>12</v>
      </c>
      <c r="D11" s="7">
        <v>2023</v>
      </c>
      <c r="E11" s="37">
        <v>11424</v>
      </c>
      <c r="F11" s="37">
        <v>7166</v>
      </c>
      <c r="G11" s="37">
        <v>4104</v>
      </c>
      <c r="H11" s="37">
        <v>555</v>
      </c>
      <c r="I11" s="37">
        <v>504</v>
      </c>
      <c r="J11" s="37">
        <v>1259</v>
      </c>
      <c r="K11" s="36">
        <v>0</v>
      </c>
      <c r="L11" s="37">
        <v>563</v>
      </c>
      <c r="M11" s="37">
        <v>44</v>
      </c>
      <c r="N11" s="37">
        <v>932</v>
      </c>
      <c r="O11" s="37">
        <v>515</v>
      </c>
      <c r="P11" s="37">
        <v>2046</v>
      </c>
      <c r="Q11" s="56">
        <v>3</v>
      </c>
      <c r="R11" s="37">
        <v>1249</v>
      </c>
      <c r="S11" s="37">
        <v>1838</v>
      </c>
      <c r="T11" s="37">
        <v>302</v>
      </c>
      <c r="U11" s="37">
        <v>46</v>
      </c>
      <c r="V11" s="37">
        <v>257</v>
      </c>
      <c r="W11" s="37">
        <v>606</v>
      </c>
      <c r="X11" s="37">
        <v>631</v>
      </c>
      <c r="Y11" s="37">
        <v>85</v>
      </c>
      <c r="Z11" s="37">
        <v>7</v>
      </c>
      <c r="AA11" s="37">
        <v>19</v>
      </c>
      <c r="AB11" s="37">
        <v>2</v>
      </c>
      <c r="AC11" s="37">
        <v>2705</v>
      </c>
      <c r="AD11" s="37">
        <v>1306</v>
      </c>
      <c r="AE11" s="37">
        <v>160</v>
      </c>
      <c r="AF11" s="37">
        <v>237</v>
      </c>
    </row>
    <row r="12" spans="1:37" ht="16.5">
      <c r="A12" s="16" t="s">
        <v>12</v>
      </c>
      <c r="B12" s="7">
        <f t="shared" si="0"/>
        <v>11</v>
      </c>
      <c r="C12" s="7">
        <v>12</v>
      </c>
      <c r="D12" s="7">
        <v>2023</v>
      </c>
      <c r="E12" s="37">
        <v>3734</v>
      </c>
      <c r="F12" s="37">
        <v>2493</v>
      </c>
      <c r="G12" s="37">
        <v>3291</v>
      </c>
      <c r="H12" s="37">
        <v>548</v>
      </c>
      <c r="I12" s="37">
        <v>402</v>
      </c>
      <c r="J12" s="37">
        <v>1094</v>
      </c>
      <c r="K12" s="36">
        <v>0</v>
      </c>
      <c r="L12" s="37">
        <v>179</v>
      </c>
      <c r="M12" s="37">
        <v>43</v>
      </c>
      <c r="N12" s="37">
        <v>796</v>
      </c>
      <c r="O12" s="37">
        <v>152</v>
      </c>
      <c r="P12" s="37">
        <v>1783</v>
      </c>
      <c r="Q12" s="56">
        <v>2</v>
      </c>
      <c r="R12" s="37">
        <v>1014</v>
      </c>
      <c r="S12" s="37">
        <v>1637</v>
      </c>
      <c r="T12" s="37">
        <v>244</v>
      </c>
      <c r="U12" s="37">
        <v>38</v>
      </c>
      <c r="V12" s="37">
        <v>210</v>
      </c>
      <c r="W12" s="37">
        <v>509</v>
      </c>
      <c r="X12" s="37">
        <v>653</v>
      </c>
      <c r="Y12" s="36">
        <v>0</v>
      </c>
      <c r="Z12" s="36">
        <v>0</v>
      </c>
      <c r="AA12" s="37">
        <v>19</v>
      </c>
      <c r="AB12" s="37">
        <v>2</v>
      </c>
      <c r="AC12" s="37">
        <v>2412</v>
      </c>
      <c r="AD12" s="37">
        <v>1036</v>
      </c>
      <c r="AE12" s="37">
        <v>139</v>
      </c>
      <c r="AF12" s="37">
        <v>214</v>
      </c>
    </row>
    <row r="13" spans="1:37" ht="16.5">
      <c r="A13" s="16" t="s">
        <v>12</v>
      </c>
      <c r="B13" s="7">
        <f t="shared" si="0"/>
        <v>12</v>
      </c>
      <c r="C13" s="7">
        <v>12</v>
      </c>
      <c r="D13" s="7">
        <v>2023</v>
      </c>
      <c r="E13" s="37">
        <v>8712</v>
      </c>
      <c r="F13" s="37">
        <v>5629</v>
      </c>
      <c r="G13" s="37">
        <v>4338</v>
      </c>
      <c r="H13" s="37">
        <v>574</v>
      </c>
      <c r="I13" s="37">
        <v>522</v>
      </c>
      <c r="J13" s="37">
        <v>1401</v>
      </c>
      <c r="K13" s="36">
        <v>0</v>
      </c>
      <c r="L13" s="37">
        <v>405</v>
      </c>
      <c r="M13" s="37">
        <v>7</v>
      </c>
      <c r="N13" s="37">
        <v>858</v>
      </c>
      <c r="O13" s="37">
        <v>387</v>
      </c>
      <c r="P13" s="37">
        <v>2400</v>
      </c>
      <c r="Q13" s="56">
        <v>3</v>
      </c>
      <c r="R13" s="37">
        <v>1342</v>
      </c>
      <c r="S13" s="37">
        <v>2170</v>
      </c>
      <c r="T13" s="37">
        <v>326</v>
      </c>
      <c r="U13" s="37">
        <v>49</v>
      </c>
      <c r="V13" s="37">
        <v>262</v>
      </c>
      <c r="W13" s="37">
        <v>645</v>
      </c>
      <c r="X13" s="37">
        <v>720</v>
      </c>
      <c r="Y13" s="36">
        <v>0</v>
      </c>
      <c r="Z13" s="36">
        <v>0</v>
      </c>
      <c r="AA13" s="37">
        <v>21</v>
      </c>
      <c r="AB13" s="37">
        <v>2</v>
      </c>
      <c r="AC13" s="37">
        <v>3020</v>
      </c>
      <c r="AD13" s="37">
        <v>1355</v>
      </c>
      <c r="AE13" s="37">
        <v>114</v>
      </c>
      <c r="AF13" s="37">
        <v>175</v>
      </c>
    </row>
    <row r="14" spans="1:37" ht="16.5">
      <c r="A14" s="16" t="s">
        <v>12</v>
      </c>
      <c r="B14" s="7">
        <f t="shared" si="0"/>
        <v>13</v>
      </c>
      <c r="C14" s="7">
        <v>12</v>
      </c>
      <c r="D14" s="7">
        <v>2023</v>
      </c>
      <c r="E14" s="37">
        <v>8015</v>
      </c>
      <c r="F14" s="37">
        <v>4684</v>
      </c>
      <c r="G14" s="37">
        <v>3703</v>
      </c>
      <c r="H14" s="37">
        <v>566</v>
      </c>
      <c r="I14" s="37">
        <v>436</v>
      </c>
      <c r="J14" s="37">
        <v>1217</v>
      </c>
      <c r="K14" s="36">
        <v>0</v>
      </c>
      <c r="L14" s="37">
        <v>363</v>
      </c>
      <c r="M14" s="37">
        <v>59</v>
      </c>
      <c r="N14" s="37">
        <v>736</v>
      </c>
      <c r="O14" s="37">
        <v>332</v>
      </c>
      <c r="P14" s="37">
        <v>2477</v>
      </c>
      <c r="Q14" s="56">
        <v>2</v>
      </c>
      <c r="R14" s="37">
        <v>1140</v>
      </c>
      <c r="S14" s="37">
        <v>1843</v>
      </c>
      <c r="T14" s="37">
        <v>275</v>
      </c>
      <c r="U14" s="37">
        <v>42</v>
      </c>
      <c r="V14" s="37">
        <v>227</v>
      </c>
      <c r="W14" s="37">
        <v>546</v>
      </c>
      <c r="X14" s="37">
        <v>695</v>
      </c>
      <c r="Y14" s="36">
        <v>0</v>
      </c>
      <c r="Z14" s="36">
        <v>0</v>
      </c>
      <c r="AA14" s="37">
        <v>19</v>
      </c>
      <c r="AB14" s="37">
        <v>2</v>
      </c>
      <c r="AC14" s="37">
        <v>2220</v>
      </c>
      <c r="AD14" s="37">
        <v>1171</v>
      </c>
      <c r="AE14" s="37">
        <v>132</v>
      </c>
      <c r="AF14" s="37">
        <v>187</v>
      </c>
    </row>
    <row r="15" spans="1:37" ht="16.5">
      <c r="A15" s="16" t="s">
        <v>12</v>
      </c>
      <c r="B15" s="7">
        <f t="shared" si="0"/>
        <v>14</v>
      </c>
      <c r="C15" s="7">
        <v>12</v>
      </c>
      <c r="D15" s="7">
        <v>2023</v>
      </c>
      <c r="E15" s="37">
        <v>7285</v>
      </c>
      <c r="F15" s="37">
        <v>4662</v>
      </c>
      <c r="G15" s="37">
        <v>3595</v>
      </c>
      <c r="H15" s="37">
        <v>498</v>
      </c>
      <c r="I15" s="37">
        <v>455</v>
      </c>
      <c r="J15" s="37">
        <v>1209</v>
      </c>
      <c r="K15" s="36">
        <v>0</v>
      </c>
      <c r="L15" s="37">
        <v>357</v>
      </c>
      <c r="M15" s="37">
        <v>137</v>
      </c>
      <c r="N15" s="37">
        <v>775</v>
      </c>
      <c r="O15" s="37">
        <v>313</v>
      </c>
      <c r="P15" s="37">
        <v>1791</v>
      </c>
      <c r="Q15" s="56">
        <v>3</v>
      </c>
      <c r="R15" s="37">
        <v>1114</v>
      </c>
      <c r="S15" s="37">
        <v>1817</v>
      </c>
      <c r="T15" s="37">
        <v>267</v>
      </c>
      <c r="U15" s="37">
        <v>39</v>
      </c>
      <c r="V15" s="37">
        <v>218</v>
      </c>
      <c r="W15" s="37">
        <v>536</v>
      </c>
      <c r="X15" s="37">
        <v>629</v>
      </c>
      <c r="Y15" s="36">
        <v>0</v>
      </c>
      <c r="Z15" s="36">
        <v>0</v>
      </c>
      <c r="AA15" s="37">
        <v>18</v>
      </c>
      <c r="AB15" s="37">
        <v>2</v>
      </c>
      <c r="AC15" s="37">
        <v>2043</v>
      </c>
      <c r="AD15" s="37">
        <v>1155</v>
      </c>
      <c r="AE15" s="37">
        <v>149</v>
      </c>
      <c r="AF15" s="37">
        <v>203</v>
      </c>
    </row>
    <row r="16" spans="1:37" ht="16.5">
      <c r="A16" s="16" t="s">
        <v>12</v>
      </c>
      <c r="B16" s="7">
        <f t="shared" si="0"/>
        <v>15</v>
      </c>
      <c r="C16" s="7">
        <v>12</v>
      </c>
      <c r="D16" s="7">
        <v>2023</v>
      </c>
      <c r="E16" s="37">
        <v>7148</v>
      </c>
      <c r="F16" s="37">
        <v>4774</v>
      </c>
      <c r="G16" s="37">
        <v>3805</v>
      </c>
      <c r="H16" s="37">
        <v>540</v>
      </c>
      <c r="I16" s="37">
        <v>462</v>
      </c>
      <c r="J16" s="37">
        <v>1203</v>
      </c>
      <c r="K16" s="36">
        <v>0</v>
      </c>
      <c r="L16" s="37">
        <v>408</v>
      </c>
      <c r="M16" s="37">
        <v>6</v>
      </c>
      <c r="N16" s="37">
        <v>806</v>
      </c>
      <c r="O16" s="37">
        <v>109</v>
      </c>
      <c r="P16" s="37">
        <v>1690</v>
      </c>
      <c r="Q16" s="56">
        <v>2</v>
      </c>
      <c r="R16" s="37">
        <v>1162</v>
      </c>
      <c r="S16" s="37">
        <v>1879</v>
      </c>
      <c r="T16" s="37">
        <v>281</v>
      </c>
      <c r="U16" s="37">
        <v>46</v>
      </c>
      <c r="V16" s="37">
        <v>230</v>
      </c>
      <c r="W16" s="37">
        <v>598</v>
      </c>
      <c r="X16" s="37">
        <v>637</v>
      </c>
      <c r="Y16" s="36">
        <v>0</v>
      </c>
      <c r="Z16" s="36">
        <v>0</v>
      </c>
      <c r="AA16" s="37">
        <v>22</v>
      </c>
      <c r="AB16" s="37">
        <v>2</v>
      </c>
      <c r="AC16" s="37">
        <v>2389</v>
      </c>
      <c r="AD16" s="37">
        <v>1200</v>
      </c>
      <c r="AE16" s="37">
        <v>148</v>
      </c>
      <c r="AF16" s="37">
        <v>213</v>
      </c>
    </row>
    <row r="17" spans="1:32" ht="16.5">
      <c r="A17" s="16" t="s">
        <v>12</v>
      </c>
      <c r="B17" s="7">
        <f t="shared" si="0"/>
        <v>16</v>
      </c>
      <c r="C17" s="7">
        <v>12</v>
      </c>
      <c r="D17" s="7">
        <v>2023</v>
      </c>
      <c r="E17" s="37">
        <v>7877</v>
      </c>
      <c r="F17" s="37">
        <v>5533</v>
      </c>
      <c r="G17" s="37">
        <v>3469</v>
      </c>
      <c r="H17" s="37">
        <v>580</v>
      </c>
      <c r="I17" s="37">
        <v>480</v>
      </c>
      <c r="J17" s="37">
        <v>1286</v>
      </c>
      <c r="K17" s="36">
        <v>0</v>
      </c>
      <c r="L17" s="37">
        <v>391</v>
      </c>
      <c r="M17" s="37">
        <v>7</v>
      </c>
      <c r="N17" s="37">
        <v>890</v>
      </c>
      <c r="O17" s="37">
        <v>269</v>
      </c>
      <c r="P17" s="37">
        <v>2082</v>
      </c>
      <c r="Q17" s="56">
        <v>3</v>
      </c>
      <c r="R17" s="37">
        <v>1229</v>
      </c>
      <c r="S17" s="37">
        <v>1977</v>
      </c>
      <c r="T17" s="37">
        <v>298</v>
      </c>
      <c r="U17" s="37">
        <v>36</v>
      </c>
      <c r="V17" s="37">
        <v>240</v>
      </c>
      <c r="W17" s="37">
        <v>655</v>
      </c>
      <c r="X17" s="37">
        <v>611</v>
      </c>
      <c r="Y17" s="36">
        <v>0</v>
      </c>
      <c r="Z17" s="36">
        <v>0</v>
      </c>
      <c r="AA17" s="37">
        <v>22</v>
      </c>
      <c r="AB17" s="37">
        <v>3</v>
      </c>
      <c r="AC17" s="37">
        <v>2602</v>
      </c>
      <c r="AD17" s="37">
        <v>1091</v>
      </c>
      <c r="AE17" s="37">
        <v>121</v>
      </c>
      <c r="AF17" s="37">
        <v>188</v>
      </c>
    </row>
    <row r="18" spans="1:32" ht="16.5">
      <c r="A18" s="16" t="s">
        <v>12</v>
      </c>
      <c r="B18" s="7">
        <f t="shared" si="0"/>
        <v>17</v>
      </c>
      <c r="C18" s="7">
        <v>12</v>
      </c>
      <c r="D18" s="7">
        <v>2023</v>
      </c>
      <c r="E18" s="56">
        <v>7820</v>
      </c>
      <c r="F18" s="56">
        <v>4774</v>
      </c>
      <c r="G18" s="56">
        <v>3801</v>
      </c>
      <c r="H18" s="56">
        <v>580</v>
      </c>
      <c r="I18" s="56">
        <v>458</v>
      </c>
      <c r="J18" s="56">
        <v>1115</v>
      </c>
      <c r="K18" s="19">
        <v>0</v>
      </c>
      <c r="L18" s="56">
        <v>367</v>
      </c>
      <c r="M18" s="56">
        <v>43</v>
      </c>
      <c r="N18" s="56">
        <v>801</v>
      </c>
      <c r="O18" s="56">
        <v>243</v>
      </c>
      <c r="P18" s="56">
        <v>2404</v>
      </c>
      <c r="Q18" s="56">
        <v>2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7">
        <v>12</v>
      </c>
      <c r="D19" s="7">
        <v>2023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7">
        <v>12</v>
      </c>
      <c r="D20" s="7">
        <v>2023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12</v>
      </c>
      <c r="D21" s="7">
        <v>2023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12</v>
      </c>
      <c r="D22" s="7">
        <v>2023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12</v>
      </c>
      <c r="D23" s="7">
        <v>2023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12</v>
      </c>
      <c r="D24" s="7">
        <v>2023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12</v>
      </c>
      <c r="D25" s="7">
        <v>2023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12</v>
      </c>
      <c r="D26" s="7">
        <v>2023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12</v>
      </c>
      <c r="D27" s="7">
        <v>2023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12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12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12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1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K1" zoomScale="70" zoomScaleNormal="70" workbookViewId="0">
      <pane ySplit="1" topLeftCell="A10" activePane="bottomLeft" state="frozen"/>
      <selection pane="bottomLeft" activeCell="BD19" sqref="BD19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51"/>
      <c r="C1" s="41" t="s">
        <v>13</v>
      </c>
      <c r="D1" s="42"/>
      <c r="E1" s="43" t="s">
        <v>14</v>
      </c>
      <c r="F1" s="43"/>
      <c r="G1" s="43" t="s">
        <v>15</v>
      </c>
      <c r="H1" s="43"/>
      <c r="I1" s="43" t="s">
        <v>16</v>
      </c>
      <c r="J1" s="43"/>
      <c r="K1" s="43" t="s">
        <v>17</v>
      </c>
      <c r="L1" s="43"/>
      <c r="M1" s="43" t="s">
        <v>40</v>
      </c>
      <c r="N1" s="43"/>
      <c r="O1" s="43" t="s">
        <v>41</v>
      </c>
      <c r="P1" s="43"/>
      <c r="Q1" s="43" t="s">
        <v>20</v>
      </c>
      <c r="R1" s="43"/>
      <c r="S1" s="43" t="s">
        <v>21</v>
      </c>
      <c r="T1" s="43"/>
      <c r="U1" s="43" t="s">
        <v>42</v>
      </c>
      <c r="V1" s="43"/>
      <c r="W1" s="44" t="s">
        <v>43</v>
      </c>
      <c r="X1" s="44"/>
      <c r="Y1" s="43" t="s">
        <v>24</v>
      </c>
      <c r="Z1" s="43"/>
      <c r="AA1" s="43" t="s">
        <v>25</v>
      </c>
      <c r="AB1" s="43"/>
      <c r="AC1" s="44" t="s">
        <v>26</v>
      </c>
      <c r="AD1" s="44"/>
      <c r="AE1" s="43" t="s">
        <v>27</v>
      </c>
      <c r="AF1" s="43"/>
      <c r="AG1" s="43" t="s">
        <v>28</v>
      </c>
      <c r="AH1" s="43"/>
      <c r="AI1" s="44" t="s">
        <v>29</v>
      </c>
      <c r="AJ1" s="44"/>
      <c r="AK1" s="44" t="s">
        <v>30</v>
      </c>
      <c r="AL1" s="44"/>
      <c r="AM1" s="43" t="s">
        <v>31</v>
      </c>
      <c r="AN1" s="43"/>
      <c r="AO1" s="43" t="s">
        <v>32</v>
      </c>
      <c r="AP1" s="43"/>
      <c r="AQ1" s="54"/>
      <c r="AR1" s="49" t="s">
        <v>44</v>
      </c>
      <c r="AS1" s="50"/>
      <c r="AT1" s="48" t="s">
        <v>45</v>
      </c>
      <c r="AU1" s="48"/>
      <c r="AV1" s="47" t="s">
        <v>46</v>
      </c>
      <c r="AW1" s="48"/>
      <c r="AX1" s="47" t="s">
        <v>47</v>
      </c>
      <c r="AY1" s="48"/>
      <c r="AZ1" s="45" t="s">
        <v>48</v>
      </c>
      <c r="BA1" s="46"/>
      <c r="BB1" s="45" t="s">
        <v>38</v>
      </c>
      <c r="BC1" s="46"/>
      <c r="BD1" s="11"/>
      <c r="BE1" s="11"/>
    </row>
    <row r="2" spans="1:60" ht="44.25" customHeight="1">
      <c r="A2" s="1" t="s">
        <v>49</v>
      </c>
      <c r="B2" s="52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54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44986</v>
      </c>
      <c r="B3" s="52"/>
      <c r="C3" s="25">
        <v>32479382</v>
      </c>
      <c r="D3" s="9">
        <v>7233</v>
      </c>
      <c r="E3" s="25">
        <v>32764506</v>
      </c>
      <c r="F3" s="9">
        <v>4968</v>
      </c>
      <c r="G3" s="25">
        <v>13972516</v>
      </c>
      <c r="H3" s="9">
        <v>3868</v>
      </c>
      <c r="I3" s="25">
        <v>1961499</v>
      </c>
      <c r="J3" s="9">
        <v>553</v>
      </c>
      <c r="K3" s="25">
        <v>3958211</v>
      </c>
      <c r="L3" s="9">
        <v>466</v>
      </c>
      <c r="M3" s="25">
        <v>5221389</v>
      </c>
      <c r="N3" s="9">
        <v>1479</v>
      </c>
      <c r="O3" s="33">
        <v>2271833</v>
      </c>
      <c r="P3" s="9">
        <v>0</v>
      </c>
      <c r="Q3" s="25">
        <v>1593973</v>
      </c>
      <c r="R3" s="9">
        <v>424</v>
      </c>
      <c r="S3" s="25">
        <v>573720</v>
      </c>
      <c r="T3" s="9">
        <v>15</v>
      </c>
      <c r="U3" s="25">
        <v>4956937</v>
      </c>
      <c r="V3" s="9">
        <v>886</v>
      </c>
      <c r="W3" s="25">
        <v>1132879</v>
      </c>
      <c r="X3" s="9">
        <v>220</v>
      </c>
      <c r="Y3" s="25">
        <v>5160353</v>
      </c>
      <c r="Z3" s="9">
        <v>1239</v>
      </c>
      <c r="AA3" s="25">
        <v>2272007</v>
      </c>
      <c r="AB3" s="9">
        <v>3</v>
      </c>
      <c r="AC3" s="25">
        <v>6454496</v>
      </c>
      <c r="AD3" s="9">
        <v>1222</v>
      </c>
      <c r="AE3" s="25">
        <v>9300670</v>
      </c>
      <c r="AF3" s="9">
        <v>1928</v>
      </c>
      <c r="AG3" s="25">
        <v>1546112</v>
      </c>
      <c r="AH3" s="9">
        <v>290</v>
      </c>
      <c r="AI3" s="25">
        <v>289267</v>
      </c>
      <c r="AJ3" s="9">
        <v>44</v>
      </c>
      <c r="AK3" s="25">
        <v>1215699</v>
      </c>
      <c r="AL3" s="9">
        <v>244</v>
      </c>
      <c r="AM3" s="25">
        <v>2317527</v>
      </c>
      <c r="AN3" s="9">
        <v>571</v>
      </c>
      <c r="AO3" s="25">
        <v>2245457</v>
      </c>
      <c r="AP3" s="9">
        <v>649</v>
      </c>
      <c r="AQ3" s="54"/>
      <c r="AR3" s="17">
        <v>30952.1</v>
      </c>
      <c r="AS3" s="9">
        <v>117.4</v>
      </c>
      <c r="AT3" s="17">
        <v>28554</v>
      </c>
      <c r="AU3" s="9">
        <v>98.6</v>
      </c>
      <c r="AV3" s="25">
        <v>98759</v>
      </c>
      <c r="AW3" s="9">
        <v>20</v>
      </c>
      <c r="AX3" s="25">
        <v>1642</v>
      </c>
      <c r="AY3" s="26">
        <v>2</v>
      </c>
      <c r="AZ3" s="25">
        <v>8520212</v>
      </c>
      <c r="BA3" s="9">
        <v>2568</v>
      </c>
      <c r="BB3" s="25">
        <v>2053582</v>
      </c>
      <c r="BC3" s="9">
        <v>1184</v>
      </c>
      <c r="BD3" s="25">
        <v>168</v>
      </c>
      <c r="BE3" s="25">
        <v>217</v>
      </c>
      <c r="BH3">
        <f>193*(BF3/100)</f>
        <v>0</v>
      </c>
    </row>
    <row r="4" spans="1:60" ht="45.75" customHeight="1">
      <c r="A4" s="8">
        <v>44987</v>
      </c>
      <c r="B4" s="52"/>
      <c r="C4" s="25">
        <v>32486445</v>
      </c>
      <c r="D4" s="9">
        <f>IF((C4-C3&lt;0), "0",C4-C3)</f>
        <v>7063</v>
      </c>
      <c r="E4" s="25">
        <v>32769299</v>
      </c>
      <c r="F4" s="29">
        <f>IF((E5-E4&lt;0), "0",E5-E4)</f>
        <v>4827</v>
      </c>
      <c r="G4" s="25">
        <v>13976234</v>
      </c>
      <c r="H4" s="29">
        <f>IF((G4-G3&lt;0), "0",G4-G3)</f>
        <v>3718</v>
      </c>
      <c r="I4" s="25">
        <v>1962033</v>
      </c>
      <c r="J4" s="9">
        <f>IF((I4-I3&lt;0), "",I4-I3)</f>
        <v>534</v>
      </c>
      <c r="K4" s="25">
        <v>3958663</v>
      </c>
      <c r="L4" s="9">
        <f>IF((K4-K3&lt;0), "",K4-K3)</f>
        <v>452</v>
      </c>
      <c r="M4" s="25">
        <v>5222833</v>
      </c>
      <c r="N4" s="9">
        <f>IF((M4-M3&lt;0), "",M4-M3)</f>
        <v>1444</v>
      </c>
      <c r="O4" s="33">
        <v>2271833</v>
      </c>
      <c r="P4" s="9">
        <f>IF((O4-O3&lt;0), "",O4-O3)</f>
        <v>0</v>
      </c>
      <c r="Q4" s="25">
        <v>1594350</v>
      </c>
      <c r="R4" s="9">
        <f>IF((Q4-Q3&lt;0), "",Q4-Q3)</f>
        <v>377</v>
      </c>
      <c r="S4" s="25">
        <v>573751</v>
      </c>
      <c r="T4" s="9">
        <f>IF((S4-S3&lt;0), "",S4-S3)</f>
        <v>31</v>
      </c>
      <c r="U4" s="25">
        <v>4957781</v>
      </c>
      <c r="V4" s="9">
        <f>IF((U4-U3&lt;0), "",U4-U3)</f>
        <v>844</v>
      </c>
      <c r="W4" s="25">
        <v>1133102</v>
      </c>
      <c r="X4" s="9">
        <f>IF((W4-W3&lt;0), "",W4-W3)</f>
        <v>223</v>
      </c>
      <c r="Y4" s="25">
        <v>5161675</v>
      </c>
      <c r="Z4" s="9">
        <f>IF((Y4-Y3&lt;0), "",Y4-Y3)</f>
        <v>1322</v>
      </c>
      <c r="AA4" s="25">
        <v>2272009</v>
      </c>
      <c r="AB4" s="9">
        <f>IF((AA4-AA3&lt;0), "",AA4-AA3)</f>
        <v>2</v>
      </c>
      <c r="AC4" s="25">
        <v>6455673</v>
      </c>
      <c r="AD4" s="9">
        <f>IF((AC4-AC3&lt;0), "",AC4-AC3)</f>
        <v>1177</v>
      </c>
      <c r="AE4" s="25">
        <v>9302533</v>
      </c>
      <c r="AF4" s="9">
        <f>IF((AE4-AE3&lt;0), "",AE4-AE3)</f>
        <v>1863</v>
      </c>
      <c r="AG4" s="25">
        <v>1546390</v>
      </c>
      <c r="AH4" s="9">
        <f>IF((AG4-AG3&lt;0), "",AG4-AG3)</f>
        <v>278</v>
      </c>
      <c r="AI4" s="25">
        <v>289311</v>
      </c>
      <c r="AJ4" s="9">
        <f>IF((AI4-AI3&lt;0), "",AI4-AI3)</f>
        <v>44</v>
      </c>
      <c r="AK4" s="25">
        <v>1215931</v>
      </c>
      <c r="AL4" s="9">
        <f>IF((AK4-AK3&lt;0), "",AK4-AK3)</f>
        <v>232</v>
      </c>
      <c r="AM4" s="25">
        <v>2318069</v>
      </c>
      <c r="AN4" s="9">
        <f>IF((AM4-AM3&lt;0), "",AM4-AM3)</f>
        <v>542</v>
      </c>
      <c r="AO4" s="25">
        <v>2246050</v>
      </c>
      <c r="AP4" s="9">
        <f>IF((AO4-AO3&lt;0), "",AO4-AO3)</f>
        <v>593</v>
      </c>
      <c r="AQ4" s="54"/>
      <c r="AR4" s="17" t="s">
        <v>60</v>
      </c>
      <c r="AS4" s="9">
        <v>0</v>
      </c>
      <c r="AT4" s="17" t="s">
        <v>60</v>
      </c>
      <c r="AU4" s="9">
        <v>0</v>
      </c>
      <c r="AV4" s="25">
        <v>98766</v>
      </c>
      <c r="AW4" s="9">
        <f>IF((AV4-AV3&lt;0), "",AV4-AV3)</f>
        <v>7</v>
      </c>
      <c r="AX4" s="25">
        <v>1643</v>
      </c>
      <c r="AY4" s="9">
        <f>IF((AX4-AX3&lt;0), "",AX4-AX3)</f>
        <v>1</v>
      </c>
      <c r="AZ4" s="25">
        <v>8522661</v>
      </c>
      <c r="BA4" s="9">
        <f>IF((AZ4-AZ3&lt;0), "",AZ4-AZ3)</f>
        <v>2449</v>
      </c>
      <c r="BB4" s="25">
        <v>2054727</v>
      </c>
      <c r="BC4" s="9">
        <f>IF((BB4-BB3&lt;0), "",BB4-BB3)</f>
        <v>1145</v>
      </c>
      <c r="BD4" s="25">
        <v>140</v>
      </c>
      <c r="BE4" s="25">
        <v>195</v>
      </c>
      <c r="BH4">
        <f t="shared" ref="BH4:BH32" si="0">193*(BF4/100)</f>
        <v>0</v>
      </c>
    </row>
    <row r="5" spans="1:60" ht="45" customHeight="1">
      <c r="A5" s="8">
        <v>44988</v>
      </c>
      <c r="B5" s="52"/>
      <c r="C5" s="25">
        <v>32493509</v>
      </c>
      <c r="D5" s="9">
        <f>IF((C5-C4&lt;0), "0",C5-C4)</f>
        <v>7064</v>
      </c>
      <c r="E5" s="25">
        <v>32774126</v>
      </c>
      <c r="F5" s="9">
        <f>IF((E5-E4&lt;0), "0",E5-E4)</f>
        <v>4827</v>
      </c>
      <c r="G5" s="25">
        <v>13980016</v>
      </c>
      <c r="H5" s="9">
        <f t="shared" ref="H5:H31" si="1">IF((G5-G4&lt;0), "0",G5-G4)</f>
        <v>3782</v>
      </c>
      <c r="I5" s="25">
        <v>1962595</v>
      </c>
      <c r="J5" s="9">
        <f>IF((I5-I4&lt;0), "0",I5-I4)</f>
        <v>562</v>
      </c>
      <c r="K5" s="25">
        <v>3959102</v>
      </c>
      <c r="L5" s="9">
        <f>IF((K5-K4&lt;0), "0",K5-K4)</f>
        <v>439</v>
      </c>
      <c r="M5" s="25">
        <v>5224096</v>
      </c>
      <c r="N5" s="9">
        <f>IF((M5-M4&lt;0), "0",M5-M4)</f>
        <v>1263</v>
      </c>
      <c r="O5" s="33">
        <v>2271833</v>
      </c>
      <c r="P5" s="9">
        <f>IF((O5-O4&lt;0), "0",O5-O4)</f>
        <v>0</v>
      </c>
      <c r="Q5" s="25">
        <v>1594729</v>
      </c>
      <c r="R5" s="9">
        <f>IF((Q5-Q4&lt;0), "0",Q5-Q4)</f>
        <v>379</v>
      </c>
      <c r="S5" s="25">
        <v>573751</v>
      </c>
      <c r="T5" s="9">
        <f>IF((S5-S4&lt;0), "0",S5-S4)</f>
        <v>0</v>
      </c>
      <c r="U5" s="25">
        <v>4958620</v>
      </c>
      <c r="V5" s="9">
        <f t="shared" ref="V5:AP15" si="2">IF((U5-U4&lt;0), "",U5-U4)</f>
        <v>839</v>
      </c>
      <c r="W5" s="25">
        <v>1133352</v>
      </c>
      <c r="X5" s="9">
        <f t="shared" si="2"/>
        <v>250</v>
      </c>
      <c r="Y5" s="25">
        <v>5163109</v>
      </c>
      <c r="Z5" s="9">
        <f t="shared" si="2"/>
        <v>1434</v>
      </c>
      <c r="AA5" s="25">
        <v>2272012</v>
      </c>
      <c r="AB5" s="9">
        <f>IF((AA5-AA4&lt;0), "",AA5-AA4)</f>
        <v>3</v>
      </c>
      <c r="AC5" s="25">
        <v>6456855</v>
      </c>
      <c r="AD5" s="9">
        <f t="shared" si="2"/>
        <v>1182</v>
      </c>
      <c r="AE5" s="25">
        <v>9304406</v>
      </c>
      <c r="AF5" s="9">
        <f t="shared" si="2"/>
        <v>1873</v>
      </c>
      <c r="AG5" s="25">
        <v>1546670</v>
      </c>
      <c r="AH5" s="9">
        <f t="shared" si="2"/>
        <v>280</v>
      </c>
      <c r="AI5" s="25">
        <v>289354</v>
      </c>
      <c r="AJ5" s="9">
        <f t="shared" si="2"/>
        <v>43</v>
      </c>
      <c r="AK5" s="25">
        <v>1216164</v>
      </c>
      <c r="AL5" s="9">
        <f t="shared" si="2"/>
        <v>233</v>
      </c>
      <c r="AM5" s="25">
        <v>2318681</v>
      </c>
      <c r="AN5" s="9">
        <f t="shared" si="2"/>
        <v>612</v>
      </c>
      <c r="AO5" s="25">
        <v>2246660</v>
      </c>
      <c r="AP5" s="9">
        <f t="shared" si="2"/>
        <v>610</v>
      </c>
      <c r="AQ5" s="55"/>
      <c r="AR5" s="17" t="s">
        <v>60</v>
      </c>
      <c r="AS5" s="9">
        <v>0</v>
      </c>
      <c r="AT5" s="17" t="s">
        <v>60</v>
      </c>
      <c r="AU5" s="9">
        <v>0</v>
      </c>
      <c r="AV5" s="25">
        <v>98797</v>
      </c>
      <c r="AW5" s="9">
        <f t="shared" ref="AW5:AW31" si="3">IF((AV5-AV4&lt;0), "",AV5-AV4)</f>
        <v>31</v>
      </c>
      <c r="AX5" s="25">
        <v>1648</v>
      </c>
      <c r="AY5" s="9">
        <f t="shared" ref="AY5:AY31" si="4">IF((AX5-AX4&lt;0), "",AX5-AX4)</f>
        <v>5</v>
      </c>
      <c r="AZ5" s="25">
        <v>8525181</v>
      </c>
      <c r="BA5" s="9">
        <f t="shared" ref="BA5:BA31" si="5">IF((AZ5-AZ4&lt;0), "",AZ5-AZ4)</f>
        <v>2520</v>
      </c>
      <c r="BB5" s="25">
        <v>2055892</v>
      </c>
      <c r="BC5" s="9">
        <f>IF((BB5-BB4&lt;0), "",BB5-BB4)</f>
        <v>1165</v>
      </c>
      <c r="BD5" s="25">
        <v>117</v>
      </c>
      <c r="BE5" s="25">
        <v>183</v>
      </c>
      <c r="BH5">
        <f t="shared" si="0"/>
        <v>0</v>
      </c>
    </row>
    <row r="6" spans="1:60" ht="42.75" customHeight="1">
      <c r="A6" s="8">
        <v>44989</v>
      </c>
      <c r="B6" s="52"/>
      <c r="C6" s="25">
        <v>32500420</v>
      </c>
      <c r="D6" s="9">
        <f t="shared" ref="D6:D31" si="6">IF((C6-C5&lt;0), "0",C6-C5)</f>
        <v>6911</v>
      </c>
      <c r="E6" s="25">
        <v>32778796</v>
      </c>
      <c r="F6" s="9">
        <f t="shared" ref="F6:F30" si="7">IF((E6-E5&lt;0), "0",E6-E5)</f>
        <v>4670</v>
      </c>
      <c r="G6" s="25">
        <v>13983854</v>
      </c>
      <c r="H6" s="9">
        <f t="shared" si="1"/>
        <v>3838</v>
      </c>
      <c r="I6" s="25">
        <v>1963154</v>
      </c>
      <c r="J6" s="9">
        <f t="shared" ref="J6:L31" si="8">IF((I6-I5&lt;0), "0",I6-I5)</f>
        <v>559</v>
      </c>
      <c r="K6" s="25">
        <v>3959538</v>
      </c>
      <c r="L6" s="9">
        <f t="shared" si="8"/>
        <v>436</v>
      </c>
      <c r="M6" s="25">
        <v>5225214</v>
      </c>
      <c r="N6" s="9">
        <f t="shared" ref="N6" si="9">IF((M6-M5&lt;0), "0",M6-M5)</f>
        <v>1118</v>
      </c>
      <c r="O6" s="33">
        <v>2271833</v>
      </c>
      <c r="P6" s="9">
        <f t="shared" ref="P6" si="10">IF((O6-O5&lt;0), "0",O6-O5)</f>
        <v>0</v>
      </c>
      <c r="Q6" s="25">
        <v>1595096</v>
      </c>
      <c r="R6" s="9">
        <f t="shared" ref="R6" si="11">IF((Q6-Q5&lt;0), "0",Q6-Q5)</f>
        <v>367</v>
      </c>
      <c r="S6" s="25">
        <v>573768</v>
      </c>
      <c r="T6" s="9">
        <f t="shared" ref="T6" si="12">IF((S6-S5&lt;0), "0",S6-S5)</f>
        <v>17</v>
      </c>
      <c r="U6" s="25">
        <v>4959496</v>
      </c>
      <c r="V6" s="9">
        <f t="shared" si="2"/>
        <v>876</v>
      </c>
      <c r="W6" s="25">
        <v>1133599</v>
      </c>
      <c r="X6" s="9">
        <f t="shared" si="2"/>
        <v>247</v>
      </c>
      <c r="Y6" s="25">
        <v>5164513</v>
      </c>
      <c r="Z6" s="9">
        <f t="shared" si="2"/>
        <v>1404</v>
      </c>
      <c r="AA6" s="25">
        <v>2272014</v>
      </c>
      <c r="AB6" s="9">
        <f t="shared" si="2"/>
        <v>2</v>
      </c>
      <c r="AC6" s="25">
        <v>6458000</v>
      </c>
      <c r="AD6" s="9">
        <f t="shared" si="2"/>
        <v>1145</v>
      </c>
      <c r="AE6" s="25">
        <v>9306217</v>
      </c>
      <c r="AF6" s="9">
        <f t="shared" si="2"/>
        <v>1811</v>
      </c>
      <c r="AG6" s="25">
        <v>1546941</v>
      </c>
      <c r="AH6" s="9">
        <f t="shared" si="2"/>
        <v>271</v>
      </c>
      <c r="AI6" s="25">
        <v>289396</v>
      </c>
      <c r="AJ6" s="9">
        <f t="shared" si="2"/>
        <v>42</v>
      </c>
      <c r="AK6" s="25">
        <v>1216382</v>
      </c>
      <c r="AL6" s="9">
        <f t="shared" si="2"/>
        <v>218</v>
      </c>
      <c r="AM6" s="25">
        <v>2319266</v>
      </c>
      <c r="AN6" s="9">
        <f t="shared" si="2"/>
        <v>585</v>
      </c>
      <c r="AO6" s="25">
        <v>2247262</v>
      </c>
      <c r="AP6" s="9">
        <f t="shared" si="2"/>
        <v>602</v>
      </c>
      <c r="AQ6" s="54"/>
      <c r="AR6" s="17" t="s">
        <v>60</v>
      </c>
      <c r="AS6" s="9">
        <v>0</v>
      </c>
      <c r="AT6" s="17" t="s">
        <v>60</v>
      </c>
      <c r="AU6" s="9">
        <v>0</v>
      </c>
      <c r="AV6" s="25">
        <v>98812</v>
      </c>
      <c r="AW6" s="9">
        <f t="shared" si="3"/>
        <v>15</v>
      </c>
      <c r="AX6" s="25">
        <v>1648</v>
      </c>
      <c r="AY6" s="9">
        <f t="shared" si="4"/>
        <v>0</v>
      </c>
      <c r="AZ6" s="25">
        <v>8527697</v>
      </c>
      <c r="BA6" s="9">
        <f t="shared" si="5"/>
        <v>2516</v>
      </c>
      <c r="BB6" s="25">
        <v>2057068</v>
      </c>
      <c r="BC6" s="9">
        <f t="shared" ref="BC6:BC31" si="13">IF((BB6-BB5&lt;0), "",BB6-BB5)</f>
        <v>1176</v>
      </c>
      <c r="BD6" s="25">
        <v>128</v>
      </c>
      <c r="BE6" s="25">
        <v>202</v>
      </c>
      <c r="BH6">
        <f t="shared" si="0"/>
        <v>0</v>
      </c>
    </row>
    <row r="7" spans="1:60" ht="45" customHeight="1">
      <c r="A7" s="8">
        <v>44990</v>
      </c>
      <c r="B7" s="52"/>
      <c r="C7" s="25">
        <v>32507552</v>
      </c>
      <c r="D7" s="9">
        <f t="shared" si="6"/>
        <v>7132</v>
      </c>
      <c r="E7" s="25">
        <v>32783531</v>
      </c>
      <c r="F7" s="9">
        <f t="shared" si="7"/>
        <v>4735</v>
      </c>
      <c r="G7" s="25">
        <v>13987393</v>
      </c>
      <c r="H7" s="9">
        <f t="shared" si="1"/>
        <v>3539</v>
      </c>
      <c r="I7" s="25">
        <v>1963735</v>
      </c>
      <c r="J7" s="9">
        <f t="shared" si="8"/>
        <v>581</v>
      </c>
      <c r="K7" s="25">
        <v>3959979</v>
      </c>
      <c r="L7" s="9">
        <f t="shared" si="8"/>
        <v>441</v>
      </c>
      <c r="M7" s="25">
        <v>5226451</v>
      </c>
      <c r="N7" s="9">
        <f t="shared" ref="N7" si="14">IF((M7-M6&lt;0), "0",M7-M6)</f>
        <v>1237</v>
      </c>
      <c r="O7" s="33">
        <v>2271833</v>
      </c>
      <c r="P7" s="9">
        <f t="shared" ref="P7" si="15">IF((O7-O6&lt;0), "0",O7-O6)</f>
        <v>0</v>
      </c>
      <c r="Q7" s="25">
        <v>1595480</v>
      </c>
      <c r="R7" s="9">
        <f t="shared" ref="R7" si="16">IF((Q7-Q6&lt;0), "0",Q7-Q6)</f>
        <v>384</v>
      </c>
      <c r="S7" s="25">
        <v>573783</v>
      </c>
      <c r="T7" s="9">
        <f t="shared" ref="T7" si="17">IF((S7-S6&lt;0), "0",S7-S6)</f>
        <v>15</v>
      </c>
      <c r="U7" s="25">
        <v>4960200</v>
      </c>
      <c r="V7" s="9">
        <f t="shared" si="2"/>
        <v>704</v>
      </c>
      <c r="W7" s="25">
        <v>1133888</v>
      </c>
      <c r="X7" s="9">
        <f t="shared" si="2"/>
        <v>289</v>
      </c>
      <c r="Y7" s="25">
        <v>5166060</v>
      </c>
      <c r="Z7" s="9">
        <f t="shared" si="2"/>
        <v>1547</v>
      </c>
      <c r="AA7" s="25">
        <v>2272016</v>
      </c>
      <c r="AB7" s="9">
        <f t="shared" si="2"/>
        <v>2</v>
      </c>
      <c r="AC7" s="25">
        <v>6459185</v>
      </c>
      <c r="AD7" s="9">
        <f t="shared" si="2"/>
        <v>1185</v>
      </c>
      <c r="AE7" s="25">
        <v>9308091</v>
      </c>
      <c r="AF7" s="9">
        <f t="shared" si="2"/>
        <v>1874</v>
      </c>
      <c r="AG7" s="25">
        <v>1547220</v>
      </c>
      <c r="AH7" s="9">
        <f t="shared" si="2"/>
        <v>279</v>
      </c>
      <c r="AI7" s="25">
        <v>289440</v>
      </c>
      <c r="AJ7" s="9">
        <f t="shared" si="2"/>
        <v>44</v>
      </c>
      <c r="AK7" s="25">
        <v>1216610</v>
      </c>
      <c r="AL7" s="9">
        <f t="shared" si="2"/>
        <v>228</v>
      </c>
      <c r="AM7" s="25">
        <v>2319891</v>
      </c>
      <c r="AN7" s="9">
        <f t="shared" si="2"/>
        <v>625</v>
      </c>
      <c r="AO7" s="25">
        <v>2247826</v>
      </c>
      <c r="AP7" s="9">
        <f t="shared" si="2"/>
        <v>564</v>
      </c>
      <c r="AQ7" s="54"/>
      <c r="AR7" s="17" t="s">
        <v>60</v>
      </c>
      <c r="AS7" s="9">
        <v>0</v>
      </c>
      <c r="AT7" s="17" t="s">
        <v>60</v>
      </c>
      <c r="AU7" s="9">
        <v>0</v>
      </c>
      <c r="AV7" s="25">
        <v>98829</v>
      </c>
      <c r="AW7" s="9">
        <f t="shared" si="3"/>
        <v>17</v>
      </c>
      <c r="AX7" s="25">
        <v>1649</v>
      </c>
      <c r="AY7" s="9">
        <f t="shared" si="4"/>
        <v>1</v>
      </c>
      <c r="AZ7" s="25">
        <v>8530074</v>
      </c>
      <c r="BA7" s="9">
        <f t="shared" si="5"/>
        <v>2377</v>
      </c>
      <c r="BB7" s="25">
        <v>2058156</v>
      </c>
      <c r="BC7" s="9">
        <f t="shared" si="13"/>
        <v>1088</v>
      </c>
      <c r="BD7" s="25">
        <v>109</v>
      </c>
      <c r="BE7" s="25">
        <v>163</v>
      </c>
      <c r="BH7">
        <f t="shared" si="0"/>
        <v>0</v>
      </c>
    </row>
    <row r="8" spans="1:60" ht="45" customHeight="1">
      <c r="A8" s="8">
        <v>44991</v>
      </c>
      <c r="B8" s="52"/>
      <c r="C8" s="25">
        <v>32515377</v>
      </c>
      <c r="D8" s="9">
        <f t="shared" si="6"/>
        <v>7825</v>
      </c>
      <c r="E8" s="25">
        <v>32788827</v>
      </c>
      <c r="F8" s="9">
        <f t="shared" si="7"/>
        <v>5296</v>
      </c>
      <c r="G8" s="25">
        <v>13991604</v>
      </c>
      <c r="H8" s="9">
        <f t="shared" si="1"/>
        <v>4211</v>
      </c>
      <c r="I8" s="25">
        <v>1964328</v>
      </c>
      <c r="J8" s="9">
        <f t="shared" si="8"/>
        <v>593</v>
      </c>
      <c r="K8" s="25">
        <v>3960472</v>
      </c>
      <c r="L8" s="9">
        <f t="shared" si="8"/>
        <v>493</v>
      </c>
      <c r="M8" s="25">
        <v>5227818</v>
      </c>
      <c r="N8" s="9">
        <f t="shared" ref="N8" si="18">IF((M8-M7&lt;0), "0",M8-M7)</f>
        <v>1367</v>
      </c>
      <c r="O8" s="33">
        <v>2271833</v>
      </c>
      <c r="P8" s="9">
        <f t="shared" ref="P8" si="19">IF((O8-O7&lt;0), "0",O8-O7)</f>
        <v>0</v>
      </c>
      <c r="Q8" s="25">
        <v>1595909</v>
      </c>
      <c r="R8" s="9">
        <f t="shared" ref="R8" si="20">IF((Q8-Q7&lt;0), "0",Q8-Q7)</f>
        <v>429</v>
      </c>
      <c r="S8" s="25">
        <v>573800</v>
      </c>
      <c r="T8" s="9">
        <f t="shared" ref="T8" si="21">IF((S8-S7&lt;0), "0",S8-S7)</f>
        <v>17</v>
      </c>
      <c r="U8" s="25">
        <v>4961027</v>
      </c>
      <c r="V8" s="9">
        <f t="shared" si="2"/>
        <v>827</v>
      </c>
      <c r="W8" s="25">
        <v>1134200</v>
      </c>
      <c r="X8" s="9">
        <f t="shared" si="2"/>
        <v>312</v>
      </c>
      <c r="Y8" s="25">
        <v>5167679</v>
      </c>
      <c r="Z8" s="9">
        <f t="shared" si="2"/>
        <v>1619</v>
      </c>
      <c r="AA8" s="25">
        <v>2272019</v>
      </c>
      <c r="AB8" s="9">
        <f t="shared" si="2"/>
        <v>3</v>
      </c>
      <c r="AC8" s="25">
        <v>6460523</v>
      </c>
      <c r="AD8" s="9">
        <f t="shared" si="2"/>
        <v>1338</v>
      </c>
      <c r="AE8" s="25">
        <v>9310224</v>
      </c>
      <c r="AF8" s="9">
        <f t="shared" si="2"/>
        <v>2133</v>
      </c>
      <c r="AG8" s="25">
        <v>1547537</v>
      </c>
      <c r="AH8" s="9">
        <f t="shared" si="2"/>
        <v>317</v>
      </c>
      <c r="AI8" s="25">
        <v>289489</v>
      </c>
      <c r="AJ8" s="9">
        <f t="shared" si="2"/>
        <v>49</v>
      </c>
      <c r="AK8" s="25">
        <v>1216864</v>
      </c>
      <c r="AL8" s="9">
        <f t="shared" si="2"/>
        <v>254</v>
      </c>
      <c r="AM8" s="25">
        <v>2320596</v>
      </c>
      <c r="AN8" s="9">
        <f t="shared" si="2"/>
        <v>705</v>
      </c>
      <c r="AO8" s="25">
        <v>2248450</v>
      </c>
      <c r="AP8" s="9">
        <f t="shared" si="2"/>
        <v>624</v>
      </c>
      <c r="AQ8" s="54"/>
      <c r="AR8" s="17" t="s">
        <v>60</v>
      </c>
      <c r="AS8" s="9">
        <v>0</v>
      </c>
      <c r="AT8" s="17" t="s">
        <v>60</v>
      </c>
      <c r="AU8" s="9">
        <v>0</v>
      </c>
      <c r="AV8" s="25">
        <v>98849</v>
      </c>
      <c r="AW8" s="9">
        <f t="shared" si="3"/>
        <v>20</v>
      </c>
      <c r="AX8" s="25">
        <v>1652</v>
      </c>
      <c r="AY8" s="9">
        <f t="shared" si="4"/>
        <v>3</v>
      </c>
      <c r="AZ8" s="25">
        <v>8533043</v>
      </c>
      <c r="BA8" s="9">
        <f t="shared" si="5"/>
        <v>2969</v>
      </c>
      <c r="BB8" s="25">
        <v>2059482</v>
      </c>
      <c r="BC8" s="9">
        <f t="shared" si="13"/>
        <v>1326</v>
      </c>
      <c r="BD8" s="25">
        <v>133</v>
      </c>
      <c r="BE8" s="25">
        <v>193</v>
      </c>
      <c r="BH8">
        <f t="shared" si="0"/>
        <v>0</v>
      </c>
    </row>
    <row r="9" spans="1:60" ht="45" customHeight="1">
      <c r="A9" s="8">
        <v>44992</v>
      </c>
      <c r="B9" s="52"/>
      <c r="C9" s="25">
        <v>32522004</v>
      </c>
      <c r="D9" s="9">
        <f t="shared" si="6"/>
        <v>6627</v>
      </c>
      <c r="E9" s="25">
        <v>32793598</v>
      </c>
      <c r="F9" s="9">
        <f t="shared" si="7"/>
        <v>4771</v>
      </c>
      <c r="G9" s="25">
        <v>13995484</v>
      </c>
      <c r="H9" s="9">
        <f t="shared" si="1"/>
        <v>3880</v>
      </c>
      <c r="I9" s="25">
        <v>1964855</v>
      </c>
      <c r="J9" s="9">
        <f t="shared" si="8"/>
        <v>527</v>
      </c>
      <c r="K9" s="25">
        <v>3960927</v>
      </c>
      <c r="L9" s="9">
        <f t="shared" si="8"/>
        <v>455</v>
      </c>
      <c r="M9" s="25">
        <v>5228948</v>
      </c>
      <c r="N9" s="9">
        <f t="shared" ref="N9" si="22">IF((M9-M8&lt;0), "0",M9-M8)</f>
        <v>1130</v>
      </c>
      <c r="O9" s="33">
        <v>2271833</v>
      </c>
      <c r="P9" s="9">
        <f t="shared" ref="P9" si="23">IF((O9-O8&lt;0), "0",O9-O8)</f>
        <v>0</v>
      </c>
      <c r="Q9" s="25">
        <v>1596289</v>
      </c>
      <c r="R9" s="9">
        <f t="shared" ref="R9" si="24">IF((Q9-Q8&lt;0), "0",Q9-Q8)</f>
        <v>380</v>
      </c>
      <c r="S9" s="25">
        <v>573816</v>
      </c>
      <c r="T9" s="9">
        <f t="shared" ref="T9" si="25">IF((S9-S8&lt;0), "0",S9-S8)</f>
        <v>16</v>
      </c>
      <c r="U9" s="25">
        <v>4961767</v>
      </c>
      <c r="V9" s="9">
        <f t="shared" si="2"/>
        <v>740</v>
      </c>
      <c r="W9" s="25">
        <v>1134341</v>
      </c>
      <c r="X9" s="9">
        <f t="shared" si="2"/>
        <v>141</v>
      </c>
      <c r="Y9" s="25">
        <v>5168965</v>
      </c>
      <c r="Z9" s="9">
        <f t="shared" si="2"/>
        <v>1286</v>
      </c>
      <c r="AA9" s="25">
        <v>2272022</v>
      </c>
      <c r="AB9" s="9">
        <f t="shared" si="2"/>
        <v>3</v>
      </c>
      <c r="AC9" s="25">
        <v>6461698</v>
      </c>
      <c r="AD9" s="9">
        <f t="shared" si="2"/>
        <v>1175</v>
      </c>
      <c r="AE9" s="25">
        <v>9312110</v>
      </c>
      <c r="AF9" s="9">
        <f t="shared" si="2"/>
        <v>1886</v>
      </c>
      <c r="AG9" s="25">
        <v>1547814</v>
      </c>
      <c r="AH9" s="9">
        <f t="shared" si="2"/>
        <v>277</v>
      </c>
      <c r="AI9" s="25">
        <v>289532</v>
      </c>
      <c r="AJ9" s="9">
        <f t="shared" si="2"/>
        <v>43</v>
      </c>
      <c r="AK9" s="25">
        <v>1217088</v>
      </c>
      <c r="AL9" s="9">
        <f t="shared" si="2"/>
        <v>224</v>
      </c>
      <c r="AM9" s="25">
        <v>2321178</v>
      </c>
      <c r="AN9" s="9">
        <f t="shared" si="2"/>
        <v>582</v>
      </c>
      <c r="AO9" s="25">
        <v>2249011</v>
      </c>
      <c r="AP9" s="9">
        <f t="shared" si="2"/>
        <v>561</v>
      </c>
      <c r="AQ9" s="54"/>
      <c r="AR9" s="17" t="s">
        <v>60</v>
      </c>
      <c r="AS9" s="9">
        <v>0</v>
      </c>
      <c r="AT9" s="17" t="s">
        <v>60</v>
      </c>
      <c r="AU9" s="9">
        <v>0</v>
      </c>
      <c r="AV9" s="25">
        <v>98867</v>
      </c>
      <c r="AW9" s="9">
        <f t="shared" si="3"/>
        <v>18</v>
      </c>
      <c r="AX9" s="25">
        <v>1654</v>
      </c>
      <c r="AY9" s="9">
        <f t="shared" si="4"/>
        <v>2</v>
      </c>
      <c r="AZ9" s="25">
        <v>8535579</v>
      </c>
      <c r="BA9" s="9">
        <f t="shared" si="5"/>
        <v>2536</v>
      </c>
      <c r="BB9" s="25">
        <v>2060672</v>
      </c>
      <c r="BC9" s="9">
        <f t="shared" si="13"/>
        <v>1190</v>
      </c>
      <c r="BD9" s="25">
        <v>147</v>
      </c>
      <c r="BE9" s="25">
        <v>199</v>
      </c>
      <c r="BH9">
        <f t="shared" si="0"/>
        <v>0</v>
      </c>
    </row>
    <row r="10" spans="1:60" ht="45" customHeight="1">
      <c r="A10" s="8">
        <v>44993</v>
      </c>
      <c r="B10" s="52"/>
      <c r="C10" s="25">
        <v>32528840</v>
      </c>
      <c r="D10" s="9">
        <f t="shared" si="6"/>
        <v>6836</v>
      </c>
      <c r="E10" s="25">
        <v>32798337</v>
      </c>
      <c r="F10" s="9">
        <f t="shared" si="7"/>
        <v>4739</v>
      </c>
      <c r="G10" s="25">
        <v>13999267</v>
      </c>
      <c r="H10" s="9">
        <f t="shared" si="1"/>
        <v>3783</v>
      </c>
      <c r="I10" s="25">
        <v>1965368</v>
      </c>
      <c r="J10" s="9">
        <f t="shared" si="8"/>
        <v>513</v>
      </c>
      <c r="K10" s="25">
        <v>3961377</v>
      </c>
      <c r="L10" s="9">
        <f t="shared" si="8"/>
        <v>450</v>
      </c>
      <c r="M10" s="25">
        <v>5230169</v>
      </c>
      <c r="N10" s="9">
        <f t="shared" ref="N10" si="26">IF((M10-M9&lt;0), "0",M10-M9)</f>
        <v>1221</v>
      </c>
      <c r="O10" s="33">
        <v>2271833</v>
      </c>
      <c r="P10" s="9">
        <f t="shared" ref="P10" si="27">IF((O10-O9&lt;0), "0",O10-O9)</f>
        <v>0</v>
      </c>
      <c r="Q10" s="25">
        <v>1596691</v>
      </c>
      <c r="R10" s="9">
        <f t="shared" ref="R10" si="28">IF((Q10-Q9&lt;0), "0",Q10-Q9)</f>
        <v>402</v>
      </c>
      <c r="S10" s="25">
        <v>573831</v>
      </c>
      <c r="T10" s="9">
        <f t="shared" ref="T10" si="29">IF((S10-S9&lt;0), "0",S10-S9)</f>
        <v>15</v>
      </c>
      <c r="U10" s="25">
        <v>4962697</v>
      </c>
      <c r="V10" s="9">
        <f t="shared" si="2"/>
        <v>930</v>
      </c>
      <c r="W10" s="25">
        <v>1134505</v>
      </c>
      <c r="X10" s="9">
        <f t="shared" si="2"/>
        <v>164</v>
      </c>
      <c r="Y10" s="25">
        <v>5170224</v>
      </c>
      <c r="Z10" s="9">
        <f t="shared" si="2"/>
        <v>1259</v>
      </c>
      <c r="AA10" s="25">
        <v>2272024</v>
      </c>
      <c r="AB10" s="9">
        <f t="shared" si="2"/>
        <v>2</v>
      </c>
      <c r="AC10" s="25">
        <v>6462856</v>
      </c>
      <c r="AD10" s="9">
        <f t="shared" si="2"/>
        <v>1158</v>
      </c>
      <c r="AE10" s="25">
        <v>9313999</v>
      </c>
      <c r="AF10" s="9">
        <f t="shared" si="2"/>
        <v>1889</v>
      </c>
      <c r="AG10" s="25">
        <v>1548090</v>
      </c>
      <c r="AH10" s="9">
        <f t="shared" si="2"/>
        <v>276</v>
      </c>
      <c r="AI10" s="25">
        <v>289675</v>
      </c>
      <c r="AJ10" s="9">
        <f t="shared" si="2"/>
        <v>143</v>
      </c>
      <c r="AK10" s="25">
        <v>1217320</v>
      </c>
      <c r="AL10" s="9">
        <f t="shared" si="2"/>
        <v>232</v>
      </c>
      <c r="AM10" s="25">
        <v>2321742</v>
      </c>
      <c r="AN10" s="9">
        <f t="shared" si="2"/>
        <v>564</v>
      </c>
      <c r="AO10" s="25">
        <v>2249561</v>
      </c>
      <c r="AP10" s="9">
        <f t="shared" si="2"/>
        <v>550</v>
      </c>
      <c r="AQ10" s="54"/>
      <c r="AR10" s="17" t="s">
        <v>60</v>
      </c>
      <c r="AS10" s="9">
        <v>0</v>
      </c>
      <c r="AT10" s="17" t="s">
        <v>60</v>
      </c>
      <c r="AU10" s="9">
        <v>0</v>
      </c>
      <c r="AV10" s="25">
        <v>98883</v>
      </c>
      <c r="AW10" s="9">
        <f t="shared" si="3"/>
        <v>16</v>
      </c>
      <c r="AX10" s="25">
        <v>1656</v>
      </c>
      <c r="AY10" s="9">
        <f t="shared" si="4"/>
        <v>2</v>
      </c>
      <c r="AZ10" s="25">
        <v>8538241</v>
      </c>
      <c r="BA10" s="9">
        <f t="shared" si="5"/>
        <v>2662</v>
      </c>
      <c r="BB10" s="25">
        <v>2061861</v>
      </c>
      <c r="BC10" s="9">
        <f t="shared" si="13"/>
        <v>1189</v>
      </c>
      <c r="BD10" s="25">
        <v>159</v>
      </c>
      <c r="BE10" s="25">
        <v>221</v>
      </c>
      <c r="BH10">
        <f t="shared" si="0"/>
        <v>0</v>
      </c>
    </row>
    <row r="11" spans="1:60" ht="45" customHeight="1">
      <c r="A11" s="8">
        <v>44994</v>
      </c>
      <c r="B11" s="52"/>
      <c r="C11" s="25">
        <v>32535246</v>
      </c>
      <c r="D11" s="9">
        <f>IF((C11-C10&lt;0), "0",C11-C10)</f>
        <v>6406</v>
      </c>
      <c r="E11" s="25">
        <v>32803202</v>
      </c>
      <c r="F11" s="9">
        <f t="shared" si="7"/>
        <v>4865</v>
      </c>
      <c r="G11" s="25">
        <v>14003236</v>
      </c>
      <c r="H11" s="9">
        <f t="shared" si="1"/>
        <v>3969</v>
      </c>
      <c r="I11" s="25">
        <v>1965923</v>
      </c>
      <c r="J11" s="9">
        <f t="shared" si="8"/>
        <v>555</v>
      </c>
      <c r="K11" s="25">
        <v>3961853</v>
      </c>
      <c r="L11" s="9">
        <f t="shared" si="8"/>
        <v>476</v>
      </c>
      <c r="M11" s="25">
        <v>5231513</v>
      </c>
      <c r="N11" s="9">
        <f t="shared" ref="N11" si="30">IF((M11-M10&lt;0), "0",M11-M10)</f>
        <v>1344</v>
      </c>
      <c r="O11" s="33">
        <v>2271833</v>
      </c>
      <c r="P11" s="9">
        <f t="shared" ref="P11" si="31">IF((O11-O10&lt;0), "0",O11-O10)</f>
        <v>0</v>
      </c>
      <c r="Q11" s="25">
        <v>1597088</v>
      </c>
      <c r="R11" s="9">
        <f t="shared" ref="R11" si="32">IF((Q11-Q10&lt;0), "0",Q11-Q10)</f>
        <v>397</v>
      </c>
      <c r="S11" s="25">
        <v>573840</v>
      </c>
      <c r="T11" s="9">
        <f t="shared" ref="T11" si="33">IF((S11-S10&lt;0), "0",S11-S10)</f>
        <v>9</v>
      </c>
      <c r="U11" s="25">
        <v>4963593</v>
      </c>
      <c r="V11" s="9">
        <f t="shared" si="2"/>
        <v>896</v>
      </c>
      <c r="W11" s="25">
        <v>1134796</v>
      </c>
      <c r="X11" s="9">
        <f t="shared" si="2"/>
        <v>291</v>
      </c>
      <c r="Y11" s="25">
        <v>5170692</v>
      </c>
      <c r="Z11" s="9">
        <f t="shared" si="2"/>
        <v>468</v>
      </c>
      <c r="AA11" s="25">
        <v>2272026</v>
      </c>
      <c r="AB11" s="9">
        <f t="shared" si="2"/>
        <v>2</v>
      </c>
      <c r="AC11" s="25">
        <v>6464070</v>
      </c>
      <c r="AD11" s="9">
        <f t="shared" si="2"/>
        <v>1214</v>
      </c>
      <c r="AE11" s="25">
        <v>9315716</v>
      </c>
      <c r="AF11" s="9">
        <f t="shared" si="2"/>
        <v>1717</v>
      </c>
      <c r="AG11" s="25">
        <v>1548383</v>
      </c>
      <c r="AH11" s="9">
        <f t="shared" si="2"/>
        <v>293</v>
      </c>
      <c r="AI11" s="25">
        <v>289620</v>
      </c>
      <c r="AJ11" s="9" t="str">
        <f t="shared" si="2"/>
        <v/>
      </c>
      <c r="AK11" s="25">
        <v>1217565</v>
      </c>
      <c r="AL11" s="9">
        <f t="shared" si="2"/>
        <v>245</v>
      </c>
      <c r="AM11" s="25">
        <v>2322332</v>
      </c>
      <c r="AN11" s="9">
        <f t="shared" si="2"/>
        <v>590</v>
      </c>
      <c r="AO11" s="25">
        <v>2250164</v>
      </c>
      <c r="AP11" s="9">
        <f t="shared" si="2"/>
        <v>603</v>
      </c>
      <c r="AQ11" s="54"/>
      <c r="AR11" s="17" t="s">
        <v>60</v>
      </c>
      <c r="AS11" s="9">
        <v>0</v>
      </c>
      <c r="AT11" s="17" t="s">
        <v>60</v>
      </c>
      <c r="AU11" s="9">
        <v>0</v>
      </c>
      <c r="AV11" s="25">
        <v>98902</v>
      </c>
      <c r="AW11" s="9">
        <f t="shared" si="3"/>
        <v>19</v>
      </c>
      <c r="AX11" s="25">
        <v>1658</v>
      </c>
      <c r="AY11" s="9">
        <f t="shared" si="4"/>
        <v>2</v>
      </c>
      <c r="AZ11" s="25">
        <v>8540974</v>
      </c>
      <c r="BA11" s="9">
        <f t="shared" si="5"/>
        <v>2733</v>
      </c>
      <c r="BB11" s="25">
        <v>2063108</v>
      </c>
      <c r="BC11" s="9">
        <f t="shared" si="13"/>
        <v>1247</v>
      </c>
      <c r="BD11" s="25">
        <v>156</v>
      </c>
      <c r="BE11" s="25">
        <v>222</v>
      </c>
      <c r="BH11">
        <f t="shared" si="0"/>
        <v>0</v>
      </c>
    </row>
    <row r="12" spans="1:60" ht="45" customHeight="1">
      <c r="A12" s="8">
        <v>44995</v>
      </c>
      <c r="B12" s="52"/>
      <c r="C12" s="25">
        <v>32546670</v>
      </c>
      <c r="D12" s="9">
        <f t="shared" si="6"/>
        <v>11424</v>
      </c>
      <c r="E12" s="25">
        <v>32810368</v>
      </c>
      <c r="F12" s="9">
        <f t="shared" si="7"/>
        <v>7166</v>
      </c>
      <c r="G12" s="7">
        <v>14007340</v>
      </c>
      <c r="H12" s="9">
        <f t="shared" si="1"/>
        <v>4104</v>
      </c>
      <c r="I12" s="25">
        <v>1966478</v>
      </c>
      <c r="J12" s="9">
        <f t="shared" si="8"/>
        <v>555</v>
      </c>
      <c r="K12" s="25">
        <v>3962357</v>
      </c>
      <c r="L12" s="9">
        <f t="shared" si="8"/>
        <v>504</v>
      </c>
      <c r="M12" s="25">
        <v>5232772</v>
      </c>
      <c r="N12" s="9">
        <f t="shared" ref="N12" si="34">IF((M12-M11&lt;0), "0",M12-M11)</f>
        <v>1259</v>
      </c>
      <c r="O12" s="33">
        <v>2271833</v>
      </c>
      <c r="P12" s="9">
        <f t="shared" ref="P12" si="35">IF((O12-O11&lt;0), "0",O12-O11)</f>
        <v>0</v>
      </c>
      <c r="Q12" s="25">
        <v>1597651</v>
      </c>
      <c r="R12" s="9">
        <f t="shared" ref="R12" si="36">IF((Q12-Q11&lt;0), "0",Q12-Q11)</f>
        <v>563</v>
      </c>
      <c r="S12" s="25">
        <v>573884</v>
      </c>
      <c r="T12" s="9">
        <f t="shared" ref="T12" si="37">IF((S12-S11&lt;0), "0",S12-S11)</f>
        <v>44</v>
      </c>
      <c r="U12" s="25">
        <v>4964525</v>
      </c>
      <c r="V12" s="9">
        <f t="shared" si="2"/>
        <v>932</v>
      </c>
      <c r="W12" s="25">
        <v>1135311</v>
      </c>
      <c r="X12" s="9">
        <f t="shared" si="2"/>
        <v>515</v>
      </c>
      <c r="Y12" s="25">
        <v>5172738</v>
      </c>
      <c r="Z12" s="9">
        <f t="shared" si="2"/>
        <v>2046</v>
      </c>
      <c r="AA12" s="25">
        <v>2272029</v>
      </c>
      <c r="AB12" s="9">
        <f t="shared" si="2"/>
        <v>3</v>
      </c>
      <c r="AC12" s="25">
        <v>6465319</v>
      </c>
      <c r="AD12" s="9">
        <f t="shared" si="2"/>
        <v>1249</v>
      </c>
      <c r="AE12" s="25">
        <v>9317554</v>
      </c>
      <c r="AF12" s="9">
        <f t="shared" si="2"/>
        <v>1838</v>
      </c>
      <c r="AG12" s="25">
        <v>1548685</v>
      </c>
      <c r="AH12" s="9">
        <f t="shared" si="2"/>
        <v>302</v>
      </c>
      <c r="AI12" s="25">
        <v>289666</v>
      </c>
      <c r="AJ12" s="9">
        <f t="shared" si="2"/>
        <v>46</v>
      </c>
      <c r="AK12" s="25">
        <v>1217822</v>
      </c>
      <c r="AL12" s="9">
        <f t="shared" si="2"/>
        <v>257</v>
      </c>
      <c r="AM12" s="25">
        <v>2322938</v>
      </c>
      <c r="AN12" s="9">
        <f t="shared" si="2"/>
        <v>606</v>
      </c>
      <c r="AO12" s="25">
        <v>2250795</v>
      </c>
      <c r="AP12" s="9">
        <f t="shared" si="2"/>
        <v>631</v>
      </c>
      <c r="AQ12" s="54"/>
      <c r="AR12" s="17">
        <v>31037.4</v>
      </c>
      <c r="AS12" s="9">
        <f>IF((AR12-AR3&lt;0), "",AR12-AR3)</f>
        <v>85.30000000000291</v>
      </c>
      <c r="AT12" s="17">
        <v>28561.3</v>
      </c>
      <c r="AU12" s="9">
        <f>IF((AT12-AT3&lt;0), "",AT12-AT3)</f>
        <v>7.2999999999992724</v>
      </c>
      <c r="AV12" s="25">
        <v>98921</v>
      </c>
      <c r="AW12" s="9">
        <f t="shared" si="3"/>
        <v>19</v>
      </c>
      <c r="AX12" s="25">
        <v>1660</v>
      </c>
      <c r="AY12" s="9">
        <f t="shared" si="4"/>
        <v>2</v>
      </c>
      <c r="AZ12" s="25">
        <v>8543679</v>
      </c>
      <c r="BA12" s="9">
        <f t="shared" si="5"/>
        <v>2705</v>
      </c>
      <c r="BB12" s="25">
        <v>2064414</v>
      </c>
      <c r="BC12" s="9">
        <f t="shared" si="13"/>
        <v>1306</v>
      </c>
      <c r="BD12" s="25">
        <v>160</v>
      </c>
      <c r="BE12" s="25">
        <v>237</v>
      </c>
      <c r="BH12">
        <f t="shared" si="0"/>
        <v>0</v>
      </c>
    </row>
    <row r="13" spans="1:60" ht="45" customHeight="1">
      <c r="A13" s="8">
        <v>44996</v>
      </c>
      <c r="B13" s="52"/>
      <c r="C13" s="25">
        <v>32550404</v>
      </c>
      <c r="D13" s="9">
        <f t="shared" si="6"/>
        <v>3734</v>
      </c>
      <c r="E13" s="25">
        <v>32812861</v>
      </c>
      <c r="F13" s="9">
        <f t="shared" si="7"/>
        <v>2493</v>
      </c>
      <c r="G13" s="25">
        <v>14010631</v>
      </c>
      <c r="H13" s="9">
        <f t="shared" si="1"/>
        <v>3291</v>
      </c>
      <c r="I13" s="25">
        <v>1967026</v>
      </c>
      <c r="J13" s="9">
        <f t="shared" si="8"/>
        <v>548</v>
      </c>
      <c r="K13" s="25">
        <v>3962759</v>
      </c>
      <c r="L13" s="9">
        <f t="shared" si="8"/>
        <v>402</v>
      </c>
      <c r="M13" s="25">
        <v>5233866</v>
      </c>
      <c r="N13" s="9">
        <f t="shared" ref="N13" si="38">IF((M13-M12&lt;0), "0",M13-M12)</f>
        <v>1094</v>
      </c>
      <c r="O13" s="33">
        <v>2271833</v>
      </c>
      <c r="P13" s="9">
        <f t="shared" ref="P13" si="39">IF((O13-O12&lt;0), "0",O13-O12)</f>
        <v>0</v>
      </c>
      <c r="Q13" s="25">
        <v>1597830</v>
      </c>
      <c r="R13" s="9">
        <f t="shared" ref="R13" si="40">IF((Q13-Q12&lt;0), "0",Q13-Q12)</f>
        <v>179</v>
      </c>
      <c r="S13" s="25">
        <v>573927</v>
      </c>
      <c r="T13" s="9">
        <f t="shared" ref="T13" si="41">IF((S13-S12&lt;0), "0",S13-S12)</f>
        <v>43</v>
      </c>
      <c r="U13" s="25">
        <v>4965321</v>
      </c>
      <c r="V13" s="9">
        <f t="shared" si="2"/>
        <v>796</v>
      </c>
      <c r="W13" s="25">
        <v>1135463</v>
      </c>
      <c r="X13" s="9">
        <f t="shared" si="2"/>
        <v>152</v>
      </c>
      <c r="Y13" s="25">
        <v>5174521</v>
      </c>
      <c r="Z13" s="9">
        <f t="shared" si="2"/>
        <v>1783</v>
      </c>
      <c r="AA13" s="25">
        <v>2272031</v>
      </c>
      <c r="AB13" s="9">
        <f t="shared" si="2"/>
        <v>2</v>
      </c>
      <c r="AC13" s="25">
        <v>6466333</v>
      </c>
      <c r="AD13" s="9">
        <f t="shared" si="2"/>
        <v>1014</v>
      </c>
      <c r="AE13" s="25">
        <v>9319191</v>
      </c>
      <c r="AF13" s="9">
        <f t="shared" si="2"/>
        <v>1637</v>
      </c>
      <c r="AG13" s="25">
        <v>1548929</v>
      </c>
      <c r="AH13" s="9">
        <f t="shared" si="2"/>
        <v>244</v>
      </c>
      <c r="AI13" s="25">
        <v>289704</v>
      </c>
      <c r="AJ13" s="9">
        <f t="shared" si="2"/>
        <v>38</v>
      </c>
      <c r="AK13" s="25">
        <v>1218032</v>
      </c>
      <c r="AL13" s="9">
        <f t="shared" si="2"/>
        <v>210</v>
      </c>
      <c r="AM13" s="25">
        <v>2323447</v>
      </c>
      <c r="AN13" s="9">
        <f t="shared" si="2"/>
        <v>509</v>
      </c>
      <c r="AO13" s="25">
        <v>2251448</v>
      </c>
      <c r="AP13" s="9">
        <f t="shared" si="2"/>
        <v>653</v>
      </c>
      <c r="AQ13" s="54"/>
      <c r="AR13" s="17" t="s">
        <v>60</v>
      </c>
      <c r="AS13" s="9">
        <v>0</v>
      </c>
      <c r="AT13" s="17" t="s">
        <v>60</v>
      </c>
      <c r="AU13" s="9">
        <v>0</v>
      </c>
      <c r="AV13" s="25">
        <v>98940</v>
      </c>
      <c r="AW13" s="9">
        <f t="shared" si="3"/>
        <v>19</v>
      </c>
      <c r="AX13" s="25">
        <v>1662</v>
      </c>
      <c r="AY13" s="9">
        <f t="shared" si="4"/>
        <v>2</v>
      </c>
      <c r="AZ13" s="25">
        <v>8546091</v>
      </c>
      <c r="BA13" s="9">
        <f t="shared" si="5"/>
        <v>2412</v>
      </c>
      <c r="BB13" s="25">
        <v>2065450</v>
      </c>
      <c r="BC13" s="9">
        <f t="shared" si="13"/>
        <v>1036</v>
      </c>
      <c r="BD13" s="25">
        <v>139</v>
      </c>
      <c r="BE13" s="25">
        <v>214</v>
      </c>
      <c r="BH13">
        <f t="shared" si="0"/>
        <v>0</v>
      </c>
    </row>
    <row r="14" spans="1:60" ht="45" customHeight="1">
      <c r="A14" s="8">
        <v>44997</v>
      </c>
      <c r="B14" s="52"/>
      <c r="C14" s="25">
        <v>32559116</v>
      </c>
      <c r="D14" s="9">
        <f t="shared" si="6"/>
        <v>8712</v>
      </c>
      <c r="E14" s="25">
        <v>32818490</v>
      </c>
      <c r="F14" s="9">
        <f>IF((E14-E13&lt;0), "0",E14-E13)</f>
        <v>5629</v>
      </c>
      <c r="G14" s="25">
        <v>14014969</v>
      </c>
      <c r="H14" s="9">
        <f t="shared" si="1"/>
        <v>4338</v>
      </c>
      <c r="I14" s="25">
        <v>1967600</v>
      </c>
      <c r="J14" s="9">
        <f t="shared" si="8"/>
        <v>574</v>
      </c>
      <c r="K14" s="25">
        <v>3963281</v>
      </c>
      <c r="L14" s="9">
        <f t="shared" si="8"/>
        <v>522</v>
      </c>
      <c r="M14" s="25">
        <v>5235267</v>
      </c>
      <c r="N14" s="9">
        <f>IF((M14-M13&lt;0), "0",M14-M13)</f>
        <v>1401</v>
      </c>
      <c r="O14" s="33">
        <v>2271833</v>
      </c>
      <c r="P14" s="9">
        <f t="shared" ref="P14" si="42">IF((O14-O13&lt;0), "0",O14-O13)</f>
        <v>0</v>
      </c>
      <c r="Q14" s="25">
        <v>1598235</v>
      </c>
      <c r="R14" s="9">
        <f t="shared" ref="R14" si="43">IF((Q14-Q13&lt;0), "0",Q14-Q13)</f>
        <v>405</v>
      </c>
      <c r="S14" s="25">
        <v>573934</v>
      </c>
      <c r="T14" s="9">
        <f t="shared" ref="T14" si="44">IF((S14-S13&lt;0), "0",S14-S13)</f>
        <v>7</v>
      </c>
      <c r="U14" s="25">
        <v>4966179</v>
      </c>
      <c r="V14" s="9">
        <f t="shared" si="2"/>
        <v>858</v>
      </c>
      <c r="W14" s="25">
        <v>1135850</v>
      </c>
      <c r="X14" s="9">
        <f t="shared" si="2"/>
        <v>387</v>
      </c>
      <c r="Y14" s="25">
        <v>5176921</v>
      </c>
      <c r="Z14" s="9">
        <f t="shared" si="2"/>
        <v>2400</v>
      </c>
      <c r="AA14" s="25">
        <v>2272034</v>
      </c>
      <c r="AB14" s="9">
        <f t="shared" si="2"/>
        <v>3</v>
      </c>
      <c r="AC14" s="25">
        <v>6467675</v>
      </c>
      <c r="AD14" s="9">
        <f t="shared" si="2"/>
        <v>1342</v>
      </c>
      <c r="AE14" s="25">
        <v>9321361</v>
      </c>
      <c r="AF14" s="9">
        <f t="shared" si="2"/>
        <v>2170</v>
      </c>
      <c r="AG14" s="25">
        <v>1549255</v>
      </c>
      <c r="AH14" s="9">
        <f t="shared" si="2"/>
        <v>326</v>
      </c>
      <c r="AI14" s="25">
        <v>289753</v>
      </c>
      <c r="AJ14" s="9">
        <f t="shared" si="2"/>
        <v>49</v>
      </c>
      <c r="AK14" s="25">
        <v>1218294</v>
      </c>
      <c r="AL14" s="9">
        <f t="shared" si="2"/>
        <v>262</v>
      </c>
      <c r="AM14" s="25">
        <v>2324092</v>
      </c>
      <c r="AN14" s="9">
        <f t="shared" si="2"/>
        <v>645</v>
      </c>
      <c r="AO14" s="25">
        <v>2252168</v>
      </c>
      <c r="AP14" s="9">
        <f t="shared" si="2"/>
        <v>720</v>
      </c>
      <c r="AQ14" s="54"/>
      <c r="AR14" s="17" t="s">
        <v>60</v>
      </c>
      <c r="AS14" s="9">
        <v>0</v>
      </c>
      <c r="AT14" s="17" t="s">
        <v>60</v>
      </c>
      <c r="AU14" s="9">
        <v>0</v>
      </c>
      <c r="AV14" s="25">
        <v>98961</v>
      </c>
      <c r="AW14" s="9">
        <f t="shared" si="3"/>
        <v>21</v>
      </c>
      <c r="AX14" s="25">
        <v>1664</v>
      </c>
      <c r="AY14" s="9">
        <f t="shared" si="4"/>
        <v>2</v>
      </c>
      <c r="AZ14" s="25">
        <v>8549111</v>
      </c>
      <c r="BA14" s="9">
        <f t="shared" si="5"/>
        <v>3020</v>
      </c>
      <c r="BB14" s="25">
        <v>2066805</v>
      </c>
      <c r="BC14" s="9">
        <f t="shared" si="13"/>
        <v>1355</v>
      </c>
      <c r="BD14" s="25">
        <v>114</v>
      </c>
      <c r="BE14" s="25">
        <v>175</v>
      </c>
      <c r="BH14">
        <f t="shared" si="0"/>
        <v>0</v>
      </c>
    </row>
    <row r="15" spans="1:60" ht="45" customHeight="1">
      <c r="A15" s="8">
        <v>44998</v>
      </c>
      <c r="B15" s="52"/>
      <c r="C15" s="25">
        <v>32567131</v>
      </c>
      <c r="D15" s="9">
        <f t="shared" si="6"/>
        <v>8015</v>
      </c>
      <c r="E15" s="25">
        <v>32823174</v>
      </c>
      <c r="F15" s="9">
        <f t="shared" si="7"/>
        <v>4684</v>
      </c>
      <c r="G15" s="25">
        <v>14018672</v>
      </c>
      <c r="H15" s="9">
        <f t="shared" si="1"/>
        <v>3703</v>
      </c>
      <c r="I15" s="25">
        <v>1968166</v>
      </c>
      <c r="J15" s="9">
        <f t="shared" si="8"/>
        <v>566</v>
      </c>
      <c r="K15" s="25">
        <v>3963717</v>
      </c>
      <c r="L15" s="9">
        <f t="shared" si="8"/>
        <v>436</v>
      </c>
      <c r="M15" s="25">
        <v>5236484</v>
      </c>
      <c r="N15" s="9">
        <f t="shared" ref="N15" si="45">IF((M15-M14&lt;0), "0",M15-M14)</f>
        <v>1217</v>
      </c>
      <c r="O15" s="33">
        <v>2271833</v>
      </c>
      <c r="P15" s="9">
        <f t="shared" ref="P15" si="46">IF((O15-O14&lt;0), "0",O15-O14)</f>
        <v>0</v>
      </c>
      <c r="Q15" s="25">
        <v>1598598</v>
      </c>
      <c r="R15" s="9">
        <f t="shared" ref="R15" si="47">IF((Q15-Q14&lt;0), "0",Q15-Q14)</f>
        <v>363</v>
      </c>
      <c r="S15" s="25">
        <v>573993</v>
      </c>
      <c r="T15" s="9">
        <f t="shared" ref="T15" si="48">IF((S15-S14&lt;0), "0",S15-S14)</f>
        <v>59</v>
      </c>
      <c r="U15" s="25">
        <v>4966915</v>
      </c>
      <c r="V15" s="9">
        <f t="shared" si="2"/>
        <v>736</v>
      </c>
      <c r="W15" s="25">
        <v>1136182</v>
      </c>
      <c r="X15" s="9">
        <f t="shared" si="2"/>
        <v>332</v>
      </c>
      <c r="Y15" s="25">
        <v>5179398</v>
      </c>
      <c r="Z15" s="9">
        <f t="shared" si="2"/>
        <v>2477</v>
      </c>
      <c r="AA15" s="25">
        <v>2272036</v>
      </c>
      <c r="AB15" s="9">
        <f t="shared" si="2"/>
        <v>2</v>
      </c>
      <c r="AC15" s="25">
        <v>6468815</v>
      </c>
      <c r="AD15" s="9">
        <f t="shared" si="2"/>
        <v>1140</v>
      </c>
      <c r="AE15" s="25">
        <v>9323204</v>
      </c>
      <c r="AF15" s="9">
        <f t="shared" si="2"/>
        <v>1843</v>
      </c>
      <c r="AG15" s="25">
        <v>1549530</v>
      </c>
      <c r="AH15" s="9">
        <f t="shared" si="2"/>
        <v>275</v>
      </c>
      <c r="AI15" s="25">
        <v>289795</v>
      </c>
      <c r="AJ15" s="9">
        <f t="shared" si="2"/>
        <v>42</v>
      </c>
      <c r="AK15" s="25">
        <v>1218521</v>
      </c>
      <c r="AL15" s="9">
        <f t="shared" si="2"/>
        <v>227</v>
      </c>
      <c r="AM15" s="25">
        <v>2324638</v>
      </c>
      <c r="AN15" s="9">
        <f t="shared" si="2"/>
        <v>546</v>
      </c>
      <c r="AO15" s="25">
        <v>2252863</v>
      </c>
      <c r="AP15" s="9">
        <f t="shared" si="2"/>
        <v>695</v>
      </c>
      <c r="AQ15" s="54"/>
      <c r="AR15" s="17" t="s">
        <v>60</v>
      </c>
      <c r="AS15" s="9">
        <v>0</v>
      </c>
      <c r="AT15" s="17" t="s">
        <v>60</v>
      </c>
      <c r="AU15" s="9">
        <v>0</v>
      </c>
      <c r="AV15" s="25">
        <v>98980</v>
      </c>
      <c r="AW15" s="9">
        <f t="shared" si="3"/>
        <v>19</v>
      </c>
      <c r="AX15" s="25">
        <v>1666</v>
      </c>
      <c r="AY15" s="9">
        <f>IF((AX15-AX14&lt;0), "",AX15-AX14)</f>
        <v>2</v>
      </c>
      <c r="AZ15" s="25">
        <v>8551331</v>
      </c>
      <c r="BA15" s="9">
        <f t="shared" si="5"/>
        <v>2220</v>
      </c>
      <c r="BB15" s="25">
        <v>2067976</v>
      </c>
      <c r="BC15" s="9">
        <f t="shared" si="13"/>
        <v>1171</v>
      </c>
      <c r="BD15" s="25">
        <v>132</v>
      </c>
      <c r="BE15" s="25">
        <v>187</v>
      </c>
      <c r="BH15">
        <f t="shared" si="0"/>
        <v>0</v>
      </c>
    </row>
    <row r="16" spans="1:60" ht="45" customHeight="1">
      <c r="A16" s="8">
        <v>44999</v>
      </c>
      <c r="B16" s="52"/>
      <c r="C16" s="25">
        <v>32574416</v>
      </c>
      <c r="D16" s="9">
        <f t="shared" si="6"/>
        <v>7285</v>
      </c>
      <c r="E16" s="25">
        <v>32827836</v>
      </c>
      <c r="F16" s="9">
        <f t="shared" si="7"/>
        <v>4662</v>
      </c>
      <c r="G16" s="25">
        <v>14022267</v>
      </c>
      <c r="H16" s="9">
        <f t="shared" si="1"/>
        <v>3595</v>
      </c>
      <c r="I16" s="25">
        <v>1968664</v>
      </c>
      <c r="J16" s="9">
        <f t="shared" si="8"/>
        <v>498</v>
      </c>
      <c r="K16" s="25">
        <v>3964172</v>
      </c>
      <c r="L16" s="9">
        <f t="shared" si="8"/>
        <v>455</v>
      </c>
      <c r="M16" s="25">
        <v>5237693</v>
      </c>
      <c r="N16" s="9">
        <f t="shared" ref="N16" si="49">IF((M16-M15&lt;0), "0",M16-M15)</f>
        <v>1209</v>
      </c>
      <c r="O16" s="33">
        <v>2271833</v>
      </c>
      <c r="P16" s="9">
        <f t="shared" ref="P16" si="50">IF((O16-O15&lt;0), "0",O16-O15)</f>
        <v>0</v>
      </c>
      <c r="Q16" s="25">
        <v>1598955</v>
      </c>
      <c r="R16" s="9">
        <f t="shared" ref="R16" si="51">IF((Q16-Q15&lt;0), "0",Q16-Q15)</f>
        <v>357</v>
      </c>
      <c r="S16" s="25">
        <v>574130</v>
      </c>
      <c r="T16" s="9">
        <f t="shared" ref="T16" si="52">IF((S16-S15&lt;0), "0",S16-S15)</f>
        <v>137</v>
      </c>
      <c r="U16" s="25">
        <v>4967690</v>
      </c>
      <c r="V16" s="9">
        <f t="shared" ref="V16:AP31" si="53">IF((U16-U15&lt;0), "",U16-U15)</f>
        <v>775</v>
      </c>
      <c r="W16" s="25">
        <v>1136495</v>
      </c>
      <c r="X16" s="9">
        <f t="shared" si="53"/>
        <v>313</v>
      </c>
      <c r="Y16" s="25">
        <v>5181189</v>
      </c>
      <c r="Z16" s="9">
        <f t="shared" si="53"/>
        <v>1791</v>
      </c>
      <c r="AA16" s="25">
        <v>2272039</v>
      </c>
      <c r="AB16" s="9">
        <f t="shared" si="53"/>
        <v>3</v>
      </c>
      <c r="AC16" s="25">
        <v>6469929</v>
      </c>
      <c r="AD16" s="9">
        <f t="shared" si="53"/>
        <v>1114</v>
      </c>
      <c r="AE16" s="25">
        <v>9325021</v>
      </c>
      <c r="AF16" s="9">
        <f t="shared" si="53"/>
        <v>1817</v>
      </c>
      <c r="AG16" s="25">
        <v>1549797</v>
      </c>
      <c r="AH16" s="9">
        <f t="shared" si="53"/>
        <v>267</v>
      </c>
      <c r="AI16" s="25">
        <v>289834</v>
      </c>
      <c r="AJ16" s="9">
        <f t="shared" si="53"/>
        <v>39</v>
      </c>
      <c r="AK16" s="25">
        <v>1218739</v>
      </c>
      <c r="AL16" s="9">
        <f t="shared" si="53"/>
        <v>218</v>
      </c>
      <c r="AM16" s="25">
        <v>2325174</v>
      </c>
      <c r="AN16" s="9">
        <f t="shared" si="53"/>
        <v>536</v>
      </c>
      <c r="AO16" s="25">
        <v>2253492</v>
      </c>
      <c r="AP16" s="9">
        <f t="shared" si="53"/>
        <v>629</v>
      </c>
      <c r="AQ16" s="54"/>
      <c r="AR16" s="17" t="s">
        <v>60</v>
      </c>
      <c r="AS16" s="9">
        <v>0</v>
      </c>
      <c r="AT16" s="17" t="s">
        <v>60</v>
      </c>
      <c r="AU16" s="9">
        <v>0</v>
      </c>
      <c r="AV16" s="25">
        <v>98998</v>
      </c>
      <c r="AW16" s="9">
        <f t="shared" si="3"/>
        <v>18</v>
      </c>
      <c r="AX16" s="25">
        <v>1668</v>
      </c>
      <c r="AY16" s="9">
        <f>IF((AX16-AX15&lt;0), "",AX16-AX15)</f>
        <v>2</v>
      </c>
      <c r="AZ16" s="25">
        <v>8553374</v>
      </c>
      <c r="BA16" s="9">
        <f t="shared" si="5"/>
        <v>2043</v>
      </c>
      <c r="BB16" s="25">
        <v>2069131</v>
      </c>
      <c r="BC16" s="9">
        <f t="shared" si="13"/>
        <v>1155</v>
      </c>
      <c r="BD16" s="25">
        <v>149</v>
      </c>
      <c r="BE16" s="25">
        <v>203</v>
      </c>
      <c r="BH16">
        <f t="shared" si="0"/>
        <v>0</v>
      </c>
    </row>
    <row r="17" spans="1:60" ht="45" customHeight="1">
      <c r="A17" s="8">
        <v>45000</v>
      </c>
      <c r="B17" s="52"/>
      <c r="C17" s="25">
        <v>32581564</v>
      </c>
      <c r="D17" s="9">
        <f>IF((C17-C16&lt;0), "0",C17-C16)</f>
        <v>7148</v>
      </c>
      <c r="E17" s="25">
        <v>32832610</v>
      </c>
      <c r="F17" s="9">
        <f t="shared" si="7"/>
        <v>4774</v>
      </c>
      <c r="G17" s="25">
        <v>14026072</v>
      </c>
      <c r="H17" s="9">
        <f t="shared" si="1"/>
        <v>3805</v>
      </c>
      <c r="I17" s="25">
        <v>1969204</v>
      </c>
      <c r="J17" s="9">
        <f t="shared" si="8"/>
        <v>540</v>
      </c>
      <c r="K17" s="25">
        <v>3964634</v>
      </c>
      <c r="L17" s="9">
        <f t="shared" si="8"/>
        <v>462</v>
      </c>
      <c r="M17" s="25">
        <v>5238896</v>
      </c>
      <c r="N17" s="9">
        <f t="shared" ref="N17" si="54">IF((M17-M16&lt;0), "0",M17-M16)</f>
        <v>1203</v>
      </c>
      <c r="O17" s="33">
        <v>2271833</v>
      </c>
      <c r="P17" s="9">
        <f t="shared" ref="P17" si="55">IF((O17-O16&lt;0), "0",O17-O16)</f>
        <v>0</v>
      </c>
      <c r="Q17" s="25">
        <v>1599363</v>
      </c>
      <c r="R17" s="9">
        <f t="shared" ref="R17:R18" si="56">IF((Q17-Q16&lt;0), "0",Q17-Q16)</f>
        <v>408</v>
      </c>
      <c r="S17" s="25">
        <v>574136</v>
      </c>
      <c r="T17" s="9">
        <f t="shared" ref="T17" si="57">IF((S17-S16&lt;0), "0",S17-S16)</f>
        <v>6</v>
      </c>
      <c r="U17" s="25">
        <v>4968496</v>
      </c>
      <c r="V17" s="9">
        <f t="shared" si="53"/>
        <v>806</v>
      </c>
      <c r="W17" s="25">
        <v>1136604</v>
      </c>
      <c r="X17" s="9">
        <f t="shared" si="53"/>
        <v>109</v>
      </c>
      <c r="Y17" s="25">
        <v>5182879</v>
      </c>
      <c r="Z17" s="9">
        <f t="shared" si="53"/>
        <v>1690</v>
      </c>
      <c r="AA17" s="25">
        <v>2272041</v>
      </c>
      <c r="AB17" s="9">
        <f t="shared" si="53"/>
        <v>2</v>
      </c>
      <c r="AC17" s="25">
        <v>6471091</v>
      </c>
      <c r="AD17" s="9">
        <f t="shared" si="53"/>
        <v>1162</v>
      </c>
      <c r="AE17" s="25">
        <v>9326900</v>
      </c>
      <c r="AF17" s="9">
        <f t="shared" si="53"/>
        <v>1879</v>
      </c>
      <c r="AG17" s="25">
        <v>1550078</v>
      </c>
      <c r="AH17" s="9">
        <f t="shared" si="53"/>
        <v>281</v>
      </c>
      <c r="AI17" s="25">
        <v>289880</v>
      </c>
      <c r="AJ17" s="9">
        <f t="shared" si="53"/>
        <v>46</v>
      </c>
      <c r="AK17" s="25">
        <v>1218969</v>
      </c>
      <c r="AL17" s="9">
        <f t="shared" si="53"/>
        <v>230</v>
      </c>
      <c r="AM17" s="25">
        <v>2325772</v>
      </c>
      <c r="AN17" s="9">
        <f t="shared" si="53"/>
        <v>598</v>
      </c>
      <c r="AO17" s="25">
        <v>2254129</v>
      </c>
      <c r="AP17" s="9">
        <f t="shared" si="53"/>
        <v>637</v>
      </c>
      <c r="AQ17" s="54"/>
      <c r="AR17" s="17" t="s">
        <v>60</v>
      </c>
      <c r="AS17" s="9">
        <v>0</v>
      </c>
      <c r="AT17" s="17" t="s">
        <v>60</v>
      </c>
      <c r="AU17" s="9">
        <v>0</v>
      </c>
      <c r="AV17" s="25">
        <v>99020</v>
      </c>
      <c r="AW17" s="9">
        <f t="shared" si="3"/>
        <v>22</v>
      </c>
      <c r="AX17" s="25">
        <v>1670</v>
      </c>
      <c r="AY17" s="9">
        <f>IF((AX17-AX16&lt;0), "",AX17-AX16)</f>
        <v>2</v>
      </c>
      <c r="AZ17" s="25">
        <v>8555763</v>
      </c>
      <c r="BA17" s="9">
        <f t="shared" si="5"/>
        <v>2389</v>
      </c>
      <c r="BB17" s="25">
        <v>2070331</v>
      </c>
      <c r="BC17" s="9">
        <f t="shared" si="13"/>
        <v>1200</v>
      </c>
      <c r="BD17" s="25">
        <v>148</v>
      </c>
      <c r="BE17" s="25">
        <v>213</v>
      </c>
      <c r="BH17">
        <f t="shared" si="0"/>
        <v>0</v>
      </c>
    </row>
    <row r="18" spans="1:60" ht="45" customHeight="1">
      <c r="A18" s="8">
        <v>45001</v>
      </c>
      <c r="B18" s="52"/>
      <c r="C18" s="25">
        <v>32589441</v>
      </c>
      <c r="D18" s="9">
        <f>IF((C18-C17&lt;0), "0",C18-C17)</f>
        <v>7877</v>
      </c>
      <c r="E18" s="25">
        <v>32838143</v>
      </c>
      <c r="F18" s="9">
        <f t="shared" si="7"/>
        <v>5533</v>
      </c>
      <c r="G18" s="25">
        <v>14029541</v>
      </c>
      <c r="H18" s="9">
        <f t="shared" si="1"/>
        <v>3469</v>
      </c>
      <c r="I18" s="25">
        <v>1969784</v>
      </c>
      <c r="J18" s="9">
        <f t="shared" si="8"/>
        <v>580</v>
      </c>
      <c r="K18" s="25">
        <v>3965114</v>
      </c>
      <c r="L18" s="9">
        <f t="shared" si="8"/>
        <v>480</v>
      </c>
      <c r="M18" s="25">
        <v>5240182</v>
      </c>
      <c r="N18" s="9">
        <f t="shared" ref="N18" si="58">IF((M18-M17&lt;0), "0",M18-M17)</f>
        <v>1286</v>
      </c>
      <c r="O18" s="33">
        <v>2271833</v>
      </c>
      <c r="P18" s="9">
        <f t="shared" ref="P18" si="59">IF((O18-O17&lt;0), "0",O18-O17)</f>
        <v>0</v>
      </c>
      <c r="Q18" s="25">
        <v>1599754</v>
      </c>
      <c r="R18" s="9">
        <f t="shared" si="56"/>
        <v>391</v>
      </c>
      <c r="S18" s="25">
        <v>574143</v>
      </c>
      <c r="T18" s="9">
        <f t="shared" ref="T18" si="60">IF((S18-S17&lt;0), "0",S18-S17)</f>
        <v>7</v>
      </c>
      <c r="U18" s="25">
        <v>4969386</v>
      </c>
      <c r="V18" s="9">
        <f t="shared" si="53"/>
        <v>890</v>
      </c>
      <c r="W18" s="25">
        <v>1136873</v>
      </c>
      <c r="X18" s="9">
        <f t="shared" si="53"/>
        <v>269</v>
      </c>
      <c r="Y18" s="25">
        <v>5184961</v>
      </c>
      <c r="Z18" s="9">
        <f t="shared" si="53"/>
        <v>2082</v>
      </c>
      <c r="AA18" s="25">
        <v>2272044</v>
      </c>
      <c r="AB18" s="9">
        <f t="shared" si="53"/>
        <v>3</v>
      </c>
      <c r="AC18" s="25">
        <v>6472320</v>
      </c>
      <c r="AD18" s="9">
        <f t="shared" si="53"/>
        <v>1229</v>
      </c>
      <c r="AE18" s="25">
        <v>9328877</v>
      </c>
      <c r="AF18" s="9">
        <f t="shared" si="53"/>
        <v>1977</v>
      </c>
      <c r="AG18" s="25">
        <v>1550376</v>
      </c>
      <c r="AH18" s="9">
        <f t="shared" si="53"/>
        <v>298</v>
      </c>
      <c r="AI18" s="25">
        <v>289916</v>
      </c>
      <c r="AJ18" s="9">
        <f t="shared" si="53"/>
        <v>36</v>
      </c>
      <c r="AK18" s="25">
        <v>1219209</v>
      </c>
      <c r="AL18" s="9">
        <f t="shared" si="53"/>
        <v>240</v>
      </c>
      <c r="AM18" s="25">
        <v>2326427</v>
      </c>
      <c r="AN18" s="9">
        <f t="shared" si="53"/>
        <v>655</v>
      </c>
      <c r="AO18" s="25">
        <v>2254740</v>
      </c>
      <c r="AP18" s="9">
        <f t="shared" si="53"/>
        <v>611</v>
      </c>
      <c r="AQ18" s="54"/>
      <c r="AR18" s="17" t="s">
        <v>60</v>
      </c>
      <c r="AS18" s="9">
        <v>0</v>
      </c>
      <c r="AT18" s="17" t="s">
        <v>60</v>
      </c>
      <c r="AU18" s="9">
        <v>0</v>
      </c>
      <c r="AV18" s="25">
        <v>99042</v>
      </c>
      <c r="AW18" s="9">
        <f t="shared" si="3"/>
        <v>22</v>
      </c>
      <c r="AX18" s="25">
        <v>1673</v>
      </c>
      <c r="AY18" s="9">
        <f t="shared" si="4"/>
        <v>3</v>
      </c>
      <c r="AZ18" s="25">
        <v>8558365</v>
      </c>
      <c r="BA18" s="9">
        <f t="shared" si="5"/>
        <v>2602</v>
      </c>
      <c r="BB18" s="25">
        <v>2071422</v>
      </c>
      <c r="BC18" s="9">
        <f t="shared" si="13"/>
        <v>1091</v>
      </c>
      <c r="BD18" s="25">
        <v>121</v>
      </c>
      <c r="BE18" s="25">
        <v>188</v>
      </c>
      <c r="BH18">
        <f t="shared" si="0"/>
        <v>0</v>
      </c>
    </row>
    <row r="19" spans="1:60" ht="45" customHeight="1">
      <c r="A19" s="8">
        <v>45002</v>
      </c>
      <c r="B19" s="52"/>
      <c r="C19" s="25">
        <v>32597261</v>
      </c>
      <c r="D19" s="9">
        <f t="shared" si="6"/>
        <v>7820</v>
      </c>
      <c r="E19" s="25">
        <v>32842917</v>
      </c>
      <c r="F19" s="9">
        <f t="shared" si="7"/>
        <v>4774</v>
      </c>
      <c r="G19" s="25">
        <v>14033342</v>
      </c>
      <c r="H19" s="9">
        <f t="shared" si="1"/>
        <v>3801</v>
      </c>
      <c r="I19" s="25">
        <v>1970364</v>
      </c>
      <c r="J19" s="9">
        <f t="shared" si="8"/>
        <v>580</v>
      </c>
      <c r="K19" s="25">
        <v>3965572</v>
      </c>
      <c r="L19" s="9">
        <f t="shared" si="8"/>
        <v>458</v>
      </c>
      <c r="M19" s="25">
        <v>5241297</v>
      </c>
      <c r="N19" s="9">
        <f t="shared" ref="N19" si="61">IF((M19-M18&lt;0), "0",M19-M18)</f>
        <v>1115</v>
      </c>
      <c r="O19" s="33">
        <v>2271833</v>
      </c>
      <c r="P19" s="9">
        <f t="shared" ref="P19" si="62">IF((O19-O18&lt;0), "0",O19-O18)</f>
        <v>0</v>
      </c>
      <c r="Q19" s="25">
        <v>1600121</v>
      </c>
      <c r="R19" s="9">
        <f t="shared" ref="R19" si="63">IF((Q19-Q18&lt;0), "0",Q19-Q18)</f>
        <v>367</v>
      </c>
      <c r="S19" s="25">
        <v>574186</v>
      </c>
      <c r="T19" s="9">
        <f t="shared" ref="T19" si="64">IF((S19-S18&lt;0), "0",S19-S18)</f>
        <v>43</v>
      </c>
      <c r="U19" s="25">
        <v>4970187</v>
      </c>
      <c r="V19" s="9">
        <f t="shared" si="53"/>
        <v>801</v>
      </c>
      <c r="W19" s="25">
        <v>1137116</v>
      </c>
      <c r="X19" s="9">
        <f t="shared" si="53"/>
        <v>243</v>
      </c>
      <c r="Y19" s="25">
        <v>5187365</v>
      </c>
      <c r="Z19" s="9">
        <f>IF((Y19-Y18&lt;0), "",Y19-Y18)</f>
        <v>2404</v>
      </c>
      <c r="AA19" s="25">
        <v>2272046</v>
      </c>
      <c r="AB19" s="9">
        <f t="shared" si="53"/>
        <v>2</v>
      </c>
      <c r="AC19" s="25">
        <v>6473488</v>
      </c>
      <c r="AD19" s="9">
        <f t="shared" si="53"/>
        <v>1168</v>
      </c>
      <c r="AE19" s="25">
        <v>9330769</v>
      </c>
      <c r="AF19" s="9">
        <f t="shared" si="53"/>
        <v>1892</v>
      </c>
      <c r="AG19" s="25">
        <v>1550658</v>
      </c>
      <c r="AH19" s="9">
        <f t="shared" si="53"/>
        <v>282</v>
      </c>
      <c r="AI19" s="25">
        <v>289949</v>
      </c>
      <c r="AJ19" s="9">
        <f t="shared" si="53"/>
        <v>33</v>
      </c>
      <c r="AK19" s="25">
        <v>1219434</v>
      </c>
      <c r="AL19" s="9">
        <f t="shared" si="53"/>
        <v>225</v>
      </c>
      <c r="AM19" s="25">
        <v>2327046</v>
      </c>
      <c r="AN19" s="9">
        <f t="shared" si="53"/>
        <v>619</v>
      </c>
      <c r="AO19" s="25">
        <v>2255322</v>
      </c>
      <c r="AP19" s="9">
        <f t="shared" si="53"/>
        <v>582</v>
      </c>
      <c r="AQ19" s="54"/>
      <c r="AR19" s="17" t="s">
        <v>60</v>
      </c>
      <c r="AS19" s="9">
        <v>0</v>
      </c>
      <c r="AT19" s="17" t="s">
        <v>60</v>
      </c>
      <c r="AU19" s="9">
        <v>0</v>
      </c>
      <c r="AV19" s="25">
        <v>99061</v>
      </c>
      <c r="AW19" s="9">
        <f t="shared" si="3"/>
        <v>19</v>
      </c>
      <c r="AX19" s="25">
        <v>1675</v>
      </c>
      <c r="AY19" s="9">
        <f t="shared" si="4"/>
        <v>2</v>
      </c>
      <c r="AZ19" s="25">
        <v>8560533</v>
      </c>
      <c r="BA19" s="9">
        <f t="shared" si="5"/>
        <v>2168</v>
      </c>
      <c r="BB19" s="25">
        <v>2072625</v>
      </c>
      <c r="BC19" s="9">
        <f t="shared" si="13"/>
        <v>1203</v>
      </c>
      <c r="BD19" s="25">
        <v>114</v>
      </c>
      <c r="BE19" s="25">
        <v>199</v>
      </c>
      <c r="BH19">
        <f t="shared" si="0"/>
        <v>0</v>
      </c>
    </row>
    <row r="20" spans="1:60" ht="45" customHeight="1">
      <c r="A20" s="8">
        <v>45003</v>
      </c>
      <c r="B20" s="52"/>
      <c r="C20" s="25">
        <v>0</v>
      </c>
      <c r="D20" s="9" t="str">
        <f t="shared" si="6"/>
        <v>0</v>
      </c>
      <c r="E20" s="25">
        <v>0</v>
      </c>
      <c r="F20" s="9" t="str">
        <f t="shared" si="7"/>
        <v>0</v>
      </c>
      <c r="G20" s="25">
        <v>0</v>
      </c>
      <c r="H20" s="9" t="str">
        <f t="shared" si="1"/>
        <v>0</v>
      </c>
      <c r="I20" s="25">
        <v>0</v>
      </c>
      <c r="J20" s="9" t="str">
        <f t="shared" si="8"/>
        <v>0</v>
      </c>
      <c r="K20" s="25">
        <v>0</v>
      </c>
      <c r="L20" s="9" t="str">
        <f t="shared" si="8"/>
        <v>0</v>
      </c>
      <c r="M20" s="25">
        <v>0</v>
      </c>
      <c r="N20" s="9" t="str">
        <f t="shared" ref="N20" si="65">IF((M20-M19&lt;0), "0",M20-M19)</f>
        <v>0</v>
      </c>
      <c r="O20" s="25">
        <v>0</v>
      </c>
      <c r="P20" s="9" t="str">
        <f t="shared" ref="P20" si="66">IF((O20-O19&lt;0), "0",O20-O19)</f>
        <v>0</v>
      </c>
      <c r="Q20" s="25">
        <v>0</v>
      </c>
      <c r="R20" s="9" t="str">
        <f t="shared" ref="R20" si="67">IF((Q20-Q19&lt;0), "0",Q20-Q19)</f>
        <v>0</v>
      </c>
      <c r="S20" s="25">
        <v>0</v>
      </c>
      <c r="T20" s="9" t="str">
        <f t="shared" ref="T20" si="68">IF((S20-S19&lt;0), "0",S20-S19)</f>
        <v>0</v>
      </c>
      <c r="U20" s="25">
        <v>0</v>
      </c>
      <c r="V20" s="9" t="str">
        <f t="shared" si="53"/>
        <v/>
      </c>
      <c r="W20" s="25">
        <v>0</v>
      </c>
      <c r="X20" s="9" t="str">
        <f t="shared" si="53"/>
        <v/>
      </c>
      <c r="Y20" s="25">
        <v>0</v>
      </c>
      <c r="Z20" s="9" t="str">
        <f t="shared" si="53"/>
        <v/>
      </c>
      <c r="AA20" s="25">
        <v>0</v>
      </c>
      <c r="AB20" s="9" t="str">
        <f t="shared" si="53"/>
        <v/>
      </c>
      <c r="AC20" s="25">
        <v>0</v>
      </c>
      <c r="AD20" s="9" t="str">
        <f t="shared" si="53"/>
        <v/>
      </c>
      <c r="AE20" s="25">
        <v>0</v>
      </c>
      <c r="AF20" s="9" t="str">
        <f t="shared" si="53"/>
        <v/>
      </c>
      <c r="AG20" s="25">
        <v>0</v>
      </c>
      <c r="AH20" s="9" t="str">
        <f t="shared" si="53"/>
        <v/>
      </c>
      <c r="AI20" s="25">
        <v>0</v>
      </c>
      <c r="AJ20" s="9" t="str">
        <f t="shared" si="53"/>
        <v/>
      </c>
      <c r="AK20" s="25">
        <v>0</v>
      </c>
      <c r="AL20" s="9" t="str">
        <f t="shared" si="53"/>
        <v/>
      </c>
      <c r="AM20" s="25">
        <v>0</v>
      </c>
      <c r="AN20" s="9" t="str">
        <f t="shared" si="53"/>
        <v/>
      </c>
      <c r="AO20" s="25">
        <v>0</v>
      </c>
      <c r="AP20" s="9" t="str">
        <f t="shared" si="53"/>
        <v/>
      </c>
      <c r="AQ20" s="54"/>
      <c r="AR20" s="17" t="s">
        <v>60</v>
      </c>
      <c r="AS20" s="9">
        <v>0</v>
      </c>
      <c r="AT20" s="17" t="s">
        <v>60</v>
      </c>
      <c r="AU20" s="9">
        <v>0</v>
      </c>
      <c r="AV20" s="25">
        <v>0</v>
      </c>
      <c r="AW20" s="9" t="str">
        <f t="shared" si="3"/>
        <v/>
      </c>
      <c r="AX20" s="25">
        <v>0</v>
      </c>
      <c r="AY20" s="9" t="str">
        <f t="shared" si="4"/>
        <v/>
      </c>
      <c r="AZ20" s="25">
        <v>0</v>
      </c>
      <c r="BA20" s="9" t="str">
        <f t="shared" si="5"/>
        <v/>
      </c>
      <c r="BB20" s="25">
        <v>0</v>
      </c>
      <c r="BC20" s="9" t="str">
        <f t="shared" si="13"/>
        <v/>
      </c>
      <c r="BD20" s="25">
        <v>0</v>
      </c>
      <c r="BE20" s="25">
        <v>0</v>
      </c>
      <c r="BH20">
        <f t="shared" si="0"/>
        <v>0</v>
      </c>
    </row>
    <row r="21" spans="1:60" ht="45" customHeight="1">
      <c r="A21" s="8">
        <v>45004</v>
      </c>
      <c r="B21" s="52"/>
      <c r="C21" s="25">
        <v>0</v>
      </c>
      <c r="D21" s="9">
        <f t="shared" si="6"/>
        <v>0</v>
      </c>
      <c r="E21" s="25">
        <v>0</v>
      </c>
      <c r="F21" s="9">
        <f t="shared" si="7"/>
        <v>0</v>
      </c>
      <c r="G21" s="25">
        <v>0</v>
      </c>
      <c r="H21" s="9">
        <f t="shared" si="1"/>
        <v>0</v>
      </c>
      <c r="I21" s="25">
        <v>0</v>
      </c>
      <c r="J21" s="9">
        <f t="shared" si="8"/>
        <v>0</v>
      </c>
      <c r="K21" s="25">
        <v>0</v>
      </c>
      <c r="L21" s="9">
        <f t="shared" si="8"/>
        <v>0</v>
      </c>
      <c r="M21" s="25">
        <v>0</v>
      </c>
      <c r="N21" s="9">
        <f t="shared" ref="N21" si="69">IF((M21-M20&lt;0), "0",M21-M20)</f>
        <v>0</v>
      </c>
      <c r="O21" s="25">
        <v>0</v>
      </c>
      <c r="P21" s="9">
        <f t="shared" ref="P21" si="70">IF((O21-O20&lt;0), "0",O21-O20)</f>
        <v>0</v>
      </c>
      <c r="Q21" s="25">
        <v>0</v>
      </c>
      <c r="R21" s="9">
        <f t="shared" ref="R21" si="71">IF((Q21-Q20&lt;0), "0",Q21-Q20)</f>
        <v>0</v>
      </c>
      <c r="S21" s="25">
        <v>0</v>
      </c>
      <c r="T21" s="9">
        <f t="shared" ref="T21" si="72">IF((S21-S20&lt;0), "0",S21-S20)</f>
        <v>0</v>
      </c>
      <c r="U21" s="25">
        <v>0</v>
      </c>
      <c r="V21" s="9">
        <f t="shared" si="53"/>
        <v>0</v>
      </c>
      <c r="W21" s="25">
        <v>0</v>
      </c>
      <c r="X21" s="9">
        <f t="shared" si="53"/>
        <v>0</v>
      </c>
      <c r="Y21" s="25">
        <v>0</v>
      </c>
      <c r="Z21" s="9">
        <f t="shared" si="53"/>
        <v>0</v>
      </c>
      <c r="AA21" s="25">
        <v>0</v>
      </c>
      <c r="AB21" s="9">
        <f t="shared" si="53"/>
        <v>0</v>
      </c>
      <c r="AC21" s="25">
        <v>0</v>
      </c>
      <c r="AD21" s="9">
        <f t="shared" si="53"/>
        <v>0</v>
      </c>
      <c r="AE21" s="25">
        <v>0</v>
      </c>
      <c r="AF21" s="9">
        <f t="shared" si="53"/>
        <v>0</v>
      </c>
      <c r="AG21" s="25">
        <v>0</v>
      </c>
      <c r="AH21" s="9">
        <f t="shared" si="53"/>
        <v>0</v>
      </c>
      <c r="AI21" s="25">
        <v>0</v>
      </c>
      <c r="AJ21" s="9">
        <f t="shared" si="53"/>
        <v>0</v>
      </c>
      <c r="AK21" s="25">
        <v>0</v>
      </c>
      <c r="AL21" s="9">
        <f t="shared" si="53"/>
        <v>0</v>
      </c>
      <c r="AM21" s="25">
        <v>0</v>
      </c>
      <c r="AN21" s="9">
        <f t="shared" si="53"/>
        <v>0</v>
      </c>
      <c r="AO21" s="25">
        <v>0</v>
      </c>
      <c r="AP21" s="9">
        <f t="shared" si="53"/>
        <v>0</v>
      </c>
      <c r="AQ21" s="54"/>
      <c r="AR21" s="17" t="s">
        <v>60</v>
      </c>
      <c r="AS21" s="9">
        <v>0</v>
      </c>
      <c r="AT21" s="17" t="s">
        <v>60</v>
      </c>
      <c r="AU21" s="9">
        <v>0</v>
      </c>
      <c r="AV21" s="25">
        <v>0</v>
      </c>
      <c r="AW21" s="9">
        <f t="shared" si="3"/>
        <v>0</v>
      </c>
      <c r="AX21" s="25">
        <v>0</v>
      </c>
      <c r="AY21" s="9">
        <f t="shared" si="4"/>
        <v>0</v>
      </c>
      <c r="AZ21" s="25">
        <v>0</v>
      </c>
      <c r="BA21" s="9">
        <f t="shared" si="5"/>
        <v>0</v>
      </c>
      <c r="BB21" s="25">
        <v>0</v>
      </c>
      <c r="BC21" s="9">
        <f t="shared" si="13"/>
        <v>0</v>
      </c>
      <c r="BD21" s="25">
        <v>0</v>
      </c>
      <c r="BE21" s="25">
        <v>0</v>
      </c>
      <c r="BH21">
        <f t="shared" si="0"/>
        <v>0</v>
      </c>
    </row>
    <row r="22" spans="1:60" ht="45" customHeight="1">
      <c r="A22" s="8">
        <v>45005</v>
      </c>
      <c r="B22" s="52"/>
      <c r="C22" s="25">
        <v>0</v>
      </c>
      <c r="D22" s="9">
        <f t="shared" si="6"/>
        <v>0</v>
      </c>
      <c r="E22" s="25">
        <v>0</v>
      </c>
      <c r="F22" s="9">
        <f t="shared" si="7"/>
        <v>0</v>
      </c>
      <c r="G22" s="25">
        <v>0</v>
      </c>
      <c r="H22" s="9">
        <f t="shared" si="1"/>
        <v>0</v>
      </c>
      <c r="I22" s="25">
        <v>0</v>
      </c>
      <c r="J22" s="9">
        <f t="shared" si="8"/>
        <v>0</v>
      </c>
      <c r="K22" s="25">
        <v>0</v>
      </c>
      <c r="L22" s="9">
        <f t="shared" si="8"/>
        <v>0</v>
      </c>
      <c r="M22" s="25">
        <v>0</v>
      </c>
      <c r="N22" s="9">
        <f t="shared" ref="N22" si="73">IF((M22-M21&lt;0), "0",M22-M21)</f>
        <v>0</v>
      </c>
      <c r="O22" s="25">
        <v>0</v>
      </c>
      <c r="P22" s="9">
        <f t="shared" ref="P22" si="74">IF((O22-O21&lt;0), "0",O22-O21)</f>
        <v>0</v>
      </c>
      <c r="Q22" s="25">
        <v>0</v>
      </c>
      <c r="R22" s="9">
        <f t="shared" ref="R22" si="75">IF((Q22-Q21&lt;0), "0",Q22-Q21)</f>
        <v>0</v>
      </c>
      <c r="S22" s="25">
        <v>0</v>
      </c>
      <c r="T22" s="9">
        <f t="shared" ref="T22" si="76">IF((S22-S21&lt;0), "0",S22-S21)</f>
        <v>0</v>
      </c>
      <c r="U22" s="25">
        <v>0</v>
      </c>
      <c r="V22" s="9">
        <f t="shared" si="53"/>
        <v>0</v>
      </c>
      <c r="W22" s="25">
        <v>0</v>
      </c>
      <c r="X22" s="9">
        <f t="shared" si="53"/>
        <v>0</v>
      </c>
      <c r="Y22" s="25">
        <v>0</v>
      </c>
      <c r="Z22" s="9">
        <f t="shared" si="53"/>
        <v>0</v>
      </c>
      <c r="AA22" s="25">
        <v>0</v>
      </c>
      <c r="AB22" s="9">
        <f t="shared" si="53"/>
        <v>0</v>
      </c>
      <c r="AC22" s="25">
        <v>0</v>
      </c>
      <c r="AD22" s="9">
        <f t="shared" si="53"/>
        <v>0</v>
      </c>
      <c r="AE22" s="25">
        <v>0</v>
      </c>
      <c r="AF22" s="9">
        <f t="shared" si="53"/>
        <v>0</v>
      </c>
      <c r="AG22" s="25">
        <v>0</v>
      </c>
      <c r="AH22" s="9">
        <f t="shared" si="53"/>
        <v>0</v>
      </c>
      <c r="AI22" s="25">
        <v>0</v>
      </c>
      <c r="AJ22" s="9">
        <f t="shared" si="53"/>
        <v>0</v>
      </c>
      <c r="AK22" s="25">
        <v>0</v>
      </c>
      <c r="AL22" s="9">
        <f t="shared" si="53"/>
        <v>0</v>
      </c>
      <c r="AM22" s="25">
        <v>0</v>
      </c>
      <c r="AN22" s="9">
        <f t="shared" si="53"/>
        <v>0</v>
      </c>
      <c r="AO22" s="25">
        <v>0</v>
      </c>
      <c r="AP22" s="9">
        <f t="shared" si="53"/>
        <v>0</v>
      </c>
      <c r="AQ22" s="54"/>
      <c r="AR22" s="17">
        <v>0</v>
      </c>
      <c r="AS22" s="9" t="str">
        <f>IF((AR22-AR12&lt;0), "",AR22-AR12)</f>
        <v/>
      </c>
      <c r="AT22" s="17">
        <v>0</v>
      </c>
      <c r="AU22" s="9" t="str">
        <f>IF((AT22-AT12&lt;0), "",AT22-AT12)</f>
        <v/>
      </c>
      <c r="AV22" s="25">
        <v>0</v>
      </c>
      <c r="AW22" s="9">
        <f>IF((AV22-AV21&lt;0), "",AV22-AV21)</f>
        <v>0</v>
      </c>
      <c r="AX22" s="25">
        <v>0</v>
      </c>
      <c r="AY22" s="9">
        <f t="shared" si="4"/>
        <v>0</v>
      </c>
      <c r="AZ22" s="25">
        <v>0</v>
      </c>
      <c r="BA22" s="9">
        <f t="shared" si="5"/>
        <v>0</v>
      </c>
      <c r="BB22" s="25">
        <v>0</v>
      </c>
      <c r="BC22" s="9">
        <f t="shared" si="13"/>
        <v>0</v>
      </c>
      <c r="BD22" s="25">
        <v>0</v>
      </c>
      <c r="BE22" s="25">
        <v>0</v>
      </c>
      <c r="BH22">
        <f t="shared" si="0"/>
        <v>0</v>
      </c>
    </row>
    <row r="23" spans="1:60" ht="45" customHeight="1">
      <c r="A23" s="8">
        <v>45006</v>
      </c>
      <c r="B23" s="52"/>
      <c r="C23" s="25">
        <v>0</v>
      </c>
      <c r="D23" s="9">
        <f t="shared" si="6"/>
        <v>0</v>
      </c>
      <c r="E23" s="25">
        <v>0</v>
      </c>
      <c r="F23" s="9">
        <f t="shared" si="7"/>
        <v>0</v>
      </c>
      <c r="G23" s="25">
        <v>0</v>
      </c>
      <c r="H23" s="9">
        <f t="shared" si="1"/>
        <v>0</v>
      </c>
      <c r="I23" s="25">
        <v>0</v>
      </c>
      <c r="J23" s="9">
        <f t="shared" si="8"/>
        <v>0</v>
      </c>
      <c r="K23" s="25">
        <v>0</v>
      </c>
      <c r="L23" s="9">
        <f t="shared" si="8"/>
        <v>0</v>
      </c>
      <c r="M23" s="25">
        <v>0</v>
      </c>
      <c r="N23" s="9">
        <f t="shared" ref="N23" si="77">IF((M23-M22&lt;0), "0",M23-M22)</f>
        <v>0</v>
      </c>
      <c r="O23" s="25">
        <v>0</v>
      </c>
      <c r="P23" s="9">
        <f t="shared" ref="P23" si="78">IF((O23-O22&lt;0), "0",O23-O22)</f>
        <v>0</v>
      </c>
      <c r="Q23" s="25">
        <v>0</v>
      </c>
      <c r="R23" s="9">
        <f t="shared" ref="R23" si="79">IF((Q23-Q22&lt;0), "0",Q23-Q22)</f>
        <v>0</v>
      </c>
      <c r="S23" s="25">
        <v>0</v>
      </c>
      <c r="T23" s="9">
        <f t="shared" ref="T23" si="80">IF((S23-S22&lt;0), "0",S23-S22)</f>
        <v>0</v>
      </c>
      <c r="U23" s="25">
        <v>0</v>
      </c>
      <c r="V23" s="9">
        <f t="shared" si="53"/>
        <v>0</v>
      </c>
      <c r="W23" s="25">
        <v>0</v>
      </c>
      <c r="X23" s="9">
        <f t="shared" si="53"/>
        <v>0</v>
      </c>
      <c r="Y23" s="25">
        <v>0</v>
      </c>
      <c r="Z23" s="9">
        <f t="shared" si="53"/>
        <v>0</v>
      </c>
      <c r="AA23" s="25">
        <v>0</v>
      </c>
      <c r="AB23" s="9">
        <f t="shared" si="53"/>
        <v>0</v>
      </c>
      <c r="AC23" s="25">
        <v>0</v>
      </c>
      <c r="AD23" s="9">
        <f t="shared" si="53"/>
        <v>0</v>
      </c>
      <c r="AE23" s="25">
        <v>0</v>
      </c>
      <c r="AF23" s="9">
        <f t="shared" si="53"/>
        <v>0</v>
      </c>
      <c r="AG23" s="25">
        <v>0</v>
      </c>
      <c r="AH23" s="9">
        <f t="shared" si="53"/>
        <v>0</v>
      </c>
      <c r="AI23" s="25">
        <v>0</v>
      </c>
      <c r="AJ23" s="9">
        <f t="shared" si="53"/>
        <v>0</v>
      </c>
      <c r="AK23" s="25">
        <v>0</v>
      </c>
      <c r="AL23" s="9">
        <f t="shared" si="53"/>
        <v>0</v>
      </c>
      <c r="AM23" s="25">
        <v>0</v>
      </c>
      <c r="AN23" s="9">
        <f t="shared" si="53"/>
        <v>0</v>
      </c>
      <c r="AO23" s="25">
        <v>0</v>
      </c>
      <c r="AP23" s="9">
        <f t="shared" si="53"/>
        <v>0</v>
      </c>
      <c r="AQ23" s="54"/>
      <c r="AR23" s="17" t="s">
        <v>60</v>
      </c>
      <c r="AS23" s="9">
        <v>0</v>
      </c>
      <c r="AT23" s="17" t="s">
        <v>60</v>
      </c>
      <c r="AU23" s="9">
        <v>0</v>
      </c>
      <c r="AV23" s="25">
        <v>0</v>
      </c>
      <c r="AW23" s="9">
        <f t="shared" si="3"/>
        <v>0</v>
      </c>
      <c r="AX23" s="25">
        <v>0</v>
      </c>
      <c r="AY23" s="9">
        <f t="shared" si="4"/>
        <v>0</v>
      </c>
      <c r="AZ23" s="25">
        <v>0</v>
      </c>
      <c r="BA23" s="9">
        <f t="shared" si="5"/>
        <v>0</v>
      </c>
      <c r="BB23" s="25">
        <v>0</v>
      </c>
      <c r="BC23" s="9">
        <f t="shared" si="13"/>
        <v>0</v>
      </c>
      <c r="BD23" s="25">
        <v>0</v>
      </c>
      <c r="BE23" s="25">
        <v>0</v>
      </c>
      <c r="BH23">
        <f t="shared" si="0"/>
        <v>0</v>
      </c>
    </row>
    <row r="24" spans="1:60" ht="45" customHeight="1">
      <c r="A24" s="8">
        <v>45007</v>
      </c>
      <c r="B24" s="52"/>
      <c r="C24" s="25">
        <v>0</v>
      </c>
      <c r="D24" s="9">
        <f t="shared" si="6"/>
        <v>0</v>
      </c>
      <c r="E24" s="25">
        <v>0</v>
      </c>
      <c r="F24" s="9">
        <f t="shared" si="7"/>
        <v>0</v>
      </c>
      <c r="G24" s="25">
        <v>0</v>
      </c>
      <c r="H24" s="9">
        <f t="shared" si="1"/>
        <v>0</v>
      </c>
      <c r="I24" s="25">
        <v>0</v>
      </c>
      <c r="J24" s="9">
        <f t="shared" si="8"/>
        <v>0</v>
      </c>
      <c r="K24" s="25">
        <v>0</v>
      </c>
      <c r="L24" s="9">
        <f t="shared" si="8"/>
        <v>0</v>
      </c>
      <c r="M24" s="25">
        <v>0</v>
      </c>
      <c r="N24" s="9">
        <f t="shared" ref="N24" si="81">IF((M24-M23&lt;0), "0",M24-M23)</f>
        <v>0</v>
      </c>
      <c r="O24" s="25">
        <v>0</v>
      </c>
      <c r="P24" s="9">
        <f t="shared" ref="P24" si="82">IF((O24-O23&lt;0), "0",O24-O23)</f>
        <v>0</v>
      </c>
      <c r="Q24" s="25">
        <v>0</v>
      </c>
      <c r="R24" s="9">
        <f t="shared" ref="R24" si="83">IF((Q24-Q23&lt;0), "0",Q24-Q23)</f>
        <v>0</v>
      </c>
      <c r="S24" s="25">
        <v>0</v>
      </c>
      <c r="T24" s="9">
        <f t="shared" ref="T24" si="84">IF((S24-S23&lt;0), "0",S24-S23)</f>
        <v>0</v>
      </c>
      <c r="U24" s="25">
        <v>0</v>
      </c>
      <c r="V24" s="9">
        <f t="shared" si="53"/>
        <v>0</v>
      </c>
      <c r="W24" s="25">
        <v>0</v>
      </c>
      <c r="X24" s="9">
        <f t="shared" si="53"/>
        <v>0</v>
      </c>
      <c r="Y24" s="25">
        <v>0</v>
      </c>
      <c r="Z24" s="9">
        <f t="shared" si="53"/>
        <v>0</v>
      </c>
      <c r="AA24" s="25">
        <v>0</v>
      </c>
      <c r="AB24" s="9">
        <f t="shared" si="53"/>
        <v>0</v>
      </c>
      <c r="AC24" s="25">
        <v>0</v>
      </c>
      <c r="AD24" s="9">
        <f t="shared" si="53"/>
        <v>0</v>
      </c>
      <c r="AE24" s="25">
        <v>0</v>
      </c>
      <c r="AF24" s="9">
        <f t="shared" si="53"/>
        <v>0</v>
      </c>
      <c r="AG24" s="25">
        <v>0</v>
      </c>
      <c r="AH24" s="9">
        <f t="shared" si="53"/>
        <v>0</v>
      </c>
      <c r="AI24" s="25">
        <v>0</v>
      </c>
      <c r="AJ24" s="9">
        <f t="shared" si="53"/>
        <v>0</v>
      </c>
      <c r="AK24" s="25">
        <v>0</v>
      </c>
      <c r="AL24" s="9">
        <f t="shared" si="53"/>
        <v>0</v>
      </c>
      <c r="AM24" s="25">
        <v>0</v>
      </c>
      <c r="AN24" s="9">
        <f t="shared" si="53"/>
        <v>0</v>
      </c>
      <c r="AO24" s="25">
        <v>0</v>
      </c>
      <c r="AP24" s="9">
        <f t="shared" si="53"/>
        <v>0</v>
      </c>
      <c r="AQ24" s="54"/>
      <c r="AR24" s="17" t="s">
        <v>60</v>
      </c>
      <c r="AS24" s="9">
        <v>0</v>
      </c>
      <c r="AT24" s="17" t="s">
        <v>60</v>
      </c>
      <c r="AU24" s="9">
        <v>0</v>
      </c>
      <c r="AV24" s="25">
        <v>0</v>
      </c>
      <c r="AW24" s="9">
        <f t="shared" si="3"/>
        <v>0</v>
      </c>
      <c r="AX24" s="25">
        <v>0</v>
      </c>
      <c r="AY24" s="9">
        <f t="shared" si="4"/>
        <v>0</v>
      </c>
      <c r="AZ24" s="25">
        <v>0</v>
      </c>
      <c r="BA24" s="9">
        <f t="shared" si="5"/>
        <v>0</v>
      </c>
      <c r="BB24" s="25">
        <v>0</v>
      </c>
      <c r="BC24" s="9">
        <f t="shared" si="13"/>
        <v>0</v>
      </c>
      <c r="BD24" s="25">
        <v>0</v>
      </c>
      <c r="BE24" s="25">
        <v>0</v>
      </c>
      <c r="BH24">
        <f t="shared" si="0"/>
        <v>0</v>
      </c>
    </row>
    <row r="25" spans="1:60" ht="45" customHeight="1">
      <c r="A25" s="8">
        <v>45008</v>
      </c>
      <c r="B25" s="52"/>
      <c r="C25" s="25">
        <v>0</v>
      </c>
      <c r="D25" s="9">
        <f t="shared" si="6"/>
        <v>0</v>
      </c>
      <c r="E25" s="25">
        <v>0</v>
      </c>
      <c r="F25" s="9">
        <f t="shared" si="7"/>
        <v>0</v>
      </c>
      <c r="G25" s="25">
        <v>0</v>
      </c>
      <c r="H25" s="9">
        <f t="shared" si="1"/>
        <v>0</v>
      </c>
      <c r="I25" s="25">
        <v>0</v>
      </c>
      <c r="J25" s="9">
        <f t="shared" si="8"/>
        <v>0</v>
      </c>
      <c r="K25" s="25">
        <v>0</v>
      </c>
      <c r="L25" s="9">
        <f t="shared" si="8"/>
        <v>0</v>
      </c>
      <c r="M25" s="25">
        <v>0</v>
      </c>
      <c r="N25" s="9">
        <f t="shared" ref="N25" si="85">IF((M25-M24&lt;0), "0",M25-M24)</f>
        <v>0</v>
      </c>
      <c r="O25" s="25">
        <v>0</v>
      </c>
      <c r="P25" s="9">
        <f t="shared" ref="P25" si="86">IF((O25-O24&lt;0), "0",O25-O24)</f>
        <v>0</v>
      </c>
      <c r="Q25" s="25">
        <v>0</v>
      </c>
      <c r="R25" s="9">
        <f t="shared" ref="R25" si="87">IF((Q25-Q24&lt;0), "0",Q25-Q24)</f>
        <v>0</v>
      </c>
      <c r="S25" s="25">
        <v>0</v>
      </c>
      <c r="T25" s="9">
        <f t="shared" ref="T25" si="88">IF((S25-S24&lt;0), "0",S25-S24)</f>
        <v>0</v>
      </c>
      <c r="U25" s="25">
        <v>0</v>
      </c>
      <c r="V25" s="9">
        <f t="shared" si="53"/>
        <v>0</v>
      </c>
      <c r="W25" s="25">
        <v>0</v>
      </c>
      <c r="X25" s="9">
        <f t="shared" si="53"/>
        <v>0</v>
      </c>
      <c r="Y25" s="25">
        <v>0</v>
      </c>
      <c r="Z25" s="9">
        <f t="shared" si="53"/>
        <v>0</v>
      </c>
      <c r="AA25" s="25">
        <v>0</v>
      </c>
      <c r="AB25" s="9">
        <f t="shared" si="53"/>
        <v>0</v>
      </c>
      <c r="AC25" s="25">
        <v>0</v>
      </c>
      <c r="AD25" s="9">
        <f t="shared" si="53"/>
        <v>0</v>
      </c>
      <c r="AE25" s="25">
        <v>0</v>
      </c>
      <c r="AF25" s="9">
        <f t="shared" si="53"/>
        <v>0</v>
      </c>
      <c r="AG25" s="25">
        <v>0</v>
      </c>
      <c r="AH25" s="9">
        <f t="shared" si="53"/>
        <v>0</v>
      </c>
      <c r="AI25" s="25">
        <v>0</v>
      </c>
      <c r="AJ25" s="9">
        <f t="shared" si="53"/>
        <v>0</v>
      </c>
      <c r="AK25" s="25">
        <v>0</v>
      </c>
      <c r="AL25" s="9">
        <f t="shared" si="53"/>
        <v>0</v>
      </c>
      <c r="AM25" s="25">
        <v>0</v>
      </c>
      <c r="AN25" s="9">
        <f t="shared" si="53"/>
        <v>0</v>
      </c>
      <c r="AO25" s="25">
        <v>0</v>
      </c>
      <c r="AP25" s="9">
        <f t="shared" si="53"/>
        <v>0</v>
      </c>
      <c r="AQ25" s="54"/>
      <c r="AR25" s="17" t="s">
        <v>60</v>
      </c>
      <c r="AS25" s="9">
        <v>0</v>
      </c>
      <c r="AT25" s="17" t="s">
        <v>60</v>
      </c>
      <c r="AU25" s="9">
        <v>0</v>
      </c>
      <c r="AV25" s="25">
        <v>0</v>
      </c>
      <c r="AW25" s="9">
        <f t="shared" si="3"/>
        <v>0</v>
      </c>
      <c r="AX25" s="25">
        <v>0</v>
      </c>
      <c r="AY25" s="9">
        <f t="shared" si="4"/>
        <v>0</v>
      </c>
      <c r="AZ25" s="25">
        <v>0</v>
      </c>
      <c r="BA25" s="9">
        <f t="shared" si="5"/>
        <v>0</v>
      </c>
      <c r="BB25" s="25">
        <v>0</v>
      </c>
      <c r="BC25" s="9">
        <f t="shared" si="13"/>
        <v>0</v>
      </c>
      <c r="BD25" s="25">
        <v>0</v>
      </c>
      <c r="BE25" s="25">
        <v>0</v>
      </c>
      <c r="BH25">
        <f t="shared" si="0"/>
        <v>0</v>
      </c>
    </row>
    <row r="26" spans="1:60" ht="45" customHeight="1">
      <c r="A26" s="8">
        <v>45009</v>
      </c>
      <c r="B26" s="52"/>
      <c r="C26" s="25">
        <v>0</v>
      </c>
      <c r="D26" s="9">
        <f>IF((C26-C25&lt;0), "0",C26-C25)</f>
        <v>0</v>
      </c>
      <c r="E26" s="25">
        <v>0</v>
      </c>
      <c r="F26" s="9">
        <f>IF((E26-E25&lt;0), "0",E26-E25)</f>
        <v>0</v>
      </c>
      <c r="G26" s="25">
        <v>0</v>
      </c>
      <c r="H26" s="9">
        <f>IF((G26-G25&lt;0), "0",G26-G25)</f>
        <v>0</v>
      </c>
      <c r="I26" s="25">
        <v>0</v>
      </c>
      <c r="J26" s="9">
        <f t="shared" si="8"/>
        <v>0</v>
      </c>
      <c r="K26" s="25">
        <v>0</v>
      </c>
      <c r="L26" s="9">
        <f>IF((K26-K25&lt;0), "0",K26-K25)</f>
        <v>0</v>
      </c>
      <c r="M26" s="25">
        <v>0</v>
      </c>
      <c r="N26" s="9">
        <f t="shared" ref="N26" si="89">IF((M26-M25&lt;0), "0",M26-M25)</f>
        <v>0</v>
      </c>
      <c r="O26" s="25">
        <v>0</v>
      </c>
      <c r="P26" s="9">
        <f t="shared" ref="P26" si="90">IF((O26-O25&lt;0), "0",O26-O25)</f>
        <v>0</v>
      </c>
      <c r="Q26" s="25">
        <v>0</v>
      </c>
      <c r="R26" s="9">
        <f t="shared" ref="R26" si="91">IF((Q26-Q25&lt;0), "0",Q26-Q25)</f>
        <v>0</v>
      </c>
      <c r="S26" s="25">
        <v>0</v>
      </c>
      <c r="T26" s="9">
        <f t="shared" ref="T26" si="92">IF((S26-S25&lt;0), "0",S26-S25)</f>
        <v>0</v>
      </c>
      <c r="U26" s="25">
        <v>0</v>
      </c>
      <c r="V26" s="9">
        <f t="shared" si="53"/>
        <v>0</v>
      </c>
      <c r="W26" s="25">
        <v>0</v>
      </c>
      <c r="X26" s="9">
        <f t="shared" si="53"/>
        <v>0</v>
      </c>
      <c r="Y26" s="25">
        <v>0</v>
      </c>
      <c r="Z26" s="9">
        <f t="shared" si="53"/>
        <v>0</v>
      </c>
      <c r="AA26" s="25">
        <v>0</v>
      </c>
      <c r="AB26" s="9">
        <f t="shared" si="53"/>
        <v>0</v>
      </c>
      <c r="AC26" s="25">
        <v>0</v>
      </c>
      <c r="AD26" s="30">
        <f t="shared" si="53"/>
        <v>0</v>
      </c>
      <c r="AE26" s="25">
        <v>0</v>
      </c>
      <c r="AF26" s="32">
        <f t="shared" si="53"/>
        <v>0</v>
      </c>
      <c r="AG26" s="25">
        <v>0</v>
      </c>
      <c r="AH26" s="31">
        <f t="shared" si="53"/>
        <v>0</v>
      </c>
      <c r="AI26" s="25">
        <v>0</v>
      </c>
      <c r="AJ26" s="9">
        <f t="shared" si="53"/>
        <v>0</v>
      </c>
      <c r="AK26" s="25">
        <v>0</v>
      </c>
      <c r="AL26" s="9">
        <f t="shared" si="53"/>
        <v>0</v>
      </c>
      <c r="AM26" s="25">
        <v>0</v>
      </c>
      <c r="AN26" s="9">
        <f t="shared" si="53"/>
        <v>0</v>
      </c>
      <c r="AO26" s="25">
        <v>0</v>
      </c>
      <c r="AP26" s="9">
        <f t="shared" si="53"/>
        <v>0</v>
      </c>
      <c r="AQ26" s="54"/>
      <c r="AR26" s="17" t="s">
        <v>60</v>
      </c>
      <c r="AS26" s="9">
        <v>0</v>
      </c>
      <c r="AT26" s="17" t="s">
        <v>60</v>
      </c>
      <c r="AU26" s="9">
        <v>0</v>
      </c>
      <c r="AV26" s="25">
        <v>0</v>
      </c>
      <c r="AW26" s="9">
        <f t="shared" si="3"/>
        <v>0</v>
      </c>
      <c r="AX26" s="25">
        <v>0</v>
      </c>
      <c r="AY26" s="9">
        <f t="shared" si="4"/>
        <v>0</v>
      </c>
      <c r="AZ26" s="25">
        <v>0</v>
      </c>
      <c r="BA26" s="9">
        <f t="shared" si="5"/>
        <v>0</v>
      </c>
      <c r="BB26" s="25">
        <v>0</v>
      </c>
      <c r="BC26" s="9">
        <f t="shared" si="13"/>
        <v>0</v>
      </c>
      <c r="BD26" s="25">
        <v>0</v>
      </c>
      <c r="BE26" s="25">
        <v>0</v>
      </c>
      <c r="BH26">
        <f t="shared" si="0"/>
        <v>0</v>
      </c>
    </row>
    <row r="27" spans="1:60" ht="45" customHeight="1">
      <c r="A27" s="8">
        <v>45010</v>
      </c>
      <c r="B27" s="52"/>
      <c r="C27" s="25">
        <v>0</v>
      </c>
      <c r="D27" s="9">
        <f>IF((C27-C26&lt;0), "0",C27-C26)</f>
        <v>0</v>
      </c>
      <c r="E27" s="25">
        <v>0</v>
      </c>
      <c r="F27" s="9">
        <f>IF((E27-E26&lt;0), "0",E27-E26)</f>
        <v>0</v>
      </c>
      <c r="G27" s="25">
        <v>0</v>
      </c>
      <c r="H27" s="9">
        <f t="shared" si="1"/>
        <v>0</v>
      </c>
      <c r="I27" s="25">
        <v>0</v>
      </c>
      <c r="J27" s="9">
        <f t="shared" si="8"/>
        <v>0</v>
      </c>
      <c r="K27" s="25">
        <v>0</v>
      </c>
      <c r="L27" s="9">
        <f t="shared" si="8"/>
        <v>0</v>
      </c>
      <c r="M27" s="25">
        <v>0</v>
      </c>
      <c r="N27" s="9">
        <f t="shared" ref="N27" si="93">IF((M27-M26&lt;0), "0",M27-M26)</f>
        <v>0</v>
      </c>
      <c r="O27" s="25">
        <v>0</v>
      </c>
      <c r="P27" s="9">
        <f t="shared" ref="P27" si="94">IF((O27-O26&lt;0), "0",O27-O26)</f>
        <v>0</v>
      </c>
      <c r="Q27" s="25">
        <v>0</v>
      </c>
      <c r="R27" s="9">
        <f t="shared" ref="R27" si="95">IF((Q27-Q26&lt;0), "0",Q27-Q26)</f>
        <v>0</v>
      </c>
      <c r="S27" s="25">
        <v>0</v>
      </c>
      <c r="T27" s="9">
        <f t="shared" ref="T27" si="96">IF((S27-S26&lt;0), "0",S27-S26)</f>
        <v>0</v>
      </c>
      <c r="U27" s="25">
        <v>0</v>
      </c>
      <c r="V27" s="9">
        <f t="shared" si="53"/>
        <v>0</v>
      </c>
      <c r="W27" s="25">
        <v>0</v>
      </c>
      <c r="X27" s="9">
        <f t="shared" si="53"/>
        <v>0</v>
      </c>
      <c r="Y27" s="25">
        <v>0</v>
      </c>
      <c r="Z27" s="9">
        <f t="shared" si="53"/>
        <v>0</v>
      </c>
      <c r="AA27" s="25">
        <v>0</v>
      </c>
      <c r="AB27" s="9">
        <f t="shared" si="53"/>
        <v>0</v>
      </c>
      <c r="AC27" s="25">
        <v>0</v>
      </c>
      <c r="AD27" s="30">
        <f t="shared" si="53"/>
        <v>0</v>
      </c>
      <c r="AE27" s="25">
        <v>0</v>
      </c>
      <c r="AF27" s="32">
        <f t="shared" si="53"/>
        <v>0</v>
      </c>
      <c r="AG27" s="25">
        <v>0</v>
      </c>
      <c r="AH27" s="31">
        <f t="shared" si="53"/>
        <v>0</v>
      </c>
      <c r="AI27" s="25">
        <v>0</v>
      </c>
      <c r="AJ27" s="9">
        <f t="shared" si="53"/>
        <v>0</v>
      </c>
      <c r="AK27" s="25">
        <v>0</v>
      </c>
      <c r="AL27" s="9">
        <f t="shared" si="53"/>
        <v>0</v>
      </c>
      <c r="AM27" s="25">
        <v>0</v>
      </c>
      <c r="AN27" s="9">
        <f t="shared" si="53"/>
        <v>0</v>
      </c>
      <c r="AO27" s="25">
        <v>0</v>
      </c>
      <c r="AP27" s="9">
        <f t="shared" si="53"/>
        <v>0</v>
      </c>
      <c r="AQ27" s="54"/>
      <c r="AR27" s="17" t="s">
        <v>60</v>
      </c>
      <c r="AS27" s="9">
        <v>0</v>
      </c>
      <c r="AT27" s="17" t="s">
        <v>60</v>
      </c>
      <c r="AU27" s="9">
        <v>0</v>
      </c>
      <c r="AV27" s="25">
        <v>0</v>
      </c>
      <c r="AW27" s="9">
        <f t="shared" si="3"/>
        <v>0</v>
      </c>
      <c r="AX27" s="25">
        <v>0</v>
      </c>
      <c r="AY27" s="9">
        <f t="shared" si="4"/>
        <v>0</v>
      </c>
      <c r="AZ27" s="25">
        <v>0</v>
      </c>
      <c r="BA27" s="9">
        <f t="shared" si="5"/>
        <v>0</v>
      </c>
      <c r="BB27" s="25">
        <v>0</v>
      </c>
      <c r="BC27" s="9">
        <f t="shared" si="13"/>
        <v>0</v>
      </c>
      <c r="BD27" s="25">
        <v>0</v>
      </c>
      <c r="BE27" s="25">
        <v>0</v>
      </c>
      <c r="BH27">
        <f t="shared" si="0"/>
        <v>0</v>
      </c>
    </row>
    <row r="28" spans="1:60" ht="45" customHeight="1">
      <c r="A28" s="8">
        <v>45011</v>
      </c>
      <c r="B28" s="52"/>
      <c r="C28" s="25">
        <v>0</v>
      </c>
      <c r="D28" s="9">
        <f t="shared" si="6"/>
        <v>0</v>
      </c>
      <c r="E28" s="25">
        <v>0</v>
      </c>
      <c r="F28" s="9">
        <f t="shared" si="7"/>
        <v>0</v>
      </c>
      <c r="G28" s="25">
        <v>0</v>
      </c>
      <c r="H28" s="9">
        <f t="shared" si="1"/>
        <v>0</v>
      </c>
      <c r="I28" s="25">
        <v>0</v>
      </c>
      <c r="J28" s="9">
        <f t="shared" si="8"/>
        <v>0</v>
      </c>
      <c r="K28" s="25">
        <v>0</v>
      </c>
      <c r="L28" s="9">
        <f t="shared" si="8"/>
        <v>0</v>
      </c>
      <c r="M28" s="25">
        <v>0</v>
      </c>
      <c r="N28" s="9">
        <f t="shared" ref="N28" si="97">IF((M28-M27&lt;0), "0",M28-M27)</f>
        <v>0</v>
      </c>
      <c r="O28" s="25">
        <v>0</v>
      </c>
      <c r="P28" s="9">
        <f t="shared" ref="P28" si="98">IF((O28-O27&lt;0), "0",O28-O27)</f>
        <v>0</v>
      </c>
      <c r="Q28" s="25">
        <v>0</v>
      </c>
      <c r="R28" s="9">
        <f t="shared" ref="R28" si="99">IF((Q28-Q27&lt;0), "0",Q28-Q27)</f>
        <v>0</v>
      </c>
      <c r="S28" s="25">
        <v>0</v>
      </c>
      <c r="T28" s="9">
        <f t="shared" ref="T28" si="100">IF((S28-S27&lt;0), "0",S28-S27)</f>
        <v>0</v>
      </c>
      <c r="U28" s="25">
        <v>0</v>
      </c>
      <c r="V28" s="9">
        <f t="shared" si="53"/>
        <v>0</v>
      </c>
      <c r="W28" s="25">
        <v>0</v>
      </c>
      <c r="X28" s="9">
        <f t="shared" si="53"/>
        <v>0</v>
      </c>
      <c r="Y28" s="25">
        <v>0</v>
      </c>
      <c r="Z28" s="9">
        <f t="shared" si="53"/>
        <v>0</v>
      </c>
      <c r="AA28" s="25">
        <v>0</v>
      </c>
      <c r="AB28" s="9">
        <f t="shared" si="53"/>
        <v>0</v>
      </c>
      <c r="AC28" s="25">
        <v>0</v>
      </c>
      <c r="AD28" s="30">
        <f t="shared" si="53"/>
        <v>0</v>
      </c>
      <c r="AE28" s="25">
        <v>0</v>
      </c>
      <c r="AF28" s="32">
        <f t="shared" si="53"/>
        <v>0</v>
      </c>
      <c r="AG28" s="25">
        <v>0</v>
      </c>
      <c r="AH28" s="31">
        <f t="shared" si="53"/>
        <v>0</v>
      </c>
      <c r="AI28" s="25">
        <v>0</v>
      </c>
      <c r="AJ28" s="9">
        <f t="shared" si="53"/>
        <v>0</v>
      </c>
      <c r="AK28" s="25">
        <v>0</v>
      </c>
      <c r="AL28" s="9">
        <f t="shared" si="53"/>
        <v>0</v>
      </c>
      <c r="AM28" s="25">
        <v>0</v>
      </c>
      <c r="AN28" s="9">
        <f t="shared" si="53"/>
        <v>0</v>
      </c>
      <c r="AO28" s="25">
        <v>0</v>
      </c>
      <c r="AP28" s="9">
        <f t="shared" si="53"/>
        <v>0</v>
      </c>
      <c r="AQ28" s="54"/>
      <c r="AR28" s="17" t="s">
        <v>60</v>
      </c>
      <c r="AS28" s="9">
        <v>0</v>
      </c>
      <c r="AT28" s="17" t="s">
        <v>60</v>
      </c>
      <c r="AU28" s="9">
        <v>0</v>
      </c>
      <c r="AV28" s="25">
        <v>0</v>
      </c>
      <c r="AW28" s="9">
        <f t="shared" si="3"/>
        <v>0</v>
      </c>
      <c r="AX28" s="25">
        <v>0</v>
      </c>
      <c r="AY28" s="9">
        <f t="shared" si="4"/>
        <v>0</v>
      </c>
      <c r="AZ28" s="25">
        <v>0</v>
      </c>
      <c r="BA28" s="9">
        <f t="shared" si="5"/>
        <v>0</v>
      </c>
      <c r="BB28" s="25">
        <v>0</v>
      </c>
      <c r="BC28" s="9">
        <f t="shared" si="13"/>
        <v>0</v>
      </c>
      <c r="BD28" s="25">
        <v>0</v>
      </c>
      <c r="BE28" s="25">
        <v>0</v>
      </c>
      <c r="BH28">
        <f t="shared" si="0"/>
        <v>0</v>
      </c>
    </row>
    <row r="29" spans="1:60" ht="45" customHeight="1">
      <c r="A29" s="8">
        <v>45012</v>
      </c>
      <c r="B29" s="52"/>
      <c r="C29" s="25">
        <v>0</v>
      </c>
      <c r="D29" s="9">
        <f t="shared" si="6"/>
        <v>0</v>
      </c>
      <c r="E29" s="25">
        <v>0</v>
      </c>
      <c r="F29" s="9">
        <f t="shared" si="7"/>
        <v>0</v>
      </c>
      <c r="G29" s="25">
        <v>0</v>
      </c>
      <c r="H29" s="9">
        <f t="shared" si="1"/>
        <v>0</v>
      </c>
      <c r="I29" s="25">
        <v>0</v>
      </c>
      <c r="J29" s="9">
        <f t="shared" si="8"/>
        <v>0</v>
      </c>
      <c r="K29" s="25">
        <v>0</v>
      </c>
      <c r="L29" s="9">
        <f t="shared" si="8"/>
        <v>0</v>
      </c>
      <c r="M29" s="25">
        <v>0</v>
      </c>
      <c r="N29" s="9">
        <f t="shared" ref="N29" si="101">IF((M29-M28&lt;0), "0",M29-M28)</f>
        <v>0</v>
      </c>
      <c r="O29" s="25">
        <v>0</v>
      </c>
      <c r="P29" s="9">
        <f t="shared" ref="P29" si="102">IF((O29-O28&lt;0), "0",O29-O28)</f>
        <v>0</v>
      </c>
      <c r="Q29" s="25">
        <v>0</v>
      </c>
      <c r="R29" s="9">
        <f t="shared" ref="R29" si="103">IF((Q29-Q28&lt;0), "0",Q29-Q28)</f>
        <v>0</v>
      </c>
      <c r="S29" s="25">
        <v>0</v>
      </c>
      <c r="T29" s="9">
        <f t="shared" ref="T29" si="104">IF((S29-S28&lt;0), "0",S29-S28)</f>
        <v>0</v>
      </c>
      <c r="U29" s="25">
        <v>0</v>
      </c>
      <c r="V29" s="9">
        <f t="shared" si="53"/>
        <v>0</v>
      </c>
      <c r="W29" s="25">
        <v>0</v>
      </c>
      <c r="X29" s="9">
        <f t="shared" si="53"/>
        <v>0</v>
      </c>
      <c r="Y29" s="25">
        <v>0</v>
      </c>
      <c r="Z29" s="9">
        <f t="shared" si="53"/>
        <v>0</v>
      </c>
      <c r="AA29" s="25">
        <v>0</v>
      </c>
      <c r="AB29" s="9">
        <f t="shared" si="53"/>
        <v>0</v>
      </c>
      <c r="AC29" s="25">
        <v>0</v>
      </c>
      <c r="AD29" s="30">
        <f t="shared" si="53"/>
        <v>0</v>
      </c>
      <c r="AE29" s="25">
        <v>0</v>
      </c>
      <c r="AF29" s="32">
        <f t="shared" si="53"/>
        <v>0</v>
      </c>
      <c r="AG29" s="25">
        <v>0</v>
      </c>
      <c r="AH29" s="31">
        <f t="shared" si="53"/>
        <v>0</v>
      </c>
      <c r="AI29" s="25">
        <v>0</v>
      </c>
      <c r="AJ29" s="9">
        <f t="shared" si="53"/>
        <v>0</v>
      </c>
      <c r="AK29" s="25">
        <v>0</v>
      </c>
      <c r="AL29" s="9">
        <f t="shared" si="53"/>
        <v>0</v>
      </c>
      <c r="AM29" s="25">
        <v>0</v>
      </c>
      <c r="AN29" s="9">
        <f t="shared" si="53"/>
        <v>0</v>
      </c>
      <c r="AO29" s="25">
        <v>0</v>
      </c>
      <c r="AP29" s="9">
        <f t="shared" si="53"/>
        <v>0</v>
      </c>
      <c r="AQ29" s="55"/>
      <c r="AR29" s="17" t="s">
        <v>60</v>
      </c>
      <c r="AS29" s="9">
        <v>0</v>
      </c>
      <c r="AT29" s="17" t="s">
        <v>60</v>
      </c>
      <c r="AU29" s="9">
        <v>0</v>
      </c>
      <c r="AV29" s="25">
        <v>0</v>
      </c>
      <c r="AW29" s="9">
        <f t="shared" si="3"/>
        <v>0</v>
      </c>
      <c r="AX29" s="25">
        <v>0</v>
      </c>
      <c r="AY29" s="9">
        <f t="shared" si="4"/>
        <v>0</v>
      </c>
      <c r="AZ29" s="25">
        <v>0</v>
      </c>
      <c r="BA29" s="9">
        <f>IF((AZ29-AZ28&lt;0), "",AZ29-AZ28)</f>
        <v>0</v>
      </c>
      <c r="BB29" s="25">
        <v>0</v>
      </c>
      <c r="BC29" s="9">
        <f t="shared" si="13"/>
        <v>0</v>
      </c>
      <c r="BD29" s="25">
        <v>0</v>
      </c>
      <c r="BE29" s="25">
        <v>0</v>
      </c>
      <c r="BH29">
        <f t="shared" si="0"/>
        <v>0</v>
      </c>
    </row>
    <row r="30" spans="1:60" ht="45" customHeight="1">
      <c r="A30" s="8">
        <v>45013</v>
      </c>
      <c r="B30" s="52"/>
      <c r="C30" s="25">
        <v>0</v>
      </c>
      <c r="D30" s="9">
        <f t="shared" si="6"/>
        <v>0</v>
      </c>
      <c r="E30" s="25">
        <v>0</v>
      </c>
      <c r="F30" s="9">
        <f t="shared" si="7"/>
        <v>0</v>
      </c>
      <c r="G30" s="25">
        <v>0</v>
      </c>
      <c r="H30" s="9">
        <f t="shared" si="1"/>
        <v>0</v>
      </c>
      <c r="I30" s="25">
        <v>0</v>
      </c>
      <c r="J30" s="9">
        <f t="shared" si="8"/>
        <v>0</v>
      </c>
      <c r="K30" s="25">
        <v>0</v>
      </c>
      <c r="L30" s="9">
        <f t="shared" si="8"/>
        <v>0</v>
      </c>
      <c r="M30" s="25">
        <v>0</v>
      </c>
      <c r="N30" s="9">
        <f t="shared" ref="N30" si="105">IF((M30-M29&lt;0), "0",M30-M29)</f>
        <v>0</v>
      </c>
      <c r="O30" s="25">
        <v>0</v>
      </c>
      <c r="P30" s="9">
        <f t="shared" ref="P30" si="106">IF((O30-O29&lt;0), "0",O30-O29)</f>
        <v>0</v>
      </c>
      <c r="Q30" s="25">
        <v>0</v>
      </c>
      <c r="R30" s="9">
        <f t="shared" ref="R30" si="107">IF((Q30-Q29&lt;0), "0",Q30-Q29)</f>
        <v>0</v>
      </c>
      <c r="S30" s="25">
        <v>0</v>
      </c>
      <c r="T30" s="9">
        <f t="shared" ref="T30" si="108">IF((S30-S29&lt;0), "0",S30-S29)</f>
        <v>0</v>
      </c>
      <c r="U30" s="25">
        <v>0</v>
      </c>
      <c r="V30" s="9">
        <f t="shared" si="53"/>
        <v>0</v>
      </c>
      <c r="W30" s="25">
        <v>0</v>
      </c>
      <c r="X30" s="9">
        <f t="shared" si="53"/>
        <v>0</v>
      </c>
      <c r="Y30" s="25">
        <v>0</v>
      </c>
      <c r="Z30" s="9">
        <f t="shared" si="53"/>
        <v>0</v>
      </c>
      <c r="AA30" s="25">
        <v>0</v>
      </c>
      <c r="AB30" s="9">
        <f t="shared" si="53"/>
        <v>0</v>
      </c>
      <c r="AC30" s="25">
        <v>0</v>
      </c>
      <c r="AD30" s="30">
        <f t="shared" si="53"/>
        <v>0</v>
      </c>
      <c r="AE30" s="25">
        <v>0</v>
      </c>
      <c r="AF30" s="32">
        <f t="shared" si="53"/>
        <v>0</v>
      </c>
      <c r="AG30" s="25">
        <v>0</v>
      </c>
      <c r="AH30" s="31">
        <f t="shared" si="53"/>
        <v>0</v>
      </c>
      <c r="AI30" s="25">
        <v>0</v>
      </c>
      <c r="AJ30" s="9">
        <f t="shared" si="53"/>
        <v>0</v>
      </c>
      <c r="AK30" s="25">
        <v>0</v>
      </c>
      <c r="AL30" s="9">
        <f t="shared" si="53"/>
        <v>0</v>
      </c>
      <c r="AM30" s="25">
        <v>0</v>
      </c>
      <c r="AN30" s="9">
        <f t="shared" si="53"/>
        <v>0</v>
      </c>
      <c r="AO30" s="25">
        <v>0</v>
      </c>
      <c r="AP30" s="9">
        <f t="shared" si="53"/>
        <v>0</v>
      </c>
      <c r="AQ30" s="55"/>
      <c r="AR30" s="17" t="s">
        <v>60</v>
      </c>
      <c r="AS30" s="9">
        <v>0</v>
      </c>
      <c r="AT30" s="17" t="s">
        <v>60</v>
      </c>
      <c r="AU30" s="9">
        <v>0</v>
      </c>
      <c r="AV30" s="25">
        <v>0</v>
      </c>
      <c r="AW30" s="9">
        <f t="shared" si="3"/>
        <v>0</v>
      </c>
      <c r="AX30" s="25">
        <v>0</v>
      </c>
      <c r="AY30" s="9">
        <f t="shared" si="4"/>
        <v>0</v>
      </c>
      <c r="AZ30" s="25">
        <v>0</v>
      </c>
      <c r="BA30" s="9">
        <f>IF((AZ30-AZ29&lt;0), "",AZ30-AZ29)</f>
        <v>0</v>
      </c>
      <c r="BB30" s="25">
        <v>0</v>
      </c>
      <c r="BC30" s="9">
        <f>IF((BB30-BB29&lt;0), "",BB30-BB29)</f>
        <v>0</v>
      </c>
      <c r="BD30" s="25">
        <v>0</v>
      </c>
      <c r="BE30" s="25">
        <v>0</v>
      </c>
      <c r="BH30">
        <f t="shared" si="0"/>
        <v>0</v>
      </c>
    </row>
    <row r="31" spans="1:60" ht="45" customHeight="1">
      <c r="A31" s="8">
        <v>45014</v>
      </c>
      <c r="B31" s="53"/>
      <c r="C31" s="25">
        <v>0</v>
      </c>
      <c r="D31" s="9">
        <f t="shared" si="6"/>
        <v>0</v>
      </c>
      <c r="E31" s="25">
        <v>0</v>
      </c>
      <c r="F31" s="9">
        <f>IF((E31-E30&lt;0), "0",E31-E30)</f>
        <v>0</v>
      </c>
      <c r="G31" s="25">
        <v>0</v>
      </c>
      <c r="H31" s="9">
        <f t="shared" si="1"/>
        <v>0</v>
      </c>
      <c r="I31" s="25">
        <v>0</v>
      </c>
      <c r="J31" s="9">
        <f t="shared" si="8"/>
        <v>0</v>
      </c>
      <c r="K31" s="25">
        <v>0</v>
      </c>
      <c r="L31" s="9">
        <f t="shared" si="8"/>
        <v>0</v>
      </c>
      <c r="M31" s="25">
        <v>0</v>
      </c>
      <c r="N31" s="9">
        <f t="shared" ref="N31" si="109">IF((M31-M30&lt;0), "0",M31-M30)</f>
        <v>0</v>
      </c>
      <c r="O31" s="25">
        <v>0</v>
      </c>
      <c r="P31" s="9">
        <f t="shared" ref="P31" si="110">IF((O31-O30&lt;0), "0",O31-O30)</f>
        <v>0</v>
      </c>
      <c r="Q31" s="25">
        <v>0</v>
      </c>
      <c r="R31" s="9">
        <f t="shared" ref="R31" si="111">IF((Q31-Q30&lt;0), "0",Q31-Q30)</f>
        <v>0</v>
      </c>
      <c r="S31" s="25">
        <v>0</v>
      </c>
      <c r="T31" s="9">
        <f t="shared" ref="T31" si="112">IF((S31-S30&lt;0), "0",S31-S30)</f>
        <v>0</v>
      </c>
      <c r="U31" s="25">
        <v>0</v>
      </c>
      <c r="V31" s="26">
        <f t="shared" si="53"/>
        <v>0</v>
      </c>
      <c r="W31" s="25">
        <v>0</v>
      </c>
      <c r="X31" s="26">
        <f t="shared" si="53"/>
        <v>0</v>
      </c>
      <c r="Y31" s="25">
        <v>0</v>
      </c>
      <c r="Z31" s="26">
        <f t="shared" si="53"/>
        <v>0</v>
      </c>
      <c r="AA31" s="25">
        <v>0</v>
      </c>
      <c r="AB31" s="26">
        <f t="shared" si="53"/>
        <v>0</v>
      </c>
      <c r="AC31" s="25">
        <v>0</v>
      </c>
      <c r="AD31" s="26">
        <f t="shared" si="53"/>
        <v>0</v>
      </c>
      <c r="AE31" s="25">
        <v>0</v>
      </c>
      <c r="AF31" s="26">
        <f>IF((AE31-AE30&lt;0), "",AE31-AE30)</f>
        <v>0</v>
      </c>
      <c r="AG31" s="25">
        <v>0</v>
      </c>
      <c r="AH31" s="26">
        <f t="shared" si="53"/>
        <v>0</v>
      </c>
      <c r="AI31" s="25">
        <v>0</v>
      </c>
      <c r="AJ31" s="26">
        <f t="shared" si="53"/>
        <v>0</v>
      </c>
      <c r="AK31" s="25">
        <v>0</v>
      </c>
      <c r="AL31" s="26">
        <f t="shared" si="53"/>
        <v>0</v>
      </c>
      <c r="AM31" s="25">
        <v>0</v>
      </c>
      <c r="AN31" s="26">
        <f t="shared" si="53"/>
        <v>0</v>
      </c>
      <c r="AO31" s="25">
        <v>0</v>
      </c>
      <c r="AP31" s="9">
        <f t="shared" si="53"/>
        <v>0</v>
      </c>
      <c r="AQ31" s="55"/>
      <c r="AR31" s="17" t="s">
        <v>60</v>
      </c>
      <c r="AS31" s="9">
        <v>0</v>
      </c>
      <c r="AT31" s="17" t="s">
        <v>60</v>
      </c>
      <c r="AU31" s="9">
        <v>0</v>
      </c>
      <c r="AV31" s="25">
        <v>0</v>
      </c>
      <c r="AW31" s="26">
        <f t="shared" si="3"/>
        <v>0</v>
      </c>
      <c r="AX31" s="25">
        <v>0</v>
      </c>
      <c r="AY31" s="26">
        <f t="shared" si="4"/>
        <v>0</v>
      </c>
      <c r="AZ31" s="25">
        <v>0</v>
      </c>
      <c r="BA31" s="26">
        <f t="shared" si="5"/>
        <v>0</v>
      </c>
      <c r="BB31" s="25">
        <v>0</v>
      </c>
      <c r="BC31" s="26">
        <f t="shared" si="13"/>
        <v>0</v>
      </c>
      <c r="BD31" s="25">
        <v>0</v>
      </c>
      <c r="BE31" s="25">
        <v>0</v>
      </c>
      <c r="BH31">
        <f t="shared" si="0"/>
        <v>0</v>
      </c>
    </row>
    <row r="32" spans="1:60" ht="34.5" customHeight="1">
      <c r="A32" s="8">
        <v>45015</v>
      </c>
      <c r="B32" s="27"/>
      <c r="C32" s="25">
        <v>0</v>
      </c>
      <c r="D32" s="9">
        <f>IF((C32-C31&lt;0), "0",C32-C31)</f>
        <v>0</v>
      </c>
      <c r="E32" s="25">
        <v>0</v>
      </c>
      <c r="F32" s="9">
        <f>IF((E32-E31&lt;0), "0",E32-E31)</f>
        <v>0</v>
      </c>
      <c r="G32" s="25">
        <v>0</v>
      </c>
      <c r="H32" s="9">
        <f>IF((G32-G31&lt;0), "0",G32-G31)</f>
        <v>0</v>
      </c>
      <c r="I32" s="25">
        <v>0</v>
      </c>
      <c r="J32" s="9">
        <f>IF((I32-I31&lt;0), "0",I32-I31)</f>
        <v>0</v>
      </c>
      <c r="K32" s="25">
        <v>0</v>
      </c>
      <c r="L32" s="9">
        <f>IF((K32-K31&lt;0), "0",K32-K31)</f>
        <v>0</v>
      </c>
      <c r="M32" s="25">
        <v>0</v>
      </c>
      <c r="N32" s="9">
        <f>IF((M32-M31&lt;0), "0",M32-M31)</f>
        <v>0</v>
      </c>
      <c r="O32" s="25">
        <v>0</v>
      </c>
      <c r="P32" s="9">
        <f>IF((O32-O31&lt;0), "0",O32-O31)</f>
        <v>0</v>
      </c>
      <c r="Q32" s="25">
        <v>0</v>
      </c>
      <c r="R32" s="9">
        <f>IF((Q32-Q31&lt;0), "0",Q32-Q31)</f>
        <v>0</v>
      </c>
      <c r="S32" s="25">
        <v>0</v>
      </c>
      <c r="T32" s="9">
        <f>IF((S32-S31&lt;0), "0",S32-S31)</f>
        <v>0</v>
      </c>
      <c r="U32" s="25">
        <v>0</v>
      </c>
      <c r="V32" s="26">
        <f>IF((U32-U31&lt;0), "0",U32-U31)</f>
        <v>0</v>
      </c>
      <c r="W32" s="25">
        <v>0</v>
      </c>
      <c r="X32" s="26">
        <f>IF((W32-W31&lt;0), "0",W32-W31)</f>
        <v>0</v>
      </c>
      <c r="Y32" s="25">
        <v>0</v>
      </c>
      <c r="Z32" s="26">
        <f>IF((Y32-Y31&lt;0), "0",Y32-Y31)</f>
        <v>0</v>
      </c>
      <c r="AA32" s="25">
        <v>0</v>
      </c>
      <c r="AB32" s="26">
        <f>IF((AA32-AA31&lt;0), "0",AA32-AA31)</f>
        <v>0</v>
      </c>
      <c r="AC32" s="25">
        <v>0</v>
      </c>
      <c r="AD32" s="26">
        <f>IF((AC32-AC31&lt;0), "0",AC32-AC31)</f>
        <v>0</v>
      </c>
      <c r="AE32" s="25">
        <v>0</v>
      </c>
      <c r="AF32" s="26">
        <f>IF((AE32-AE31&lt;0), "0",AE32-AE31)</f>
        <v>0</v>
      </c>
      <c r="AG32" s="25">
        <v>0</v>
      </c>
      <c r="AH32" s="26">
        <f>IF((AG32-AG31&lt;0), "0",AG32-AG31)</f>
        <v>0</v>
      </c>
      <c r="AI32" s="25">
        <v>0</v>
      </c>
      <c r="AJ32" s="26">
        <f>IF((AI32-AI31&lt;0), "0",AI32-AI31)</f>
        <v>0</v>
      </c>
      <c r="AK32" s="25">
        <v>0</v>
      </c>
      <c r="AL32" s="26">
        <f>IF((AK32-AK31&lt;0), "0",AK32-AK31)</f>
        <v>0</v>
      </c>
      <c r="AM32" s="25">
        <v>0</v>
      </c>
      <c r="AN32" s="26">
        <f>IF((AM32-AM31&lt;0), "0",AM32-AM31)</f>
        <v>0</v>
      </c>
      <c r="AO32" s="25">
        <v>0</v>
      </c>
      <c r="AP32" s="9">
        <f>IF((AO32-AO31&lt;0), "0",AO32-AO31)</f>
        <v>0</v>
      </c>
      <c r="AQ32" s="28"/>
      <c r="AR32" s="17" t="s">
        <v>60</v>
      </c>
      <c r="AS32" s="9">
        <v>0</v>
      </c>
      <c r="AT32" s="17" t="s">
        <v>60</v>
      </c>
      <c r="AU32" s="9">
        <v>0</v>
      </c>
      <c r="AV32" s="25">
        <v>0</v>
      </c>
      <c r="AW32" s="26">
        <f>IF((AV32-AV31&lt;0), "0",AV32-AV31)</f>
        <v>0</v>
      </c>
      <c r="AX32" s="25">
        <v>0</v>
      </c>
      <c r="AY32" s="26">
        <f>IF((AX32-AX31&lt;0), "0",AX32-AX31)</f>
        <v>0</v>
      </c>
      <c r="AZ32" s="25">
        <v>0</v>
      </c>
      <c r="BA32" s="26">
        <f>IF((AZ32-AZ31&lt;0), "0",AZ32-AZ31)</f>
        <v>0</v>
      </c>
      <c r="BB32" s="25">
        <v>0</v>
      </c>
      <c r="BC32" s="26">
        <f>IF((BB32-B31&lt;0), "0",BB32-BB31)</f>
        <v>0</v>
      </c>
      <c r="BD32" s="25">
        <v>0</v>
      </c>
      <c r="BE32" s="25">
        <v>0</v>
      </c>
      <c r="BH32">
        <f t="shared" si="0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EBE560-F8EF-4F74-811A-7A3685544D9A}"/>
</file>

<file path=customXml/itemProps2.xml><?xml version="1.0" encoding="utf-8"?>
<ds:datastoreItem xmlns:ds="http://schemas.openxmlformats.org/officeDocument/2006/customXml" ds:itemID="{7985FC72-D33E-4772-844D-C85DFD168D82}"/>
</file>

<file path=customXml/itemProps3.xml><?xml version="1.0" encoding="utf-8"?>
<ds:datastoreItem xmlns:ds="http://schemas.openxmlformats.org/officeDocument/2006/customXml" ds:itemID="{819C71C7-7AF2-4A52-B8E3-E30B0EB4CD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2023-03-17T10:35:31Z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