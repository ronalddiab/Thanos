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845" documentId="8_{5B502D95-7A37-4D5A-8B6B-374537CC2F26}" xr6:coauthVersionLast="46" xr6:coauthVersionMax="46" xr10:uidLastSave="{593C5763-2DF5-4875-830A-4849D86A920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2" i="2" l="1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O11" i="2"/>
  <c r="V11" i="2"/>
  <c r="V12" i="2"/>
  <c r="V13" i="2"/>
  <c r="Q14" i="2"/>
  <c r="O14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l="1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<sst xmlns="http://schemas.openxmlformats.org/spreadsheetml/2006/main" count="478" uniqueCount="186">
  <si>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</si>
  <si>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</si>
  <si>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</si>
  <si>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</si>
  <si>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</si>
  <si>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</si>
  <si>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</si>
  <si>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</si>
  <si>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</si>
  <si>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</si>
  <si>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</si>
  <si>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</si>
  <si>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</si>
  <si>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</si>
  <si>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</si>
  <si>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</si>
  <si>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</si>
  <si>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</si>
  <si>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</si>
  <si>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</si>
  <si>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</si>
  <si>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</si>
  <si>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</si>
  <si>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</si>
  <si>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</si>
  <si>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</si>
  <si>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</si>
  <si>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</si>
  <si>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</si>
  <si>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</si>
  <si>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</si>
  <si>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</si>
  <si>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</si>
  <si>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</si>
  <si>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</si>
  <si>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</si>
  <si>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</si>
  <si>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</si>
  <si>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</si>
  <si>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</si>
  <si>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</si>
  <si>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</si>
  <si>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</si>
  <si>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</si>
  <si>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</si>
  <si>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</si>
  <si>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</si>
  <si>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</si>
  <si>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</si>
  <si>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</si>
  <si>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</si>
  <si>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</si>
  <si>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</si>
  <si>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</si>
  <si>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</si>
  <si>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</si>
  <si>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</si>
  <si>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</si>
  <si>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</si>
  <si>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</si>
  <si>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</si>
  <si>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</si>
  <si>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</si>
  <si>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</si>
  <si>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</si>
  <si>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</si>
  <si>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</si>
  <si>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</si>
  <si>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</si>
  <si>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</si>
  <si>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</si>
  <si>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</si>
  <si>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</si>
  <si>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</si>
  <si>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</si>
  <si>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</si>
  <si>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</si>
  <si>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</si>
  <si>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</si>
  <si>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</si>
  <si>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</si>
  <si>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</si>
  <si>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</si>
  <si>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</si>
  <si>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</si>
  <si>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</si>
  <si>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</si>
  <si>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</si>
  <si>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</si>
  <si>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</si>
  <si>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</si>
  <si>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</si>
  <si>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</si>
  <si>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</si>
  <si>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</si>
  <si>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</si>
  <si>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</si>
  <si>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</si>
  <si>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</si>
  <si>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</si>
  <si>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</si>
  <si>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</si>
  <si>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</si>
  <si>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</si>
  <si>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</si>
  <si>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</si>
  <si>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</si>
  <si>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</si>
  <si>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</si>
  <si>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</si>
  <si>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</si>
  <si>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</si>
  <si>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</si>
  <si>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</si>
  <si>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</si>
  <si>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</si>
  <si>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</si>
  <si>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</si>
  <si>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</si>
  <si>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</si>
  <si>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</si>
  <si>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</si>
  <si>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</si>
  <si>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</si>
  <si>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</si>
  <si>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</si>
  <si>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</si>
  <si>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</si>
  <si>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</si>
  <si>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</si>
  <si>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</si>
  <si>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13/4/2021</t>
  </si>
  <si>
    <t>14/4/2021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</si>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</sst>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511.98736000000002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255.99368000000001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5506.82258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621</v>
      </c>
      <c r="L30" s="137">
        <f>'Consommation mensuel énergie'!E40</f>
        <v>909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18" activePane="bottomRight" state="frozen"/>
      <selection pane="bottomRight" activeCell="E23" sqref="E2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100.5" customHeight="1" thickBot="1">
      <c r="A2" s="186"/>
      <c r="B2" s="187"/>
      <c r="C2" s="187"/>
      <c r="D2" s="187"/>
      <c r="E2" s="187"/>
      <c r="F2" s="187"/>
      <c r="G2" s="187"/>
      <c r="H2" s="188"/>
      <c r="I2" s="197" t="s">
        <v>17</v>
      </c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5" hidden="1" customHeight="1" thickBot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39" hidden="1" customHeight="1" thickBot="1">
      <c r="A4" s="189"/>
      <c r="B4" s="189"/>
      <c r="C4" s="189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9"/>
      <c r="B5" s="189"/>
      <c r="C5" s="189"/>
      <c r="D5" s="166"/>
      <c r="E5" s="166"/>
      <c r="F5" s="166"/>
      <c r="G5" s="166"/>
      <c r="H5" s="166"/>
      <c r="I5" s="166"/>
      <c r="J5" s="166"/>
      <c r="K5" s="166"/>
      <c r="L5" s="166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</row>
    <row r="7" spans="1:24" s="5" customFormat="1" ht="18.75" hidden="1" customHeight="1" thickBot="1">
      <c r="A7" s="166"/>
      <c r="B7" s="166"/>
      <c r="C7" s="166"/>
      <c r="D7" s="166"/>
      <c r="E7" s="166"/>
      <c r="F7" s="190"/>
      <c r="G7" s="190"/>
      <c r="H7" s="190"/>
      <c r="I7" s="190"/>
      <c r="J7" s="190"/>
      <c r="K7" s="190"/>
      <c r="L7" s="190"/>
      <c r="M7" s="190"/>
      <c r="N7" s="199"/>
      <c r="O7" s="199"/>
      <c r="P7" s="190"/>
      <c r="Q7" s="190"/>
      <c r="R7" s="190"/>
      <c r="S7" s="190"/>
      <c r="T7" s="190"/>
      <c r="U7" s="190"/>
      <c r="V7" s="190"/>
      <c r="W7" s="190"/>
      <c r="X7" s="190"/>
    </row>
    <row r="8" spans="1:24" ht="18.75" customHeight="1" thickBot="1">
      <c r="A8" s="190"/>
      <c r="B8" s="201" t="s">
        <v>19</v>
      </c>
      <c r="C8" s="4"/>
      <c r="D8" s="202" t="s">
        <v>20</v>
      </c>
      <c r="E8" s="202" t="s">
        <v>21</v>
      </c>
      <c r="F8" s="182" t="s">
        <v>22</v>
      </c>
      <c r="G8" s="2"/>
      <c r="H8" s="191" t="s">
        <v>23</v>
      </c>
      <c r="I8" s="192"/>
      <c r="J8" s="193"/>
      <c r="K8" s="184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4" t="s">
        <v>29</v>
      </c>
      <c r="W8" s="2"/>
      <c r="X8" s="179" t="s">
        <v>23</v>
      </c>
    </row>
    <row r="9" spans="1:24" ht="59.25" customHeight="1" thickBot="1">
      <c r="A9" s="190"/>
      <c r="B9" s="201"/>
      <c r="C9" s="4"/>
      <c r="D9" s="203"/>
      <c r="E9" s="203"/>
      <c r="F9" s="183"/>
      <c r="G9" s="2"/>
      <c r="H9" s="194"/>
      <c r="I9" s="195"/>
      <c r="J9" s="196"/>
      <c r="K9" s="185"/>
      <c r="L9" s="167" t="s">
        <v>30</v>
      </c>
      <c r="M9" s="167" t="s">
        <v>31</v>
      </c>
      <c r="N9" s="167" t="s">
        <v>32</v>
      </c>
      <c r="O9" s="200"/>
      <c r="P9" s="2"/>
      <c r="Q9" s="180"/>
      <c r="R9" s="2"/>
      <c r="S9" s="180"/>
      <c r="T9" s="2"/>
      <c r="U9" s="180"/>
      <c r="V9" s="205"/>
      <c r="W9" s="2"/>
      <c r="X9" s="180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175">
        <f>F10*8.79</f>
        <v>1010.8499999999999</v>
      </c>
      <c r="I10" s="176"/>
      <c r="J10" s="176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175">
        <f t="shared" ref="H11:H21" si="0">F11*8.79</f>
        <v>958.98900000005108</v>
      </c>
      <c r="I11" s="176"/>
      <c r="J11" s="176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175">
        <f t="shared" si="0"/>
        <v>1031.9459999999488</v>
      </c>
      <c r="I12" s="176"/>
      <c r="J12" s="176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175">
        <f t="shared" si="0"/>
        <v>1015.2449999999999</v>
      </c>
      <c r="I13" s="176"/>
      <c r="J13" s="176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175">
        <f t="shared" si="0"/>
        <v>802.52700000002551</v>
      </c>
      <c r="I14" s="176"/>
      <c r="J14" s="176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66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175">
        <f t="shared" si="0"/>
        <v>829.77599999994879</v>
      </c>
      <c r="I15" s="176"/>
      <c r="J15" s="176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66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175">
        <f t="shared" si="0"/>
        <v>626.72700000002555</v>
      </c>
      <c r="I16" s="176"/>
      <c r="J16" s="176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175">
        <f t="shared" si="0"/>
        <v>632.87999999999988</v>
      </c>
      <c r="I17" s="176"/>
      <c r="J17" s="176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175">
        <f t="shared" si="0"/>
        <v>736.60200000002555</v>
      </c>
      <c r="I18" s="176"/>
      <c r="J18" s="176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175">
        <f t="shared" si="0"/>
        <v>676.82999999999993</v>
      </c>
      <c r="I19" s="176"/>
      <c r="J19" s="176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175">
        <f t="shared" si="0"/>
        <v>657.49200000002554</v>
      </c>
      <c r="I20" s="176"/>
      <c r="J20" s="176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175">
        <f t="shared" si="0"/>
        <v>501.9089999999232</v>
      </c>
      <c r="I21" s="176"/>
      <c r="J21" s="176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175">
        <f t="shared" ref="H22:H35" si="4">F22*8.79</f>
        <v>806.92200000002549</v>
      </c>
      <c r="I22" s="176"/>
      <c r="J22" s="176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>
      <c r="A23" s="2"/>
      <c r="B23" s="6">
        <v>44300</v>
      </c>
      <c r="C23" s="7"/>
      <c r="D23" s="143"/>
      <c r="E23" s="143"/>
      <c r="F23" s="13">
        <f>'Suivi EAU-ELEC'!E22</f>
        <v>80.5</v>
      </c>
      <c r="G23" s="14"/>
      <c r="H23" s="175">
        <f t="shared" si="4"/>
        <v>707.59499999999991</v>
      </c>
      <c r="I23" s="176"/>
      <c r="J23" s="176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/>
      <c r="W23" s="11"/>
      <c r="X23" s="34">
        <f t="shared" si="1"/>
        <v>0</v>
      </c>
    </row>
    <row r="24" spans="1:24" ht="32.25" customHeight="1">
      <c r="A24" s="2"/>
      <c r="B24" s="6">
        <v>44301</v>
      </c>
      <c r="C24" s="7"/>
      <c r="D24" s="143"/>
      <c r="E24" s="143"/>
      <c r="F24" s="13"/>
      <c r="G24" s="14"/>
      <c r="H24" s="175">
        <f t="shared" si="4"/>
        <v>0</v>
      </c>
      <c r="I24" s="176"/>
      <c r="J24" s="176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8"/>
      <c r="W24" s="11"/>
      <c r="X24" s="34">
        <f t="shared" si="1"/>
        <v>0</v>
      </c>
    </row>
    <row r="25" spans="1:24" ht="32.25" customHeight="1">
      <c r="A25" s="2"/>
      <c r="B25" s="6">
        <v>44302</v>
      </c>
      <c r="C25" s="7"/>
      <c r="D25" s="143"/>
      <c r="E25" s="143"/>
      <c r="F25" s="13"/>
      <c r="G25" s="14"/>
      <c r="H25" s="175">
        <f t="shared" si="4"/>
        <v>0</v>
      </c>
      <c r="I25" s="176"/>
      <c r="J25" s="176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8"/>
      <c r="W25" s="11"/>
      <c r="X25" s="34">
        <f t="shared" si="1"/>
        <v>0</v>
      </c>
    </row>
    <row r="26" spans="1:24" ht="32.25" customHeight="1">
      <c r="A26" s="2"/>
      <c r="B26" s="6">
        <v>44303</v>
      </c>
      <c r="C26" s="7"/>
      <c r="D26" s="143"/>
      <c r="E26" s="143"/>
      <c r="F26" s="13"/>
      <c r="G26" s="14"/>
      <c r="H26" s="175">
        <f t="shared" si="4"/>
        <v>0</v>
      </c>
      <c r="I26" s="176"/>
      <c r="J26" s="176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8"/>
      <c r="W26" s="11"/>
      <c r="X26" s="34">
        <f t="shared" si="1"/>
        <v>0</v>
      </c>
    </row>
    <row r="27" spans="1:24" ht="32.25" customHeight="1">
      <c r="A27" s="2"/>
      <c r="B27" s="6">
        <v>44304</v>
      </c>
      <c r="C27" s="7"/>
      <c r="D27" s="143"/>
      <c r="E27" s="143"/>
      <c r="F27" s="13"/>
      <c r="G27" s="14"/>
      <c r="H27" s="175">
        <f t="shared" si="4"/>
        <v>0</v>
      </c>
      <c r="I27" s="176"/>
      <c r="J27" s="176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8"/>
      <c r="W27" s="11"/>
      <c r="X27" s="34">
        <f t="shared" si="1"/>
        <v>0</v>
      </c>
    </row>
    <row r="28" spans="1:24" ht="32.25" customHeight="1">
      <c r="A28" s="2"/>
      <c r="B28" s="6">
        <v>44305</v>
      </c>
      <c r="C28" s="7"/>
      <c r="D28" s="143"/>
      <c r="E28" s="143"/>
      <c r="F28" s="13"/>
      <c r="G28" s="11"/>
      <c r="H28" s="175">
        <f t="shared" si="4"/>
        <v>0</v>
      </c>
      <c r="I28" s="176"/>
      <c r="J28" s="176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8"/>
      <c r="W28" s="11"/>
      <c r="X28" s="34">
        <f t="shared" si="1"/>
        <v>0</v>
      </c>
    </row>
    <row r="29" spans="1:24" ht="32.25" customHeight="1">
      <c r="A29" s="2"/>
      <c r="B29" s="6">
        <v>44306</v>
      </c>
      <c r="C29" s="7"/>
      <c r="D29" s="143"/>
      <c r="E29" s="143"/>
      <c r="F29" s="13"/>
      <c r="G29" s="11"/>
      <c r="H29" s="175">
        <f t="shared" si="4"/>
        <v>0</v>
      </c>
      <c r="I29" s="176"/>
      <c r="J29" s="176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8"/>
      <c r="W29" s="11"/>
      <c r="X29" s="34">
        <f t="shared" si="1"/>
        <v>0</v>
      </c>
    </row>
    <row r="30" spans="1:24" ht="32.25" customHeight="1">
      <c r="A30" s="2"/>
      <c r="B30" s="6">
        <v>44307</v>
      </c>
      <c r="C30" s="7"/>
      <c r="D30" s="143"/>
      <c r="E30" s="143"/>
      <c r="F30" s="13"/>
      <c r="G30" s="11"/>
      <c r="H30" s="175">
        <f t="shared" si="4"/>
        <v>0</v>
      </c>
      <c r="I30" s="176"/>
      <c r="J30" s="176"/>
      <c r="K30" s="60">
        <v>42298</v>
      </c>
      <c r="L30" s="90"/>
      <c r="M30" s="91"/>
      <c r="N30" s="91"/>
      <c r="O30" s="91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48"/>
      <c r="W30" s="11"/>
      <c r="X30" s="34">
        <f t="shared" si="1"/>
        <v>0</v>
      </c>
    </row>
    <row r="31" spans="1:24" ht="27.75" customHeight="1">
      <c r="A31" s="2"/>
      <c r="B31" s="6">
        <v>44308</v>
      </c>
      <c r="C31" s="7"/>
      <c r="D31" s="143"/>
      <c r="E31" s="143"/>
      <c r="F31" s="13"/>
      <c r="G31" s="11"/>
      <c r="H31" s="175">
        <f t="shared" si="4"/>
        <v>0</v>
      </c>
      <c r="I31" s="176"/>
      <c r="J31" s="176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8"/>
      <c r="W31" s="11"/>
      <c r="X31" s="34">
        <f t="shared" si="1"/>
        <v>0</v>
      </c>
    </row>
    <row r="32" spans="1:24" ht="37.5" customHeight="1">
      <c r="A32" s="2"/>
      <c r="B32" s="6">
        <v>44309</v>
      </c>
      <c r="C32" s="7"/>
      <c r="D32" s="143"/>
      <c r="E32" s="143"/>
      <c r="F32" s="13"/>
      <c r="G32" s="11"/>
      <c r="H32" s="175">
        <f t="shared" si="4"/>
        <v>0</v>
      </c>
      <c r="I32" s="176"/>
      <c r="J32" s="176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8"/>
      <c r="W32" s="11"/>
      <c r="X32" s="34">
        <f t="shared" si="1"/>
        <v>0</v>
      </c>
    </row>
    <row r="33" spans="1:24" ht="37.5" customHeight="1">
      <c r="A33" s="2"/>
      <c r="B33" s="6">
        <v>44310</v>
      </c>
      <c r="C33" s="7"/>
      <c r="D33" s="143"/>
      <c r="E33" s="143"/>
      <c r="F33" s="13"/>
      <c r="G33" s="11"/>
      <c r="H33" s="175">
        <f t="shared" si="4"/>
        <v>0</v>
      </c>
      <c r="I33" s="176"/>
      <c r="J33" s="176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175">
        <f t="shared" si="4"/>
        <v>0</v>
      </c>
      <c r="I34" s="176"/>
      <c r="J34" s="176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175">
        <f t="shared" si="4"/>
        <v>0</v>
      </c>
      <c r="I35" s="176"/>
      <c r="J35" s="176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175">
        <f>F36*8.79</f>
        <v>0</v>
      </c>
      <c r="I36" s="176"/>
      <c r="J36" s="176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175">
        <f t="shared" ref="H37:H38" si="5">F37*8.79</f>
        <v>0</v>
      </c>
      <c r="I37" s="176"/>
      <c r="J37" s="176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175">
        <f t="shared" si="5"/>
        <v>0</v>
      </c>
      <c r="I38" s="176"/>
      <c r="J38" s="176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175">
        <f>F39*8.79</f>
        <v>0</v>
      </c>
      <c r="I39" s="176"/>
      <c r="J39" s="176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621</v>
      </c>
      <c r="E40" s="8">
        <f>SUM(E10:E39)</f>
        <v>909</v>
      </c>
      <c r="F40" s="155">
        <f>SUM(F10:F39)</f>
        <v>1251</v>
      </c>
      <c r="G40" s="1"/>
      <c r="H40" s="172">
        <f>SUM(H10:H39)</f>
        <v>10996.289999999999</v>
      </c>
      <c r="I40" s="173"/>
      <c r="J40" s="174"/>
      <c r="K40" s="1"/>
      <c r="L40" s="53">
        <f>SUM(L10:L39)</f>
        <v>38012</v>
      </c>
      <c r="M40" s="53">
        <f>SUM(M10:M39)</f>
        <v>75523</v>
      </c>
      <c r="N40" s="54">
        <f>SUM(N10:N39)</f>
        <v>29453</v>
      </c>
      <c r="O40" s="55">
        <f>SUM(O10:O39)</f>
        <v>142988</v>
      </c>
      <c r="P40" s="31"/>
      <c r="Q40" s="32">
        <f>SUM(Q10:Q39)</f>
        <v>136864.49780000001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5506.82258</v>
      </c>
      <c r="W40" s="31"/>
      <c r="X40" s="32">
        <f>SUM(X10:X39)</f>
        <v>54081.953875922001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6"/>
      <c r="M41" s="166"/>
      <c r="N41" s="16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11" t="s">
        <v>33</v>
      </c>
      <c r="B42" s="212"/>
      <c r="C42" s="212"/>
      <c r="D42" s="212"/>
      <c r="E42" s="212"/>
      <c r="F42" s="213"/>
      <c r="G42" s="26"/>
      <c r="H42" s="27" t="s">
        <v>34</v>
      </c>
      <c r="I42" s="250" t="s">
        <v>35</v>
      </c>
      <c r="J42" s="251"/>
      <c r="K42" s="252"/>
      <c r="L42" s="225" t="s">
        <v>36</v>
      </c>
      <c r="M42" s="226"/>
      <c r="N42" s="211" t="s">
        <v>37</v>
      </c>
      <c r="O42" s="212"/>
      <c r="P42" s="212"/>
      <c r="Q42" s="212"/>
      <c r="R42" s="212"/>
      <c r="S42" s="212"/>
      <c r="T42" s="212"/>
      <c r="U42" s="212"/>
      <c r="V42" s="212"/>
      <c r="W42" s="212"/>
      <c r="X42" s="213"/>
    </row>
    <row r="43" spans="1:24" s="18" customFormat="1" ht="29.25" customHeight="1" thickBot="1">
      <c r="A43" s="219" t="s">
        <v>38</v>
      </c>
      <c r="B43" s="220"/>
      <c r="C43" s="221"/>
      <c r="D43" s="163" t="s">
        <v>30</v>
      </c>
      <c r="E43" s="163" t="s">
        <v>30</v>
      </c>
      <c r="F43" s="163" t="s">
        <v>30</v>
      </c>
      <c r="G43" s="16"/>
      <c r="H43" s="17">
        <v>0.69850000000000001</v>
      </c>
      <c r="I43" s="216">
        <f>L40</f>
        <v>38012</v>
      </c>
      <c r="J43" s="217"/>
      <c r="K43" s="218"/>
      <c r="L43" s="177">
        <f>I43*H43</f>
        <v>26551.382000000001</v>
      </c>
      <c r="M43" s="178"/>
      <c r="N43" s="234">
        <f>L43+L44+L45</f>
        <v>137588.23540000001</v>
      </c>
      <c r="O43" s="235"/>
      <c r="P43" s="235"/>
      <c r="Q43" s="235"/>
      <c r="R43" s="235"/>
      <c r="S43" s="235"/>
      <c r="T43" s="235"/>
      <c r="U43" s="235"/>
      <c r="V43" s="235"/>
      <c r="W43" s="235"/>
      <c r="X43" s="236"/>
    </row>
    <row r="44" spans="1:24" s="18" customFormat="1" ht="29.25" customHeight="1" thickBot="1">
      <c r="A44" s="222"/>
      <c r="B44" s="223"/>
      <c r="C44" s="224"/>
      <c r="D44" s="162" t="s">
        <v>31</v>
      </c>
      <c r="E44" s="162" t="s">
        <v>31</v>
      </c>
      <c r="F44" s="162" t="s">
        <v>31</v>
      </c>
      <c r="G44" s="16"/>
      <c r="H44" s="19">
        <v>0.95140000000000002</v>
      </c>
      <c r="I44" s="216">
        <f>M40</f>
        <v>75523</v>
      </c>
      <c r="J44" s="217"/>
      <c r="K44" s="218"/>
      <c r="L44" s="177">
        <f>I44*H44</f>
        <v>71852.582200000004</v>
      </c>
      <c r="M44" s="178"/>
      <c r="N44" s="237"/>
      <c r="O44" s="238"/>
      <c r="P44" s="238"/>
      <c r="Q44" s="238"/>
      <c r="R44" s="238"/>
      <c r="S44" s="238"/>
      <c r="T44" s="238"/>
      <c r="U44" s="238"/>
      <c r="V44" s="238"/>
      <c r="W44" s="238"/>
      <c r="X44" s="239"/>
    </row>
    <row r="45" spans="1:24" s="18" customFormat="1" ht="24.75" customHeight="1" thickBot="1">
      <c r="A45" s="222"/>
      <c r="B45" s="223"/>
      <c r="C45" s="224"/>
      <c r="D45" s="159" t="s">
        <v>32</v>
      </c>
      <c r="E45" s="159" t="s">
        <v>32</v>
      </c>
      <c r="F45" s="159" t="s">
        <v>32</v>
      </c>
      <c r="G45" s="20"/>
      <c r="H45" s="20">
        <v>1.3304</v>
      </c>
      <c r="I45" s="247">
        <f>N40</f>
        <v>29453</v>
      </c>
      <c r="J45" s="248"/>
      <c r="K45" s="249"/>
      <c r="L45" s="177">
        <f>I45*H45</f>
        <v>39184.271200000003</v>
      </c>
      <c r="M45" s="178"/>
      <c r="N45" s="240"/>
      <c r="O45" s="241"/>
      <c r="P45" s="241"/>
      <c r="Q45" s="241"/>
      <c r="R45" s="241"/>
      <c r="S45" s="241"/>
      <c r="T45" s="241"/>
      <c r="U45" s="241"/>
      <c r="V45" s="241"/>
      <c r="W45" s="241"/>
      <c r="X45" s="242"/>
    </row>
    <row r="46" spans="1:24" s="18" customFormat="1" ht="43.5" customHeight="1" thickBot="1">
      <c r="A46" s="164"/>
      <c r="B46" s="165"/>
      <c r="C46" s="165"/>
      <c r="D46" s="159"/>
      <c r="E46" s="159"/>
      <c r="F46" s="159"/>
      <c r="G46" s="16"/>
      <c r="H46" s="16"/>
      <c r="I46" s="157"/>
      <c r="J46" s="158"/>
      <c r="K46" s="159"/>
      <c r="L46" s="160"/>
      <c r="M46" s="161"/>
      <c r="N46" s="253">
        <f>N43*1.3</f>
        <v>178864.70602000001</v>
      </c>
      <c r="O46" s="254"/>
      <c r="P46" s="254"/>
      <c r="Q46" s="254"/>
      <c r="R46" s="254"/>
      <c r="S46" s="254"/>
      <c r="T46" s="254"/>
      <c r="U46" s="254"/>
      <c r="V46" s="254"/>
      <c r="W46" s="254"/>
      <c r="X46" s="255"/>
    </row>
    <row r="47" spans="1:24" s="23" customFormat="1" ht="32.25" customHeight="1" thickBot="1">
      <c r="A47" s="208" t="s">
        <v>39</v>
      </c>
      <c r="B47" s="209"/>
      <c r="C47" s="209"/>
      <c r="D47" s="209"/>
      <c r="E47" s="209"/>
      <c r="F47" s="210"/>
      <c r="G47" s="21"/>
      <c r="H47" s="22">
        <v>8.7899999999999991</v>
      </c>
      <c r="I47" s="208">
        <f>F40</f>
        <v>1251</v>
      </c>
      <c r="J47" s="209"/>
      <c r="K47" s="210"/>
      <c r="L47" s="214">
        <f>I47*H47</f>
        <v>10996.289999999999</v>
      </c>
      <c r="M47" s="215"/>
      <c r="N47" s="231">
        <f>L47</f>
        <v>10996.289999999999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s="23" customFormat="1" ht="36.75" customHeight="1">
      <c r="A48" s="243" t="s">
        <v>40</v>
      </c>
      <c r="B48" s="244"/>
      <c r="C48" s="244"/>
      <c r="D48" s="244"/>
      <c r="E48" s="244"/>
      <c r="F48" s="245"/>
      <c r="G48" s="24"/>
      <c r="H48" s="25">
        <v>9.8209</v>
      </c>
      <c r="I48" s="206">
        <f>V40</f>
        <v>5506.82258</v>
      </c>
      <c r="J48" s="246"/>
      <c r="K48" s="207"/>
      <c r="L48" s="206">
        <f>I48*H48</f>
        <v>54081.953875922001</v>
      </c>
      <c r="M48" s="207"/>
      <c r="N48" s="228">
        <f>L48</f>
        <v>54081.953875922001</v>
      </c>
      <c r="O48" s="229"/>
      <c r="P48" s="229"/>
      <c r="Q48" s="229"/>
      <c r="R48" s="229"/>
      <c r="S48" s="229"/>
      <c r="T48" s="229"/>
      <c r="U48" s="229"/>
      <c r="V48" s="229"/>
      <c r="W48" s="229"/>
      <c r="X48" s="230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4" spans="1:24" ht="39" customHeight="1">
      <c r="A54" s="15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</row>
    <row r="55" spans="1:24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</sheetData>
  <mergeCells count="72"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16" activePane="bottomRight" state="frozen"/>
      <selection pane="bottomRight" activeCell="K21" sqref="K21:K2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22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>
        <v>2559</v>
      </c>
      <c r="C21" s="115">
        <f>B21-B20</f>
        <v>0</v>
      </c>
      <c r="D21" s="57">
        <v>107366.5</v>
      </c>
      <c r="E21" s="147">
        <f>D21-D20</f>
        <v>91.80000000000291</v>
      </c>
      <c r="F21" s="51">
        <v>10492581</v>
      </c>
      <c r="G21" s="50">
        <f>F21-F20</f>
        <v>2237</v>
      </c>
      <c r="H21" s="51">
        <v>17622364</v>
      </c>
      <c r="I21" s="50">
        <f>H21-H20</f>
        <v>5424</v>
      </c>
      <c r="J21" s="51">
        <v>7807418</v>
      </c>
      <c r="K21" s="50">
        <f t="shared" si="1"/>
        <v>1973</v>
      </c>
    </row>
    <row r="22" spans="1:29" ht="19.5">
      <c r="A22" s="59">
        <v>44300</v>
      </c>
      <c r="B22" s="116">
        <v>2559</v>
      </c>
      <c r="C22" s="115">
        <f>B22-B21</f>
        <v>0</v>
      </c>
      <c r="D22" s="57">
        <v>107447</v>
      </c>
      <c r="E22" s="147">
        <f>D22-D21</f>
        <v>80.5</v>
      </c>
      <c r="F22" s="51">
        <v>10494938</v>
      </c>
      <c r="G22" s="50">
        <f>F22-F21</f>
        <v>2357</v>
      </c>
      <c r="H22" s="51">
        <v>17627561</v>
      </c>
      <c r="I22" s="50">
        <f>H22-H21</f>
        <v>5197</v>
      </c>
      <c r="J22" s="51">
        <v>7809136</v>
      </c>
      <c r="K22" s="50">
        <f t="shared" si="1"/>
        <v>1718</v>
      </c>
    </row>
    <row r="23" spans="1:29" ht="19.5">
      <c r="A23" s="59">
        <v>44301</v>
      </c>
      <c r="B23" s="116"/>
      <c r="C23" s="115"/>
      <c r="D23" s="57"/>
      <c r="E23" s="147"/>
      <c r="F23" s="51"/>
      <c r="G23" s="50"/>
      <c r="H23" s="51"/>
      <c r="I23" s="50"/>
      <c r="J23" s="51"/>
      <c r="K23" s="50"/>
    </row>
    <row r="24" spans="1:29" ht="19.5">
      <c r="A24" s="59">
        <v>44302</v>
      </c>
      <c r="B24" s="116"/>
      <c r="C24" s="115">
        <f>B24-B23</f>
        <v>0</v>
      </c>
      <c r="D24" s="57"/>
      <c r="E24" s="147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44303</v>
      </c>
      <c r="B25" s="116"/>
      <c r="C25" s="115">
        <f>B25-B24</f>
        <v>0</v>
      </c>
      <c r="D25" s="57"/>
      <c r="E25" s="147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44304</v>
      </c>
      <c r="B26" s="116"/>
      <c r="C26" s="115">
        <f>B26-B25</f>
        <v>0</v>
      </c>
      <c r="D26" s="57"/>
      <c r="E26" s="147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44305</v>
      </c>
      <c r="B27" s="116"/>
      <c r="C27" s="115">
        <f>B27-B26</f>
        <v>0</v>
      </c>
      <c r="D27" s="57"/>
      <c r="E27" s="147">
        <f>D27-D26</f>
        <v>0</v>
      </c>
      <c r="F27" s="51"/>
      <c r="G27" s="50">
        <f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44306</v>
      </c>
      <c r="B28" s="116"/>
      <c r="C28" s="115">
        <f>B28-B27</f>
        <v>0</v>
      </c>
      <c r="D28" s="57"/>
      <c r="E28" s="147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44307</v>
      </c>
      <c r="B29" s="116"/>
      <c r="C29" s="115">
        <f>B29-B28</f>
        <v>0</v>
      </c>
      <c r="D29" s="57"/>
      <c r="E29" s="147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44308</v>
      </c>
      <c r="B30" s="116"/>
      <c r="C30" s="115">
        <f>B30-B29</f>
        <v>0</v>
      </c>
      <c r="D30" s="57"/>
      <c r="E30" s="147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44309</v>
      </c>
      <c r="B31" s="116"/>
      <c r="C31" s="115">
        <f>B31-B30</f>
        <v>0</v>
      </c>
      <c r="D31" s="57"/>
      <c r="E31" s="147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44310</v>
      </c>
      <c r="B32" s="116"/>
      <c r="C32" s="115">
        <f>B32-B31</f>
        <v>0</v>
      </c>
      <c r="D32" s="57"/>
      <c r="E32" s="147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44311</v>
      </c>
      <c r="B33" s="116"/>
      <c r="C33" s="115">
        <f>B33-B32</f>
        <v>0</v>
      </c>
      <c r="D33" s="57"/>
      <c r="E33" s="147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2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I17" sqref="I1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0</v>
      </c>
      <c r="F17" s="41">
        <v>64</v>
      </c>
      <c r="G17" s="39">
        <f t="shared" si="9"/>
        <v>0</v>
      </c>
      <c r="H17" s="41">
        <v>64</v>
      </c>
      <c r="I17" s="39">
        <f t="shared" si="10"/>
        <v>0</v>
      </c>
      <c r="J17" s="39">
        <f t="shared" si="11"/>
        <v>250</v>
      </c>
      <c r="K17" s="39">
        <f t="shared" si="12"/>
        <v>62.5</v>
      </c>
      <c r="L17" s="39">
        <f t="shared" si="13"/>
        <v>0</v>
      </c>
      <c r="M17" s="151">
        <f t="shared" si="16"/>
        <v>24196</v>
      </c>
      <c r="N17" s="39">
        <f t="shared" si="14"/>
        <v>0</v>
      </c>
      <c r="O17" s="39">
        <f t="shared" si="15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/>
      <c r="C18" s="39">
        <f t="shared" si="8"/>
        <v>0</v>
      </c>
      <c r="D18" s="41"/>
      <c r="E18" s="39">
        <f t="shared" si="17"/>
        <v>0</v>
      </c>
      <c r="F18" s="41"/>
      <c r="G18" s="39">
        <f t="shared" si="9"/>
        <v>0</v>
      </c>
      <c r="H18" s="41"/>
      <c r="I18" s="39">
        <f t="shared" si="10"/>
        <v>0</v>
      </c>
      <c r="J18" s="39">
        <f t="shared" si="11"/>
        <v>0</v>
      </c>
      <c r="K18" s="39">
        <f t="shared" si="12"/>
        <v>0</v>
      </c>
      <c r="L18" s="39">
        <f t="shared" si="13"/>
        <v>0</v>
      </c>
      <c r="M18" s="151">
        <f t="shared" si="16"/>
        <v>24196</v>
      </c>
      <c r="N18" s="39">
        <f t="shared" si="14"/>
        <v>0</v>
      </c>
      <c r="O18" s="39">
        <f t="shared" si="15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/>
      <c r="C19" s="39">
        <f t="shared" si="8"/>
        <v>0</v>
      </c>
      <c r="D19" s="41"/>
      <c r="E19" s="39">
        <f>IF(AC19&gt;0,((D19-U19)+(V19-D20)),IF(D20=0, ,(D19-D20)))</f>
        <v>0</v>
      </c>
      <c r="F19" s="41"/>
      <c r="G19" s="39">
        <f t="shared" si="9"/>
        <v>0</v>
      </c>
      <c r="H19" s="41"/>
      <c r="I19" s="39">
        <f t="shared" si="10"/>
        <v>0</v>
      </c>
      <c r="J19" s="39">
        <f t="shared" si="11"/>
        <v>0</v>
      </c>
      <c r="K19" s="39">
        <f t="shared" si="12"/>
        <v>0</v>
      </c>
      <c r="L19" s="39">
        <f t="shared" si="13"/>
        <v>0</v>
      </c>
      <c r="M19" s="151">
        <f t="shared" si="16"/>
        <v>24196</v>
      </c>
      <c r="N19" s="39">
        <f t="shared" si="14"/>
        <v>0</v>
      </c>
      <c r="O19" s="39">
        <f t="shared" si="15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44303</v>
      </c>
      <c r="B20" s="41"/>
      <c r="C20" s="39">
        <f>IF(AC20&gt;0,((B20-R20)+(S20-B21)),IF(B21=0, ,(B20-B21)))</f>
        <v>0</v>
      </c>
      <c r="D20" s="41"/>
      <c r="E20" s="39">
        <f t="shared" si="17"/>
        <v>0</v>
      </c>
      <c r="F20" s="41"/>
      <c r="G20" s="39">
        <f t="shared" si="9"/>
        <v>0</v>
      </c>
      <c r="H20" s="41"/>
      <c r="I20" s="39">
        <f t="shared" si="10"/>
        <v>0</v>
      </c>
      <c r="J20" s="39">
        <f t="shared" si="11"/>
        <v>0</v>
      </c>
      <c r="K20" s="39">
        <f t="shared" si="12"/>
        <v>0</v>
      </c>
      <c r="L20" s="39">
        <f t="shared" ref="L20:L42" si="18">IF(AC20&gt;0,((K20-AD20)+(AE20-K21)),IF(K21=0, ,(K20-K21)))</f>
        <v>0</v>
      </c>
      <c r="M20" s="151">
        <f t="shared" si="16"/>
        <v>24196</v>
      </c>
      <c r="N20" s="39">
        <f t="shared" si="14"/>
        <v>0</v>
      </c>
      <c r="O20" s="39">
        <f t="shared" si="15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/>
      <c r="C21" s="39">
        <f t="shared" ref="C21:C35" si="19">IF(AC21&gt;0,((B21-R21)+(S21-B22)),IF(B22=0, ,(B21-B22)))</f>
        <v>0</v>
      </c>
      <c r="D21" s="41"/>
      <c r="E21" s="39">
        <f t="shared" si="17"/>
        <v>0</v>
      </c>
      <c r="F21" s="41"/>
      <c r="G21" s="39">
        <f>IF(AC21&gt;0,((F21-X21)+(Y21-F22)),IF(F22=0, ,(F21-F22)))</f>
        <v>0</v>
      </c>
      <c r="H21" s="41"/>
      <c r="I21" s="39">
        <f t="shared" si="10"/>
        <v>0</v>
      </c>
      <c r="J21" s="39">
        <f t="shared" si="11"/>
        <v>0</v>
      </c>
      <c r="K21" s="39">
        <f t="shared" si="12"/>
        <v>0</v>
      </c>
      <c r="L21" s="39">
        <f>IF(AC21&gt;0,((K21-AD21)+(AE21-K22)),IF(K22=0, ,(K21-K22)))</f>
        <v>0</v>
      </c>
      <c r="M21" s="151">
        <f t="shared" si="16"/>
        <v>24196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/>
      <c r="C22" s="39">
        <f t="shared" si="19"/>
        <v>0</v>
      </c>
      <c r="D22" s="41"/>
      <c r="E22" s="39">
        <f t="shared" si="17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1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1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1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1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1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10408.02</v>
      </c>
      <c r="O43" s="39">
        <f>N43*0.529</f>
        <v>5505.8425800000005</v>
      </c>
      <c r="P43" s="42">
        <f>O43*8.7</f>
        <v>47900.830446</v>
      </c>
      <c r="Q43" s="290">
        <f>SUM(Q4:Q42)</f>
        <v>2870</v>
      </c>
      <c r="R43" s="291"/>
      <c r="S43" s="292"/>
      <c r="T43" s="293">
        <f>SUM(T4:T42)</f>
        <v>2832</v>
      </c>
      <c r="U43" s="291"/>
      <c r="V43" s="292"/>
      <c r="W43" s="293">
        <f>SUM(W4:W42)</f>
        <v>2865</v>
      </c>
      <c r="X43" s="291"/>
      <c r="Y43" s="292"/>
      <c r="Z43" s="293">
        <f>SUM(Z4:Z42)</f>
        <v>2677</v>
      </c>
      <c r="AA43" s="291"/>
      <c r="AB43" s="292"/>
      <c r="AC43" s="39">
        <f t="shared" si="21"/>
        <v>11244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11244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11244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10408.02</v>
      </c>
      <c r="L47" s="46">
        <f>O43</f>
        <v>5505.8425800000005</v>
      </c>
      <c r="M47" s="46">
        <f>P43</f>
        <v>47900.830446</v>
      </c>
    </row>
    <row r="48" spans="1:31" ht="54.75" customHeight="1" thickBot="1">
      <c r="H48" s="286" t="s">
        <v>86</v>
      </c>
      <c r="I48" s="287"/>
      <c r="J48" s="288"/>
      <c r="K48" s="43">
        <f>AC44</f>
        <v>11244</v>
      </c>
      <c r="L48" s="44">
        <f>K48*0.529</f>
        <v>5948.076</v>
      </c>
      <c r="M48" s="44">
        <f>L48*8.7</f>
        <v>51748.261199999994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28">
        <v>95670781</v>
      </c>
      <c r="B8" s="328"/>
      <c r="C8" s="329">
        <v>44255</v>
      </c>
      <c r="D8" s="330"/>
      <c r="E8" s="113">
        <v>44283</v>
      </c>
      <c r="F8" s="170" t="s">
        <v>97</v>
      </c>
      <c r="G8" s="62"/>
      <c r="H8" s="62"/>
      <c r="I8" s="331"/>
      <c r="J8" s="332"/>
    </row>
    <row r="10" spans="1:10" ht="23.25" customHeight="1" thickBot="1"/>
    <row r="11" spans="1:10" ht="24.75" customHeight="1" thickTop="1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695</v>
      </c>
      <c r="H12" s="340"/>
      <c r="I12" s="341"/>
      <c r="J12" s="341"/>
    </row>
    <row r="13" spans="1:10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>
      <c r="A17" s="344" t="s">
        <v>110</v>
      </c>
      <c r="B17" s="345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6"/>
      <c r="H17" s="347"/>
      <c r="I17" s="346">
        <f>+E17</f>
        <v>113986</v>
      </c>
      <c r="J17" s="347"/>
    </row>
    <row r="18" spans="1:10">
      <c r="A18" s="344" t="s">
        <v>111</v>
      </c>
      <c r="B18" s="345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6"/>
      <c r="H18" s="347"/>
      <c r="I18" s="346">
        <f>+E18</f>
        <v>73664</v>
      </c>
      <c r="J18" s="347"/>
    </row>
    <row r="19" spans="1:10">
      <c r="A19" s="344" t="s">
        <v>112</v>
      </c>
      <c r="B19" s="345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6"/>
      <c r="H19" s="347"/>
      <c r="I19" s="346">
        <f>+E19</f>
        <v>54700</v>
      </c>
      <c r="J19" s="347"/>
    </row>
    <row r="20" spans="1:10" ht="15">
      <c r="A20" s="348" t="s">
        <v>113</v>
      </c>
      <c r="B20" s="349"/>
      <c r="C20" s="68"/>
      <c r="D20" s="69"/>
      <c r="E20" s="68">
        <f>SUM(E17:E19)</f>
        <v>242350</v>
      </c>
      <c r="F20" s="70"/>
      <c r="G20" s="350"/>
      <c r="H20" s="351"/>
      <c r="I20" s="350"/>
      <c r="J20" s="351"/>
    </row>
    <row r="21" spans="1:10">
      <c r="C21" s="110" t="s">
        <v>18</v>
      </c>
      <c r="D21" t="s">
        <v>114</v>
      </c>
      <c r="G21" s="352"/>
      <c r="H21" s="352"/>
    </row>
    <row r="22" spans="1:10" ht="13.5" thickBot="1">
      <c r="G22" s="353"/>
      <c r="H22" s="353"/>
    </row>
    <row r="23" spans="1:10" ht="13.5" thickTop="1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>
      <c r="A24" s="357"/>
      <c r="B24" s="358"/>
      <c r="C24" s="359"/>
      <c r="D24" s="360"/>
      <c r="E24" s="360"/>
      <c r="F24" s="362"/>
      <c r="G24" s="169" t="s">
        <v>121</v>
      </c>
      <c r="H24" s="71" t="s">
        <v>122</v>
      </c>
      <c r="I24" s="364"/>
      <c r="J24" s="364"/>
    </row>
    <row r="25" spans="1:10" ht="15">
      <c r="A25" s="365" t="s">
        <v>123</v>
      </c>
      <c r="B25" s="366"/>
      <c r="C25" s="367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68">
        <f>SUM(H25,F25)</f>
        <v>123628.75965600001</v>
      </c>
      <c r="J25" s="369"/>
    </row>
    <row r="26" spans="1:10" ht="15">
      <c r="A26" s="370" t="s">
        <v>124</v>
      </c>
      <c r="B26" s="371"/>
      <c r="C26" s="372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68">
        <f t="shared" ref="I26:I31" si="0">SUM(H26,F26)</f>
        <v>58657.906560000003</v>
      </c>
      <c r="J26" s="369"/>
    </row>
    <row r="27" spans="1:10" ht="15">
      <c r="A27" s="370" t="s">
        <v>125</v>
      </c>
      <c r="B27" s="371"/>
      <c r="C27" s="372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68">
        <f>SUM(H27,F27)</f>
        <v>82961.083200000008</v>
      </c>
      <c r="J27" s="369"/>
    </row>
    <row r="28" spans="1:10" ht="1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>
      <c r="A29" s="381" t="s">
        <v>127</v>
      </c>
      <c r="B29" s="382"/>
      <c r="C29" s="38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4">
        <f t="shared" si="0"/>
        <v>0</v>
      </c>
      <c r="J29" s="385"/>
    </row>
    <row r="30" spans="1:10" ht="1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278888.13439999998</v>
      </c>
      <c r="G32" s="85"/>
      <c r="H32" s="86"/>
      <c r="I32" s="380">
        <f>SUM(I25:J31)</f>
        <v>317878.49321600003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/>
    <row r="7" spans="1:10" ht="36.75" thickTop="1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>
      <c r="A8" s="328">
        <v>95670781</v>
      </c>
      <c r="B8" s="328"/>
      <c r="C8" s="329" t="s">
        <v>131</v>
      </c>
      <c r="D8" s="330"/>
      <c r="E8" s="113" t="s">
        <v>132</v>
      </c>
      <c r="F8" s="170" t="s">
        <v>97</v>
      </c>
      <c r="G8" s="62"/>
      <c r="H8" s="62"/>
      <c r="I8" s="331"/>
      <c r="J8" s="332"/>
    </row>
    <row r="10" spans="1:10" ht="23.25" customHeight="1" thickBot="1"/>
    <row r="11" spans="1:10" ht="24.75" customHeight="1" thickTop="1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1070</v>
      </c>
      <c r="H12" s="340"/>
      <c r="I12" s="341"/>
      <c r="J12" s="341"/>
    </row>
    <row r="13" spans="1:10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>
      <c r="A17" s="344" t="s">
        <v>110</v>
      </c>
      <c r="B17" s="345"/>
      <c r="C17" s="66">
        <v>17627561</v>
      </c>
      <c r="D17" s="66">
        <v>17622364</v>
      </c>
      <c r="E17" s="67">
        <f>MIN(C17-D17)</f>
        <v>5197</v>
      </c>
      <c r="F17" s="67">
        <f>+E17</f>
        <v>5197</v>
      </c>
      <c r="G17" s="346"/>
      <c r="H17" s="347"/>
      <c r="I17" s="346">
        <f>+E17</f>
        <v>5197</v>
      </c>
      <c r="J17" s="347"/>
    </row>
    <row r="18" spans="1:10">
      <c r="A18" s="344" t="s">
        <v>111</v>
      </c>
      <c r="B18" s="345"/>
      <c r="C18" s="66">
        <v>10494938</v>
      </c>
      <c r="D18" s="66">
        <v>10492581</v>
      </c>
      <c r="E18" s="67">
        <f>MIN(C18-D18)</f>
        <v>2357</v>
      </c>
      <c r="F18" s="67">
        <f>+E18</f>
        <v>2357</v>
      </c>
      <c r="G18" s="346"/>
      <c r="H18" s="347"/>
      <c r="I18" s="346">
        <f>+E18</f>
        <v>2357</v>
      </c>
      <c r="J18" s="347"/>
    </row>
    <row r="19" spans="1:10">
      <c r="A19" s="344" t="s">
        <v>112</v>
      </c>
      <c r="B19" s="345"/>
      <c r="C19" s="66">
        <v>7809136</v>
      </c>
      <c r="D19" s="66">
        <v>7807418</v>
      </c>
      <c r="E19" s="67">
        <f>AVERAGE(C19-D19)</f>
        <v>1718</v>
      </c>
      <c r="F19" s="67">
        <f>+E19</f>
        <v>1718</v>
      </c>
      <c r="G19" s="346"/>
      <c r="H19" s="347"/>
      <c r="I19" s="346">
        <f>+E19</f>
        <v>1718</v>
      </c>
      <c r="J19" s="347"/>
    </row>
    <row r="20" spans="1:10" ht="15">
      <c r="A20" s="348" t="s">
        <v>113</v>
      </c>
      <c r="B20" s="349"/>
      <c r="C20" s="68"/>
      <c r="D20" s="69"/>
      <c r="E20" s="68">
        <f>SUM(E17:E19)</f>
        <v>9272</v>
      </c>
      <c r="F20" s="70"/>
      <c r="G20" s="350"/>
      <c r="H20" s="351"/>
      <c r="I20" s="350"/>
      <c r="J20" s="351"/>
    </row>
    <row r="21" spans="1:10">
      <c r="C21" s="110" t="s">
        <v>18</v>
      </c>
      <c r="D21" t="s">
        <v>114</v>
      </c>
      <c r="G21" s="352"/>
      <c r="H21" s="352"/>
    </row>
    <row r="22" spans="1:10" ht="13.5" thickBot="1">
      <c r="G22" s="353"/>
      <c r="H22" s="353"/>
    </row>
    <row r="23" spans="1:10" ht="13.5" thickTop="1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>
      <c r="A24" s="357"/>
      <c r="B24" s="358"/>
      <c r="C24" s="359"/>
      <c r="D24" s="360"/>
      <c r="E24" s="360"/>
      <c r="F24" s="362"/>
      <c r="G24" s="169" t="s">
        <v>121</v>
      </c>
      <c r="H24" s="71" t="s">
        <v>122</v>
      </c>
      <c r="I24" s="364"/>
      <c r="J24" s="364"/>
    </row>
    <row r="25" spans="1:10" ht="15">
      <c r="A25" s="365" t="s">
        <v>123</v>
      </c>
      <c r="B25" s="366"/>
      <c r="C25" s="367"/>
      <c r="D25" s="67">
        <f>+E17</f>
        <v>5197</v>
      </c>
      <c r="E25" s="72">
        <v>0.95140000000000002</v>
      </c>
      <c r="F25" s="73">
        <f>PRODUCT(D25*E25)</f>
        <v>4944.4258</v>
      </c>
      <c r="G25" s="153">
        <v>14</v>
      </c>
      <c r="H25" s="65">
        <f>PRODUCT(0.14,F25)</f>
        <v>692.2196120000001</v>
      </c>
      <c r="I25" s="368">
        <f>SUM(H25,F25)</f>
        <v>5636.6454119999999</v>
      </c>
      <c r="J25" s="369"/>
    </row>
    <row r="26" spans="1:10" ht="15">
      <c r="A26" s="370" t="s">
        <v>124</v>
      </c>
      <c r="B26" s="371"/>
      <c r="C26" s="372"/>
      <c r="D26" s="67">
        <f>+E18</f>
        <v>2357</v>
      </c>
      <c r="E26" s="74">
        <v>0.69850000000000001</v>
      </c>
      <c r="F26" s="73">
        <f>PRODUCT(D26*E26)</f>
        <v>1646.3645000000001</v>
      </c>
      <c r="G26">
        <v>14</v>
      </c>
      <c r="H26" s="67">
        <f>PRODUCT(0.14,F26)</f>
        <v>230.49103000000005</v>
      </c>
      <c r="I26" s="368">
        <f t="shared" ref="I26:I31" si="0">SUM(H26,F26)</f>
        <v>1876.8555300000003</v>
      </c>
      <c r="J26" s="369"/>
    </row>
    <row r="27" spans="1:10" ht="15">
      <c r="A27" s="370" t="s">
        <v>125</v>
      </c>
      <c r="B27" s="371"/>
      <c r="C27" s="372"/>
      <c r="D27" s="67">
        <f>+E19</f>
        <v>1718</v>
      </c>
      <c r="E27" s="74">
        <v>1.3304</v>
      </c>
      <c r="F27" s="73">
        <f>PRODUCT(D27*E27)</f>
        <v>2285.6271999999999</v>
      </c>
      <c r="G27">
        <v>14</v>
      </c>
      <c r="H27" s="67">
        <f>PRODUCT(0.14,F27)</f>
        <v>319.98780800000003</v>
      </c>
      <c r="I27" s="368">
        <f>SUM(H27,F27)</f>
        <v>2605.6150079999998</v>
      </c>
      <c r="J27" s="369"/>
    </row>
    <row r="28" spans="1:10" ht="1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>
      <c r="A29" s="381" t="s">
        <v>127</v>
      </c>
      <c r="B29" s="382"/>
      <c r="C29" s="383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4">
        <f t="shared" si="0"/>
        <v>3908.0047020000002</v>
      </c>
      <c r="J29" s="385"/>
    </row>
    <row r="30" spans="1:10" ht="1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>
      <c r="A32" s="376" t="s">
        <v>130</v>
      </c>
      <c r="B32" s="377"/>
      <c r="C32" s="377"/>
      <c r="D32" s="377"/>
      <c r="E32" s="377"/>
      <c r="F32" s="84">
        <f>SUM(F25:F31)</f>
        <v>58519.161799999994</v>
      </c>
      <c r="G32" s="85"/>
      <c r="H32" s="86"/>
      <c r="I32" s="380">
        <f>SUM(I25:J31)</f>
        <v>66657.864451999994</v>
      </c>
      <c r="J32" s="380"/>
    </row>
    <row r="33" spans="1:10" ht="21.75" thickBot="1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133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143</v>
      </c>
      <c r="B13" s="402">
        <f>G8</f>
        <v>2406.3000000000029</v>
      </c>
      <c r="C13" s="402"/>
      <c r="D13" s="402">
        <v>8.7899999999999991</v>
      </c>
      <c r="E13" s="402"/>
      <c r="F13" s="404">
        <f>PRODUCT(D13,B13)</f>
        <v>21151.377000000022</v>
      </c>
      <c r="G13" s="404"/>
      <c r="H13" s="404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148</v>
      </c>
      <c r="B19" s="402">
        <f>G8</f>
        <v>2406.3000000000029</v>
      </c>
      <c r="C19" s="402"/>
      <c r="D19" s="402">
        <v>2.61</v>
      </c>
      <c r="E19" s="402"/>
      <c r="F19" s="402">
        <f>PRODUCT(D19,B19)</f>
        <v>6280.4430000000075</v>
      </c>
      <c r="G19" s="402"/>
      <c r="H19" s="402"/>
    </row>
    <row r="20" spans="1:8" ht="18.75">
      <c r="A20" s="418" t="s">
        <v>149</v>
      </c>
      <c r="B20" s="419"/>
      <c r="C20" s="419"/>
      <c r="D20" s="419"/>
      <c r="E20" s="420"/>
      <c r="F20" s="421">
        <f>SUM(F11+F13+F16+F17+F18+F19)</f>
        <v>27454.820000000029</v>
      </c>
      <c r="G20" s="421"/>
      <c r="H20" s="421"/>
    </row>
    <row r="21" spans="1:8" ht="15">
      <c r="A21" s="407" t="s">
        <v>150</v>
      </c>
      <c r="B21" s="408"/>
      <c r="C21" s="408"/>
      <c r="D21" s="408"/>
      <c r="E21" s="409"/>
      <c r="F21" s="402">
        <f>PRODUCT(F20,0.07)</f>
        <v>1921.8374000000022</v>
      </c>
      <c r="G21" s="402"/>
      <c r="H21" s="402"/>
    </row>
    <row r="22" spans="1:8" ht="15">
      <c r="A22" s="422" t="s">
        <v>151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>
      <c r="A23" s="407" t="s">
        <v>152</v>
      </c>
      <c r="B23" s="408"/>
      <c r="C23" s="408"/>
      <c r="D23" s="408"/>
      <c r="E23" s="409"/>
      <c r="F23" s="410">
        <f>SUM(F21:H22)</f>
        <v>2130.0974000000024</v>
      </c>
      <c r="G23" s="410"/>
      <c r="H23" s="410"/>
    </row>
    <row r="24" spans="1:8">
      <c r="A24" s="411" t="s">
        <v>153</v>
      </c>
      <c r="B24" s="412"/>
      <c r="C24" s="412"/>
      <c r="D24" s="412"/>
      <c r="E24" s="413"/>
      <c r="F24" s="417">
        <f>SUM(F20,F23)</f>
        <v>29584.917400000031</v>
      </c>
      <c r="G24" s="417"/>
      <c r="H24" s="417"/>
    </row>
    <row r="25" spans="1:8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133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107366.5</v>
      </c>
      <c r="D8" s="97">
        <v>44299</v>
      </c>
      <c r="E8" s="96">
        <v>107447</v>
      </c>
      <c r="F8" s="97">
        <v>44300</v>
      </c>
      <c r="G8" s="98">
        <f>E8-C8</f>
        <v>80.5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143</v>
      </c>
      <c r="B13" s="402">
        <f>G8</f>
        <v>80.5</v>
      </c>
      <c r="C13" s="402"/>
      <c r="D13" s="402">
        <v>8.5</v>
      </c>
      <c r="E13" s="402"/>
      <c r="F13" s="404">
        <f>PRODUCT(D13,B13)</f>
        <v>684.25</v>
      </c>
      <c r="G13" s="404"/>
      <c r="H13" s="404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148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154</v>
      </c>
      <c r="B20" s="402">
        <f>G8</f>
        <v>80.5</v>
      </c>
      <c r="C20" s="402"/>
      <c r="D20" s="402">
        <v>2.54</v>
      </c>
      <c r="E20" s="402"/>
      <c r="F20" s="402">
        <f>PRODUCT(D20,B20)</f>
        <v>204.47</v>
      </c>
      <c r="G20" s="402"/>
      <c r="H20" s="402"/>
    </row>
    <row r="21" spans="1:8" ht="18.75">
      <c r="A21" s="418" t="s">
        <v>149</v>
      </c>
      <c r="B21" s="419"/>
      <c r="C21" s="419"/>
      <c r="D21" s="419"/>
      <c r="E21" s="420"/>
      <c r="F21" s="421">
        <f>SUM(F11+F13+F16+F17+F18+F20)</f>
        <v>911.72</v>
      </c>
      <c r="G21" s="421"/>
      <c r="H21" s="421"/>
    </row>
    <row r="22" spans="1:8" ht="15">
      <c r="A22" s="407" t="s">
        <v>150</v>
      </c>
      <c r="B22" s="408"/>
      <c r="C22" s="408"/>
      <c r="D22" s="408"/>
      <c r="E22" s="409"/>
      <c r="F22" s="402">
        <f>PRODUCT(F21,0.07)</f>
        <v>63.820400000000006</v>
      </c>
      <c r="G22" s="402"/>
      <c r="H22" s="402"/>
    </row>
    <row r="23" spans="1:8" ht="15">
      <c r="A23" s="422" t="s">
        <v>151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>
      <c r="A24" s="407" t="s">
        <v>152</v>
      </c>
      <c r="B24" s="408"/>
      <c r="C24" s="408"/>
      <c r="D24" s="408"/>
      <c r="E24" s="409"/>
      <c r="F24" s="410">
        <f>SUM(F22:H23)</f>
        <v>272.0804</v>
      </c>
      <c r="G24" s="410"/>
      <c r="H24" s="410"/>
    </row>
    <row r="25" spans="1:8">
      <c r="A25" s="411" t="s">
        <v>153</v>
      </c>
      <c r="B25" s="412"/>
      <c r="C25" s="412"/>
      <c r="D25" s="412"/>
      <c r="E25" s="413"/>
      <c r="F25" s="417">
        <f>SUM(F21,F24)</f>
        <v>1183.8004000000001</v>
      </c>
      <c r="G25" s="417"/>
      <c r="H25" s="417"/>
    </row>
    <row r="26" spans="1:8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6"/>
      <c r="B1" s="305" t="s">
        <v>155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>
      <c r="A2" s="387"/>
      <c r="B2" s="307"/>
      <c r="C2" s="308"/>
      <c r="D2" s="308"/>
      <c r="E2" s="308"/>
      <c r="F2" s="392"/>
      <c r="G2" s="393"/>
      <c r="H2" s="394"/>
    </row>
    <row r="3" spans="1:8" ht="15" customHeight="1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>
      <c r="A4" s="388"/>
      <c r="B4" s="309"/>
      <c r="C4" s="310"/>
      <c r="D4" s="310"/>
      <c r="E4" s="310"/>
      <c r="F4" s="395"/>
      <c r="G4" s="396"/>
      <c r="H4" s="397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>
      <c r="A13" s="102" t="s">
        <v>156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418" t="s">
        <v>149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>
      <c r="A26" s="407" t="s">
        <v>150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>
      <c r="A27" s="422" t="s">
        <v>151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>
      <c r="A28" s="407" t="s">
        <v>152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>
      <c r="A29" s="411" t="s">
        <v>153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2021-04-14T09:42:22Z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