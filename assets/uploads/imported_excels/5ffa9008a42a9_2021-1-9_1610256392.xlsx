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3A842B30-AA2F-462C-993D-1AF26DF3F637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<sst xmlns="http://schemas.openxmlformats.org/spreadsheetml/2006/main" count="65" uniqueCount="32">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</sst>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5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5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5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5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5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5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5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5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5">
        <f>'Jan 2021'!E9</f>
        <v>29091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5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5">
        <f>'Jan 2021'!E10</f>
        <v>38041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5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5">
        <f>'Jan 2021'!E11</f>
        <v>31021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5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5">
        <f>'Jan 2021'!E12</f>
        <v>29822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5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5">
        <f>'Jan 2021'!E13</f>
        <v>0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0</v>
      </c>
      <c r="J10" s="10">
        <v>3.61E-2</v>
      </c>
      <c r="K10" s="1">
        <f>'Jan 2021'!I13</f>
        <v>0</v>
      </c>
      <c r="L10" s="10">
        <v>0.75</v>
      </c>
      <c r="M10" s="10">
        <f>'Jan 2021'!L13</f>
        <v>0</v>
      </c>
      <c r="N10" s="10">
        <v>0.56299999999999994</v>
      </c>
      <c r="O10" s="15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5">
        <f>'Jan 2021'!E14</f>
        <v>0</v>
      </c>
      <c r="F11" s="10">
        <v>2.9000000000000001E-2</v>
      </c>
      <c r="G11" s="1">
        <f>'Jan 2021'!J14</f>
        <v>0</v>
      </c>
      <c r="H11" s="10">
        <v>0.112</v>
      </c>
      <c r="I11" s="1">
        <f>'Jan 2021'!G14*1000</f>
        <v>0</v>
      </c>
      <c r="J11" s="10">
        <v>3.61E-2</v>
      </c>
      <c r="K11" s="1">
        <f>'Jan 2021'!I14</f>
        <v>0</v>
      </c>
      <c r="L11" s="10">
        <v>0.75</v>
      </c>
      <c r="M11" s="10">
        <f>'Jan 2021'!L14</f>
        <v>0</v>
      </c>
      <c r="N11" s="10">
        <v>0.56299999999999994</v>
      </c>
      <c r="O11" s="15">
        <f>'Jan 2021'!D14</f>
        <v>0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5">
        <f>'Jan 2021'!E15</f>
        <v>0</v>
      </c>
      <c r="F12" s="10">
        <v>2.9000000000000001E-2</v>
      </c>
      <c r="G12" s="1">
        <f>'Jan 2021'!J15</f>
        <v>0</v>
      </c>
      <c r="H12" s="10">
        <v>0.112</v>
      </c>
      <c r="I12" s="1">
        <f>'Jan 2021'!G15*1000</f>
        <v>0</v>
      </c>
      <c r="J12" s="10">
        <v>3.61E-2</v>
      </c>
      <c r="K12" s="1">
        <f>'Jan 2021'!I15</f>
        <v>0</v>
      </c>
      <c r="L12" s="10">
        <v>0.75</v>
      </c>
      <c r="M12" s="10">
        <f>'Jan 2021'!L15</f>
        <v>0</v>
      </c>
      <c r="N12" s="10">
        <v>0.56299999999999994</v>
      </c>
      <c r="O12" s="15">
        <f>'Jan 2021'!D15</f>
        <v>0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5">
        <f>'Jan 2021'!E16</f>
        <v>0</v>
      </c>
      <c r="F13" s="10">
        <v>2.9000000000000001E-2</v>
      </c>
      <c r="G13" s="1">
        <f>'Jan 2021'!J16</f>
        <v>0</v>
      </c>
      <c r="H13" s="10">
        <v>0.112</v>
      </c>
      <c r="I13" s="1">
        <f>'Jan 2021'!G16*1000</f>
        <v>0</v>
      </c>
      <c r="J13" s="10">
        <v>3.61E-2</v>
      </c>
      <c r="K13" s="1">
        <f>'Jan 2021'!I16</f>
        <v>0</v>
      </c>
      <c r="L13" s="10">
        <v>0.75</v>
      </c>
      <c r="M13" s="10">
        <f>'Jan 2021'!L16</f>
        <v>0</v>
      </c>
      <c r="N13" s="10">
        <v>0.56299999999999994</v>
      </c>
      <c r="O13" s="15">
        <f>'Jan 2021'!D16</f>
        <v>0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5">
        <f>'Jan 2021'!E17</f>
        <v>0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0</v>
      </c>
      <c r="J14" s="10">
        <v>3.61E-2</v>
      </c>
      <c r="K14" s="1">
        <f>'Jan 2021'!I17</f>
        <v>0</v>
      </c>
      <c r="L14" s="10">
        <v>0.75</v>
      </c>
      <c r="M14" s="10">
        <f>'Jan 2021'!L17</f>
        <v>0</v>
      </c>
      <c r="N14" s="10">
        <v>0.56299999999999994</v>
      </c>
      <c r="O14" s="15">
        <f>'Jan 2021'!D17</f>
        <v>0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5">
        <f>'Jan 2021'!E18</f>
        <v>0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0</v>
      </c>
      <c r="J15" s="10">
        <v>3.61E-2</v>
      </c>
      <c r="K15" s="1">
        <f>'Jan 2021'!I18</f>
        <v>0</v>
      </c>
      <c r="L15" s="10">
        <v>0.75</v>
      </c>
      <c r="M15" s="10">
        <f>'Jan 2021'!L18</f>
        <v>0</v>
      </c>
      <c r="N15" s="10">
        <v>0.56299999999999994</v>
      </c>
      <c r="O15" s="15">
        <f>'Jan 2021'!D18</f>
        <v>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5">
        <f>'Jan 2021'!E19</f>
        <v>0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0</v>
      </c>
      <c r="J16" s="10">
        <v>3.61E-2</v>
      </c>
      <c r="K16" s="1">
        <f>'Jan 2021'!I19</f>
        <v>0</v>
      </c>
      <c r="L16" s="10">
        <v>0.75</v>
      </c>
      <c r="M16" s="10">
        <f>'Jan 2021'!L19</f>
        <v>0</v>
      </c>
      <c r="N16" s="10">
        <v>0.56299999999999994</v>
      </c>
      <c r="O16" s="15">
        <f>'Jan 2021'!D19</f>
        <v>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5">
        <f>'Jan 2021'!E20</f>
        <v>0</v>
      </c>
      <c r="F17" s="10">
        <v>2.9000000000000001E-2</v>
      </c>
      <c r="G17" s="1">
        <f>'Jan 2021'!J20</f>
        <v>0</v>
      </c>
      <c r="H17" s="10">
        <v>0.112</v>
      </c>
      <c r="I17" s="1">
        <f>'Jan 2021'!G20*1000</f>
        <v>0</v>
      </c>
      <c r="J17" s="10">
        <v>3.61E-2</v>
      </c>
      <c r="K17" s="1">
        <f>'Jan 2021'!I20</f>
        <v>0</v>
      </c>
      <c r="L17" s="10">
        <v>0.75</v>
      </c>
      <c r="M17" s="10">
        <f>'Jan 2021'!L20</f>
        <v>0</v>
      </c>
      <c r="N17" s="10">
        <v>0.56299999999999994</v>
      </c>
      <c r="O17" s="15">
        <f>'Jan 2021'!D20</f>
        <v>0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5">
        <f>'Jan 2021'!E21</f>
        <v>0</v>
      </c>
      <c r="F18" s="10">
        <v>2.9000000000000001E-2</v>
      </c>
      <c r="G18" s="1">
        <f>'Jan 2021'!J21</f>
        <v>0</v>
      </c>
      <c r="H18" s="10">
        <v>0.112</v>
      </c>
      <c r="I18" s="1">
        <f>'Jan 2021'!G21*1000</f>
        <v>0</v>
      </c>
      <c r="J18" s="10">
        <v>3.61E-2</v>
      </c>
      <c r="K18" s="1">
        <f>'Jan 2021'!I21</f>
        <v>0</v>
      </c>
      <c r="L18" s="10">
        <v>0.75</v>
      </c>
      <c r="M18" s="10">
        <f>'Jan 2021'!L21</f>
        <v>0</v>
      </c>
      <c r="N18" s="10">
        <v>0.56299999999999994</v>
      </c>
      <c r="O18" s="15">
        <f>'Jan 2021'!D21</f>
        <v>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5">
        <f>'Jan 2021'!E22</f>
        <v>0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5">
        <f>'Jan 2021'!D22</f>
        <v>0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5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5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5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5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5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5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5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5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5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5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5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5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5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5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5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5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5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5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5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5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5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5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5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5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5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5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4" workbookViewId="0">
      <selection activeCell="G27" sqref="G2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1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7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29091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38041</v>
      </c>
      <c r="F10" s="4">
        <v>183953</v>
      </c>
      <c r="G10" s="8">
        <f t="shared" ref="G10:G12" si="0">F11-F10</f>
        <v>23</v>
      </c>
      <c r="H10" s="7">
        <v>439377</v>
      </c>
      <c r="I10" s="3">
        <f t="shared" ref="I10:I12" si="1">H11-H10</f>
        <v>283</v>
      </c>
      <c r="J10" s="3">
        <v>2970</v>
      </c>
      <c r="K10" s="4">
        <v>269694</v>
      </c>
      <c r="L10" s="9">
        <f t="shared" ref="L10:L12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31021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29822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/>
      <c r="F13" s="31">
        <v>184023</v>
      </c>
      <c r="G13" s="8"/>
      <c r="H13" s="17">
        <v>440193</v>
      </c>
      <c r="I13" s="3"/>
      <c r="J13" s="3">
        <v>0</v>
      </c>
      <c r="K13" s="31">
        <v>269921</v>
      </c>
      <c r="L13" s="9"/>
      <c r="N13" s="1"/>
    </row>
    <row r="14" spans="1:14" x14ac:dyDescent="0.2">
      <c r="B14" s="2">
        <v>10</v>
      </c>
      <c r="C14" s="11">
        <v>44206</v>
      </c>
      <c r="D14" s="7"/>
      <c r="E14" s="12"/>
      <c r="F14" s="31"/>
      <c r="G14" s="8"/>
      <c r="H14" s="17"/>
      <c r="I14" s="3"/>
      <c r="J14" s="3"/>
      <c r="K14" s="31"/>
      <c r="L14" s="9"/>
      <c r="N14" s="1"/>
    </row>
    <row r="15" spans="1:14" x14ac:dyDescent="0.2">
      <c r="B15" s="2">
        <v>11</v>
      </c>
      <c r="C15" s="11">
        <v>44207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44209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44210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44211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44212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44213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44214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44215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44217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44218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44225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44226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44227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2021-01-10T05:25:36Z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